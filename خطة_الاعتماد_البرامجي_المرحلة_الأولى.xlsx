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5FC5975-3A6E-8848-A939-FA035B17B495}" xr6:coauthVersionLast="47" xr6:coauthVersionMax="47" xr10:uidLastSave="{00000000-0000-0000-0000-000000000000}"/>
  <bookViews>
    <workbookView xWindow="0" yWindow="500" windowWidth="28800" windowHeight="16380" activeTab="3"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أمثلة التصنيف" sheetId="9" r:id="rId6"/>
    <sheet name="فحص-حاسب-بكالوريوس" sheetId="6" r:id="rId7"/>
    <sheet name="فحص-بيانات-بكالوريوس" sheetId="7" r:id="rId8"/>
    <sheet name="فحص-بيانات-ماجستير" sheetId="8" r:id="rId9"/>
  </sheets>
  <definedNames>
    <definedName name="_xlnm._FilterDatabase" localSheetId="6" hidden="1">'فحص-حاسب-بكالوريوس'!$A$4:$R$208</definedName>
  </definedNames>
  <calcPr calcId="191029" calcMode="auto"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H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<sst xmlns="http://schemas.openxmlformats.org/spreadsheetml/2006/main" count="3347" uniqueCount="651">
  <si>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</si>
  <si>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</si>
  <si>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</si>
  <si>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</si>
  <si>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</si>
  <si>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</si>
  <si>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</si>
  <si>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</si>
  <si>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</si>
  <si>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</si>
  <si>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</si>
  <si>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</si>
  <si>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</si>
  <si>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</si>
  <si>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</si>
  <si>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</si>
  <si>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</si>
  <si>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</si>
  <si>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</si>
  <si>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</si>
  <si>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</si>
  <si>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</si>
  <si>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</si>
  <si>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</si>
  <si>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</si>
  <si>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</si>
  <si>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</si>
  <si>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</si>
  <si>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</si>
  <si>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</si>
  <si>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</si>
  <si>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</si>
  <si>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</si>
  <si>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</si>
  <si>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</si>
  <si>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</si>
  <si>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</si>
  <si>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</si>
  <si>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</si>
  <si>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</si>
  <si>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</si>
  <si>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</si>
  <si>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</si>
  <si>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</si>
  <si>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</si>
  <si>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</si>
  <si>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</si>
  <si>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</si>
  <si>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</si>
  <si>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</si>
  <si>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</si>
  <si>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</si>
  <si>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</si>
  <si>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</si>
  <si>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</si>
  <si>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</si>
  <si>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</si>
  <si>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</si>
  <si>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</si>
  <si>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</si>
  <si>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</si>
  <si>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</si>
  <si>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</si>
  <si>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</si>
  <si>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</si>
  <si>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</si>
  <si>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</si>
  <si>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</si>
  <si>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</si>
  <si>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</si>
  <si>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</si>
  <si>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</si>
  <si>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</si>
  <si>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</si>
  <si>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</si>
  <si>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</si>
  <si>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</si>
  <si>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</si>
  <si>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</si>
  <si>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</si>
  <si>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</si>
  <si>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</si>
  <si>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</si>
  <si>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</si>
  <si>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</si>
  <si>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</si>
  <si>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</si>
  <si>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</si>
  <si>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</si>
  <si>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</si>
  <si>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</si>
  <si>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</si>
  <si>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</si>
  <si>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</si>
  <si>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</si>
  <si>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</si>
  <si>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</si>
  <si>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</si>
  <si>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</si>
  <si>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</si>
  <si>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</si>
  <si>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</si>
  <si>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</si>
  <si>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</si>
  <si>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</si>
  <si>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</si>
  <si>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</si>
  <si>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</si>
  <si>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</si>
  <si>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</si>
  <si>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</si>
  <si>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</si>
  <si>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</si>
  <si>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</si>
  <si>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</si>
  <si>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</si>
  <si>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</si>
  <si>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</si>
  <si>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</si>
  <si>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</si>
  <si>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</si>
  <si>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</si>
  <si>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</si>
  <si>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</si>
  <si>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</si>
  <si>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</si>
  <si>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</si>
  <si>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</si>
  <si>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</si>
  <si>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</si>
  <si>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</si>
  <si>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</si>
  <si>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</si>
  <si>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</si>
  <si>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</si>
  <si>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</si>
  <si>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</si>
  <si>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</si>
  <si>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</si>
  <si>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</si>
  <si>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</si>
  <si>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</si>
  <si>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</si>
  <si>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</si>
  <si>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</si>
  <si>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</si>
  <si>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</si>
  <si>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</si>
  <si>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</si>
  <si>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</si>
  <si>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</si>
  <si>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</si>
  <si>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</si>
  <si>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</si>
  <si>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</si>
  <si>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</si>
  <si>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</si>
  <si>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</si>
  <si>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</si>
  <si>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</si>
  <si>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</si>
  <si>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</si>
  <si>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</si>
  <si>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</si>
  <si>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</si>
  <si>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</si>
  <si>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</si>
  <si>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</si>
  <si>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</si>
  <si>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</si>
  <si>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</si>
  <si>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</si>
  <si>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</si>
  <si>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</si>
  <si>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</si>
  <si>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</si>
  <si>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</si>
  <si>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</si>
  <si>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</si>
  <si>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</si>
  <si>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</si>
  <si>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</si>
  <si>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</si>
  <si>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</si>
  <si>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</si>
  <si>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</si>
  <si>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</si>
  <si>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</si>
  <si>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</si>
  <si>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</si>
  <si>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</si>
  <si>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</si>
  <si>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</si>
  <si>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</si>
  <si>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</si>
  <si>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</si>
  <si>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</si>
  <si>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</si>
  <si>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</si>
  <si>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</si>
  <si>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</si>
  <si>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</si>
  <si>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</si>
  <si>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</si>
  <si>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</si>
  <si>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</si>
  <si>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</si>
  <si>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</si>
  <si>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</si>
  <si>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</si>
  <si>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</si>
  <si>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</si>
  <si>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</si>
  <si>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</si>
  <si>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</si>
  <si>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</si>
  <si>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</si>
  <si>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</si>
  <si>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</si>
  <si>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</si>
  <si>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</si>
  <si>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</si>
  <si>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</si>
  <si>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</si>
  <si>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</si>
  <si>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</si>
  <si>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</si>
  <si>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</si>
  <si>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</si>
  <si>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</si>
  <si>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</si>
  <si>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</si>
  <si>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</si>
  <si>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</si>
  <si>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</si>
  <si>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</si>
  <si>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</si>
  <si>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</si>
  <si>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</si>
  <si>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</si>
  <si>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</si>
  <si>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</si>
  <si>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</si>
  <si>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</si>
  <si>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</si>
  <si>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</si>
  <si>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</si>
  <si>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</si>
  <si>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</si>
  <si>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</si>
  <si>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</si>
  <si>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</si>
  <si>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</si>
  <si>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</si>
  <si>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</si>
  <si>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</si>
  <si>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</si>
  <si>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</si>
  <si>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</si>
  <si>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</si>
  <si>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</si>
  <si>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</si>
  <si>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</si>
  <si>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</si>
  <si>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</si>
  <si>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</si>
  <si>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</si>
  <si>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</si>
  <si>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</si>
  <si>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</si>
  <si>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</si>
  <si>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</si>
  <si>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</si>
  <si>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</si>
  <si>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</si>
  <si>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</si>
  <si>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</si>
  <si>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</si>
  <si>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</si>
  <si>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</si>
  <si>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</si>
  <si>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</si>
  <si>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</si>
  <si>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</si>
  <si>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</si>
  <si>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</si>
  <si>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</si>
  <si>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</si>
  <si>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</si>
  <si>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</si>
  <si>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</si>
  <si>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</si>
  <si>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</si>
  <si>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</si>
  <si>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</si>
  <si>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</si>
  <si>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</si>
  <si>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</si>
  <si>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</si>
  <si>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</si>
  <si>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</si>
  <si>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</si>
  <si>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</si>
  <si>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</si>
  <si>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</si>
  <si>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</si>
  <si>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</si>
  <si>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</si>
  <si>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</si>
  <si>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</si>
  <si>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</si>
  <si>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</si>
  <si>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</si>
  <si>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</si>
  <si>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</si>
  <si>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</si>
  <si>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</si>
  <si>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</si>
  <si>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</si>
  <si>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</si>
  <si>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</si>
  <si>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</si>
  <si>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</si>
  <si>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</si>
  <si>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</si>
  <si>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</si>
  <si>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</si>
  <si>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</si>
  <si>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</si>
  <si>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</si>
  <si>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</si>
  <si>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</si>
  <si>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</si>
  <si>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</si>
  <si>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</si>
  <si>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</si>
  <si>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</si>
  <si>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</si>
  <si>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</si>
  <si>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</si>
  <si>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</si>
  <si>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</si>
  <si>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</si>
  <si>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</si>
  <si>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</si>
  <si>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</si>
  <si>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</si>
  <si>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</si>
  <si>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</si>
  <si>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</si>
  <si>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</si>
  <si>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</si>
  <si>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</si>
  <si>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</si>
  <si>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</si>
  <si>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</si>
  <si>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</si>
  <si>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</si>
  <si>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</si>
  <si>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</si>
  <si>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</si>
  <si>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</si>
  <si>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</si>
  <si>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</si>
  <si>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</si>
  <si>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</si>
  <si>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</si>
  <si>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</si>
  <si>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</si>
  <si>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</si>
  <si>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</si>
  <si>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</si>
  <si>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</si>
  <si>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</si>
  <si>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</si>
  <si>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</si>
  <si>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</si>
  <si>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</si>
  <si>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</si>
  <si>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</si>
  <si>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</si>
  <si>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</si>
  <si>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</si>
  <si>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</si>
  <si>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</si>
  <si>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</si>
  <si>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</si>
  <si>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</si>
  <si>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</si>
  <si>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</si>
  <si>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</si>
  <si>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</si>
  <si>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</si>
  <si>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</si>
  <si>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</si>
  <si>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</si>
  <si>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</si>
  <si>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</si>
  <si>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</si>
  <si>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</si>
  <si>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</si>
  <si>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</si>
  <si>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</si>
  <si>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</si>
  <si>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</si>
  <si>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</si>
  <si>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</si>
  <si>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</si>
  <si>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</si>
  <si>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</si>
  <si>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</si>
  <si>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</si>
  <si>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</si>
  <si>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</si>
  <si>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</si>
  <si>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</si>
  <si>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</si>
  <si>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</si>
  <si>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</si>
  <si>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</si>
  <si>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</si>
  <si>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</si>
  <si>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</si>
  <si>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</si>
  <si>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</si>
  <si>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</si>
  <si>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</si>
  <si>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</si>
  <si>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</si>
  <si>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</si>
  <si>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</si>
  <si>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</si>
  <si>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</si>
  <si>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</si>
  <si>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</si>
  <si>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</si>
  <si>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</si>
  <si>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</si>
  <si>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</si>
  <si>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</si>
  <si>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</si>
  <si>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</si>
  <si>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</si>
  <si>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</si>
  <si>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</si>
  <si>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</si>
  <si>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</si>
  <si>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</si>
  <si>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</si>
  <si>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</si>
  <si>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</si>
  <si>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</si>
  <si>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</si>
  <si>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</si>
  <si>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</si>
  <si>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</si>
  <si>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</si>
  <si>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</si>
  <si>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</si>
  <si>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</si>
  <si>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</si>
  <si>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</si>
  <si>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</si>
  <si>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</si>
  <si>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</si>
  <si>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</si>
  <si>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</si>
  <si>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</si>
  <si>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</si>
  <si>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</si>
  <si>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</si>
  <si>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</si>
  <si>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</si>
  <si>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</si>
  <si>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</si>
  <si>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</si>
  <si>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</si>
  <si>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</si>
  <si>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</si>
  <si>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</si>
  <si>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</si>
  <si>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</si>
  <si>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</si>
  <si>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</si>
  <si>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</si>
  <si>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</si>
  <si>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</si>
  <si>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</si>
  <si>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</si>
  <si>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</si>
  <si>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</si>
  <si>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</si>
  <si>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</si>
  <si>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</si>
  <si>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</si>
  <si>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</si>
  <si>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</si>
  <si>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</si>
  <si>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</si>
  <si>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</si>
  <si>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</si>
  <si>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</si>
  <si>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</si>
  <si>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</si>
  <si>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</si>
  <si>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</si>
  <si>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</si>
  <si>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</si>
  <si>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</si>
  <si>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</si>
  <si>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</si>
  <si>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</si>
  <si>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</si>
  <si>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</si>
  <si>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</si>
  <si>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</si>
  <si>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</si>
  <si>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</si>
  <si>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</si>
  <si>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</si>
  <si>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</si>
  <si>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</si>
  <si>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</si>
  <si>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</si>
  <si>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</si>
  <si>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</si>
  <si>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</si>
  <si>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</si>
  <si>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</si>
  <si>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</si>
  <si>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</si>
  <si>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</si>
  <si>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</si>
  <si>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</si>
  <si>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</si>
  <si>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</si>
  <si>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</si>
  <si>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</si>
  <si>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</si>
  <si>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</si>
  <si>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</si>
  <si>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</si>
  <si>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</si>
  <si>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</si>
  <si>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</si>
  <si>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</si>
  <si>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</si>
  <si>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</si>
  <si>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</si>
  <si>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</si>
  <si>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</si>
  <si>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</si>
  <si>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</si>
  <si>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</si>
  <si>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</si>
  <si>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</si>
  <si>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</si>
  <si>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</si>
  <si>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</si>
  <si>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</si>
  <si>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</si>
  <si>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</si>
  <si>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</si>
  <si>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</si>
  <si>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</si>
  <si>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</si>
  <si>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</si>
  <si>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</si>
  <si>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</si>
  <si>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</si>
  <si>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</si>
  <si>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</si>
  <si>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</si>
  <si>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</si>
  <si>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</si>
  <si>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</si>
  <si>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</si>
  <si>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</si>
  <si>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</si>
  <si>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</si>
  <si>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</si>
  <si>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</si>
  <si>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</si>
  <si>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</si>
  <si>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</si>
  <si>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</si>
  <si>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</si>
  <si>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</si>
  <si>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</si>
  <si>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</si>
  <si>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</si>
  <si>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</si>
  <si>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</si>
  <si>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</si>
  <si>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</si>
  <si>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</si>
  <si>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</si>
  <si>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</si>
  <si>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</si>
  <si>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</si>
  <si>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</si>
  <si>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</si>
  <si>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</si>
  <si>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</si>
  <si>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</si>
  <si>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</si>
  <si>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</si>
  <si>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</si>
  <si>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</si>
  <si>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</si>
  <si>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</si>
  <si>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</si>
  <si>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</si>
  <si>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</si>
  <si>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</si>
  <si>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</si>
  <si>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</si>
  <si>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</si>
  <si>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</si>
  <si>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</si>
  <si>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</si>
  <si>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</si>
  <si>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</si>
  <si>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</si>
  <si>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</si>
  <si>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</si>
  <si>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</si>
  <si>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</si>
  <si>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</si>
  <si>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</si>
  <si>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</si>
  <si>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</si>
  <si>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</si>
  <si>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</si>
  <si>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</si>
  <si>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</si>
  <si>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</si>
  <si>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</si>
  <si>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</si>
  <si>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</si>
  <si>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</si>
  <si>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</si>
  <si>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</si>
  <si>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</si>
  <si>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</si>
  <si>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</si>
  <si>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</si>
  <si>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</si>
  <si>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</si>
  <si>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</si>
  <si>
    <t>تحديث من القسم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</si>
</sst>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1</v>
      </c>
      <c r="D6" s="30">
        <f>COUNTIFS('فحص-حاسب-بكالوريوس'!$B$5:$B$208,"1. إدارة البرنامج وضمان جودته",'فحص-حاسب-بكالوريوس'!$I$5:$I$208,"متوفر ويحتاج تحسين")</f>
        <v>1</v>
      </c>
      <c r="E6" s="30">
        <f>COUNTIFS('فحص-حاسب-بكالوريوس'!$B$5:$B$208,"1. إدارة البرنامج وضمان جودته",'فحص-حاسب-بكالوريوس'!$I$5:$I$208,"غير متوفر")</f>
        <v>1</v>
      </c>
      <c r="F6" s="30">
        <f t="shared" ref="F6:F12" si="0">B6-SUM(C6:E6)</f>
        <v>49</v>
      </c>
      <c r="G6" s="35">
        <f t="shared" ref="G6:G12" si="1">IF(B6=0,0,C6/B6)</f>
        <v>1.9230769230769232E-2</v>
      </c>
      <c r="H6" s="30">
        <f>COUNTIFS('فحص-حاسب-بكالوريوس'!$B$5:$B$208,"1. إدارة البرنامج وضمان جودته",'فحص-حاسب-بكالوريوس'!$K$5:$K$208,"عالية")</f>
        <v>1</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1</v>
      </c>
      <c r="F11" s="36">
        <f t="shared" si="0"/>
        <v>62</v>
      </c>
      <c r="G11" s="37">
        <f t="shared" si="1"/>
        <v>0</v>
      </c>
      <c r="H11" s="36">
        <f>COUNTIFS('فحص-حاسب-بكالوريوس'!$D$5:$D$208,"★",'فحص-حاسب-بكالوريوس'!$K$5:$K$208,"عالية")</f>
        <v>1</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1</v>
      </c>
      <c r="D12" s="36">
        <f>COUNTIFS('فحص-حاسب-بكالوريوس'!$A$5:$A$208,"*",'فحص-حاسب-بكالوريوس'!$I$5:$I$208,"متوفر ويحتاج تحسين")</f>
        <v>1</v>
      </c>
      <c r="E12" s="36">
        <f>COUNTIFS('فحص-حاسب-بكالوريوس'!$A$5:$A$208,"*",'فحص-حاسب-بكالوريوس'!$I$5:$I$208,"غير متوفر")</f>
        <v>1</v>
      </c>
      <c r="F12" s="36">
        <f t="shared" si="0"/>
        <v>201</v>
      </c>
      <c r="G12" s="37">
        <f t="shared" si="1"/>
        <v>4.9019607843137254E-3</v>
      </c>
      <c r="H12" s="36">
        <f>COUNTIFS('فحص-حاسب-بكالوريوس'!$A$5:$A$208,"*",'فحص-حاسب-بكالوريوس'!$K$5:$K$208,"عالية")</f>
        <v>1</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3</v>
      </c>
      <c r="D37" s="35">
        <f t="shared" ref="D37:D42" si="6">IF(B37=0,0,C37/B37)</f>
        <v>2.564102564102564E-2</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x14ac:dyDescent="0.55000000000000004">
      <c r="A43" s="26"/>
      <c r="B43" s="26"/>
      <c r="C43" s="26"/>
      <c r="D43" s="26"/>
      <c r="E43" s="26"/>
      <c r="F43" s="26"/>
      <c r="G43" s="26"/>
      <c r="H43" s="26"/>
      <c r="I43" s="26"/>
      <c r="J43" s="26"/>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1</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1</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tabSelected="1" workbookViewId="0">
      <selection activeCell="B3" sqref="B3"/>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120</v>
      </c>
      <c r="F3" s="16" t="s">
        <v>117</v>
      </c>
      <c r="G3" s="10">
        <f>IFERROR(CHOOSE($J$3,COUNTIF('فحص-حاسب-بكالوريوس'!$I$5:$I$208,$E$3),COUNTIF('فحص-بيانات-بكالوريوس'!$I$5:$I$208,$E$3),COUNTIF('فحص-بيانات-ماجستير'!$I$5:$I$230,$E$3)),0)</f>
        <v>1</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f>IF($I6="","",1)</f>
        <v>1</v>
      </c>
      <c r="B6" s="2" t="str">
        <f>IF($I6="","",INDEX(CHOOSE($J$3,'فحص-حاسب-بكالوريوس'!$A$5:$A$208,'فحص-بيانات-بكالوريوس'!$A$5:$A$208,'فحص-بيانات-ماجستير'!$A$5:$A$230),$I6)&amp;"")</f>
        <v>1-1-2</v>
      </c>
      <c r="C6" s="2" t="str">
        <f>IF($I6="","",INDEX(CHOOSE($J$3,'فحص-حاسب-بكالوريوس'!$F$5:$F$208,'فحص-بيانات-بكالوريوس'!$F$5:$F$208,'فحص-بيانات-ماجستير'!$F$5:$F$230),$I6)&amp;"")</f>
        <v>استبانة تقييم القيادات الأكاديمية والإدارية بالبرنامج.</v>
      </c>
      <c r="D6" s="2" t="str">
        <f>IF($I6="","",INDEX(CHOOSE($J$3,'فحص-حاسب-بكالوريوس'!$H$5:$H$208,'فحص-بيانات-بكالوريوس'!$H$5:$H$208,'فحص-بيانات-ماجستير'!$H$5:$H$230),$I6)&amp;"")</f>
        <v>د. سلطان بن سعيد الشمراني</v>
      </c>
      <c r="E6" s="2" t="str">
        <f>IF($I6="","",INDEX(CHOOSE($J$3,'فحص-حاسب-بكالوريوس'!$J$5:$J$208,'فحص-بيانات-بكالوريوس'!$J$5:$J$208,'فحص-بيانات-ماجستير'!$J$5:$J$230),$I6)&amp;"")</f>
        <v>فجوة تطبيق</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f>IFERROR(MATCH($E$3&amp;"#"&amp;1,CHOOSE($J$3,'فحص-حاسب-بكالوريوس'!$R$5:$R$208,'فحص-بيانات-بكالوريوس'!$R$5:$R$208,'فحص-بيانات-ماجستير'!$R$5:$R$230),0),"")</f>
        <v>9</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opLeftCell="A9" workbookViewId="0">
      <selection activeCell="B18" sqref="B18"/>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s">
        <v>159</v>
      </c>
    </row>
    <row r="10" spans="1:6" ht="56" customHeight="1" x14ac:dyDescent="0.2">
      <c r="A10" s="30">
        <v>4</v>
      </c>
      <c r="B10" s="34" t="s">
        <v>160</v>
      </c>
      <c r="C10" s="31" t="s">
        <v>161</v>
      </c>
      <c r="D10" s="40" t="s">
        <v>158</v>
      </c>
      <c r="E10" s="30" t="str">
        <f>'الإعدادات واللجنة'!$B$13</f>
        <v>د. عبير بنت عبدالله راجحي</v>
      </c>
      <c r="F10" s="31" t="s">
        <v>162</v>
      </c>
    </row>
    <row r="11" spans="1:6" ht="56" customHeight="1" x14ac:dyDescent="0.2">
      <c r="A11" s="30">
        <v>5</v>
      </c>
      <c r="B11" s="34" t="s">
        <v>163</v>
      </c>
      <c r="C11" s="31" t="s">
        <v>164</v>
      </c>
      <c r="D11" s="40" t="s">
        <v>158</v>
      </c>
      <c r="E11" s="30" t="str">
        <f>'الإعدادات واللجنة'!$B$13</f>
        <v>د. عبير بنت عبدالله راجحي</v>
      </c>
      <c r="F11" s="31" t="s">
        <v>162</v>
      </c>
    </row>
    <row r="12" spans="1:6" ht="56" customHeight="1" x14ac:dyDescent="0.2">
      <c r="A12" s="30">
        <v>6</v>
      </c>
      <c r="B12" s="34" t="s">
        <v>101</v>
      </c>
      <c r="C12" s="31" t="s">
        <v>165</v>
      </c>
      <c r="D12" s="40" t="s">
        <v>158</v>
      </c>
      <c r="E12" s="30" t="str">
        <f>'الإعدادات واللجنة'!$B$13</f>
        <v>د. عبير بنت عبدالله راجحي</v>
      </c>
      <c r="F12" s="31" t="s">
        <v>162</v>
      </c>
    </row>
    <row r="13" spans="1:6" ht="56" customHeight="1" x14ac:dyDescent="0.2">
      <c r="A13" s="30">
        <v>7</v>
      </c>
      <c r="B13" s="34" t="s">
        <v>166</v>
      </c>
      <c r="C13" s="31" t="s">
        <v>167</v>
      </c>
      <c r="D13" s="40" t="s">
        <v>158</v>
      </c>
      <c r="E13" s="30" t="str">
        <f>'الإعدادات واللجنة'!$B$13</f>
        <v>د. عبير بنت عبدالله راجحي</v>
      </c>
      <c r="F13" s="31" t="s">
        <v>162</v>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workbookViewId="0">
      <selection activeCell="A1" sqref="A1"/>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filterMode="1">
    <tabColor rgb="FF8EA9DB"/>
  </sheetPr>
  <dimension ref="A1:R208"/>
  <sheetViews>
    <sheetView rightToLeft="1" workbookViewId="0">
      <pane xSplit="6" ySplit="4" topLeftCell="H5" activePane="bottomRight" state="frozen"/>
      <selection pane="topRight"/>
      <selection pane="bottomLeft"/>
      <selection pane="bottomRight" activeCell="L13" sqref="L1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t="s">
        <v>605</v>
      </c>
      <c r="J5" s="38" t="s">
        <v>588</v>
      </c>
      <c r="K5" s="46" t="str">
        <f t="shared" ref="K5:K68" si="0">IF(OR(I5="",I5="متوفر ومكتمل"),"",IF(OR(D5="★",I5="غير متوفر"),"عالية","متوسطة"))</f>
        <v>متوسطة</v>
      </c>
      <c r="L5" s="48" t="s">
        <v>650</v>
      </c>
      <c r="M5" s="38"/>
      <c r="N5" s="48"/>
      <c r="O5" s="48"/>
      <c r="P5" s="38"/>
      <c r="Q5" s="48"/>
      <c r="R5" s="26" t="str">
        <f>IF($I5="","",$I5&amp;"#"&amp;COUNTIF($I$5:$I5,$I5))</f>
        <v>متوفر ويحتاج تحسين#1</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t="s">
        <v>598</v>
      </c>
      <c r="J6" s="38"/>
      <c r="K6" s="46" t="str">
        <f t="shared" si="0"/>
        <v/>
      </c>
      <c r="L6" s="48"/>
      <c r="M6" s="38"/>
      <c r="N6" s="48"/>
      <c r="O6" s="48"/>
      <c r="P6" s="38"/>
      <c r="Q6" s="48"/>
      <c r="R6" s="26" t="str">
        <f>IF($I6="","",$I6&amp;"#"&amp;COUNTIF($I$5:$I6,$I6))</f>
        <v>متوفر ومكتمل#1</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t="s">
        <v>120</v>
      </c>
      <c r="J13" s="38" t="s">
        <v>589</v>
      </c>
      <c r="K13" s="46" t="str">
        <f t="shared" si="0"/>
        <v>عالية</v>
      </c>
      <c r="L13" s="48"/>
      <c r="M13" s="38"/>
      <c r="N13" s="48"/>
      <c r="O13" s="48"/>
      <c r="P13" s="38"/>
      <c r="Q13" s="48"/>
      <c r="R13" s="26" t="str">
        <f>IF($I13="","",$I13&amp;"#"&amp;COUNTIF($I$5:$I13,$I13))</f>
        <v>غير متوفر#1</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hidden="1"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hidden="1"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hidden="1"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hidden="1"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hidden="1"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hidden="1"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hidden="1"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hidden="1"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hidden="1"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hidden="1"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hidden="1"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hidden="1"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hidden="1"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hidden="1"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hidden="1"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hidden="1"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hidden="1"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hidden="1"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hidden="1"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hidden="1"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hidden="1"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hidden="1"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hidden="1"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hidden="1"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hidden="1"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hidden="1"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hidden="1"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hidden="1"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hidden="1"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hidden="1"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hidden="1"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hidden="1"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hidden="1"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hidden="1"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hidden="1"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hidden="1"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hidden="1"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hidden="1"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hidden="1"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hidden="1"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hidden="1"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hidden="1"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hidden="1"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hidden="1"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hidden="1"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hidden="1"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hidden="1"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hidden="1"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hidden="1"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hidden="1"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hidden="1"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hidden="1"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hidden="1"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hidden="1"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hidden="1"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hidden="1"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hidden="1"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hidden="1"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hidden="1"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hidden="1"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hidden="1"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hidden="1"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hidden="1"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hidden="1"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hidden="1"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hidden="1"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hidden="1"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hidden="1"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hidden="1"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hidden="1"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hidden="1"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hidden="1"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hidden="1"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hidden="1"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hidden="1"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hidden="1"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hidden="1"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hidden="1"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hidden="1"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hidden="1"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hidden="1"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hidden="1"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hidden="1"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hidden="1"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hidden="1"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hidden="1"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hidden="1"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hidden="1"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hidden="1"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hidden="1"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hidden="1"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hidden="1"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hidden="1"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hidden="1"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hidden="1"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hidden="1"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hidden="1"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hidden="1"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hidden="1"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hidden="1"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hidden="1"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hidden="1"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hidden="1"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hidden="1"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hidden="1"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hidden="1"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hidden="1"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hidden="1"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hidden="1"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hidden="1"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hidden="1"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hidden="1"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hidden="1"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hidden="1"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hidden="1"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hidden="1"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hidden="1"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hidden="1"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hidden="1"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hidden="1"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hidden="1"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hidden="1"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hidden="1"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hidden="1"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hidden="1"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hidden="1"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hidden="1"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hidden="1"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hidden="1"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hidden="1"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hidden="1"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hidden="1"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hidden="1"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hidden="1"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hidden="1"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hidden="1"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hidden="1"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hidden="1"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hidden="1"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hidden="1"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hidden="1"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hidden="1"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hidden="1"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hidden="1"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hidden="1"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hidden="1"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hidden="1"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hidden="1"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hidden="1"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hidden="1"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hidden="1"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hidden="1"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hidden="1"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hidden="1"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hidden="1"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hidden="1"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hidden="1"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hidden="1"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hidden="1"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hidden="1"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hidden="1"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hidden="1"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hidden="1"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hidden="1"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hidden="1"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filterColumn colId="7">
      <filters>
        <filter val="د. سلطان بن سعيد الشمراني"/>
      </filters>
    </filterColumn>
  </autoFilter>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2026-10-27T08:00:36Z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