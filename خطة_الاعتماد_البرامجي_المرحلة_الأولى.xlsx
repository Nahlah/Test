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3239ABE-298A-2B46-AC4A-A2EA8642EBB3}" xr6:coauthVersionLast="47" xr6:coauthVersionMax="47" xr10:uidLastSave="{00000000-0000-0000-0000-000000000000}"/>
  <bookViews>
    <workbookView xWindow="3380" yWindow="500" windowWidth="28800" windowHeight="16380" activeTab="4"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وثائق الجودة" sheetId="11" r:id="rId100"/>
    <sheet name="أمثلة التصنيف" sheetId="9" r:id="rId6"/>
    <sheet name="فحص-حاسب-بكالوريوس" sheetId="6" r:id="rId7"/>
    <sheet name="فحص-بيانات-بكالوريوس" sheetId="7" r:id="rId8"/>
    <sheet name="فحص-بيانات-ماجستير" sheetId="8" r:id="rId9"/>
  </sheets>
  <definedNames>
    <definedName name="_xlnm._FilterDatabase" localSheetId="7" hidden="1">'فحص-حاسب-بكالوريوس'!$A$4:$R$208</definedName>
  </definedName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H9" i="3" s="1"/>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<sst xmlns="http://schemas.openxmlformats.org/spreadsheetml/2006/main" count="3341" uniqueCount="650">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</sst>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00"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32"/>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0</v>
      </c>
      <c r="D6" s="30">
        <f>COUNTIFS('فحص-حاسب-بكالوريوس'!$B$5:$B$208,"1. إدارة البرنامج وضمان جودته",'فحص-حاسب-بكالوريوس'!$I$5:$I$208,"متوفر ويحتاج تحسين")</f>
        <v>0</v>
      </c>
      <c r="E6" s="30">
        <f>COUNTIFS('فحص-حاسب-بكالوريوس'!$B$5:$B$208,"1. إدارة البرنامج وضمان جودته",'فحص-حاسب-بكالوريوس'!$I$5:$I$208,"غير متوفر")</f>
        <v>0</v>
      </c>
      <c r="F6" s="30">
        <f t="shared" ref="F6:F12" si="0">B6-SUM(C6:E6)</f>
        <v>52</v>
      </c>
      <c r="G6" s="35">
        <f t="shared" ref="G6:G12" si="1">IF(B6=0,0,C6/B6)</f>
        <v>0</v>
      </c>
      <c r="H6" s="30">
        <f>COUNTIFS('فحص-حاسب-بكالوريوس'!$B$5:$B$208,"1. إدارة البرنامج وضمان جودته",'فحص-حاسب-بكالوريوس'!$K$5:$K$208,"عالية")</f>
        <v>0</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0</v>
      </c>
      <c r="F11" s="36">
        <f t="shared" si="0"/>
        <v>63</v>
      </c>
      <c r="G11" s="37">
        <f t="shared" si="1"/>
        <v>0</v>
      </c>
      <c r="H11" s="36">
        <f>COUNTIFS('فحص-حاسب-بكالوريوس'!$D$5:$D$208,"★",'فحص-حاسب-بكالوريوس'!$K$5:$K$208,"عالية")</f>
        <v>0</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0</v>
      </c>
      <c r="D12" s="36">
        <f>COUNTIFS('فحص-حاسب-بكالوريوس'!$A$5:$A$208,"*",'فحص-حاسب-بكالوريوس'!$I$5:$I$208,"متوفر ويحتاج تحسين")</f>
        <v>0</v>
      </c>
      <c r="E12" s="36">
        <f>COUNTIFS('فحص-حاسب-بكالوريوس'!$A$5:$A$208,"*",'فحص-حاسب-بكالوريوس'!$I$5:$I$208,"غير متوفر")</f>
        <v>0</v>
      </c>
      <c r="F12" s="36">
        <f t="shared" si="0"/>
        <v>204</v>
      </c>
      <c r="G12" s="37">
        <f t="shared" si="1"/>
        <v>0</v>
      </c>
      <c r="H12" s="36">
        <f>COUNTIFS('فحص-حاسب-بكالوريوس'!$A$5:$A$208,"*",'فحص-حاسب-بكالوريوس'!$K$5:$K$208,"عالية")</f>
        <v>0</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35">
        <f t="shared" ref="D37:D42" si="6">IF(B37=0,0,C37/B37)</f>
        <v>0</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customHeight="1">
      <c r="A43" s="34" t="str">
        <f>'الإعدادات واللجنة'!$B$13&amp;" (وثائق الجودة)"</f>
        <v/>
      </c>
      <c r="B43" s="30" t="inlineStr">
        <is>
          <t xml:space="preserve">—</t>
        </is>
      </c>
      <c r="C43" s="30" t="inlineStr">
        <is>
          <t xml:space="preserve">—</t>
        </is>
      </c>
      <c r="D43" s="35">
        <f>'وثائق الجودة'!$E$3</f>
        <v>0</v>
      </c>
      <c r="E43" s="30" t="inlineStr">
        <is>
          <t xml:space="preserve">—</t>
        </is>
      </c>
      <c r="F43" s="30" t="inlineStr">
        <is>
          <t xml:space="preserve">—</t>
        </is>
      </c>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0</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0</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3">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workbookViewId="0">
      <selection activeCell="E3" sqref="E3"/>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605</v>
      </c>
      <c r="F3" s="16" t="s">
        <v>117</v>
      </c>
      <c r="G3" s="10">
        <f>IFERROR(CHOOSE($J$3,COUNTIF('فحص-حاسب-بكالوريوس'!$I$5:$I$208,$E$3),COUNTIF('فحص-بيانات-بكالوريوس'!$I$5:$I$208,$E$3),COUNTIF('فحص-بيانات-ماجستير'!$I$5:$I$230,$E$3)),0)</f>
        <v>0</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row>
    <row r="6" spans="1:10" x14ac:dyDescent="0.2">
      <c r="A6" s="1" t="str">
        <f>IF($I6="","",1)</f>
        <v/>
      </c>
      <c r="B6" s="2" t="str">
        <f>IF($I6="","",INDEX(CHOOSE($J$3,'فحص-حاسب-بكالوريوس'!$A$5:$A$208,'فحص-بيانات-بكالوريوس'!$A$5:$A$208,'فحص-بيانات-ماجستير'!$A$5:$A$230),$I6)&amp;"")</f>
        <v/>
      </c>
      <c r="C6" s="2" t="str">
        <f>IF($I6="","",INDEX(CHOOSE($J$3,'فحص-حاسب-بكالوريوس'!$F$5:$F$208,'فحص-بيانات-بكالوريوس'!$F$5:$F$208,'فحص-بيانات-ماجستير'!$F$5:$F$230),$I6)&amp;"")</f>
        <v/>
      </c>
      <c r="D6" s="2" t="str">
        <f>IF($I6="","",INDEX(CHOOSE($J$3,'فحص-حاسب-بكالوريوس'!$H$5:$H$208,'فحص-بيانات-بكالوريوس'!$H$5:$H$208,'فحص-بيانات-ماجستير'!$H$5:$H$230),$I6)&amp;"")</f>
        <v/>
      </c>
      <c r="E6" s="2" t="str">
        <f>IF($I6="","",INDEX(CHOOSE($J$3,'فحص-حاسب-بكالوريوس'!$J$5:$J$208,'فحص-بيانات-بكالوريوس'!$J$5:$J$208,'فحص-بيانات-ماجستير'!$J$5:$J$230),$I6)&amp;"")</f>
        <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I6" s="2" t="str">
        <f>IFERROR(MATCH($E$3&amp;"#"&amp;1,CHOOSE($J$3,'فحص-حاسب-بكالوريوس'!$R$5:$R$208,'فحص-بيانات-بكالوريوس'!$R$5:$R$208,'فحص-بيانات-ماجستير'!$R$5:$R$230),0),"")</f>
        <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abSelected="1" topLeftCell="A5" workbookViewId="0">
      <selection activeCell="C13" sqref="C13"/>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inlineStr">
        <is>
          <t>تُتابع في صفحة «وثائق الجودة»، وتُعرض في اجتماعي الأسبوعين 4 و7</t>
        </is>
      </c>
    </row>
    <row r="10" spans="1:6" ht="56" customHeight="1" x14ac:dyDescent="0.2">
      <c r="A10" s="30">
        <v>4</v>
      </c>
      <c r="B10" s="34" t="s">
        <v>160</v>
      </c>
      <c r="C10" s="31" t="s">
        <v>161</v>
      </c>
      <c r="D10" s="40" t="s">
        <v>158</v>
      </c>
      <c r="E10" s="30" t="str">
        <f>'الإعدادات واللجنة'!$B$13</f>
        <v>د. عبير بنت عبدالله راجحي</v>
      </c>
      <c r="F10" s="31" t="inlineStr">
        <is>
          <t>تُتابع في صفحة «وثائق الجودة»، وتُعرض في اجتماعي الأسبوعين 4 و7</t>
        </is>
      </c>
    </row>
    <row r="11" spans="1:6" ht="56" customHeight="1" x14ac:dyDescent="0.2">
      <c r="A11" s="30">
        <v>5</v>
      </c>
      <c r="B11" s="34" t="s">
        <v>163</v>
      </c>
      <c r="C11" s="31" t="s">
        <v>164</v>
      </c>
      <c r="D11" s="40" t="s">
        <v>158</v>
      </c>
      <c r="E11" s="30" t="str">
        <f>'الإعدادات واللجنة'!$B$13</f>
        <v>د. عبير بنت عبدالله راجحي</v>
      </c>
      <c r="F11" s="31" t="inlineStr">
        <is>
          <t>تُتابع في صفحة «وثائق الجودة»، وتُعرض في اجتماعي الأسبوعين 4 و7</t>
        </is>
      </c>
    </row>
    <row r="12" spans="1:6" ht="56" customHeight="1" x14ac:dyDescent="0.2">
      <c r="A12" s="30">
        <v>6</v>
      </c>
      <c r="B12" s="34" t="s">
        <v>101</v>
      </c>
      <c r="C12" s="31" t="s">
        <v>165</v>
      </c>
      <c r="D12" s="40" t="s">
        <v>158</v>
      </c>
      <c r="E12" s="30" t="str">
        <f>'الإعدادات واللجنة'!$B$13</f>
        <v>د. عبير بنت عبدالله راجحي</v>
      </c>
      <c r="F12" s="31" t="inlineStr">
        <is>
          <t>تُتابع في صفحة «وثائق الجودة»، وتُعرض في اجتماعي الأسبوعين 4 و7</t>
        </is>
      </c>
    </row>
    <row r="13" spans="1:6" ht="56" customHeight="1" x14ac:dyDescent="0.2">
      <c r="A13" s="30">
        <v>7</v>
      </c>
      <c r="B13" s="34" t="s">
        <v>166</v>
      </c>
      <c r="C13" s="31" t="s">
        <v>167</v>
      </c>
      <c r="D13" s="40" t="s">
        <v>158</v>
      </c>
      <c r="E13" s="30" t="str">
        <f>'الإعدادات واللجنة'!$B$13</f>
        <v>د. عبير بنت عبدالله راجحي</v>
      </c>
      <c r="F13" s="31" t="inlineStr">
        <is>
          <t>تُتابع في صفحة «وثائق الجودة»، وتُعرض في اجتماعي الأسبوعين 4 و7</t>
        </is>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workbookViewId="0">
      <selection sqref="A1:H1"/>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tabColor rgb="FF8EA9DB"/>
  </sheetPr>
  <dimension ref="A1:R208"/>
  <sheetViews>
    <sheetView rightToLeft="1" workbookViewId="0">
      <pane xSplit="6" ySplit="4" topLeftCell="H5" activePane="bottomRight" state="frozen"/>
      <selection pane="topRight"/>
      <selection pane="bottomLeft"/>
      <selection pane="bottomRight" activeCell="A4" sqref="A4"/>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498</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498</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498</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498</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498</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498</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498</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498</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498</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498</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498</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498</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498</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498</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498</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498</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498</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498</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498</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498</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498</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498</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498</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498</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498</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498</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498</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498</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498</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498</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498</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498</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498</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498</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498</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498</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498</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498</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498</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498</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498</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498</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498</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498</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498</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498</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498</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498</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498</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498</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498</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498</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498</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498</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498</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498</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498</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498</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498</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498</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498</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498</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498</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498</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498</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498</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498</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498</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498</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498</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498</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498</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498</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498</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498</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498</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498</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498</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498</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498</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498</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498</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498</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498</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498</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498</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498</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s">
        <v>498</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s">
        <v>498</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s">
        <v>498</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s">
        <v>498</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s">
        <v>498</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s">
        <v>498</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s">
        <v>498</v>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s">
        <v>498</v>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s">
        <v>498</v>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s">
        <v>498</v>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s">
        <v>498</v>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s">
        <v>498</v>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s">
        <v>498</v>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s">
        <v>498</v>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s">
        <v>498</v>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s">
        <v>498</v>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s">
        <v>498</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s">
        <v>498</v>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s">
        <v>498</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s">
        <v>498</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s">
        <v>498</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s">
        <v>498</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s">
        <v>498</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s">
        <v>498</v>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s">
        <v>498</v>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s">
        <v>498</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s">
        <v>498</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s">
        <v>498</v>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s">
        <v>498</v>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s">
        <v>498</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s">
        <v>498</v>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s">
        <v>498</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s">
        <v>498</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s">
        <v>498</v>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s">
        <v>498</v>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s">
        <v>498</v>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s">
        <v>498</v>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s">
        <v>498</v>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s">
        <v>498</v>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s">
        <v>498</v>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s">
        <v>498</v>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s">
        <v>498</v>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s">
        <v>498</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s">
        <v>498</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s">
        <v>498</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s">
        <v>498</v>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s">
        <v>498</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s">
        <v>498</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s">
        <v>498</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s">
        <v>498</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s">
        <v>498</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s">
        <v>498</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s">
        <v>498</v>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s">
        <v>498</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s">
        <v>498</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s">
        <v>498</v>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s">
        <v>498</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s">
        <v>498</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s">
        <v>498</v>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s">
        <v>498</v>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s">
        <v>498</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s">
        <v>498</v>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s">
        <v>498</v>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s">
        <v>498</v>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s">
        <v>498</v>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s">
        <v>498</v>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s">
        <v>498</v>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s">
        <v>498</v>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s">
        <v>498</v>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s">
        <v>498</v>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s">
        <v>498</v>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s">
        <v>498</v>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s">
        <v>498</v>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s">
        <v>498</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s">
        <v>498</v>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s">
        <v>498</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s">
        <v>498</v>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s">
        <v>498</v>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s">
        <v>498</v>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s">
        <v>498</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s">
        <v>498</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s">
        <v>498</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s">
        <v>498</v>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s">
        <v>498</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s">
        <v>498</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s">
        <v>498</v>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s">
        <v>498</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s">
        <v>498</v>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s">
        <v>498</v>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s">
        <v>498</v>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s">
        <v>498</v>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s">
        <v>498</v>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s">
        <v>498</v>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s">
        <v>498</v>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s">
        <v>498</v>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s">
        <v>498</v>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s">
        <v>498</v>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s">
        <v>498</v>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s">
        <v>498</v>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s">
        <v>498</v>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s">
        <v>498</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s">
        <v>498</v>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s">
        <v>498</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s">
        <v>498</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s">
        <v>498</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s">
        <v>498</v>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s">
        <v>503</v>
      </c>
      <c r="G198" s="69" t="s">
        <v>504</v>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s">
        <v>505</v>
      </c>
      <c r="G199" s="70" t="s">
        <v>504</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s">
        <v>506</v>
      </c>
      <c r="G200" s="70" t="s">
        <v>504</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s">
        <v>509</v>
      </c>
      <c r="G201" s="69" t="s">
        <v>504</v>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s">
        <v>510</v>
      </c>
      <c r="G202" s="70" t="s">
        <v>504</v>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s">
        <v>511</v>
      </c>
      <c r="G203" s="70" t="s">
        <v>504</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s">
        <v>514</v>
      </c>
      <c r="G204" s="69" t="s">
        <v>504</v>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s">
        <v>515</v>
      </c>
      <c r="G205" s="70" t="s">
        <v>504</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s">
        <v>516</v>
      </c>
      <c r="G206" s="70" t="s">
        <v>504</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s">
        <v>519</v>
      </c>
      <c r="G207" s="69" t="s">
        <v>504</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s">
        <v>520</v>
      </c>
      <c r="G208" s="70" t="s">
        <v>504</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s">
        <v>521</v>
      </c>
      <c r="G209" s="70" t="s">
        <v>504</v>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s">
        <v>524</v>
      </c>
      <c r="G210" s="69" t="s">
        <v>504</v>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s">
        <v>525</v>
      </c>
      <c r="G211" s="70" t="s">
        <v>504</v>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s">
        <v>526</v>
      </c>
      <c r="G212" s="70" t="s">
        <v>504</v>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s">
        <v>529</v>
      </c>
      <c r="G213" s="69" t="s">
        <v>504</v>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s">
        <v>530</v>
      </c>
      <c r="G214" s="70" t="s">
        <v>504</v>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s">
        <v>531</v>
      </c>
      <c r="G215" s="70" t="s">
        <v>504</v>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s">
        <v>534</v>
      </c>
      <c r="G216" s="69" t="s">
        <v>504</v>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s">
        <v>535</v>
      </c>
      <c r="G217" s="70" t="s">
        <v>504</v>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s">
        <v>536</v>
      </c>
      <c r="G218" s="70" t="s">
        <v>504</v>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s">
        <v>539</v>
      </c>
      <c r="G219" s="69" t="s">
        <v>504</v>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s">
        <v>540</v>
      </c>
      <c r="G220" s="70" t="s">
        <v>504</v>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s">
        <v>541</v>
      </c>
      <c r="G221" s="70" t="s">
        <v>504</v>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s">
        <v>544</v>
      </c>
      <c r="G222" s="69" t="s">
        <v>504</v>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s">
        <v>545</v>
      </c>
      <c r="G223" s="70" t="s">
        <v>504</v>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s">
        <v>546</v>
      </c>
      <c r="G224" s="70" t="s">
        <v>504</v>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s">
        <v>549</v>
      </c>
      <c r="G225" s="69" t="s">
        <v>504</v>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s">
        <v>550</v>
      </c>
      <c r="G226" s="70" t="s">
        <v>504</v>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s">
        <v>551</v>
      </c>
      <c r="G227" s="70" t="s">
        <v>504</v>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s">
        <v>554</v>
      </c>
      <c r="G228" s="69" t="s">
        <v>504</v>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s">
        <v>555</v>
      </c>
      <c r="G229" s="70" t="s">
        <v>504</v>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s">
        <v>556</v>
      </c>
      <c r="G230" s="70" t="s">
        <v>504</v>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10.xml><?xml version="1.0" encoding="utf-8"?>
<worksheet xmlns="http://schemas.openxmlformats.org/spreadsheetml/2006/main" xmlns:r="http://schemas.openxmlformats.org/officeDocument/2006/relationships">
  <sheetPr>
    <tabColor rgb="FFC00000"/>
  </sheetPr>
  <dimension ref="A1:H63"/>
  <sheetViews>
    <sheetView rightToLeft="1" workbookViewId="0">
      <selection activeCell="C7" sqref="C7"/>
    </sheetView>
  </sheetViews>
  <sheetFormatPr defaultRowHeight="15"/>
  <cols>
    <col min="1" max="1" width="40" customWidth="1"/>
    <col min="2" max="2" width="13" customWidth="1"/>
    <col min="3" max="4" width="10" customWidth="1"/>
    <col min="5" max="5" width="10" customWidth="1"/>
    <col min="6" max="6" width="14" customWidth="1"/>
    <col min="7" max="7" width="36" customWidth="1"/>
    <col min="8" max="8" width="28" customWidth="1"/>
  </cols>
  <sheetData>
    <row r="1" spans="1:8" ht="30" customHeight="1">
      <c r="A1" s="98" t="str">
        <f>"متابعة وثائق الجودة – المسؤولة: "&amp;'الإعدادات واللجنة'!$B$13</f>
        <v>متابعة وثائق الجودة</v>
      </c>
    </row>
    <row r="2" spans="1:8" ht="44" customHeight="1">
      <c r="A2" s="99" t="inlineStr">
        <is>
          <t xml:space="preserve">اكتبي في «المطلوب» عدد الوثائق المطلوبة (مثل عدد المقررات)، وفي «تم» عدد المنجز منها، وضعي الرابط. اكتبي 0 في «المطلوب» إذا كانت الوثيقة لا تنطبق على البرنامج. النسبة والحالة تُحسبان تلقائياً.</t>
        </is>
      </c>
    </row>
    <row r="3" spans="1:8" ht="28" customHeight="1">
      <c r="A3" s="29" t="inlineStr">
        <is>
          <t xml:space="preserve">نسبة الإنجاز الكلية (البرامج الثلاثة)</t>
        </is>
      </c>
      <c r="B3" s="29"/>
      <c r="C3" s="29"/>
      <c r="D3" s="29"/>
      <c r="E3" s="35">
        <f>IFERROR(AVERAGE(E23,E43,E63),0)</f>
        <v>0</v>
      </c>
    </row>
    <row r="5" spans="1:8" ht="26" customHeight="1">
      <c r="A5" s="97" t="str">
        <f>'الإعدادات واللجنة'!$B$5</f>
        <v/>
      </c>
      <c r="B5" s="97"/>
      <c r="C5" s="97"/>
      <c r="D5" s="97"/>
      <c r="E5" s="97"/>
      <c r="F5" s="97"/>
      <c r="G5" s="97"/>
      <c r="H5" s="97"/>
    </row>
    <row r="6" spans="1:8" ht="28" customHeight="1">
      <c r="A6" s="29" t="inlineStr">
        <is>
          <t xml:space="preserve">الوثيقة</t>
        </is>
      </c>
      <c r="B6" s="29" t="inlineStr">
        <is>
          <t xml:space="preserve">العام</t>
        </is>
      </c>
      <c r="C6" s="29" t="inlineStr">
        <is>
          <t xml:space="preserve">المطلوب</t>
        </is>
      </c>
      <c r="D6" s="29" t="inlineStr">
        <is>
          <t xml:space="preserve">تم</t>
        </is>
      </c>
      <c r="E6" s="29" t="inlineStr">
        <is>
          <t xml:space="preserve">النسبة</t>
        </is>
      </c>
      <c r="F6" s="29" t="inlineStr">
        <is>
          <t xml:space="preserve">الحالة</t>
        </is>
      </c>
      <c r="G6" s="29" t="inlineStr">
        <is>
          <t xml:space="preserve">رابط الوثيقة</t>
        </is>
      </c>
      <c r="H6" s="29" t="inlineStr">
        <is>
          <t xml:space="preserve">ملاحظات</t>
        </is>
      </c>
    </row>
    <row r="7" spans="1:8" ht="24" customHeight="1">
      <c r="A7" s="31" t="inlineStr">
        <is>
          <t xml:space="preserve">توصيف البرنامج (TP-151)</t>
        </is>
      </c>
      <c r="B7" s="30" t="inlineStr">
        <is>
          <t xml:space="preserve">مرة واحدة</t>
        </is>
      </c>
      <c r="C7" s="38">
        <v>1</v>
      </c>
      <c r="D7" s="38"/>
      <c r="E7" s="35">
        <f>IF(OR(C7="",C7=0),"",MIN(N(D7)/C7,1))</f>
        <v/>
      </c>
      <c r="F7" s="30" t="str">
        <f>IF(C7="","لم يُحدد",IF(C7=0,"لا ينطبق",IF(N(D7)&gt;=C7,"مكتمل",IF(N(D7)&gt;0,"قيد التحديث","لم يبدأ"))))</f>
        <v/>
      </c>
      <c r="G7" s="38"/>
      <c r="H7" s="38"/>
    </row>
    <row r="8" spans="1:8" ht="24" customHeight="1">
      <c r="A8" s="31" t="inlineStr">
        <is>
          <t xml:space="preserve">توصيفات المقررات (TP-153)</t>
        </is>
      </c>
      <c r="B8" s="30" t="inlineStr">
        <is>
          <t xml:space="preserve">مرة واحدة</t>
        </is>
      </c>
      <c r="C8" s="38"/>
      <c r="D8" s="38"/>
      <c r="E8" s="35">
        <f>IF(OR(C8="",C8=0),"",MIN(N(D8)/C8,1))</f>
        <v/>
      </c>
      <c r="F8" s="30" t="str">
        <f>IF(C8="","لم يُحدد",IF(C8=0,"لا ينطبق",IF(N(D8)&gt;=C8,"مكتمل",IF(N(D8)&gt;0,"قيد التحديث","لم يبدأ"))))</f>
        <v/>
      </c>
      <c r="G8" s="38"/>
      <c r="H8" s="38"/>
    </row>
    <row r="9" spans="1:8" ht="24" customHeight="1">
      <c r="A9" s="31" t="inlineStr">
        <is>
          <t xml:space="preserve">توصيف التدريب العملي (TP-155)</t>
        </is>
      </c>
      <c r="B9" s="30" t="inlineStr">
        <is>
          <t xml:space="preserve">مرة واحدة</t>
        </is>
      </c>
      <c r="C9" s="38"/>
      <c r="D9" s="38"/>
      <c r="E9" s="35">
        <f>IF(OR(C9="",C9=0),"",MIN(N(D9)/C9,1))</f>
        <v/>
      </c>
      <c r="F9" s="30" t="str">
        <f>IF(C9="","لم يُحدد",IF(C9=0,"لا ينطبق",IF(N(D9)&gt;=C9,"مكتمل",IF(N(D9)&gt;0,"قيد التحديث","لم يبدأ"))))</f>
        <v/>
      </c>
      <c r="G9" s="38"/>
      <c r="H9" s="38"/>
    </row>
    <row r="10" spans="1:8" ht="24" customHeight="1">
      <c r="A10" s="31" t="inlineStr">
        <is>
          <t xml:space="preserve">تقرير الاتساق مع الإطار الوطني (TP-150)</t>
        </is>
      </c>
      <c r="B10" s="30" t="inlineStr">
        <is>
          <t xml:space="preserve">مرة واحدة</t>
        </is>
      </c>
      <c r="C10" s="38">
        <v>1</v>
      </c>
      <c r="D10" s="38"/>
      <c r="E10" s="35">
        <f>IF(OR(C10="",C10=0),"",MIN(N(D10)/C10,1))</f>
        <v/>
      </c>
      <c r="F10" s="30" t="str">
        <f>IF(C10="","لم يُحدد",IF(C10=0,"لا ينطبق",IF(N(D10)&gt;=C10,"مكتمل",IF(N(D10)&gt;0,"قيد التحديث","لم يبدأ"))))</f>
        <v/>
      </c>
      <c r="G10" s="38"/>
      <c r="H10" s="38"/>
    </row>
    <row r="11" spans="1:8" ht="24" customHeight="1">
      <c r="A11" s="31" t="inlineStr">
        <is>
          <t xml:space="preserve">خطة تقييم نواتج التعلم</t>
        </is>
      </c>
      <c r="B11" s="30" t="inlineStr">
        <is>
          <t xml:space="preserve">مرة واحدة</t>
        </is>
      </c>
      <c r="C11" s="38">
        <v>1</v>
      </c>
      <c r="D11" s="38"/>
      <c r="E11" s="35">
        <f>IF(OR(C11="",C11=0),"",MIN(N(D11)/C11,1))</f>
        <v/>
      </c>
      <c r="F11" s="30" t="str">
        <f>IF(C11="","لم يُحدد",IF(C11=0,"لا ينطبق",IF(N(D11)&gt;=C11,"مكتمل",IF(N(D11)&gt;0,"قيد التحديث","لم يبدأ"))))</f>
        <v/>
      </c>
      <c r="G11" s="38"/>
      <c r="H11" s="38"/>
    </row>
    <row r="12" spans="1:8" ht="24" customHeight="1">
      <c r="A12" s="31" t="inlineStr">
        <is>
          <t xml:space="preserve">التقرير السنوي للبرنامج (TP-152)</t>
        </is>
      </c>
      <c r="B12" s="30" t="inlineStr">
        <is>
          <t xml:space="preserve">2024-2025</t>
        </is>
      </c>
      <c r="C12" s="38">
        <v>1</v>
      </c>
      <c r="D12" s="38"/>
      <c r="E12" s="35">
        <f>IF(OR(C12="",C12=0),"",MIN(N(D12)/C12,1))</f>
        <v/>
      </c>
      <c r="F12" s="30" t="str">
        <f>IF(C12="","لم يُحدد",IF(C12=0,"لا ينطبق",IF(N(D12)&gt;=C12,"مكتمل",IF(N(D12)&gt;0,"قيد التحديث","لم يبدأ"))))</f>
        <v/>
      </c>
      <c r="G12" s="38"/>
      <c r="H12" s="38"/>
    </row>
    <row r="13" spans="1:8" ht="24" customHeight="1">
      <c r="A13" s="31" t="inlineStr">
        <is>
          <t xml:space="preserve">التقرير السنوي للبرنامج (TP-152)</t>
        </is>
      </c>
      <c r="B13" s="30" t="inlineStr">
        <is>
          <t xml:space="preserve">2025-2026</t>
        </is>
      </c>
      <c r="C13" s="38">
        <v>1</v>
      </c>
      <c r="D13" s="38"/>
      <c r="E13" s="35">
        <f>IF(OR(C13="",C13=0),"",MIN(N(D13)/C13,1))</f>
        <v/>
      </c>
      <c r="F13" s="30" t="str">
        <f>IF(C13="","لم يُحدد",IF(C13=0,"لا ينطبق",IF(N(D13)&gt;=C13,"مكتمل",IF(N(D13)&gt;0,"قيد التحديث","لم يبدأ"))))</f>
        <v/>
      </c>
      <c r="G13" s="38"/>
      <c r="H13" s="38"/>
    </row>
    <row r="14" spans="1:8" ht="24" customHeight="1">
      <c r="A14" s="31" t="inlineStr">
        <is>
          <t xml:space="preserve">تقارير المقررات (TP-154)</t>
        </is>
      </c>
      <c r="B14" s="30" t="inlineStr">
        <is>
          <t xml:space="preserve">2024-2025</t>
        </is>
      </c>
      <c r="C14" s="38"/>
      <c r="D14" s="38"/>
      <c r="E14" s="35">
        <f>IF(OR(C14="",C14=0),"",MIN(N(D14)/C14,1))</f>
        <v/>
      </c>
      <c r="F14" s="30" t="str">
        <f>IF(C14="","لم يُحدد",IF(C14=0,"لا ينطبق",IF(N(D14)&gt;=C14,"مكتمل",IF(N(D14)&gt;0,"قيد التحديث","لم يبدأ"))))</f>
        <v/>
      </c>
      <c r="G14" s="38"/>
      <c r="H14" s="38"/>
    </row>
    <row r="15" spans="1:8" ht="24" customHeight="1">
      <c r="A15" s="31" t="inlineStr">
        <is>
          <t xml:space="preserve">تقارير المقررات (TP-154)</t>
        </is>
      </c>
      <c r="B15" s="30" t="inlineStr">
        <is>
          <t xml:space="preserve">2025-2026</t>
        </is>
      </c>
      <c r="C15" s="38"/>
      <c r="D15" s="38"/>
      <c r="E15" s="35">
        <f>IF(OR(C15="",C15=0),"",MIN(N(D15)/C15,1))</f>
        <v/>
      </c>
      <c r="F15" s="30" t="str">
        <f>IF(C15="","لم يُحدد",IF(C15=0,"لا ينطبق",IF(N(D15)&gt;=C15,"مكتمل",IF(N(D15)&gt;0,"قيد التحديث","لم يبدأ"))))</f>
        <v/>
      </c>
      <c r="G15" s="38"/>
      <c r="H15" s="38"/>
    </row>
    <row r="16" spans="1:8" ht="24" customHeight="1">
      <c r="A16" s="31" t="inlineStr">
        <is>
          <t xml:space="preserve">تقرير التدريب العملي (TP-156)</t>
        </is>
      </c>
      <c r="B16" s="30" t="inlineStr">
        <is>
          <t xml:space="preserve">2024-2025</t>
        </is>
      </c>
      <c r="C16" s="38"/>
      <c r="D16" s="38"/>
      <c r="E16" s="35">
        <f>IF(OR(C16="",C16=0),"",MIN(N(D16)/C16,1))</f>
        <v/>
      </c>
      <c r="F16" s="30" t="str">
        <f>IF(C16="","لم يُحدد",IF(C16=0,"لا ينطبق",IF(N(D16)&gt;=C16,"مكتمل",IF(N(D16)&gt;0,"قيد التحديث","لم يبدأ"))))</f>
        <v/>
      </c>
      <c r="G16" s="38"/>
      <c r="H16" s="38"/>
    </row>
    <row r="17" spans="1:8" ht="24" customHeight="1">
      <c r="A17" s="31" t="inlineStr">
        <is>
          <t xml:space="preserve">تقرير التدريب العملي (TP-156)</t>
        </is>
      </c>
      <c r="B17" s="30" t="inlineStr">
        <is>
          <t xml:space="preserve">2025-2026</t>
        </is>
      </c>
      <c r="C17" s="38"/>
      <c r="D17" s="38"/>
      <c r="E17" s="35">
        <f>IF(OR(C17="",C17=0),"",MIN(N(D17)/C17,1))</f>
        <v/>
      </c>
      <c r="F17" s="30" t="str">
        <f>IF(C17="","لم يُحدد",IF(C17=0,"لا ينطبق",IF(N(D17)&gt;=C17,"مكتمل",IF(N(D17)&gt;0,"قيد التحديث","لم يبدأ"))))</f>
        <v/>
      </c>
      <c r="G17" s="38"/>
      <c r="H17" s="38"/>
    </row>
    <row r="18" spans="1:8" ht="24" customHeight="1">
      <c r="A18" s="31" t="inlineStr">
        <is>
          <t xml:space="preserve">تقرير قياس نواتج التعلم</t>
        </is>
      </c>
      <c r="B18" s="30" t="inlineStr">
        <is>
          <t xml:space="preserve">2024-2025</t>
        </is>
      </c>
      <c r="C18" s="38">
        <v>1</v>
      </c>
      <c r="D18" s="38"/>
      <c r="E18" s="35">
        <f>IF(OR(C18="",C18=0),"",MIN(N(D18)/C18,1))</f>
        <v/>
      </c>
      <c r="F18" s="30" t="str">
        <f>IF(C18="","لم يُحدد",IF(C18=0,"لا ينطبق",IF(N(D18)&gt;=C18,"مكتمل",IF(N(D18)&gt;0,"قيد التحديث","لم يبدأ"))))</f>
        <v/>
      </c>
      <c r="G18" s="38"/>
      <c r="H18" s="38"/>
    </row>
    <row r="19" spans="1:8" ht="24" customHeight="1">
      <c r="A19" s="31" t="inlineStr">
        <is>
          <t xml:space="preserve">تقرير قياس نواتج التعلم</t>
        </is>
      </c>
      <c r="B19" s="30" t="inlineStr">
        <is>
          <t xml:space="preserve">2025-2026</t>
        </is>
      </c>
      <c r="C19" s="38">
        <v>1</v>
      </c>
      <c r="D19" s="38"/>
      <c r="E19" s="35">
        <f>IF(OR(C19="",C19=0),"",MIN(N(D19)/C19,1))</f>
        <v/>
      </c>
      <c r="F19" s="30" t="str">
        <f>IF(C19="","لم يُحدد",IF(C19=0,"لا ينطبق",IF(N(D19)&gt;=C19,"مكتمل",IF(N(D19)&gt;0,"قيد التحديث","لم يبدأ"))))</f>
        <v/>
      </c>
      <c r="G19" s="38"/>
      <c r="H19" s="38"/>
    </row>
    <row r="20" spans="1:8" ht="24" customHeight="1">
      <c r="A20" s="31" t="inlineStr">
        <is>
          <t xml:space="preserve">مؤشرات الأداء مع المقارنة المرجعية</t>
        </is>
      </c>
      <c r="B20" s="30" t="inlineStr">
        <is>
          <t xml:space="preserve">2023-2024</t>
        </is>
      </c>
      <c r="C20" s="38">
        <v>1</v>
      </c>
      <c r="D20" s="38"/>
      <c r="E20" s="35">
        <f>IF(OR(C20="",C20=0),"",MIN(N(D20)/C20,1))</f>
        <v/>
      </c>
      <c r="F20" s="30" t="str">
        <f>IF(C20="","لم يُحدد",IF(C20=0,"لا ينطبق",IF(N(D20)&gt;=C20,"مكتمل",IF(N(D20)&gt;0,"قيد التحديث","لم يبدأ"))))</f>
        <v/>
      </c>
      <c r="G20" s="38"/>
      <c r="H20" s="38"/>
    </row>
    <row r="21" spans="1:8" ht="24" customHeight="1">
      <c r="A21" s="31" t="inlineStr">
        <is>
          <t xml:space="preserve">مؤشرات الأداء مع المقارنة المرجعية</t>
        </is>
      </c>
      <c r="B21" s="30" t="inlineStr">
        <is>
          <t xml:space="preserve">2024-2025</t>
        </is>
      </c>
      <c r="C21" s="38">
        <v>1</v>
      </c>
      <c r="D21" s="38"/>
      <c r="E21" s="35">
        <f>IF(OR(C21="",C21=0),"",MIN(N(D21)/C21,1))</f>
        <v/>
      </c>
      <c r="F21" s="30" t="str">
        <f>IF(C21="","لم يُحدد",IF(C21=0,"لا ينطبق",IF(N(D21)&gt;=C21,"مكتمل",IF(N(D21)&gt;0,"قيد التحديث","لم يبدأ"))))</f>
        <v/>
      </c>
      <c r="G21" s="38"/>
      <c r="H21" s="38"/>
    </row>
    <row r="22" spans="1:8" ht="24" customHeight="1">
      <c r="A22" s="31" t="inlineStr">
        <is>
          <t xml:space="preserve">مؤشرات الأداء مع المقارنة المرجعية</t>
        </is>
      </c>
      <c r="B22" s="30" t="inlineStr">
        <is>
          <t xml:space="preserve">2025-2026</t>
        </is>
      </c>
      <c r="C22" s="38">
        <v>1</v>
      </c>
      <c r="D22" s="38"/>
      <c r="E22" s="35">
        <f>IF(OR(C22="",C22=0),"",MIN(N(D22)/C22,1))</f>
        <v/>
      </c>
      <c r="F22" s="30" t="str">
        <f>IF(C22="","لم يُحدد",IF(C22=0,"لا ينطبق",IF(N(D22)&gt;=C22,"مكتمل",IF(N(D22)&gt;0,"قيد التحديث","لم يبدأ"))))</f>
        <v/>
      </c>
      <c r="G22" s="38"/>
      <c r="H22" s="38"/>
    </row>
    <row r="23" spans="1:8" ht="26" customHeight="1">
      <c r="A23" s="29" t="inlineStr">
        <is>
          <t xml:space="preserve">نسبة إنجاز البرنامج</t>
        </is>
      </c>
      <c r="B23" s="29"/>
      <c r="C23" s="29"/>
      <c r="D23" s="29"/>
      <c r="E23" s="35">
        <f>IFERROR(AVERAGE(E7:E22),0)</f>
        <v>0</v>
      </c>
    </row>
    <row r="25" spans="1:8" ht="26" customHeight="1">
      <c r="A25" s="97" t="str">
        <f>'الإعدادات واللجنة'!$B$6</f>
        <v/>
      </c>
      <c r="B25" s="97"/>
      <c r="C25" s="97"/>
      <c r="D25" s="97"/>
      <c r="E25" s="97"/>
      <c r="F25" s="97"/>
      <c r="G25" s="97"/>
      <c r="H25" s="97"/>
    </row>
    <row r="26" spans="1:8" ht="28" customHeight="1">
      <c r="A26" s="29" t="inlineStr">
        <is>
          <t xml:space="preserve">الوثيقة</t>
        </is>
      </c>
      <c r="B26" s="29" t="inlineStr">
        <is>
          <t xml:space="preserve">العام</t>
        </is>
      </c>
      <c r="C26" s="29" t="inlineStr">
        <is>
          <t xml:space="preserve">المطلوب</t>
        </is>
      </c>
      <c r="D26" s="29" t="inlineStr">
        <is>
          <t xml:space="preserve">تم</t>
        </is>
      </c>
      <c r="E26" s="29" t="inlineStr">
        <is>
          <t xml:space="preserve">النسبة</t>
        </is>
      </c>
      <c r="F26" s="29" t="inlineStr">
        <is>
          <t xml:space="preserve">الحالة</t>
        </is>
      </c>
      <c r="G26" s="29" t="inlineStr">
        <is>
          <t xml:space="preserve">رابط الوثيقة</t>
        </is>
      </c>
      <c r="H26" s="29" t="inlineStr">
        <is>
          <t xml:space="preserve">ملاحظات</t>
        </is>
      </c>
    </row>
    <row r="27" spans="1:8" ht="24" customHeight="1">
      <c r="A27" s="31" t="inlineStr">
        <is>
          <t xml:space="preserve">توصيف البرنامج (TP-151)</t>
        </is>
      </c>
      <c r="B27" s="30" t="inlineStr">
        <is>
          <t xml:space="preserve">مرة واحدة</t>
        </is>
      </c>
      <c r="C27" s="38">
        <v>1</v>
      </c>
      <c r="D27" s="38"/>
      <c r="E27" s="35">
        <f>IF(OR(C27="",C27=0),"",MIN(N(D27)/C27,1))</f>
        <v/>
      </c>
      <c r="F27" s="30" t="str">
        <f>IF(C27="","لم يُحدد",IF(C27=0,"لا ينطبق",IF(N(D27)&gt;=C27,"مكتمل",IF(N(D27)&gt;0,"قيد التحديث","لم يبدأ"))))</f>
        <v/>
      </c>
      <c r="G27" s="38"/>
      <c r="H27" s="38"/>
    </row>
    <row r="28" spans="1:8" ht="24" customHeight="1">
      <c r="A28" s="31" t="inlineStr">
        <is>
          <t xml:space="preserve">توصيفات المقررات (TP-153)</t>
        </is>
      </c>
      <c r="B28" s="30" t="inlineStr">
        <is>
          <t xml:space="preserve">مرة واحدة</t>
        </is>
      </c>
      <c r="C28" s="38"/>
      <c r="D28" s="38"/>
      <c r="E28" s="35">
        <f>IF(OR(C28="",C28=0),"",MIN(N(D28)/C28,1))</f>
        <v/>
      </c>
      <c r="F28" s="30" t="str">
        <f>IF(C28="","لم يُحدد",IF(C28=0,"لا ينطبق",IF(N(D28)&gt;=C28,"مكتمل",IF(N(D28)&gt;0,"قيد التحديث","لم يبدأ"))))</f>
        <v/>
      </c>
      <c r="G28" s="38"/>
      <c r="H28" s="38"/>
    </row>
    <row r="29" spans="1:8" ht="24" customHeight="1">
      <c r="A29" s="31" t="inlineStr">
        <is>
          <t xml:space="preserve">توصيف التدريب العملي (TP-155)</t>
        </is>
      </c>
      <c r="B29" s="30" t="inlineStr">
        <is>
          <t xml:space="preserve">مرة واحدة</t>
        </is>
      </c>
      <c r="C29" s="38"/>
      <c r="D29" s="38"/>
      <c r="E29" s="35">
        <f>IF(OR(C29="",C29=0),"",MIN(N(D29)/C29,1))</f>
        <v/>
      </c>
      <c r="F29" s="30" t="str">
        <f>IF(C29="","لم يُحدد",IF(C29=0,"لا ينطبق",IF(N(D29)&gt;=C29,"مكتمل",IF(N(D29)&gt;0,"قيد التحديث","لم يبدأ"))))</f>
        <v/>
      </c>
      <c r="G29" s="38"/>
      <c r="H29" s="38"/>
    </row>
    <row r="30" spans="1:8" ht="24" customHeight="1">
      <c r="A30" s="31" t="inlineStr">
        <is>
          <t xml:space="preserve">تقرير الاتساق مع الإطار الوطني (TP-150)</t>
        </is>
      </c>
      <c r="B30" s="30" t="inlineStr">
        <is>
          <t xml:space="preserve">مرة واحدة</t>
        </is>
      </c>
      <c r="C30" s="38">
        <v>1</v>
      </c>
      <c r="D30" s="38"/>
      <c r="E30" s="35">
        <f>IF(OR(C30="",C30=0),"",MIN(N(D30)/C30,1))</f>
        <v/>
      </c>
      <c r="F30" s="30" t="str">
        <f>IF(C30="","لم يُحدد",IF(C30=0,"لا ينطبق",IF(N(D30)&gt;=C30,"مكتمل",IF(N(D30)&gt;0,"قيد التحديث","لم يبدأ"))))</f>
        <v/>
      </c>
      <c r="G30" s="38"/>
      <c r="H30" s="38"/>
    </row>
    <row r="31" spans="1:8" ht="24" customHeight="1">
      <c r="A31" s="31" t="inlineStr">
        <is>
          <t xml:space="preserve">خطة تقييم نواتج التعلم</t>
        </is>
      </c>
      <c r="B31" s="30" t="inlineStr">
        <is>
          <t xml:space="preserve">مرة واحدة</t>
        </is>
      </c>
      <c r="C31" s="38">
        <v>1</v>
      </c>
      <c r="D31" s="38"/>
      <c r="E31" s="35">
        <f>IF(OR(C31="",C31=0),"",MIN(N(D31)/C31,1))</f>
        <v/>
      </c>
      <c r="F31" s="30" t="str">
        <f>IF(C31="","لم يُحدد",IF(C31=0,"لا ينطبق",IF(N(D31)&gt;=C31,"مكتمل",IF(N(D31)&gt;0,"قيد التحديث","لم يبدأ"))))</f>
        <v/>
      </c>
      <c r="G31" s="38"/>
      <c r="H31" s="38"/>
    </row>
    <row r="32" spans="1:8" ht="24" customHeight="1">
      <c r="A32" s="31" t="inlineStr">
        <is>
          <t xml:space="preserve">التقرير السنوي للبرنامج (TP-152)</t>
        </is>
      </c>
      <c r="B32" s="30" t="inlineStr">
        <is>
          <t xml:space="preserve">2024-2025</t>
        </is>
      </c>
      <c r="C32" s="38">
        <v>1</v>
      </c>
      <c r="D32" s="38"/>
      <c r="E32" s="35">
        <f>IF(OR(C32="",C32=0),"",MIN(N(D32)/C32,1))</f>
        <v/>
      </c>
      <c r="F32" s="30" t="str">
        <f>IF(C32="","لم يُحدد",IF(C32=0,"لا ينطبق",IF(N(D32)&gt;=C32,"مكتمل",IF(N(D32)&gt;0,"قيد التحديث","لم يبدأ"))))</f>
        <v/>
      </c>
      <c r="G32" s="38"/>
      <c r="H32" s="38"/>
    </row>
    <row r="33" spans="1:8" ht="24" customHeight="1">
      <c r="A33" s="31" t="inlineStr">
        <is>
          <t xml:space="preserve">التقرير السنوي للبرنامج (TP-152)</t>
        </is>
      </c>
      <c r="B33" s="30" t="inlineStr">
        <is>
          <t xml:space="preserve">2025-2026</t>
        </is>
      </c>
      <c r="C33" s="38">
        <v>1</v>
      </c>
      <c r="D33" s="38"/>
      <c r="E33" s="35">
        <f>IF(OR(C33="",C33=0),"",MIN(N(D33)/C33,1))</f>
        <v/>
      </c>
      <c r="F33" s="30" t="str">
        <f>IF(C33="","لم يُحدد",IF(C33=0,"لا ينطبق",IF(N(D33)&gt;=C33,"مكتمل",IF(N(D33)&gt;0,"قيد التحديث","لم يبدأ"))))</f>
        <v/>
      </c>
      <c r="G33" s="38"/>
      <c r="H33" s="38"/>
    </row>
    <row r="34" spans="1:8" ht="24" customHeight="1">
      <c r="A34" s="31" t="inlineStr">
        <is>
          <t xml:space="preserve">تقارير المقررات (TP-154)</t>
        </is>
      </c>
      <c r="B34" s="30" t="inlineStr">
        <is>
          <t xml:space="preserve">2024-2025</t>
        </is>
      </c>
      <c r="C34" s="38"/>
      <c r="D34" s="38"/>
      <c r="E34" s="35">
        <f>IF(OR(C34="",C34=0),"",MIN(N(D34)/C34,1))</f>
        <v/>
      </c>
      <c r="F34" s="30" t="str">
        <f>IF(C34="","لم يُحدد",IF(C34=0,"لا ينطبق",IF(N(D34)&gt;=C34,"مكتمل",IF(N(D34)&gt;0,"قيد التحديث","لم يبدأ"))))</f>
        <v/>
      </c>
      <c r="G34" s="38"/>
      <c r="H34" s="38"/>
    </row>
    <row r="35" spans="1:8" ht="24" customHeight="1">
      <c r="A35" s="31" t="inlineStr">
        <is>
          <t xml:space="preserve">تقارير المقررات (TP-154)</t>
        </is>
      </c>
      <c r="B35" s="30" t="inlineStr">
        <is>
          <t xml:space="preserve">2025-2026</t>
        </is>
      </c>
      <c r="C35" s="38"/>
      <c r="D35" s="38"/>
      <c r="E35" s="35">
        <f>IF(OR(C35="",C35=0),"",MIN(N(D35)/C35,1))</f>
        <v/>
      </c>
      <c r="F35" s="30" t="str">
        <f>IF(C35="","لم يُحدد",IF(C35=0,"لا ينطبق",IF(N(D35)&gt;=C35,"مكتمل",IF(N(D35)&gt;0,"قيد التحديث","لم يبدأ"))))</f>
        <v/>
      </c>
      <c r="G35" s="38"/>
      <c r="H35" s="38"/>
    </row>
    <row r="36" spans="1:8" ht="24" customHeight="1">
      <c r="A36" s="31" t="inlineStr">
        <is>
          <t xml:space="preserve">تقرير التدريب العملي (TP-156)</t>
        </is>
      </c>
      <c r="B36" s="30" t="inlineStr">
        <is>
          <t xml:space="preserve">2024-2025</t>
        </is>
      </c>
      <c r="C36" s="38"/>
      <c r="D36" s="38"/>
      <c r="E36" s="35">
        <f>IF(OR(C36="",C36=0),"",MIN(N(D36)/C36,1))</f>
        <v/>
      </c>
      <c r="F36" s="30" t="str">
        <f>IF(C36="","لم يُحدد",IF(C36=0,"لا ينطبق",IF(N(D36)&gt;=C36,"مكتمل",IF(N(D36)&gt;0,"قيد التحديث","لم يبدأ"))))</f>
        <v/>
      </c>
      <c r="G36" s="38"/>
      <c r="H36" s="38"/>
    </row>
    <row r="37" spans="1:8" ht="24" customHeight="1">
      <c r="A37" s="31" t="inlineStr">
        <is>
          <t xml:space="preserve">تقرير التدريب العملي (TP-156)</t>
        </is>
      </c>
      <c r="B37" s="30" t="inlineStr">
        <is>
          <t xml:space="preserve">2025-2026</t>
        </is>
      </c>
      <c r="C37" s="38"/>
      <c r="D37" s="38"/>
      <c r="E37" s="35">
        <f>IF(OR(C37="",C37=0),"",MIN(N(D37)/C37,1))</f>
        <v/>
      </c>
      <c r="F37" s="30" t="str">
        <f>IF(C37="","لم يُحدد",IF(C37=0,"لا ينطبق",IF(N(D37)&gt;=C37,"مكتمل",IF(N(D37)&gt;0,"قيد التحديث","لم يبدأ"))))</f>
        <v/>
      </c>
      <c r="G37" s="38"/>
      <c r="H37" s="38"/>
    </row>
    <row r="38" spans="1:8" ht="24" customHeight="1">
      <c r="A38" s="31" t="inlineStr">
        <is>
          <t xml:space="preserve">تقرير قياس نواتج التعلم</t>
        </is>
      </c>
      <c r="B38" s="30" t="inlineStr">
        <is>
          <t xml:space="preserve">2024-2025</t>
        </is>
      </c>
      <c r="C38" s="38">
        <v>1</v>
      </c>
      <c r="D38" s="38"/>
      <c r="E38" s="35">
        <f>IF(OR(C38="",C38=0),"",MIN(N(D38)/C38,1))</f>
        <v/>
      </c>
      <c r="F38" s="30" t="str">
        <f>IF(C38="","لم يُحدد",IF(C38=0,"لا ينطبق",IF(N(D38)&gt;=C38,"مكتمل",IF(N(D38)&gt;0,"قيد التحديث","لم يبدأ"))))</f>
        <v/>
      </c>
      <c r="G38" s="38"/>
      <c r="H38" s="38"/>
    </row>
    <row r="39" spans="1:8" ht="24" customHeight="1">
      <c r="A39" s="31" t="inlineStr">
        <is>
          <t xml:space="preserve">تقرير قياس نواتج التعلم</t>
        </is>
      </c>
      <c r="B39" s="30" t="inlineStr">
        <is>
          <t xml:space="preserve">2025-2026</t>
        </is>
      </c>
      <c r="C39" s="38">
        <v>1</v>
      </c>
      <c r="D39" s="38"/>
      <c r="E39" s="35">
        <f>IF(OR(C39="",C39=0),"",MIN(N(D39)/C39,1))</f>
        <v/>
      </c>
      <c r="F39" s="30" t="str">
        <f>IF(C39="","لم يُحدد",IF(C39=0,"لا ينطبق",IF(N(D39)&gt;=C39,"مكتمل",IF(N(D39)&gt;0,"قيد التحديث","لم يبدأ"))))</f>
        <v/>
      </c>
      <c r="G39" s="38"/>
      <c r="H39" s="38"/>
    </row>
    <row r="40" spans="1:8" ht="24" customHeight="1">
      <c r="A40" s="31" t="inlineStr">
        <is>
          <t xml:space="preserve">مؤشرات الأداء مع المقارنة المرجعية</t>
        </is>
      </c>
      <c r="B40" s="30" t="inlineStr">
        <is>
          <t xml:space="preserve">2023-2024</t>
        </is>
      </c>
      <c r="C40" s="38">
        <v>1</v>
      </c>
      <c r="D40" s="38"/>
      <c r="E40" s="35">
        <f>IF(OR(C40="",C40=0),"",MIN(N(D40)/C40,1))</f>
        <v/>
      </c>
      <c r="F40" s="30" t="str">
        <f>IF(C40="","لم يُحدد",IF(C40=0,"لا ينطبق",IF(N(D40)&gt;=C40,"مكتمل",IF(N(D40)&gt;0,"قيد التحديث","لم يبدأ"))))</f>
        <v/>
      </c>
      <c r="G40" s="38"/>
      <c r="H40" s="38"/>
    </row>
    <row r="41" spans="1:8" ht="24" customHeight="1">
      <c r="A41" s="31" t="inlineStr">
        <is>
          <t xml:space="preserve">مؤشرات الأداء مع المقارنة المرجعية</t>
        </is>
      </c>
      <c r="B41" s="30" t="inlineStr">
        <is>
          <t xml:space="preserve">2024-2025</t>
        </is>
      </c>
      <c r="C41" s="38">
        <v>1</v>
      </c>
      <c r="D41" s="38"/>
      <c r="E41" s="35">
        <f>IF(OR(C41="",C41=0),"",MIN(N(D41)/C41,1))</f>
        <v/>
      </c>
      <c r="F41" s="30" t="str">
        <f>IF(C41="","لم يُحدد",IF(C41=0,"لا ينطبق",IF(N(D41)&gt;=C41,"مكتمل",IF(N(D41)&gt;0,"قيد التحديث","لم يبدأ"))))</f>
        <v/>
      </c>
      <c r="G41" s="38"/>
      <c r="H41" s="38"/>
    </row>
    <row r="42" spans="1:8" ht="24" customHeight="1">
      <c r="A42" s="31" t="inlineStr">
        <is>
          <t xml:space="preserve">مؤشرات الأداء مع المقارنة المرجعية</t>
        </is>
      </c>
      <c r="B42" s="30" t="inlineStr">
        <is>
          <t xml:space="preserve">2025-2026</t>
        </is>
      </c>
      <c r="C42" s="38">
        <v>1</v>
      </c>
      <c r="D42" s="38"/>
      <c r="E42" s="35">
        <f>IF(OR(C42="",C42=0),"",MIN(N(D42)/C42,1))</f>
        <v/>
      </c>
      <c r="F42" s="30" t="str">
        <f>IF(C42="","لم يُحدد",IF(C42=0,"لا ينطبق",IF(N(D42)&gt;=C42,"مكتمل",IF(N(D42)&gt;0,"قيد التحديث","لم يبدأ"))))</f>
        <v/>
      </c>
      <c r="G42" s="38"/>
      <c r="H42" s="38"/>
    </row>
    <row r="43" spans="1:8" ht="26" customHeight="1">
      <c r="A43" s="29" t="inlineStr">
        <is>
          <t xml:space="preserve">نسبة إنجاز البرنامج</t>
        </is>
      </c>
      <c r="B43" s="29"/>
      <c r="C43" s="29"/>
      <c r="D43" s="29"/>
      <c r="E43" s="35">
        <f>IFERROR(AVERAGE(E27:E42),0)</f>
        <v>0</v>
      </c>
    </row>
    <row r="45" spans="1:8" ht="26" customHeight="1">
      <c r="A45" s="97" t="str">
        <f>'الإعدادات واللجنة'!$B$7</f>
        <v/>
      </c>
      <c r="B45" s="97"/>
      <c r="C45" s="97"/>
      <c r="D45" s="97"/>
      <c r="E45" s="97"/>
      <c r="F45" s="97"/>
      <c r="G45" s="97"/>
      <c r="H45" s="97"/>
    </row>
    <row r="46" spans="1:8" ht="28" customHeight="1">
      <c r="A46" s="29" t="inlineStr">
        <is>
          <t xml:space="preserve">الوثيقة</t>
        </is>
      </c>
      <c r="B46" s="29" t="inlineStr">
        <is>
          <t xml:space="preserve">العام</t>
        </is>
      </c>
      <c r="C46" s="29" t="inlineStr">
        <is>
          <t xml:space="preserve">المطلوب</t>
        </is>
      </c>
      <c r="D46" s="29" t="inlineStr">
        <is>
          <t xml:space="preserve">تم</t>
        </is>
      </c>
      <c r="E46" s="29" t="inlineStr">
        <is>
          <t xml:space="preserve">النسبة</t>
        </is>
      </c>
      <c r="F46" s="29" t="inlineStr">
        <is>
          <t xml:space="preserve">الحالة</t>
        </is>
      </c>
      <c r="G46" s="29" t="inlineStr">
        <is>
          <t xml:space="preserve">رابط الوثيقة</t>
        </is>
      </c>
      <c r="H46" s="29" t="inlineStr">
        <is>
          <t xml:space="preserve">ملاحظات</t>
        </is>
      </c>
    </row>
    <row r="47" spans="1:8" ht="24" customHeight="1">
      <c r="A47" s="31" t="inlineStr">
        <is>
          <t xml:space="preserve">توصيف البرنامج (TP-151)</t>
        </is>
      </c>
      <c r="B47" s="30" t="inlineStr">
        <is>
          <t xml:space="preserve">مرة واحدة</t>
        </is>
      </c>
      <c r="C47" s="38">
        <v>1</v>
      </c>
      <c r="D47" s="38"/>
      <c r="E47" s="35">
        <f>IF(OR(C47="",C47=0),"",MIN(N(D47)/C47,1))</f>
        <v/>
      </c>
      <c r="F47" s="30" t="str">
        <f>IF(C47="","لم يُحدد",IF(C47=0,"لا ينطبق",IF(N(D47)&gt;=C47,"مكتمل",IF(N(D47)&gt;0,"قيد التحديث","لم يبدأ"))))</f>
        <v/>
      </c>
      <c r="G47" s="38"/>
      <c r="H47" s="38"/>
    </row>
    <row r="48" spans="1:8" ht="24" customHeight="1">
      <c r="A48" s="31" t="inlineStr">
        <is>
          <t xml:space="preserve">توصيفات المقررات (TP-153)</t>
        </is>
      </c>
      <c r="B48" s="30" t="inlineStr">
        <is>
          <t xml:space="preserve">مرة واحدة</t>
        </is>
      </c>
      <c r="C48" s="38"/>
      <c r="D48" s="38"/>
      <c r="E48" s="35">
        <f>IF(OR(C48="",C48=0),"",MIN(N(D48)/C48,1))</f>
        <v/>
      </c>
      <c r="F48" s="30" t="str">
        <f>IF(C48="","لم يُحدد",IF(C48=0,"لا ينطبق",IF(N(D48)&gt;=C48,"مكتمل",IF(N(D48)&gt;0,"قيد التحديث","لم يبدأ"))))</f>
        <v/>
      </c>
      <c r="G48" s="38"/>
      <c r="H48" s="38"/>
    </row>
    <row r="49" spans="1:8" ht="24" customHeight="1">
      <c r="A49" s="31" t="inlineStr">
        <is>
          <t xml:space="preserve">توصيف التدريب العملي (TP-155)</t>
        </is>
      </c>
      <c r="B49" s="30" t="inlineStr">
        <is>
          <t xml:space="preserve">مرة واحدة</t>
        </is>
      </c>
      <c r="C49" s="38"/>
      <c r="D49" s="38"/>
      <c r="E49" s="35">
        <f>IF(OR(C49="",C49=0),"",MIN(N(D49)/C49,1))</f>
        <v/>
      </c>
      <c r="F49" s="30" t="str">
        <f>IF(C49="","لم يُحدد",IF(C49=0,"لا ينطبق",IF(N(D49)&gt;=C49,"مكتمل",IF(N(D49)&gt;0,"قيد التحديث","لم يبدأ"))))</f>
        <v/>
      </c>
      <c r="G49" s="38"/>
      <c r="H49" s="38"/>
    </row>
    <row r="50" spans="1:8" ht="24" customHeight="1">
      <c r="A50" s="31" t="inlineStr">
        <is>
          <t xml:space="preserve">تقرير الاتساق مع الإطار الوطني (TP-150)</t>
        </is>
      </c>
      <c r="B50" s="30" t="inlineStr">
        <is>
          <t xml:space="preserve">مرة واحدة</t>
        </is>
      </c>
      <c r="C50" s="38">
        <v>1</v>
      </c>
      <c r="D50" s="38"/>
      <c r="E50" s="35">
        <f>IF(OR(C50="",C50=0),"",MIN(N(D50)/C50,1))</f>
        <v/>
      </c>
      <c r="F50" s="30" t="str">
        <f>IF(C50="","لم يُحدد",IF(C50=0,"لا ينطبق",IF(N(D50)&gt;=C50,"مكتمل",IF(N(D50)&gt;0,"قيد التحديث","لم يبدأ"))))</f>
        <v/>
      </c>
      <c r="G50" s="38"/>
      <c r="H50" s="38"/>
    </row>
    <row r="51" spans="1:8" ht="24" customHeight="1">
      <c r="A51" s="31" t="inlineStr">
        <is>
          <t xml:space="preserve">خطة تقييم نواتج التعلم</t>
        </is>
      </c>
      <c r="B51" s="30" t="inlineStr">
        <is>
          <t xml:space="preserve">مرة واحدة</t>
        </is>
      </c>
      <c r="C51" s="38">
        <v>1</v>
      </c>
      <c r="D51" s="38"/>
      <c r="E51" s="35">
        <f>IF(OR(C51="",C51=0),"",MIN(N(D51)/C51,1))</f>
        <v/>
      </c>
      <c r="F51" s="30" t="str">
        <f>IF(C51="","لم يُحدد",IF(C51=0,"لا ينطبق",IF(N(D51)&gt;=C51,"مكتمل",IF(N(D51)&gt;0,"قيد التحديث","لم يبدأ"))))</f>
        <v/>
      </c>
      <c r="G51" s="38"/>
      <c r="H51" s="38"/>
    </row>
    <row r="52" spans="1:8" ht="24" customHeight="1">
      <c r="A52" s="31" t="inlineStr">
        <is>
          <t xml:space="preserve">التقرير السنوي للبرنامج (TP-152)</t>
        </is>
      </c>
      <c r="B52" s="30" t="inlineStr">
        <is>
          <t xml:space="preserve">2024-2025</t>
        </is>
      </c>
      <c r="C52" s="38">
        <v>1</v>
      </c>
      <c r="D52" s="38"/>
      <c r="E52" s="35">
        <f>IF(OR(C52="",C52=0),"",MIN(N(D52)/C52,1))</f>
        <v/>
      </c>
      <c r="F52" s="30" t="str">
        <f>IF(C52="","لم يُحدد",IF(C52=0,"لا ينطبق",IF(N(D52)&gt;=C52,"مكتمل",IF(N(D52)&gt;0,"قيد التحديث","لم يبدأ"))))</f>
        <v/>
      </c>
      <c r="G52" s="38"/>
      <c r="H52" s="38"/>
    </row>
    <row r="53" spans="1:8" ht="24" customHeight="1">
      <c r="A53" s="31" t="inlineStr">
        <is>
          <t xml:space="preserve">التقرير السنوي للبرنامج (TP-152)</t>
        </is>
      </c>
      <c r="B53" s="30" t="inlineStr">
        <is>
          <t xml:space="preserve">2025-2026</t>
        </is>
      </c>
      <c r="C53" s="38">
        <v>1</v>
      </c>
      <c r="D53" s="38"/>
      <c r="E53" s="35">
        <f>IF(OR(C53="",C53=0),"",MIN(N(D53)/C53,1))</f>
        <v/>
      </c>
      <c r="F53" s="30" t="str">
        <f>IF(C53="","لم يُحدد",IF(C53=0,"لا ينطبق",IF(N(D53)&gt;=C53,"مكتمل",IF(N(D53)&gt;0,"قيد التحديث","لم يبدأ"))))</f>
        <v/>
      </c>
      <c r="G53" s="38"/>
      <c r="H53" s="38"/>
    </row>
    <row r="54" spans="1:8" ht="24" customHeight="1">
      <c r="A54" s="31" t="inlineStr">
        <is>
          <t xml:space="preserve">تقارير المقررات (TP-154)</t>
        </is>
      </c>
      <c r="B54" s="30" t="inlineStr">
        <is>
          <t xml:space="preserve">2024-2025</t>
        </is>
      </c>
      <c r="C54" s="38"/>
      <c r="D54" s="38"/>
      <c r="E54" s="35">
        <f>IF(OR(C54="",C54=0),"",MIN(N(D54)/C54,1))</f>
        <v/>
      </c>
      <c r="F54" s="30" t="str">
        <f>IF(C54="","لم يُحدد",IF(C54=0,"لا ينطبق",IF(N(D54)&gt;=C54,"مكتمل",IF(N(D54)&gt;0,"قيد التحديث","لم يبدأ"))))</f>
        <v/>
      </c>
      <c r="G54" s="38"/>
      <c r="H54" s="38"/>
    </row>
    <row r="55" spans="1:8" ht="24" customHeight="1">
      <c r="A55" s="31" t="inlineStr">
        <is>
          <t xml:space="preserve">تقارير المقررات (TP-154)</t>
        </is>
      </c>
      <c r="B55" s="30" t="inlineStr">
        <is>
          <t xml:space="preserve">2025-2026</t>
        </is>
      </c>
      <c r="C55" s="38"/>
      <c r="D55" s="38"/>
      <c r="E55" s="35">
        <f>IF(OR(C55="",C55=0),"",MIN(N(D55)/C55,1))</f>
        <v/>
      </c>
      <c r="F55" s="30" t="str">
        <f>IF(C55="","لم يُحدد",IF(C55=0,"لا ينطبق",IF(N(D55)&gt;=C55,"مكتمل",IF(N(D55)&gt;0,"قيد التحديث","لم يبدأ"))))</f>
        <v/>
      </c>
      <c r="G55" s="38"/>
      <c r="H55" s="38"/>
    </row>
    <row r="56" spans="1:8" ht="24" customHeight="1">
      <c r="A56" s="31" t="inlineStr">
        <is>
          <t xml:space="preserve">تقرير التدريب العملي (TP-156)</t>
        </is>
      </c>
      <c r="B56" s="30" t="inlineStr">
        <is>
          <t xml:space="preserve">2024-2025</t>
        </is>
      </c>
      <c r="C56" s="38"/>
      <c r="D56" s="38"/>
      <c r="E56" s="35">
        <f>IF(OR(C56="",C56=0),"",MIN(N(D56)/C56,1))</f>
        <v/>
      </c>
      <c r="F56" s="30" t="str">
        <f>IF(C56="","لم يُحدد",IF(C56=0,"لا ينطبق",IF(N(D56)&gt;=C56,"مكتمل",IF(N(D56)&gt;0,"قيد التحديث","لم يبدأ"))))</f>
        <v/>
      </c>
      <c r="G56" s="38"/>
      <c r="H56" s="38"/>
    </row>
    <row r="57" spans="1:8" ht="24" customHeight="1">
      <c r="A57" s="31" t="inlineStr">
        <is>
          <t xml:space="preserve">تقرير التدريب العملي (TP-156)</t>
        </is>
      </c>
      <c r="B57" s="30" t="inlineStr">
        <is>
          <t xml:space="preserve">2025-2026</t>
        </is>
      </c>
      <c r="C57" s="38"/>
      <c r="D57" s="38"/>
      <c r="E57" s="35">
        <f>IF(OR(C57="",C57=0),"",MIN(N(D57)/C57,1))</f>
        <v/>
      </c>
      <c r="F57" s="30" t="str">
        <f>IF(C57="","لم يُحدد",IF(C57=0,"لا ينطبق",IF(N(D57)&gt;=C57,"مكتمل",IF(N(D57)&gt;0,"قيد التحديث","لم يبدأ"))))</f>
        <v/>
      </c>
      <c r="G57" s="38"/>
      <c r="H57" s="38"/>
    </row>
    <row r="58" spans="1:8" ht="24" customHeight="1">
      <c r="A58" s="31" t="inlineStr">
        <is>
          <t xml:space="preserve">تقرير قياس نواتج التعلم</t>
        </is>
      </c>
      <c r="B58" s="30" t="inlineStr">
        <is>
          <t xml:space="preserve">2024-2025</t>
        </is>
      </c>
      <c r="C58" s="38">
        <v>1</v>
      </c>
      <c r="D58" s="38"/>
      <c r="E58" s="35">
        <f>IF(OR(C58="",C58=0),"",MIN(N(D58)/C58,1))</f>
        <v/>
      </c>
      <c r="F58" s="30" t="str">
        <f>IF(C58="","لم يُحدد",IF(C58=0,"لا ينطبق",IF(N(D58)&gt;=C58,"مكتمل",IF(N(D58)&gt;0,"قيد التحديث","لم يبدأ"))))</f>
        <v/>
      </c>
      <c r="G58" s="38"/>
      <c r="H58" s="38"/>
    </row>
    <row r="59" spans="1:8" ht="24" customHeight="1">
      <c r="A59" s="31" t="inlineStr">
        <is>
          <t xml:space="preserve">تقرير قياس نواتج التعلم</t>
        </is>
      </c>
      <c r="B59" s="30" t="inlineStr">
        <is>
          <t xml:space="preserve">2025-2026</t>
        </is>
      </c>
      <c r="C59" s="38">
        <v>1</v>
      </c>
      <c r="D59" s="38"/>
      <c r="E59" s="35">
        <f>IF(OR(C59="",C59=0),"",MIN(N(D59)/C59,1))</f>
        <v/>
      </c>
      <c r="F59" s="30" t="str">
        <f>IF(C59="","لم يُحدد",IF(C59=0,"لا ينطبق",IF(N(D59)&gt;=C59,"مكتمل",IF(N(D59)&gt;0,"قيد التحديث","لم يبدأ"))))</f>
        <v/>
      </c>
      <c r="G59" s="38"/>
      <c r="H59" s="38"/>
    </row>
    <row r="60" spans="1:8" ht="24" customHeight="1">
      <c r="A60" s="31" t="inlineStr">
        <is>
          <t xml:space="preserve">مؤشرات الأداء مع المقارنة المرجعية</t>
        </is>
      </c>
      <c r="B60" s="30" t="inlineStr">
        <is>
          <t xml:space="preserve">2023-2024</t>
        </is>
      </c>
      <c r="C60" s="38">
        <v>1</v>
      </c>
      <c r="D60" s="38"/>
      <c r="E60" s="35">
        <f>IF(OR(C60="",C60=0),"",MIN(N(D60)/C60,1))</f>
        <v/>
      </c>
      <c r="F60" s="30" t="str">
        <f>IF(C60="","لم يُحدد",IF(C60=0,"لا ينطبق",IF(N(D60)&gt;=C60,"مكتمل",IF(N(D60)&gt;0,"قيد التحديث","لم يبدأ"))))</f>
        <v/>
      </c>
      <c r="G60" s="38"/>
      <c r="H60" s="38"/>
    </row>
    <row r="61" spans="1:8" ht="24" customHeight="1">
      <c r="A61" s="31" t="inlineStr">
        <is>
          <t xml:space="preserve">مؤشرات الأداء مع المقارنة المرجعية</t>
        </is>
      </c>
      <c r="B61" s="30" t="inlineStr">
        <is>
          <t xml:space="preserve">2024-2025</t>
        </is>
      </c>
      <c r="C61" s="38">
        <v>1</v>
      </c>
      <c r="D61" s="38"/>
      <c r="E61" s="35">
        <f>IF(OR(C61="",C61=0),"",MIN(N(D61)/C61,1))</f>
        <v/>
      </c>
      <c r="F61" s="30" t="str">
        <f>IF(C61="","لم يُحدد",IF(C61=0,"لا ينطبق",IF(N(D61)&gt;=C61,"مكتمل",IF(N(D61)&gt;0,"قيد التحديث","لم يبدأ"))))</f>
        <v/>
      </c>
      <c r="G61" s="38"/>
      <c r="H61" s="38"/>
    </row>
    <row r="62" spans="1:8" ht="24" customHeight="1">
      <c r="A62" s="31" t="inlineStr">
        <is>
          <t xml:space="preserve">مؤشرات الأداء مع المقارنة المرجعية</t>
        </is>
      </c>
      <c r="B62" s="30" t="inlineStr">
        <is>
          <t xml:space="preserve">2025-2026</t>
        </is>
      </c>
      <c r="C62" s="38">
        <v>1</v>
      </c>
      <c r="D62" s="38"/>
      <c r="E62" s="35">
        <f>IF(OR(C62="",C62=0),"",MIN(N(D62)/C62,1))</f>
        <v/>
      </c>
      <c r="F62" s="30" t="str">
        <f>IF(C62="","لم يُحدد",IF(C62=0,"لا ينطبق",IF(N(D62)&gt;=C62,"مكتمل",IF(N(D62)&gt;0,"قيد التحديث","لم يبدأ"))))</f>
        <v/>
      </c>
      <c r="G62" s="38"/>
      <c r="H62" s="38"/>
    </row>
    <row r="63" spans="1:8" ht="26" customHeight="1">
      <c r="A63" s="29" t="inlineStr">
        <is>
          <t xml:space="preserve">نسبة إنجاز البرنامج</t>
        </is>
      </c>
      <c r="B63" s="29"/>
      <c r="C63" s="29"/>
      <c r="D63" s="29"/>
      <c r="E63" s="35">
        <f>IFERROR(AVERAGE(E47:E62),0)</f>
        <v>0</v>
      </c>
    </row>
  </sheetData>
  <mergeCells count="9">
    <mergeCell ref="A1:H1"/>
    <mergeCell ref="A2:H2"/>
    <mergeCell ref="A5:H5"/>
    <mergeCell ref="A23:D23"/>
    <mergeCell ref="A25:H25"/>
    <mergeCell ref="A43:D43"/>
    <mergeCell ref="A45:H45"/>
    <mergeCell ref="A63:D63"/>
    <mergeCell ref="A3:D3"/>
  </mergeCells>
  <conditionalFormatting sqref="F7:F22">
    <cfRule type="cellIs" dxfId="26" priority="10" operator="equal">
      <formula>"مكتمل"</formula>
    </cfRule>
    <cfRule type="cellIs" dxfId="25" priority="11" operator="equal">
      <formula>"قيد التحديث"</formula>
    </cfRule>
    <cfRule type="cellIs" dxfId="24" priority="12" operator="equal">
      <formula>"لم يبدأ"</formula>
    </cfRule>
  </conditionalFormatting>
  <conditionalFormatting sqref="F27:F42">
    <cfRule type="cellIs" dxfId="26" priority="13" operator="equal">
      <formula>"مكتمل"</formula>
    </cfRule>
    <cfRule type="cellIs" dxfId="25" priority="14" operator="equal">
      <formula>"قيد التحديث"</formula>
    </cfRule>
    <cfRule type="cellIs" dxfId="24" priority="15" operator="equal">
      <formula>"لم يبدأ"</formula>
    </cfRule>
  </conditionalFormatting>
  <conditionalFormatting sqref="F47:F62">
    <cfRule type="cellIs" dxfId="26" priority="16" operator="equal">
      <formula>"مكتمل"</formula>
    </cfRule>
    <cfRule type="cellIs" dxfId="25" priority="17" operator="equal">
      <formula>"قيد التحديث"</formula>
    </cfRule>
    <cfRule type="cellIs" dxfId="24" priority="18" operator="equal">
      <formula>"لم يبدأ"</formula>
    </cfRule>
  </conditionalFormatting>
  <dataValidations count="1">
    <dataValidation type="decimal" operator="greaterThanOrEqual" allowBlank="1" showErrorMessage="1" errorTitle="قيمة غير صحيحة" error="اكتبي رقماً (0 أو أكثر)" sqref="C7:D22 C27:D42 C47:D6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2026-10-28T17:43:57Z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