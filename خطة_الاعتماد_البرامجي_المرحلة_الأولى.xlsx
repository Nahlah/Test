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النهائية/"/>
    </mc:Choice>
  </mc:AlternateContent>
  <xr:revisionPtr revIDLastSave="0" documentId="13_ncr:1_{43239ABE-298A-2B46-AC4A-A2EA8642EBB3}" xr6:coauthVersionLast="47" xr6:coauthVersionMax="47" xr10:uidLastSave="{00000000-0000-0000-0000-000000000000}"/>
  <bookViews>
    <workbookView xWindow="3380" yWindow="500" windowWidth="28800" windowHeight="16380" activeTab="4" xr2:uid="{00000000-000D-0000-FFFF-FFFF00000000}"/>
  </bookViews>
  <sheets>
    <sheet name="خطة العمل" sheetId="1" r:id="rId1"/>
    <sheet name="الإعدادات واللجنة" sheetId="2" r:id="rId2"/>
    <sheet name="لوحة المتابعة" sheetId="3" r:id="rId3"/>
    <sheet name="تقرير الأدلة" sheetId="10" r:id="rId4"/>
    <sheet name="متطلبات التقدم للاعتماد" sheetId="4" r:id="rId5"/>
    <sheet name="وثائق الجودة" sheetId="11" r:id="rId100"/>
    <sheet name="أمثلة التصنيف" sheetId="9" r:id="rId6"/>
    <sheet name="سجل الأدلة" sheetId="12" r:id="rId101"/>
    <sheet name="فحص-حاسب-بكالوريوس" sheetId="6" r:id="rId7"/>
    <sheet name="فحص-بيانات-بكالوريوس" sheetId="7" r:id="rId8"/>
    <sheet name="فحص-بيانات-ماجستير" sheetId="8" r:id="rId9"/>
  </sheets>
  <definedNames>
    <definedName name="_xlnm._FilterDatabase" localSheetId="8" hidden="1">'فحص-حاسب-بكالوريوس'!$A$4:$R$208</definedName>
  </definedNames>
  <calcPr calcId="191029"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H30" i="3" s="1"/>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H29" i="3" s="1"/>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H26" i="3" s="1"/>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H10" i="3" s="1"/>
  <c r="K194" i="6"/>
  <c r="K193" i="6"/>
  <c r="K192" i="6"/>
  <c r="K191" i="6"/>
  <c r="K190" i="6"/>
  <c r="K189" i="6"/>
  <c r="K188" i="6"/>
  <c r="K187" i="6"/>
  <c r="K186" i="6"/>
  <c r="K185" i="6"/>
  <c r="K184" i="6"/>
  <c r="K183" i="6"/>
  <c r="K182" i="6"/>
  <c r="K181" i="6"/>
  <c r="K180" i="6"/>
  <c r="K179" i="6"/>
  <c r="K178" i="6"/>
  <c r="K177" i="6"/>
  <c r="K176" i="6"/>
  <c r="K175" i="6"/>
  <c r="K174" i="6"/>
  <c r="K173" i="6"/>
  <c r="K172" i="6"/>
  <c r="K171" i="6"/>
  <c r="H9" i="3" s="1"/>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H8" i="3" s="1"/>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H7" i="3" s="1"/>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E18" i="4"/>
  <c r="E17" i="4"/>
  <c r="E13" i="4"/>
  <c r="E12" i="4"/>
  <c r="E11" i="4"/>
  <c r="E10" i="4"/>
  <c r="E9" i="4"/>
  <c r="E6" i="4"/>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E30" i="3"/>
  <c r="D30" i="3"/>
  <c r="C30" i="3"/>
  <c r="B30" i="3"/>
  <c r="I29" i="3"/>
  <c r="E29" i="3"/>
  <c r="D29" i="3"/>
  <c r="C29" i="3"/>
  <c r="B29" i="3"/>
  <c r="I28" i="3"/>
  <c r="H28" i="3"/>
  <c r="E28" i="3"/>
  <c r="D28" i="3"/>
  <c r="C28" i="3"/>
  <c r="B28" i="3"/>
  <c r="I27" i="3"/>
  <c r="E27" i="3"/>
  <c r="D27" i="3"/>
  <c r="C27" i="3"/>
  <c r="B27" i="3"/>
  <c r="I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E11" i="3"/>
  <c r="D11" i="3"/>
  <c r="C11" i="3"/>
  <c r="B11" i="3"/>
  <c r="I10" i="3"/>
  <c r="E10" i="3"/>
  <c r="D10" i="3"/>
  <c r="C10" i="3"/>
  <c r="B10" i="3"/>
  <c r="I9" i="3"/>
  <c r="E9" i="3"/>
  <c r="D9" i="3"/>
  <c r="C9" i="3"/>
  <c r="B9" i="3"/>
  <c r="I8" i="3"/>
  <c r="E8" i="3"/>
  <c r="D8" i="3"/>
  <c r="C8" i="3"/>
  <c r="B8" i="3"/>
  <c r="I7" i="3"/>
  <c r="E7" i="3"/>
  <c r="D7" i="3"/>
  <c r="C7" i="3"/>
  <c r="B7" i="3"/>
  <c r="I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6" i="3" l="1"/>
  <c r="H11" i="3"/>
  <c r="H12" i="3"/>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R5" i="7"/>
  <c r="R208" i="6"/>
  <c r="R207" i="6"/>
  <c r="R206" i="6"/>
  <c r="R205" i="6"/>
  <c r="R204" i="6"/>
  <c r="R203" i="6"/>
  <c r="R202" i="6"/>
  <c r="R201" i="6"/>
  <c r="R200" i="6"/>
  <c r="R199" i="6"/>
  <c r="R198" i="6"/>
  <c r="R197" i="6"/>
  <c r="R196" i="6"/>
  <c r="R195" i="6"/>
  <c r="R194" i="6"/>
  <c r="R193" i="6"/>
  <c r="R192" i="6"/>
  <c r="R191" i="6"/>
  <c r="R190" i="6"/>
  <c r="R189" i="6"/>
  <c r="R188" i="6"/>
  <c r="R187" i="6"/>
  <c r="R186" i="6"/>
  <c r="R185" i="6"/>
  <c r="R184" i="6"/>
  <c r="R183" i="6"/>
  <c r="R182" i="6"/>
  <c r="R181" i="6"/>
  <c r="R180" i="6"/>
  <c r="R179" i="6"/>
  <c r="R178" i="6"/>
  <c r="R177" i="6"/>
  <c r="R176" i="6"/>
  <c r="R175" i="6"/>
  <c r="R174" i="6"/>
  <c r="R173" i="6"/>
  <c r="R172" i="6"/>
  <c r="R171" i="6"/>
  <c r="R170" i="6"/>
  <c r="R169" i="6"/>
  <c r="R168" i="6"/>
  <c r="R167" i="6"/>
  <c r="R166" i="6"/>
  <c r="R165" i="6"/>
  <c r="R164" i="6"/>
  <c r="R163" i="6"/>
  <c r="R162" i="6"/>
  <c r="R161" i="6"/>
  <c r="R160" i="6"/>
  <c r="R159" i="6"/>
  <c r="R158" i="6"/>
  <c r="R157" i="6"/>
  <c r="R156" i="6"/>
  <c r="R155" i="6"/>
  <c r="R154" i="6"/>
  <c r="R153" i="6"/>
  <c r="R152" i="6"/>
  <c r="R151" i="6"/>
  <c r="R150" i="6"/>
  <c r="R149" i="6"/>
  <c r="R148" i="6"/>
  <c r="R147" i="6"/>
  <c r="R146" i="6"/>
  <c r="R145" i="6"/>
  <c r="R144" i="6"/>
  <c r="R143" i="6"/>
  <c r="R142" i="6"/>
  <c r="R141" i="6"/>
  <c r="R140" i="6"/>
  <c r="R139" i="6"/>
  <c r="R138" i="6"/>
  <c r="R137" i="6"/>
  <c r="R136" i="6"/>
  <c r="R135" i="6"/>
  <c r="R134" i="6"/>
  <c r="R133" i="6"/>
  <c r="R132" i="6"/>
  <c r="R131" i="6"/>
  <c r="R130" i="6"/>
  <c r="R129" i="6"/>
  <c r="R128" i="6"/>
  <c r="R127" i="6"/>
  <c r="R126" i="6"/>
  <c r="R125" i="6"/>
  <c r="R124" i="6"/>
  <c r="R123" i="6"/>
  <c r="R122" i="6"/>
  <c r="R121" i="6"/>
  <c r="R120" i="6"/>
  <c r="R119" i="6"/>
  <c r="R118" i="6"/>
  <c r="R117" i="6"/>
  <c r="R116" i="6"/>
  <c r="R115" i="6"/>
  <c r="R114" i="6"/>
  <c r="R113" i="6"/>
  <c r="R112" i="6"/>
  <c r="R111" i="6"/>
  <c r="R110" i="6"/>
  <c r="R109" i="6"/>
  <c r="R108" i="6"/>
  <c r="R107" i="6"/>
  <c r="R106" i="6"/>
  <c r="R105" i="6"/>
  <c r="R104" i="6"/>
  <c r="R103" i="6"/>
  <c r="R102" i="6"/>
  <c r="R101" i="6"/>
  <c r="R100" i="6"/>
  <c r="R99" i="6"/>
  <c r="R98" i="6"/>
  <c r="R97" i="6"/>
  <c r="R96" i="6"/>
  <c r="R95" i="6"/>
  <c r="R94" i="6"/>
  <c r="R93" i="6"/>
  <c r="R92" i="6"/>
  <c r="R91" i="6"/>
  <c r="R90" i="6"/>
  <c r="R89" i="6"/>
  <c r="R88" i="6"/>
  <c r="R87" i="6"/>
  <c r="R86" i="6"/>
  <c r="R85" i="6"/>
  <c r="R84" i="6"/>
  <c r="R83" i="6"/>
  <c r="R82" i="6"/>
  <c r="R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R5" i="6"/>
  <c r="J3" i="10"/>
  <c r="D25" i="1"/>
  <c r="D24" i="1"/>
  <c r="D23" i="1"/>
  <c r="D22" i="1"/>
  <c r="D21" i="1"/>
  <c r="D20" i="1"/>
  <c r="D18" i="1"/>
  <c r="D17" i="1"/>
  <c r="D16" i="1"/>
  <c r="D15" i="1"/>
  <c r="I102" i="10" l="1"/>
  <c r="E102" i="10" s="1"/>
  <c r="G3" i="10"/>
  <c r="I8" i="10"/>
  <c r="I16" i="10"/>
  <c r="I24" i="10"/>
  <c r="I32" i="10"/>
  <c r="I40" i="10"/>
  <c r="I48" i="10"/>
  <c r="I56" i="10"/>
  <c r="I64" i="10"/>
  <c r="I72" i="10"/>
  <c r="I80" i="10"/>
  <c r="I89" i="10"/>
  <c r="I93" i="10"/>
  <c r="I115" i="10"/>
  <c r="I120" i="10"/>
  <c r="I53" i="10"/>
  <c r="I61" i="10"/>
  <c r="I69" i="10"/>
  <c r="I77" i="10"/>
  <c r="I82" i="10"/>
  <c r="I84" i="10"/>
  <c r="I98" i="10"/>
  <c r="I103" i="10"/>
  <c r="I129" i="10"/>
  <c r="I21" i="10"/>
  <c r="I10" i="10"/>
  <c r="I42" i="10"/>
  <c r="I58" i="10"/>
  <c r="I74" i="10"/>
  <c r="I137" i="10"/>
  <c r="I29" i="10"/>
  <c r="I45" i="10"/>
  <c r="I71" i="10"/>
  <c r="I79" i="10"/>
  <c r="I94" i="10"/>
  <c r="I106" i="10"/>
  <c r="I146" i="10"/>
  <c r="I66" i="10"/>
  <c r="I63" i="10"/>
  <c r="I20" i="10"/>
  <c r="I44" i="10"/>
  <c r="I99" i="10"/>
  <c r="I109" i="10"/>
  <c r="I117" i="10"/>
  <c r="I7" i="10"/>
  <c r="I23" i="10"/>
  <c r="I31" i="10"/>
  <c r="I39" i="10"/>
  <c r="I55" i="10"/>
  <c r="I60" i="10"/>
  <c r="I68" i="10"/>
  <c r="I76" i="10"/>
  <c r="I88" i="10"/>
  <c r="I90" i="10"/>
  <c r="I9" i="10"/>
  <c r="I17" i="10"/>
  <c r="I25" i="10"/>
  <c r="I33" i="10"/>
  <c r="I41" i="10"/>
  <c r="I49" i="10"/>
  <c r="I57" i="10"/>
  <c r="I65" i="10"/>
  <c r="I73" i="10"/>
  <c r="I81" i="10"/>
  <c r="I83" i="10"/>
  <c r="I107" i="10"/>
  <c r="I110" i="10"/>
  <c r="I118" i="10"/>
  <c r="I125" i="10"/>
  <c r="I18" i="10"/>
  <c r="I6" i="10"/>
  <c r="I14" i="10"/>
  <c r="I22" i="10"/>
  <c r="I30" i="10"/>
  <c r="I38" i="10"/>
  <c r="I46" i="10"/>
  <c r="I54" i="10"/>
  <c r="I62" i="10"/>
  <c r="I70" i="10"/>
  <c r="I78" i="10"/>
  <c r="I95"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30" i="10"/>
  <c r="I122" i="10"/>
  <c r="I147" i="10"/>
  <c r="I143" i="10"/>
  <c r="I139" i="10"/>
  <c r="I135" i="10"/>
  <c r="I131" i="10"/>
  <c r="I123" i="10"/>
  <c r="I124" i="10"/>
  <c r="I141" i="10"/>
  <c r="I113" i="10"/>
  <c r="I85" i="10"/>
  <c r="I134" i="10"/>
  <c r="I126" i="10"/>
  <c r="I97" i="10"/>
  <c r="I145" i="10"/>
  <c r="I132" i="10"/>
  <c r="I116" i="10"/>
  <c r="I108" i="10"/>
  <c r="I104" i="10"/>
  <c r="I100" i="10"/>
  <c r="I96" i="10"/>
  <c r="I92" i="10"/>
  <c r="I86" i="10"/>
  <c r="I149" i="10"/>
  <c r="I136" i="10"/>
  <c r="I121" i="10"/>
  <c r="I119" i="10"/>
  <c r="I111" i="10"/>
  <c r="I87" i="10"/>
  <c r="I140" i="10"/>
  <c r="I128" i="10"/>
  <c r="I114" i="10"/>
  <c r="I105" i="10"/>
  <c r="I101" i="10"/>
  <c r="I144" i="10"/>
  <c r="I138" i="10"/>
  <c r="I148" i="10"/>
  <c r="I142" i="10"/>
  <c r="I112" i="10"/>
  <c r="I150" i="10"/>
  <c r="I13" i="10"/>
  <c r="I37" i="10"/>
  <c r="I26" i="10"/>
  <c r="I34" i="10"/>
  <c r="I50" i="10"/>
  <c r="I15" i="10"/>
  <c r="I47" i="10"/>
  <c r="I12" i="10"/>
  <c r="I28" i="10"/>
  <c r="I36" i="10"/>
  <c r="I52" i="10"/>
  <c r="I11" i="10"/>
  <c r="I19" i="10"/>
  <c r="I27" i="10"/>
  <c r="I35" i="10"/>
  <c r="I43" i="10"/>
  <c r="I51" i="10"/>
  <c r="I59" i="10"/>
  <c r="I67" i="10"/>
  <c r="I75" i="10"/>
  <c r="I91" i="10"/>
  <c r="I127" i="10"/>
  <c r="I133" i="10"/>
  <c r="A102" i="10" l="1"/>
  <c r="G102" i="10"/>
  <c r="F102" i="10"/>
  <c r="B102" i="10"/>
  <c r="D102" i="10"/>
  <c r="C102" i="10"/>
  <c r="D147" i="10"/>
  <c r="B147" i="10"/>
  <c r="G147" i="10"/>
  <c r="E147" i="10"/>
  <c r="F147" i="10"/>
  <c r="C147" i="10"/>
  <c r="A147" i="10"/>
  <c r="F172" i="10"/>
  <c r="G172" i="10"/>
  <c r="E172" i="10"/>
  <c r="D172" i="10"/>
  <c r="C172" i="10"/>
  <c r="B172" i="10"/>
  <c r="A172" i="10"/>
  <c r="F180" i="10"/>
  <c r="G180" i="10"/>
  <c r="C180" i="10"/>
  <c r="B180" i="10"/>
  <c r="A180" i="10"/>
  <c r="E180" i="10"/>
  <c r="D180" i="10"/>
  <c r="F188" i="10"/>
  <c r="G188" i="10"/>
  <c r="E188" i="10"/>
  <c r="B188" i="10"/>
  <c r="A188" i="10"/>
  <c r="D188" i="10"/>
  <c r="C188" i="10"/>
  <c r="F196" i="10"/>
  <c r="G196" i="10"/>
  <c r="C196" i="10"/>
  <c r="B196" i="10"/>
  <c r="A196" i="10"/>
  <c r="E196" i="10"/>
  <c r="D196" i="10"/>
  <c r="F204" i="10"/>
  <c r="G204" i="10"/>
  <c r="E204" i="10"/>
  <c r="B204" i="10"/>
  <c r="D204" i="10"/>
  <c r="C204" i="10"/>
  <c r="A204" i="10"/>
  <c r="F212" i="10"/>
  <c r="G212" i="10"/>
  <c r="C212" i="10"/>
  <c r="B212" i="10"/>
  <c r="A212" i="10"/>
  <c r="E212" i="10"/>
  <c r="D212" i="10"/>
  <c r="F220" i="10"/>
  <c r="G220" i="10"/>
  <c r="E220" i="10"/>
  <c r="B220" i="10"/>
  <c r="A220" i="10"/>
  <c r="D220" i="10"/>
  <c r="C220" i="10"/>
  <c r="F228" i="10"/>
  <c r="G228" i="10"/>
  <c r="C228" i="10"/>
  <c r="B228" i="10"/>
  <c r="A228" i="10"/>
  <c r="E228" i="10"/>
  <c r="D228" i="10"/>
  <c r="E95" i="10"/>
  <c r="C95" i="10"/>
  <c r="G95" i="10"/>
  <c r="F95" i="10"/>
  <c r="D95" i="10"/>
  <c r="B95" i="10"/>
  <c r="A95" i="10"/>
  <c r="D22" i="10"/>
  <c r="C22" i="10"/>
  <c r="B22" i="10"/>
  <c r="E22" i="10"/>
  <c r="G22" i="10"/>
  <c r="F22" i="10"/>
  <c r="A22" i="10"/>
  <c r="E83" i="10"/>
  <c r="F83" i="10"/>
  <c r="D83" i="10"/>
  <c r="C83" i="10"/>
  <c r="G83" i="10"/>
  <c r="B83" i="10"/>
  <c r="A83" i="10"/>
  <c r="D25" i="10"/>
  <c r="C25" i="10"/>
  <c r="B25" i="10"/>
  <c r="G25" i="10"/>
  <c r="F25" i="10"/>
  <c r="A25" i="10"/>
  <c r="E25" i="10"/>
  <c r="D55" i="10"/>
  <c r="C55" i="10"/>
  <c r="B55" i="10"/>
  <c r="A55" i="10"/>
  <c r="G55" i="10"/>
  <c r="F55" i="10"/>
  <c r="E55" i="10"/>
  <c r="D44" i="10"/>
  <c r="C44" i="10"/>
  <c r="B44" i="10"/>
  <c r="F44" i="10"/>
  <c r="G44" i="10"/>
  <c r="E44" i="10"/>
  <c r="A44" i="10"/>
  <c r="D71" i="10"/>
  <c r="C71" i="10"/>
  <c r="B71" i="10"/>
  <c r="A71" i="10"/>
  <c r="G71" i="10"/>
  <c r="F71" i="10"/>
  <c r="E71" i="10"/>
  <c r="D21" i="10"/>
  <c r="C21" i="10"/>
  <c r="B21" i="10"/>
  <c r="F21" i="10"/>
  <c r="E21" i="10"/>
  <c r="A21" i="10"/>
  <c r="G21" i="10"/>
  <c r="D61" i="10"/>
  <c r="C61" i="10"/>
  <c r="B61" i="10"/>
  <c r="F61" i="10"/>
  <c r="E61" i="10"/>
  <c r="A61" i="10"/>
  <c r="G61" i="10"/>
  <c r="D64" i="10"/>
  <c r="C64" i="10"/>
  <c r="B64" i="10"/>
  <c r="G64" i="10"/>
  <c r="F64" i="10"/>
  <c r="E64" i="10"/>
  <c r="A64" i="10"/>
  <c r="E113" i="10"/>
  <c r="D113" i="10"/>
  <c r="C113" i="10"/>
  <c r="B113" i="10"/>
  <c r="G113" i="10"/>
  <c r="F113" i="10"/>
  <c r="A113" i="10"/>
  <c r="D51" i="10"/>
  <c r="C51" i="10"/>
  <c r="B51" i="10"/>
  <c r="G51" i="10"/>
  <c r="F51" i="10"/>
  <c r="E51" i="10"/>
  <c r="A51" i="10"/>
  <c r="E105" i="10"/>
  <c r="C105" i="10"/>
  <c r="A105" i="10"/>
  <c r="F105" i="10"/>
  <c r="D105" i="10"/>
  <c r="B105" i="10"/>
  <c r="G105" i="10"/>
  <c r="D122" i="10"/>
  <c r="G122" i="10"/>
  <c r="F122" i="10"/>
  <c r="B122" i="10"/>
  <c r="A122" i="10"/>
  <c r="E122" i="10"/>
  <c r="C122" i="10"/>
  <c r="F173" i="10"/>
  <c r="B173" i="10"/>
  <c r="C173" i="10"/>
  <c r="A173" i="10"/>
  <c r="E173" i="10"/>
  <c r="D173" i="10"/>
  <c r="G173" i="10"/>
  <c r="F197" i="10"/>
  <c r="B197" i="10"/>
  <c r="G197" i="10"/>
  <c r="E197" i="10"/>
  <c r="A197" i="10"/>
  <c r="D197" i="10"/>
  <c r="C197" i="10"/>
  <c r="F213" i="10"/>
  <c r="B213" i="10"/>
  <c r="G213" i="10"/>
  <c r="E213" i="10"/>
  <c r="A213" i="10"/>
  <c r="D213" i="10"/>
  <c r="C213" i="10"/>
  <c r="F221" i="10"/>
  <c r="B221" i="10"/>
  <c r="C221" i="10"/>
  <c r="A221" i="10"/>
  <c r="G221" i="10"/>
  <c r="E221" i="10"/>
  <c r="D221" i="10"/>
  <c r="F229" i="10"/>
  <c r="B229" i="10"/>
  <c r="G229" i="10"/>
  <c r="E229" i="10"/>
  <c r="A229" i="10"/>
  <c r="D229" i="10"/>
  <c r="C229" i="10"/>
  <c r="D78" i="10"/>
  <c r="C78" i="10"/>
  <c r="B78" i="10"/>
  <c r="G78" i="10"/>
  <c r="F78" i="10"/>
  <c r="E78" i="10"/>
  <c r="A78" i="10"/>
  <c r="D14" i="10"/>
  <c r="C14" i="10"/>
  <c r="B14" i="10"/>
  <c r="E14" i="10"/>
  <c r="A14" i="10"/>
  <c r="G14" i="10"/>
  <c r="F14" i="10"/>
  <c r="D81" i="10"/>
  <c r="C81" i="10"/>
  <c r="B81" i="10"/>
  <c r="G81" i="10"/>
  <c r="F81" i="10"/>
  <c r="E81" i="10"/>
  <c r="A81" i="10"/>
  <c r="D17" i="10"/>
  <c r="C17" i="10"/>
  <c r="B17" i="10"/>
  <c r="A17" i="10"/>
  <c r="G17" i="10"/>
  <c r="F17" i="10"/>
  <c r="E17" i="10"/>
  <c r="D39" i="10"/>
  <c r="C39" i="10"/>
  <c r="B39" i="10"/>
  <c r="A39" i="10"/>
  <c r="G39" i="10"/>
  <c r="F39" i="10"/>
  <c r="E39" i="10"/>
  <c r="D20" i="10"/>
  <c r="C20" i="10"/>
  <c r="B20" i="10"/>
  <c r="E20" i="10"/>
  <c r="G20" i="10"/>
  <c r="F20" i="10"/>
  <c r="A20" i="10"/>
  <c r="D45" i="10"/>
  <c r="C45" i="10"/>
  <c r="B45" i="10"/>
  <c r="F45" i="10"/>
  <c r="E45" i="10"/>
  <c r="A45" i="10"/>
  <c r="G45" i="10"/>
  <c r="D129" i="10"/>
  <c r="G129" i="10"/>
  <c r="F129" i="10"/>
  <c r="E129" i="10"/>
  <c r="C129" i="10"/>
  <c r="B129" i="10"/>
  <c r="A129" i="10"/>
  <c r="D53" i="10"/>
  <c r="C53" i="10"/>
  <c r="B53" i="10"/>
  <c r="F53" i="10"/>
  <c r="E53" i="10"/>
  <c r="A53" i="10"/>
  <c r="G53" i="10"/>
  <c r="D56" i="10"/>
  <c r="C56" i="10"/>
  <c r="B56" i="10"/>
  <c r="G56" i="10"/>
  <c r="F56" i="10"/>
  <c r="E56" i="10"/>
  <c r="A56" i="10"/>
  <c r="D59" i="10"/>
  <c r="C59" i="10"/>
  <c r="B59" i="10"/>
  <c r="G59" i="10"/>
  <c r="F59" i="10"/>
  <c r="E59" i="10"/>
  <c r="A59" i="10"/>
  <c r="D121" i="10"/>
  <c r="G121" i="10"/>
  <c r="F121" i="10"/>
  <c r="E121" i="10"/>
  <c r="C121" i="10"/>
  <c r="B121" i="10"/>
  <c r="A121" i="10"/>
  <c r="A156" i="10"/>
  <c r="G156" i="10"/>
  <c r="F156" i="10"/>
  <c r="E156" i="10"/>
  <c r="D156" i="10"/>
  <c r="C156" i="10"/>
  <c r="B156" i="10"/>
  <c r="A164" i="10"/>
  <c r="G164" i="10"/>
  <c r="D164" i="10"/>
  <c r="C164" i="10"/>
  <c r="B164" i="10"/>
  <c r="F164" i="10"/>
  <c r="E164" i="10"/>
  <c r="D28" i="10"/>
  <c r="C28" i="10"/>
  <c r="B28" i="10"/>
  <c r="F28" i="10"/>
  <c r="G28" i="10"/>
  <c r="E28" i="10"/>
  <c r="A28" i="10"/>
  <c r="D13" i="10"/>
  <c r="C13" i="10"/>
  <c r="B13" i="10"/>
  <c r="F13" i="10"/>
  <c r="E13" i="10"/>
  <c r="A13" i="10"/>
  <c r="G13" i="10"/>
  <c r="D136" i="10"/>
  <c r="B136" i="10"/>
  <c r="A136" i="10"/>
  <c r="G136" i="10"/>
  <c r="F136" i="10"/>
  <c r="E136" i="10"/>
  <c r="C136" i="10"/>
  <c r="E116" i="10"/>
  <c r="D116" i="10"/>
  <c r="C116" i="10"/>
  <c r="F116" i="10"/>
  <c r="G116" i="10"/>
  <c r="A116" i="10"/>
  <c r="B116" i="10"/>
  <c r="D141" i="10"/>
  <c r="B141" i="10"/>
  <c r="E141" i="10"/>
  <c r="C141" i="10"/>
  <c r="A141" i="10"/>
  <c r="G141" i="10"/>
  <c r="F141" i="10"/>
  <c r="B157" i="10"/>
  <c r="G157" i="10"/>
  <c r="E157" i="10"/>
  <c r="D157" i="10"/>
  <c r="C157" i="10"/>
  <c r="A157" i="10"/>
  <c r="F157" i="10"/>
  <c r="F165" i="10"/>
  <c r="B165" i="10"/>
  <c r="G165" i="10"/>
  <c r="E165" i="10"/>
  <c r="A165" i="10"/>
  <c r="C165" i="10"/>
  <c r="D165" i="10"/>
  <c r="F181" i="10"/>
  <c r="B181" i="10"/>
  <c r="G181" i="10"/>
  <c r="E181" i="10"/>
  <c r="D181" i="10"/>
  <c r="C181" i="10"/>
  <c r="A181" i="10"/>
  <c r="F189" i="10"/>
  <c r="B189" i="10"/>
  <c r="C189" i="10"/>
  <c r="A189" i="10"/>
  <c r="G189" i="10"/>
  <c r="E189" i="10"/>
  <c r="D189" i="10"/>
  <c r="F205" i="10"/>
  <c r="B205" i="10"/>
  <c r="C205" i="10"/>
  <c r="A205" i="10"/>
  <c r="G205" i="10"/>
  <c r="E205" i="10"/>
  <c r="D205" i="10"/>
  <c r="D43" i="10"/>
  <c r="C43" i="10"/>
  <c r="B43" i="10"/>
  <c r="G43" i="10"/>
  <c r="F43" i="10"/>
  <c r="E43" i="10"/>
  <c r="A43" i="10"/>
  <c r="D12" i="10"/>
  <c r="C12" i="10"/>
  <c r="B12" i="10"/>
  <c r="E12" i="10"/>
  <c r="G12" i="10"/>
  <c r="F12" i="10"/>
  <c r="A12" i="10"/>
  <c r="D150" i="10"/>
  <c r="B150" i="10"/>
  <c r="G150" i="10"/>
  <c r="F150" i="10"/>
  <c r="E150" i="10"/>
  <c r="C150" i="10"/>
  <c r="A150" i="10"/>
  <c r="E114" i="10"/>
  <c r="D114" i="10"/>
  <c r="C114" i="10"/>
  <c r="F114" i="10"/>
  <c r="G114" i="10"/>
  <c r="B114" i="10"/>
  <c r="A114" i="10"/>
  <c r="D149" i="10"/>
  <c r="B149" i="10"/>
  <c r="E149" i="10"/>
  <c r="C149" i="10"/>
  <c r="A149" i="10"/>
  <c r="G149" i="10"/>
  <c r="F149" i="10"/>
  <c r="D132" i="10"/>
  <c r="B132" i="10"/>
  <c r="A132" i="10"/>
  <c r="G132" i="10"/>
  <c r="E132" i="10"/>
  <c r="C132" i="10"/>
  <c r="F132" i="10"/>
  <c r="D124" i="10"/>
  <c r="A124" i="10"/>
  <c r="B124" i="10"/>
  <c r="G124" i="10"/>
  <c r="F124" i="10"/>
  <c r="E124" i="10"/>
  <c r="C124" i="10"/>
  <c r="D130" i="10"/>
  <c r="G130" i="10"/>
  <c r="F130" i="10"/>
  <c r="E130" i="10"/>
  <c r="C130" i="10"/>
  <c r="B130" i="10"/>
  <c r="A130" i="10"/>
  <c r="C158" i="10"/>
  <c r="A158" i="10"/>
  <c r="D158" i="10"/>
  <c r="B158" i="10"/>
  <c r="G158" i="10"/>
  <c r="F158" i="10"/>
  <c r="E158" i="10"/>
  <c r="F166" i="10"/>
  <c r="D166" i="10"/>
  <c r="B166" i="10"/>
  <c r="A166" i="10"/>
  <c r="G166" i="10"/>
  <c r="E166" i="10"/>
  <c r="C166" i="10"/>
  <c r="F174" i="10"/>
  <c r="D174" i="10"/>
  <c r="B174" i="10"/>
  <c r="G174" i="10"/>
  <c r="E174" i="10"/>
  <c r="C174" i="10"/>
  <c r="A174" i="10"/>
  <c r="F182" i="10"/>
  <c r="D182" i="10"/>
  <c r="B182" i="10"/>
  <c r="A182" i="10"/>
  <c r="C182" i="10"/>
  <c r="G182" i="10"/>
  <c r="E182" i="10"/>
  <c r="F190" i="10"/>
  <c r="D190" i="10"/>
  <c r="B190" i="10"/>
  <c r="G190" i="10"/>
  <c r="E190" i="10"/>
  <c r="C190" i="10"/>
  <c r="A190" i="10"/>
  <c r="F198" i="10"/>
  <c r="D198" i="10"/>
  <c r="B198" i="10"/>
  <c r="A198" i="10"/>
  <c r="G198" i="10"/>
  <c r="E198" i="10"/>
  <c r="C198" i="10"/>
  <c r="F206" i="10"/>
  <c r="D206" i="10"/>
  <c r="B206" i="10"/>
  <c r="G206" i="10"/>
  <c r="E206" i="10"/>
  <c r="C206" i="10"/>
  <c r="A206" i="10"/>
  <c r="F214" i="10"/>
  <c r="D214" i="10"/>
  <c r="B214" i="10"/>
  <c r="A214" i="10"/>
  <c r="G214" i="10"/>
  <c r="E214" i="10"/>
  <c r="C214" i="10"/>
  <c r="F222" i="10"/>
  <c r="D222" i="10"/>
  <c r="B222" i="10"/>
  <c r="G222" i="10"/>
  <c r="E222" i="10"/>
  <c r="C222" i="10"/>
  <c r="A222" i="10"/>
  <c r="F230" i="10"/>
  <c r="D230" i="10"/>
  <c r="B230" i="10"/>
  <c r="A230" i="10"/>
  <c r="G230" i="10"/>
  <c r="E230" i="10"/>
  <c r="C230" i="10"/>
  <c r="D70" i="10"/>
  <c r="C70" i="10"/>
  <c r="B70" i="10"/>
  <c r="G70" i="10"/>
  <c r="F70" i="10"/>
  <c r="A70" i="10"/>
  <c r="E70" i="10"/>
  <c r="D6" i="10"/>
  <c r="C6" i="10"/>
  <c r="B6" i="10"/>
  <c r="F6" i="10"/>
  <c r="G6" i="10"/>
  <c r="A6" i="10"/>
  <c r="E6" i="10"/>
  <c r="D73" i="10"/>
  <c r="C73" i="10"/>
  <c r="B73" i="10"/>
  <c r="E73" i="10"/>
  <c r="G73" i="10"/>
  <c r="F73" i="10"/>
  <c r="A73" i="10"/>
  <c r="D9" i="10"/>
  <c r="C9" i="10"/>
  <c r="B9" i="10"/>
  <c r="G9" i="10"/>
  <c r="F9" i="10"/>
  <c r="E9" i="10"/>
  <c r="A9" i="10"/>
  <c r="D31" i="10"/>
  <c r="C31" i="10"/>
  <c r="B31" i="10"/>
  <c r="A31" i="10"/>
  <c r="G31" i="10"/>
  <c r="F31" i="10"/>
  <c r="E31" i="10"/>
  <c r="D63" i="10"/>
  <c r="C63" i="10"/>
  <c r="B63" i="10"/>
  <c r="A63" i="10"/>
  <c r="G63" i="10"/>
  <c r="F63" i="10"/>
  <c r="E63" i="10"/>
  <c r="D29" i="10"/>
  <c r="C29" i="10"/>
  <c r="B29" i="10"/>
  <c r="F29" i="10"/>
  <c r="E29" i="10"/>
  <c r="A29" i="10"/>
  <c r="G29" i="10"/>
  <c r="E103" i="10"/>
  <c r="C103" i="10"/>
  <c r="G103" i="10"/>
  <c r="F103" i="10"/>
  <c r="D103" i="10"/>
  <c r="A103" i="10"/>
  <c r="B103" i="10"/>
  <c r="D120" i="10"/>
  <c r="F120" i="10"/>
  <c r="E120" i="10"/>
  <c r="C120" i="10"/>
  <c r="B120" i="10"/>
  <c r="A120" i="10"/>
  <c r="G120" i="10"/>
  <c r="D48" i="10"/>
  <c r="C48" i="10"/>
  <c r="B48" i="10"/>
  <c r="G48" i="10"/>
  <c r="F48" i="10"/>
  <c r="E48" i="10"/>
  <c r="A48" i="10"/>
  <c r="D47" i="10"/>
  <c r="C47" i="10"/>
  <c r="B47" i="10"/>
  <c r="A47" i="10"/>
  <c r="G47" i="10"/>
  <c r="F47" i="10"/>
  <c r="E47" i="10"/>
  <c r="D159" i="10"/>
  <c r="B159" i="10"/>
  <c r="G159" i="10"/>
  <c r="F159" i="10"/>
  <c r="E159" i="10"/>
  <c r="C159" i="10"/>
  <c r="A159" i="10"/>
  <c r="F183" i="10"/>
  <c r="G183" i="10"/>
  <c r="D183" i="10"/>
  <c r="E183" i="10"/>
  <c r="C183" i="10"/>
  <c r="B183" i="10"/>
  <c r="A183" i="10"/>
  <c r="F191" i="10"/>
  <c r="G191" i="10"/>
  <c r="D191" i="10"/>
  <c r="A191" i="10"/>
  <c r="E191" i="10"/>
  <c r="C191" i="10"/>
  <c r="B191" i="10"/>
  <c r="F199" i="10"/>
  <c r="G199" i="10"/>
  <c r="D199" i="10"/>
  <c r="E199" i="10"/>
  <c r="C199" i="10"/>
  <c r="B199" i="10"/>
  <c r="A199" i="10"/>
  <c r="F207" i="10"/>
  <c r="G207" i="10"/>
  <c r="D207" i="10"/>
  <c r="A207" i="10"/>
  <c r="E207" i="10"/>
  <c r="C207" i="10"/>
  <c r="B207" i="10"/>
  <c r="F215" i="10"/>
  <c r="G215" i="10"/>
  <c r="D215" i="10"/>
  <c r="E215" i="10"/>
  <c r="C215" i="10"/>
  <c r="B215" i="10"/>
  <c r="A215" i="10"/>
  <c r="F223" i="10"/>
  <c r="G223" i="10"/>
  <c r="D223" i="10"/>
  <c r="A223" i="10"/>
  <c r="E223" i="10"/>
  <c r="C223" i="10"/>
  <c r="B223" i="10"/>
  <c r="F231" i="10"/>
  <c r="G231" i="10"/>
  <c r="D231" i="10"/>
  <c r="E231" i="10"/>
  <c r="C231" i="10"/>
  <c r="B231" i="10"/>
  <c r="A231" i="10"/>
  <c r="D62" i="10"/>
  <c r="C62" i="10"/>
  <c r="B62" i="10"/>
  <c r="E62" i="10"/>
  <c r="G62" i="10"/>
  <c r="F62" i="10"/>
  <c r="A62" i="10"/>
  <c r="D18" i="10"/>
  <c r="C18" i="10"/>
  <c r="B18" i="10"/>
  <c r="E18" i="10"/>
  <c r="A18" i="10"/>
  <c r="G18" i="10"/>
  <c r="F18" i="10"/>
  <c r="D65" i="10"/>
  <c r="C65" i="10"/>
  <c r="B65" i="10"/>
  <c r="G65" i="10"/>
  <c r="F65" i="10"/>
  <c r="E65" i="10"/>
  <c r="A65" i="10"/>
  <c r="E90" i="10"/>
  <c r="D90" i="10"/>
  <c r="C90" i="10"/>
  <c r="B90" i="10"/>
  <c r="G90" i="10"/>
  <c r="F90" i="10"/>
  <c r="A90" i="10"/>
  <c r="D23" i="10"/>
  <c r="C23" i="10"/>
  <c r="B23" i="10"/>
  <c r="A23" i="10"/>
  <c r="G23" i="10"/>
  <c r="E23" i="10"/>
  <c r="F23" i="10"/>
  <c r="D66" i="10"/>
  <c r="C66" i="10"/>
  <c r="B66" i="10"/>
  <c r="E66" i="10"/>
  <c r="A66" i="10"/>
  <c r="G66" i="10"/>
  <c r="F66" i="10"/>
  <c r="D137" i="10"/>
  <c r="B137" i="10"/>
  <c r="E137" i="10"/>
  <c r="C137" i="10"/>
  <c r="A137" i="10"/>
  <c r="G137" i="10"/>
  <c r="F137" i="10"/>
  <c r="E98" i="10"/>
  <c r="C98" i="10"/>
  <c r="D98" i="10"/>
  <c r="B98" i="10"/>
  <c r="A98" i="10"/>
  <c r="F98" i="10"/>
  <c r="G98" i="10"/>
  <c r="E115" i="10"/>
  <c r="D115" i="10"/>
  <c r="C115" i="10"/>
  <c r="F115" i="10"/>
  <c r="B115" i="10"/>
  <c r="A115" i="10"/>
  <c r="G115" i="10"/>
  <c r="D40" i="10"/>
  <c r="C40" i="10"/>
  <c r="B40" i="10"/>
  <c r="G40" i="10"/>
  <c r="F40" i="10"/>
  <c r="E40" i="10"/>
  <c r="A40" i="10"/>
  <c r="D32" i="10"/>
  <c r="C32" i="10"/>
  <c r="B32" i="10"/>
  <c r="G32" i="10"/>
  <c r="A32" i="10"/>
  <c r="F32" i="10"/>
  <c r="E32" i="10"/>
  <c r="D36" i="10"/>
  <c r="C36" i="10"/>
  <c r="B36" i="10"/>
  <c r="G36" i="10"/>
  <c r="F36" i="10"/>
  <c r="E36" i="10"/>
  <c r="A36" i="10"/>
  <c r="E108" i="10"/>
  <c r="C108" i="10"/>
  <c r="G108" i="10"/>
  <c r="F108" i="10"/>
  <c r="B108" i="10"/>
  <c r="A108" i="10"/>
  <c r="D108" i="10"/>
  <c r="E112" i="10"/>
  <c r="D112" i="10"/>
  <c r="C112" i="10"/>
  <c r="B112" i="10"/>
  <c r="A112" i="10"/>
  <c r="G112" i="10"/>
  <c r="F112" i="10"/>
  <c r="D145" i="10"/>
  <c r="B145" i="10"/>
  <c r="E145" i="10"/>
  <c r="C145" i="10"/>
  <c r="A145" i="10"/>
  <c r="G145" i="10"/>
  <c r="F145" i="10"/>
  <c r="F167" i="10"/>
  <c r="G167" i="10"/>
  <c r="D167" i="10"/>
  <c r="E167" i="10"/>
  <c r="C167" i="10"/>
  <c r="B167" i="10"/>
  <c r="A167" i="10"/>
  <c r="D27" i="10"/>
  <c r="C27" i="10"/>
  <c r="B27" i="10"/>
  <c r="G27" i="10"/>
  <c r="F27" i="10"/>
  <c r="E27" i="10"/>
  <c r="A27" i="10"/>
  <c r="D140" i="10"/>
  <c r="B140" i="10"/>
  <c r="A140" i="10"/>
  <c r="G140" i="10"/>
  <c r="F140" i="10"/>
  <c r="E140" i="10"/>
  <c r="C140" i="10"/>
  <c r="D131" i="10"/>
  <c r="G131" i="10"/>
  <c r="C131" i="10"/>
  <c r="B131" i="10"/>
  <c r="A131" i="10"/>
  <c r="F131" i="10"/>
  <c r="E131" i="10"/>
  <c r="F168" i="10"/>
  <c r="G168" i="10"/>
  <c r="A168" i="10"/>
  <c r="B168" i="10"/>
  <c r="E168" i="10"/>
  <c r="C168" i="10"/>
  <c r="D168" i="10"/>
  <c r="F192" i="10"/>
  <c r="G192" i="10"/>
  <c r="E192" i="10"/>
  <c r="D192" i="10"/>
  <c r="C192" i="10"/>
  <c r="B192" i="10"/>
  <c r="A192" i="10"/>
  <c r="F216" i="10"/>
  <c r="G216" i="10"/>
  <c r="A216" i="10"/>
  <c r="D216" i="10"/>
  <c r="C216" i="10"/>
  <c r="B216" i="10"/>
  <c r="E216" i="10"/>
  <c r="D54" i="10"/>
  <c r="C54" i="10"/>
  <c r="B54" i="10"/>
  <c r="G54" i="10"/>
  <c r="F54" i="10"/>
  <c r="E54" i="10"/>
  <c r="A54" i="10"/>
  <c r="E88" i="10"/>
  <c r="B88" i="10"/>
  <c r="A88" i="10"/>
  <c r="G88" i="10"/>
  <c r="F88" i="10"/>
  <c r="D88" i="10"/>
  <c r="C88" i="10"/>
  <c r="D74" i="10"/>
  <c r="C74" i="10"/>
  <c r="B74" i="10"/>
  <c r="E74" i="10"/>
  <c r="A74" i="10"/>
  <c r="G74" i="10"/>
  <c r="F74" i="10"/>
  <c r="E91" i="10"/>
  <c r="C91" i="10"/>
  <c r="G91" i="10"/>
  <c r="F91" i="10"/>
  <c r="D91" i="10"/>
  <c r="B91" i="10"/>
  <c r="A91" i="10"/>
  <c r="D19" i="10"/>
  <c r="C19" i="10"/>
  <c r="B19" i="10"/>
  <c r="E19" i="10"/>
  <c r="G19" i="10"/>
  <c r="F19" i="10"/>
  <c r="A19" i="10"/>
  <c r="D50" i="10"/>
  <c r="C50" i="10"/>
  <c r="B50" i="10"/>
  <c r="E50" i="10"/>
  <c r="G50" i="10"/>
  <c r="A50" i="10"/>
  <c r="F50" i="10"/>
  <c r="D148" i="10"/>
  <c r="B148" i="10"/>
  <c r="A148" i="10"/>
  <c r="E148" i="10"/>
  <c r="C148" i="10"/>
  <c r="G148" i="10"/>
  <c r="F148" i="10"/>
  <c r="E87" i="10"/>
  <c r="A87" i="10"/>
  <c r="G87" i="10"/>
  <c r="F87" i="10"/>
  <c r="D87" i="10"/>
  <c r="C87" i="10"/>
  <c r="B87" i="10"/>
  <c r="E96" i="10"/>
  <c r="C96" i="10"/>
  <c r="G96" i="10"/>
  <c r="A96" i="10"/>
  <c r="F96" i="10"/>
  <c r="D96" i="10"/>
  <c r="B96" i="10"/>
  <c r="D126" i="10"/>
  <c r="C126" i="10"/>
  <c r="B126" i="10"/>
  <c r="A126" i="10"/>
  <c r="G126" i="10"/>
  <c r="F126" i="10"/>
  <c r="E126" i="10"/>
  <c r="D135" i="10"/>
  <c r="B135" i="10"/>
  <c r="G135" i="10"/>
  <c r="E135" i="10"/>
  <c r="C135" i="10"/>
  <c r="A135" i="10"/>
  <c r="F135" i="10"/>
  <c r="F153" i="10"/>
  <c r="D153" i="10"/>
  <c r="G153" i="10"/>
  <c r="E153" i="10"/>
  <c r="C153" i="10"/>
  <c r="A153" i="10"/>
  <c r="B153" i="10"/>
  <c r="F161" i="10"/>
  <c r="D161" i="10"/>
  <c r="C161" i="10"/>
  <c r="B161" i="10"/>
  <c r="A161" i="10"/>
  <c r="G161" i="10"/>
  <c r="E161" i="10"/>
  <c r="F169" i="10"/>
  <c r="B169" i="10"/>
  <c r="E169" i="10"/>
  <c r="D169" i="10"/>
  <c r="C169" i="10"/>
  <c r="G169" i="10"/>
  <c r="A169" i="10"/>
  <c r="F177" i="10"/>
  <c r="B177" i="10"/>
  <c r="G177" i="10"/>
  <c r="E177" i="10"/>
  <c r="D177" i="10"/>
  <c r="C177" i="10"/>
  <c r="A177" i="10"/>
  <c r="F185" i="10"/>
  <c r="B185" i="10"/>
  <c r="E185" i="10"/>
  <c r="D185" i="10"/>
  <c r="C185" i="10"/>
  <c r="G185" i="10"/>
  <c r="A185" i="10"/>
  <c r="F193" i="10"/>
  <c r="B193" i="10"/>
  <c r="D193" i="10"/>
  <c r="G193" i="10"/>
  <c r="E193" i="10"/>
  <c r="C193" i="10"/>
  <c r="A193" i="10"/>
  <c r="F201" i="10"/>
  <c r="B201" i="10"/>
  <c r="E201" i="10"/>
  <c r="D201" i="10"/>
  <c r="C201" i="10"/>
  <c r="G201" i="10"/>
  <c r="A201" i="10"/>
  <c r="F209" i="10"/>
  <c r="B209" i="10"/>
  <c r="D209" i="10"/>
  <c r="C209" i="10"/>
  <c r="A209" i="10"/>
  <c r="G209" i="10"/>
  <c r="E209" i="10"/>
  <c r="F217" i="10"/>
  <c r="B217" i="10"/>
  <c r="E217" i="10"/>
  <c r="D217" i="10"/>
  <c r="C217" i="10"/>
  <c r="G217" i="10"/>
  <c r="A217" i="10"/>
  <c r="F225" i="10"/>
  <c r="B225" i="10"/>
  <c r="D225" i="10"/>
  <c r="G225" i="10"/>
  <c r="E225" i="10"/>
  <c r="C225" i="10"/>
  <c r="A225" i="10"/>
  <c r="F233" i="10"/>
  <c r="B233" i="10"/>
  <c r="E233" i="10"/>
  <c r="D233" i="10"/>
  <c r="C233" i="10"/>
  <c r="G233" i="10"/>
  <c r="A233" i="10"/>
  <c r="D46" i="10"/>
  <c r="C46" i="10"/>
  <c r="B46" i="10"/>
  <c r="G46" i="10"/>
  <c r="F46" i="10"/>
  <c r="E46" i="10"/>
  <c r="A46" i="10"/>
  <c r="E118" i="10"/>
  <c r="D118" i="10"/>
  <c r="C118" i="10"/>
  <c r="G118" i="10"/>
  <c r="F118" i="10"/>
  <c r="B118" i="10"/>
  <c r="A118" i="10"/>
  <c r="D49" i="10"/>
  <c r="C49" i="10"/>
  <c r="B49" i="10"/>
  <c r="A49" i="10"/>
  <c r="G49" i="10"/>
  <c r="F49" i="10"/>
  <c r="E49" i="10"/>
  <c r="D76" i="10"/>
  <c r="C76" i="10"/>
  <c r="B76" i="10"/>
  <c r="G76" i="10"/>
  <c r="F76" i="10"/>
  <c r="E76" i="10"/>
  <c r="A76" i="10"/>
  <c r="E117" i="10"/>
  <c r="D117" i="10"/>
  <c r="C117" i="10"/>
  <c r="A117" i="10"/>
  <c r="G117" i="10"/>
  <c r="F117" i="10"/>
  <c r="B117" i="10"/>
  <c r="E106" i="10"/>
  <c r="C106" i="10"/>
  <c r="D106" i="10"/>
  <c r="B106" i="10"/>
  <c r="A106" i="10"/>
  <c r="G106" i="10"/>
  <c r="F106" i="10"/>
  <c r="D58" i="10"/>
  <c r="C58" i="10"/>
  <c r="B58" i="10"/>
  <c r="E58" i="10"/>
  <c r="A58" i="10"/>
  <c r="G58" i="10"/>
  <c r="F58" i="10"/>
  <c r="E82" i="10"/>
  <c r="D82" i="10"/>
  <c r="C82" i="10"/>
  <c r="B82" i="10"/>
  <c r="F82" i="10"/>
  <c r="A82" i="10"/>
  <c r="G82" i="10"/>
  <c r="E89" i="10"/>
  <c r="C89" i="10"/>
  <c r="B89" i="10"/>
  <c r="A89" i="10"/>
  <c r="G89" i="10"/>
  <c r="F89" i="10"/>
  <c r="D89" i="10"/>
  <c r="D24" i="10"/>
  <c r="C24" i="10"/>
  <c r="B24" i="10"/>
  <c r="G24" i="10"/>
  <c r="A24" i="10"/>
  <c r="F24" i="10"/>
  <c r="E24" i="10"/>
  <c r="D37" i="10"/>
  <c r="C37" i="10"/>
  <c r="B37" i="10"/>
  <c r="F37" i="10"/>
  <c r="E37" i="10"/>
  <c r="A37" i="10"/>
  <c r="G37" i="10"/>
  <c r="D133" i="10"/>
  <c r="B133" i="10"/>
  <c r="E133" i="10"/>
  <c r="C133" i="10"/>
  <c r="A133" i="10"/>
  <c r="F133" i="10"/>
  <c r="G133" i="10"/>
  <c r="D128" i="10"/>
  <c r="F128" i="10"/>
  <c r="E128" i="10"/>
  <c r="C128" i="10"/>
  <c r="G128" i="10"/>
  <c r="B128" i="10"/>
  <c r="A128" i="10"/>
  <c r="D123" i="10"/>
  <c r="G123" i="10"/>
  <c r="C123" i="10"/>
  <c r="F123" i="10"/>
  <c r="E123" i="10"/>
  <c r="B123" i="10"/>
  <c r="A123" i="10"/>
  <c r="F175" i="10"/>
  <c r="G175" i="10"/>
  <c r="D175" i="10"/>
  <c r="A175" i="10"/>
  <c r="E175" i="10"/>
  <c r="C175" i="10"/>
  <c r="B175" i="10"/>
  <c r="D15" i="10"/>
  <c r="C15" i="10"/>
  <c r="B15" i="10"/>
  <c r="A15" i="10"/>
  <c r="G15" i="10"/>
  <c r="F15" i="10"/>
  <c r="E15" i="10"/>
  <c r="E92" i="10"/>
  <c r="C92" i="10"/>
  <c r="G92" i="10"/>
  <c r="F92" i="10"/>
  <c r="D92" i="10"/>
  <c r="B92" i="10"/>
  <c r="A92" i="10"/>
  <c r="E152" i="10"/>
  <c r="C152" i="10"/>
  <c r="B152" i="10"/>
  <c r="A152" i="10"/>
  <c r="G152" i="10"/>
  <c r="F152" i="10"/>
  <c r="D152" i="10"/>
  <c r="F176" i="10"/>
  <c r="G176" i="10"/>
  <c r="E176" i="10"/>
  <c r="D176" i="10"/>
  <c r="C176" i="10"/>
  <c r="B176" i="10"/>
  <c r="A176" i="10"/>
  <c r="F200" i="10"/>
  <c r="G200" i="10"/>
  <c r="A200" i="10"/>
  <c r="D200" i="10"/>
  <c r="E200" i="10"/>
  <c r="C200" i="10"/>
  <c r="B200" i="10"/>
  <c r="F224" i="10"/>
  <c r="G224" i="10"/>
  <c r="E224" i="10"/>
  <c r="D224" i="10"/>
  <c r="C224" i="10"/>
  <c r="B224" i="10"/>
  <c r="A224" i="10"/>
  <c r="D125" i="10"/>
  <c r="B125" i="10"/>
  <c r="A125" i="10"/>
  <c r="G125" i="10"/>
  <c r="F125" i="10"/>
  <c r="E125" i="10"/>
  <c r="C125" i="10"/>
  <c r="D146" i="10"/>
  <c r="B146" i="10"/>
  <c r="G146" i="10"/>
  <c r="F146" i="10"/>
  <c r="E146" i="10"/>
  <c r="A146" i="10"/>
  <c r="C146" i="10"/>
  <c r="E93" i="10"/>
  <c r="C93" i="10"/>
  <c r="A93" i="10"/>
  <c r="G93" i="10"/>
  <c r="F93" i="10"/>
  <c r="D93" i="10"/>
  <c r="B93" i="10"/>
  <c r="D75" i="10"/>
  <c r="C75" i="10"/>
  <c r="B75" i="10"/>
  <c r="G75" i="10"/>
  <c r="F75" i="10"/>
  <c r="E75" i="10"/>
  <c r="A75" i="10"/>
  <c r="D11" i="10"/>
  <c r="C11" i="10"/>
  <c r="B11" i="10"/>
  <c r="G11" i="10"/>
  <c r="F11" i="10"/>
  <c r="E11" i="10"/>
  <c r="A11" i="10"/>
  <c r="D34" i="10"/>
  <c r="C34" i="10"/>
  <c r="B34" i="10"/>
  <c r="E34" i="10"/>
  <c r="A34" i="10"/>
  <c r="G34" i="10"/>
  <c r="F34" i="10"/>
  <c r="D138" i="10"/>
  <c r="B138" i="10"/>
  <c r="G138" i="10"/>
  <c r="F138" i="10"/>
  <c r="E138" i="10"/>
  <c r="C138" i="10"/>
  <c r="A138" i="10"/>
  <c r="E111" i="10"/>
  <c r="D111" i="10"/>
  <c r="C111" i="10"/>
  <c r="G111" i="10"/>
  <c r="B111" i="10"/>
  <c r="A111" i="10"/>
  <c r="F111" i="10"/>
  <c r="E100" i="10"/>
  <c r="C100" i="10"/>
  <c r="F100" i="10"/>
  <c r="G100" i="10"/>
  <c r="D100" i="10"/>
  <c r="B100" i="10"/>
  <c r="A100" i="10"/>
  <c r="D134" i="10"/>
  <c r="B134" i="10"/>
  <c r="G134" i="10"/>
  <c r="F134" i="10"/>
  <c r="E134" i="10"/>
  <c r="C134" i="10"/>
  <c r="A134" i="10"/>
  <c r="D139" i="10"/>
  <c r="B139" i="10"/>
  <c r="G139" i="10"/>
  <c r="F139" i="10"/>
  <c r="A139" i="10"/>
  <c r="E139" i="10"/>
  <c r="C139" i="10"/>
  <c r="G154" i="10"/>
  <c r="E154" i="10"/>
  <c r="F154" i="10"/>
  <c r="D154" i="10"/>
  <c r="C154" i="10"/>
  <c r="B154" i="10"/>
  <c r="A154" i="10"/>
  <c r="G162" i="10"/>
  <c r="E162" i="10"/>
  <c r="F162" i="10"/>
  <c r="D162" i="10"/>
  <c r="C162" i="10"/>
  <c r="B162" i="10"/>
  <c r="A162" i="10"/>
  <c r="F170" i="10"/>
  <c r="D170" i="10"/>
  <c r="B170" i="10"/>
  <c r="E170" i="10"/>
  <c r="C170" i="10"/>
  <c r="A170" i="10"/>
  <c r="G170" i="10"/>
  <c r="F178" i="10"/>
  <c r="D178" i="10"/>
  <c r="B178" i="10"/>
  <c r="E178" i="10"/>
  <c r="C178" i="10"/>
  <c r="A178" i="10"/>
  <c r="G178" i="10"/>
  <c r="F186" i="10"/>
  <c r="D186" i="10"/>
  <c r="B186" i="10"/>
  <c r="G186" i="10"/>
  <c r="E186" i="10"/>
  <c r="C186" i="10"/>
  <c r="A186" i="10"/>
  <c r="F194" i="10"/>
  <c r="D194" i="10"/>
  <c r="B194" i="10"/>
  <c r="E194" i="10"/>
  <c r="C194" i="10"/>
  <c r="A194" i="10"/>
  <c r="G194" i="10"/>
  <c r="F202" i="10"/>
  <c r="D202" i="10"/>
  <c r="B202" i="10"/>
  <c r="C202" i="10"/>
  <c r="A202" i="10"/>
  <c r="G202" i="10"/>
  <c r="E202" i="10"/>
  <c r="F210" i="10"/>
  <c r="D210" i="10"/>
  <c r="B210" i="10"/>
  <c r="E210" i="10"/>
  <c r="C210" i="10"/>
  <c r="A210" i="10"/>
  <c r="G210" i="10"/>
  <c r="F218" i="10"/>
  <c r="D218" i="10"/>
  <c r="B218" i="10"/>
  <c r="C218" i="10"/>
  <c r="G218" i="10"/>
  <c r="E218" i="10"/>
  <c r="A218" i="10"/>
  <c r="F226" i="10"/>
  <c r="D226" i="10"/>
  <c r="B226" i="10"/>
  <c r="E226" i="10"/>
  <c r="C226" i="10"/>
  <c r="A226" i="10"/>
  <c r="G226" i="10"/>
  <c r="F234" i="10"/>
  <c r="D234" i="10"/>
  <c r="B234" i="10"/>
  <c r="E234" i="10"/>
  <c r="C234" i="10"/>
  <c r="G234" i="10"/>
  <c r="A234" i="10"/>
  <c r="D38" i="10"/>
  <c r="C38" i="10"/>
  <c r="B38" i="10"/>
  <c r="G38" i="10"/>
  <c r="F38" i="10"/>
  <c r="E38" i="10"/>
  <c r="A38" i="10"/>
  <c r="E110" i="10"/>
  <c r="D110" i="10"/>
  <c r="C110" i="10"/>
  <c r="G110" i="10"/>
  <c r="A110" i="10"/>
  <c r="F110" i="10"/>
  <c r="B110" i="10"/>
  <c r="D41" i="10"/>
  <c r="C41" i="10"/>
  <c r="B41" i="10"/>
  <c r="G41" i="10"/>
  <c r="F41" i="10"/>
  <c r="E41" i="10"/>
  <c r="A41" i="10"/>
  <c r="D68" i="10"/>
  <c r="C68" i="10"/>
  <c r="B68" i="10"/>
  <c r="G68" i="10"/>
  <c r="F68" i="10"/>
  <c r="E68" i="10"/>
  <c r="A68" i="10"/>
  <c r="E109" i="10"/>
  <c r="D109" i="10"/>
  <c r="C109" i="10"/>
  <c r="A109" i="10"/>
  <c r="G109" i="10"/>
  <c r="F109" i="10"/>
  <c r="B109" i="10"/>
  <c r="E94" i="10"/>
  <c r="C94" i="10"/>
  <c r="D94" i="10"/>
  <c r="B94" i="10"/>
  <c r="A94" i="10"/>
  <c r="G94" i="10"/>
  <c r="F94" i="10"/>
  <c r="D42" i="10"/>
  <c r="C42" i="10"/>
  <c r="B42" i="10"/>
  <c r="E42" i="10"/>
  <c r="A42" i="10"/>
  <c r="F42" i="10"/>
  <c r="G42" i="10"/>
  <c r="D77" i="10"/>
  <c r="C77" i="10"/>
  <c r="B77" i="10"/>
  <c r="F77" i="10"/>
  <c r="E77" i="10"/>
  <c r="A77" i="10"/>
  <c r="G77" i="10"/>
  <c r="D80" i="10"/>
  <c r="C80" i="10"/>
  <c r="B80" i="10"/>
  <c r="G80" i="10"/>
  <c r="F80" i="10"/>
  <c r="E80" i="10"/>
  <c r="A80" i="10"/>
  <c r="D16" i="10"/>
  <c r="C16" i="10"/>
  <c r="B16" i="10"/>
  <c r="G16" i="10"/>
  <c r="A16" i="10"/>
  <c r="F16" i="10"/>
  <c r="E16" i="10"/>
  <c r="E101" i="10"/>
  <c r="C101" i="10"/>
  <c r="A101" i="10"/>
  <c r="G101" i="10"/>
  <c r="F101" i="10"/>
  <c r="D101" i="10"/>
  <c r="B101" i="10"/>
  <c r="D35" i="10"/>
  <c r="C35" i="10"/>
  <c r="B35" i="10"/>
  <c r="G35" i="10"/>
  <c r="F35" i="10"/>
  <c r="E35" i="10"/>
  <c r="A35" i="10"/>
  <c r="E86" i="10"/>
  <c r="G86" i="10"/>
  <c r="B86" i="10"/>
  <c r="A86" i="10"/>
  <c r="F86" i="10"/>
  <c r="D86" i="10"/>
  <c r="C86" i="10"/>
  <c r="D151" i="10"/>
  <c r="B151" i="10"/>
  <c r="G151" i="10"/>
  <c r="F151" i="10"/>
  <c r="E151" i="10"/>
  <c r="C151" i="10"/>
  <c r="A151" i="10"/>
  <c r="D127" i="10"/>
  <c r="E127" i="10"/>
  <c r="C127" i="10"/>
  <c r="B127" i="10"/>
  <c r="G127" i="10"/>
  <c r="F127" i="10"/>
  <c r="A127" i="10"/>
  <c r="D142" i="10"/>
  <c r="B142" i="10"/>
  <c r="G142" i="10"/>
  <c r="F142" i="10"/>
  <c r="E142" i="10"/>
  <c r="C142" i="10"/>
  <c r="A142" i="10"/>
  <c r="E97" i="10"/>
  <c r="C97" i="10"/>
  <c r="A97" i="10"/>
  <c r="G97" i="10"/>
  <c r="F97" i="10"/>
  <c r="D97" i="10"/>
  <c r="B97" i="10"/>
  <c r="E160" i="10"/>
  <c r="C160" i="10"/>
  <c r="B160" i="10"/>
  <c r="A160" i="10"/>
  <c r="G160" i="10"/>
  <c r="D160" i="10"/>
  <c r="F160" i="10"/>
  <c r="F184" i="10"/>
  <c r="G184" i="10"/>
  <c r="A184" i="10"/>
  <c r="E184" i="10"/>
  <c r="D184" i="10"/>
  <c r="C184" i="10"/>
  <c r="B184" i="10"/>
  <c r="F208" i="10"/>
  <c r="G208" i="10"/>
  <c r="E208" i="10"/>
  <c r="D208" i="10"/>
  <c r="C208" i="10"/>
  <c r="B208" i="10"/>
  <c r="A208" i="10"/>
  <c r="F232" i="10"/>
  <c r="G232" i="10"/>
  <c r="A232" i="10"/>
  <c r="E232" i="10"/>
  <c r="D232" i="10"/>
  <c r="C232" i="10"/>
  <c r="B232" i="10"/>
  <c r="D57" i="10"/>
  <c r="C57" i="10"/>
  <c r="B57" i="10"/>
  <c r="F57" i="10"/>
  <c r="E57" i="10"/>
  <c r="G57" i="10"/>
  <c r="A57" i="10"/>
  <c r="D7" i="10"/>
  <c r="C7" i="10"/>
  <c r="B7" i="10"/>
  <c r="A7" i="10"/>
  <c r="G7" i="10"/>
  <c r="E7" i="10"/>
  <c r="F7" i="10"/>
  <c r="E84" i="10"/>
  <c r="G84" i="10"/>
  <c r="F84" i="10"/>
  <c r="D84" i="10"/>
  <c r="B84" i="10"/>
  <c r="A84" i="10"/>
  <c r="C84" i="10"/>
  <c r="D67" i="10"/>
  <c r="C67" i="10"/>
  <c r="B67" i="10"/>
  <c r="A67" i="10"/>
  <c r="G67" i="10"/>
  <c r="F67" i="10"/>
  <c r="E67" i="10"/>
  <c r="D52" i="10"/>
  <c r="C52" i="10"/>
  <c r="B52" i="10"/>
  <c r="G52" i="10"/>
  <c r="F52" i="10"/>
  <c r="E52" i="10"/>
  <c r="A52" i="10"/>
  <c r="D26" i="10"/>
  <c r="C26" i="10"/>
  <c r="B26" i="10"/>
  <c r="E26" i="10"/>
  <c r="G26" i="10"/>
  <c r="A26" i="10"/>
  <c r="F26" i="10"/>
  <c r="D144" i="10"/>
  <c r="B144" i="10"/>
  <c r="A144" i="10"/>
  <c r="C144" i="10"/>
  <c r="G144" i="10"/>
  <c r="F144" i="10"/>
  <c r="E144" i="10"/>
  <c r="E119" i="10"/>
  <c r="D119" i="10"/>
  <c r="C119" i="10"/>
  <c r="G119" i="10"/>
  <c r="F119" i="10"/>
  <c r="B119" i="10"/>
  <c r="A119" i="10"/>
  <c r="E104" i="10"/>
  <c r="C104" i="10"/>
  <c r="F104" i="10"/>
  <c r="G104" i="10"/>
  <c r="D104" i="10"/>
  <c r="B104" i="10"/>
  <c r="A104" i="10"/>
  <c r="E85" i="10"/>
  <c r="G85" i="10"/>
  <c r="F85" i="10"/>
  <c r="D85" i="10"/>
  <c r="C85" i="10"/>
  <c r="B85" i="10"/>
  <c r="A85" i="10"/>
  <c r="D143" i="10"/>
  <c r="B143" i="10"/>
  <c r="G143" i="10"/>
  <c r="F143" i="10"/>
  <c r="E143" i="10"/>
  <c r="C143" i="10"/>
  <c r="A143" i="10"/>
  <c r="F155" i="10"/>
  <c r="C155" i="10"/>
  <c r="B155" i="10"/>
  <c r="A155" i="10"/>
  <c r="D155" i="10"/>
  <c r="E155" i="10"/>
  <c r="G155" i="10"/>
  <c r="F163" i="10"/>
  <c r="A163" i="10"/>
  <c r="G163" i="10"/>
  <c r="E163" i="10"/>
  <c r="D163" i="10"/>
  <c r="B163" i="10"/>
  <c r="C163" i="10"/>
  <c r="F171" i="10"/>
  <c r="G171" i="10"/>
  <c r="D171" i="10"/>
  <c r="C171" i="10"/>
  <c r="B171" i="10"/>
  <c r="A171" i="10"/>
  <c r="E171" i="10"/>
  <c r="F179" i="10"/>
  <c r="G179" i="10"/>
  <c r="D179" i="10"/>
  <c r="B179" i="10"/>
  <c r="A179" i="10"/>
  <c r="E179" i="10"/>
  <c r="C179" i="10"/>
  <c r="F187" i="10"/>
  <c r="G187" i="10"/>
  <c r="D187" i="10"/>
  <c r="C187" i="10"/>
  <c r="B187" i="10"/>
  <c r="A187" i="10"/>
  <c r="E187" i="10"/>
  <c r="F195" i="10"/>
  <c r="G195" i="10"/>
  <c r="D195" i="10"/>
  <c r="B195" i="10"/>
  <c r="A195" i="10"/>
  <c r="E195" i="10"/>
  <c r="C195" i="10"/>
  <c r="F203" i="10"/>
  <c r="G203" i="10"/>
  <c r="D203" i="10"/>
  <c r="C203" i="10"/>
  <c r="B203" i="10"/>
  <c r="A203" i="10"/>
  <c r="E203" i="10"/>
  <c r="F211" i="10"/>
  <c r="G211" i="10"/>
  <c r="D211" i="10"/>
  <c r="B211" i="10"/>
  <c r="E211" i="10"/>
  <c r="C211" i="10"/>
  <c r="A211" i="10"/>
  <c r="F219" i="10"/>
  <c r="G219" i="10"/>
  <c r="D219" i="10"/>
  <c r="C219" i="10"/>
  <c r="B219" i="10"/>
  <c r="A219" i="10"/>
  <c r="E219" i="10"/>
  <c r="F227" i="10"/>
  <c r="G227" i="10"/>
  <c r="D227" i="10"/>
  <c r="B227" i="10"/>
  <c r="A227" i="10"/>
  <c r="E227" i="10"/>
  <c r="C227" i="10"/>
  <c r="F235" i="10"/>
  <c r="G235" i="10"/>
  <c r="D235" i="10"/>
  <c r="A235" i="10"/>
  <c r="E235" i="10"/>
  <c r="C235" i="10"/>
  <c r="B235" i="10"/>
  <c r="D30" i="10"/>
  <c r="C30" i="10"/>
  <c r="B30" i="10"/>
  <c r="E30" i="10"/>
  <c r="G30" i="10"/>
  <c r="F30" i="10"/>
  <c r="A30" i="10"/>
  <c r="E107" i="10"/>
  <c r="C107" i="10"/>
  <c r="G107" i="10"/>
  <c r="B107" i="10"/>
  <c r="F107" i="10"/>
  <c r="D107" i="10"/>
  <c r="A107" i="10"/>
  <c r="D33" i="10"/>
  <c r="C33" i="10"/>
  <c r="B33" i="10"/>
  <c r="A33" i="10"/>
  <c r="G33" i="10"/>
  <c r="F33" i="10"/>
  <c r="E33" i="10"/>
  <c r="D60" i="10"/>
  <c r="C60" i="10"/>
  <c r="B60" i="10"/>
  <c r="G60" i="10"/>
  <c r="F60" i="10"/>
  <c r="E60" i="10"/>
  <c r="A60" i="10"/>
  <c r="E99" i="10"/>
  <c r="C99" i="10"/>
  <c r="G99" i="10"/>
  <c r="F99" i="10"/>
  <c r="D99" i="10"/>
  <c r="B99" i="10"/>
  <c r="A99" i="10"/>
  <c r="D79" i="10"/>
  <c r="C79" i="10"/>
  <c r="B79" i="10"/>
  <c r="A79" i="10"/>
  <c r="G79" i="10"/>
  <c r="F79" i="10"/>
  <c r="E79" i="10"/>
  <c r="D10" i="10"/>
  <c r="C10" i="10"/>
  <c r="B10" i="10"/>
  <c r="E10" i="10"/>
  <c r="A10" i="10"/>
  <c r="G10" i="10"/>
  <c r="F10" i="10"/>
  <c r="D69" i="10"/>
  <c r="C69" i="10"/>
  <c r="B69" i="10"/>
  <c r="F69" i="10"/>
  <c r="E69" i="10"/>
  <c r="A69" i="10"/>
  <c r="G69" i="10"/>
  <c r="D72" i="10"/>
  <c r="C72" i="10"/>
  <c r="B72" i="10"/>
  <c r="G72" i="10"/>
  <c r="F72" i="10"/>
  <c r="E72" i="10"/>
  <c r="A72" i="10"/>
  <c r="D8" i="10"/>
  <c r="C8" i="10"/>
  <c r="B8" i="10"/>
  <c r="G8" i="10"/>
  <c r="F8" i="10"/>
  <c r="E8" i="10"/>
  <c r="A8" i="10"/>
</calcChain>
</file>

<file path=xl/sharedStrings.xml><?xml version="1.0" encoding="utf-8"?>
<sst xmlns="http://schemas.openxmlformats.org/spreadsheetml/2006/main" count="3341" uniqueCount="650">
  <si>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</si>
  <si>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</si>
  <si>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</si>
  <si>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</si>
  <si>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</si>
  <si>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</si>
  <si>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</si>
  <si>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</si>
  <si>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</si>
  <si>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</si>
  <si>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</si>
  <si>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</si>
  <si>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</si>
  <si>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</si>
  <si>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</si>
  <si>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</si>
  <si>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</si>
  <si>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</si>
  <si>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</si>
  <si>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</si>
  <si>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</si>
  <si>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</si>
  <si>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</si>
  <si>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</si>
  <si>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</si>
  <si>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</si>
  <si>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</si>
  <si>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</si>
  <si>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</si>
  <si>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</si>
  <si>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</si>
  <si>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</si>
  <si>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</si>
  <si>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</si>
  <si>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</si>
  <si>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</si>
  <si>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</si>
  <si>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</si>
  <si>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</si>
  <si>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</si>
  <si>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</si>
  <si>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</si>
  <si>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</si>
  <si>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</si>
  <si>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</si>
  <si>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</si>
  <si>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</si>
  <si>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</si>
  <si>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</si>
  <si>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</si>
  <si>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</si>
  <si>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</si>
  <si>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</si>
  <si>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</si>
  <si>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</si>
  <si>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</si>
  <si>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ما المقصود بالفجوات في المرحلة الأولى؟</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</si>
  <si>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</si>
  <si>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</si>
  <si>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</si>
  <si>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</si>
  <si>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</si>
  <si>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</si>
  <si>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</si>
  <si>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</si>
  <si>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</si>
  <si>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</si>
  <si>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</si>
  <si>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</si>
  <si>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</si>
  <si>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</si>
  <si>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</si>
  <si>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</si>
  <si>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</si>
  <si>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</si>
  <si>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</si>
  <si>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</si>
  <si>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</si>
  <si>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</si>
  <si>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</si>
  <si>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</si>
  <si>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</si>
  <si>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</si>
  <si>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</si>
  <si>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</si>
  <si>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</si>
  <si>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</si>
  <si>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</si>
  <si>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</si>
  <si>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</si>
  <si>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د. حسن بن سعد القحطاني</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</si>
  <si>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</si>
  <si>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</si>
  <si>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</si>
  <si>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</si>
  <si>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</si>
  <si>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</si>
  <si>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</si>
  <si>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</si>
  <si>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</si>
  <si>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</si>
  <si>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</si>
  <si>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</si>
  <si>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</si>
  <si>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</si>
  <si>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</si>
  <si>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</si>
  <si>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</si>
  <si>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</si>
  <si>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</si>
  <si>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</si>
  <si>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</si>
  <si>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</si>
  <si>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</si>
  <si>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</si>
  <si>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</si>
  <si>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</si>
  <si>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</si>
  <si>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</si>
  <si>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</si>
  <si>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</si>
  <si>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</si>
  <si>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</si>
  <si>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</si>
  <si>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</si>
  <si>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</si>
  <si>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</si>
  <si>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</si>
  <si>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</si>
  <si>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</si>
  <si>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</si>
  <si>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</si>
  <si>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</si>
  <si>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</si>
  <si>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</si>
  <si>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</si>
  <si>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</si>
  <si>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</si>
  <si>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نوع الفجوات</t>
  </si>
  <si>
    <t>نوع الفجوة</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</si>
  <si>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</si>
  <si>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</si>
  <si>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</si>
  <si>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</si>
  <si>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</si>
  <si>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</si>
  <si>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</si>
  <si>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</si>
  <si>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</si>
  <si>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</si>
  <si>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</si>
  <si>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</si>
  <si>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</si>
  <si>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</si>
  <si>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</si>
  <si>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</si>
  <si>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</si>
  <si>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</si>
  <si>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</si>
  <si>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</si>
  <si>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</si>
  <si>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</si>
  <si>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</si>
  <si>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</si>
  <si>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</si>
  <si>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</si>
  <si>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</si>
  <si>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</si>
  <si>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</si>
  <si>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</si>
  <si>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</si>
  <si>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</si>
  <si>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</si>
  <si>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</si>
  <si>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</si>
  <si>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</si>
  <si>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</si>
  <si>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</si>
  <si>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</si>
  <si>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</si>
  <si>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</si>
  <si>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</si>
  <si>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</si>
  <si>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</si>
  <si>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</si>
  <si>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</si>
  <si>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</si>
  <si>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</si>
  <si>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</si>
  <si>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</si>
  <si>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</si>
  <si>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</si>
  <si>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</si>
  <si>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</si>
  <si>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</si>
  <si>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</si>
  <si>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</si>
  <si>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</si>
  <si>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</si>
  <si>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</si>
  <si>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</si>
  <si>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</si>
  <si>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</si>
  <si>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</si>
  <si>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</si>
  <si>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</si>
  <si>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</si>
  <si>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</si>
  <si>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</si>
  <si>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</si>
  <si>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</si>
  <si>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</si>
  <si>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</si>
  <si>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</si>
  <si>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</si>
  <si>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</si>
  <si>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</si>
  <si>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</si>
  <si>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</si>
  <si>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</si>
  <si>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</si>
  <si>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</si>
  <si>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</si>
  <si>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</si>
  <si>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</si>
  <si>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</si>
  <si>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</si>
  <si>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</si>
  <si>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</si>
  <si>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</si>
  <si>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</si>
  <si>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</si>
  <si>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</si>
  <si>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</si>
  <si>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</si>
  <si>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</si>
  <si>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</si>
  <si>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</si>
  <si>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</si>
  <si>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</si>
  <si>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</si>
  <si>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</si>
  <si>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</si>
  <si>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</si>
  <si>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</si>
  <si>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</si>
  <si>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</si>
  <si>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</si>
  <si>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</si>
  <si>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</si>
  <si>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</si>
  <si>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</si>
  <si>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</si>
  <si>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</si>
  <si>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</si>
  <si>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</si>
  <si>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</si>
  <si>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</si>
  <si>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</si>
  <si>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</si>
  <si>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</si>
  <si>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</si>
  <si>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</si>
  <si>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</si>
  <si>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</si>
  <si>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</si>
  <si>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</si>
  <si>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</si>
  <si>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</si>
  <si>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</si>
  <si>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</si>
  <si>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</si>
  <si>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</si>
  <si>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</si>
  <si>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</si>
  <si>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</si>
  <si>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</si>
  <si>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</si>
  <si>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</si>
  <si>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</si>
  <si>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</si>
  <si>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</si>
  <si>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</si>
  <si>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</si>
  <si>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</si>
  <si>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</si>
  <si>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</si>
  <si>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</si>
  <si>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</si>
  <si>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</si>
  <si>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</si>
  <si>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</si>
  <si>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</si>
  <si>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</si>
  <si>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</si>
  <si>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</si>
  <si>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</si>
  <si>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</si>
  <si>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</si>
  <si>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</si>
  <si>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</si>
  <si>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</si>
  <si>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</si>
  <si>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</si>
  <si>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</si>
  <si>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</si>
  <si>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</si>
  <si>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</si>
  <si>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</si>
  <si>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</si>
  <si>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</si>
  <si>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</si>
  <si>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</si>
  <si>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</si>
  <si>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</si>
  <si>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</si>
  <si>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</si>
  <si>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</si>
  <si>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</si>
  <si>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</si>
  <si>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</si>
  <si>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</si>
  <si>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</si>
  <si>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</si>
  <si>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</si>
  <si>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</si>
  <si>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</si>
  <si>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</si>
  <si>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</si>
  <si>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</si>
  <si>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</si>
  <si>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</si>
  <si>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</si>
  <si>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</si>
  <si>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</si>
  <si>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</si>
  <si>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</si>
  <si>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</si>
  <si>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</si>
  <si>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</si>
  <si>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</si>
  <si>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</si>
  <si>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</si>
  <si>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</si>
  <si>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</si>
  <si>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</si>
  <si>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</si>
  <si>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</si>
  <si>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</si>
  <si>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</si>
  <si>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</si>
  <si>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</si>
  <si>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</si>
  <si>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</si>
  <si>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</si>
  <si>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</si>
  <si>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</si>
  <si>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</si>
  <si>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</si>
  <si>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</si>
  <si>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</si>
  <si>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</si>
  <si>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</si>
  <si>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</si>
  <si>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</si>
  <si>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</si>
  <si>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</si>
  <si>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</si>
  <si>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</si>
  <si>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</si>
  <si>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</si>
  <si>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</si>
  <si>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</si>
  <si>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</si>
  <si>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</si>
  <si>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</si>
  <si>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</si>
  <si>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</si>
  <si>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</si>
  <si>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</si>
  <si>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</si>
  <si>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</si>
  <si>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</si>
  <si>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</si>
  <si>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</si>
  <si>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</si>
  <si>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</si>
  <si>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</si>
  <si>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</si>
  <si>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</si>
  <si>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</si>
  <si>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</si>
  <si>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</si>
  <si>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</si>
  <si>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</si>
  <si>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</si>
  <si>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</si>
  <si>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</si>
  <si>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</si>
  <si>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</si>
  <si>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</si>
  <si>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</si>
  <si>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</si>
  <si>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</si>
  <si>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</si>
  <si>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</si>
  <si>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</si>
  <si>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</si>
  <si>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</si>
  <si>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</si>
  <si>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</si>
  <si>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</si>
  <si>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</si>
  <si>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</si>
  <si>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</si>
  <si>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</si>
  <si>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</si>
  <si>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</si>
  <si>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</si>
  <si>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</si>
  <si>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</si>
  <si>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</si>
  <si>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</si>
  <si>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</si>
  <si>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</si>
  <si>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</si>
  <si>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</si>
  <si>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</si>
  <si>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</si>
  <si>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</si>
  <si>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</si>
  <si>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</si>
  <si>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</si>
  <si>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</si>
  <si>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</si>
  <si>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</si>
  <si>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</si>
  <si>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</si>
  <si>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</si>
  <si>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</si>
  <si>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</si>
  <si>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</si>
  <si>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</si>
  <si>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</si>
  <si>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</si>
  <si>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</si>
  <si>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</si>
  <si>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</si>
  <si>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</si>
  <si>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</si>
  <si>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</si>
  <si>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</si>
  <si>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</si>
  <si>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</si>
  <si>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</si>
  <si>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</si>
  <si>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</si>
  <si>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</si>
  <si>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</si>
  <si>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</si>
  <si>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</si>
  <si>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</si>
  <si>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</si>
  <si>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</si>
  <si>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</si>
  <si>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</si>
  <si>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</si>
  <si>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</si>
  <si>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</si>
  <si>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</si>
  <si>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</si>
  <si>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</si>
  <si>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</si>
  <si>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</si>
  <si>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</si>
  <si>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</si>
  <si>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</si>
  <si>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</si>
  <si>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</si>
  <si>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</si>
  <si>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</si>
  <si>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</si>
  <si>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</si>
  <si>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</si>
  <si>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</si>
  <si>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</si>
  <si>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</si>
  <si>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</si>
  <si>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</si>
  <si>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</si>
  <si>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</si>
  <si>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</si>
  <si>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</si>
  <si>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</si>
  <si>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</si>
  <si>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</si>
  <si>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</si>
  <si>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</si>
  <si>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</si>
  <si>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</si>
  <si>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</si>
  <si>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</si>
  <si>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</si>
  <si>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</si>
  <si>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</si>
  <si>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</si>
  <si>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</si>
  <si>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</si>
  <si>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</si>
  <si>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</si>
  <si>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</si>
  <si>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</si>
  <si>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</si>
  <si>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</si>
  <si>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</si>
  <si>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</si>
  <si>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</si>
  <si>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</si>
  <si>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</si>
  <si>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</si>
  <si>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</si>
  <si>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</si>
  <si>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</si>
  <si>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</si>
  <si>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</si>
  <si>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</si>
  <si>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</si>
  <si>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</si>
  <si>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</si>
  <si>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</si>
  <si>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</si>
  <si>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</si>
  <si>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</si>
  <si>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</si>
  <si>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</si>
  <si>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</si>
  <si>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</si>
  <si>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</si>
  <si>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</si>
  <si>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</si>
  <si>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</si>
  <si>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</si>
  <si>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</si>
  <si>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</si>
  <si>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</si>
  <si>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</si>
  <si>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</si>
  <si>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</si>
  <si>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</si>
  <si>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</si>
  <si>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</si>
  <si>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</si>
  <si>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</si>
  <si>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</si>
  <si>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</si>
  <si>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</si>
  <si>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</si>
  <si>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</si>
  <si>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</si>
  <si>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</si>
  <si>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</si>
  <si>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</si>
  <si>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</si>
  <si>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</si>
  <si>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</si>
  <si>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</si>
  <si>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</si>
  <si>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</si>
  <si>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</si>
  <si>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</si>
  <si>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</si>
  <si>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</si>
  <si>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</si>
  <si>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</si>
  <si>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</si>
  <si>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</si>
  <si>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</si>
  <si>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</si>
  <si>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</si>
  <si>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</si>
  <si>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</si>
  <si>
    <t>جمع الأدلة وتقييمها، وتسجيل الفجوات والإجراء المطلوب لكل دليل ناقص في أوراق الفحص</t>
  </si>
  <si>
    <t>مراجعة خطة الاستكمال (الإجراء، والمسؤول، والأولوية، والموعد) واعتمادها في اجتماع الفجوات</t>
  </si>
  <si>
    <t>آلية فحص الأدلة</t>
  </si>
  <si>
    <t>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</si>
  <si>
    <t>•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</si>
  <si>
    <t>المعيار 4: هيئة التدريس، ومحور ضمان الجودة (1-2) للبرامج الثلاثة</t>
  </si>
  <si>
    <t>المعيار 5: مصادر التعلم والمرافق للبرامج الثلاثة، والمعيار 6: البحث والمشاريع للماجستير (اعتماد الأدلة المقترحة وفحصها)</t>
  </si>
  <si>
    <t>فجوة توثيق</t>
  </si>
  <si>
    <t>فجوة تطبيق</t>
  </si>
  <si>
    <t>تقرير الأدلة حسب البرنامج والحالة</t>
  </si>
  <si>
    <t>اختر البرنامج وحالة الدليل من الخانتين الصفراوين، فتظهر قائمة الأدلة المطابقة تلقائياً. لا تكتب في الجدول.</t>
  </si>
  <si>
    <t>البرنامج</t>
  </si>
  <si>
    <t>الدليل</t>
  </si>
  <si>
    <t>أمثلة تصنيف الأدلة (لاجتماع الانطلاق وجلسة توحيد الحكم)</t>
  </si>
  <si>
    <t>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</si>
  <si>
    <t>المحك</t>
  </si>
  <si>
    <t>الوضع</t>
  </si>
  <si>
    <t>متوفر ومكتمل</t>
  </si>
  <si>
    <t>1-1-1 اتساق الرسالة والأهداف</t>
  </si>
  <si>
    <t>إعلان رسالة البرنامج وأهدافه على الموقع الإلكتروني</t>
  </si>
  <si>
    <t>منشورة، وهي الصيغة المعتمدة الحالية</t>
  </si>
  <si>
    <t>5-0-3 ★ السلامة</t>
  </si>
  <si>
    <t>عقد الشركة المسؤولة عن التخلص من النفايات الخطرة</t>
  </si>
  <si>
    <t>العقد ساري ومعتمد</t>
  </si>
  <si>
    <t>متوفر ويحتاج تحسين</t>
  </si>
  <si>
    <t>مصفوفة اتساق رسالة البرنامج وأهدافه مع رسالة الجامعة والكلية</t>
  </si>
  <si>
    <t>موجودة، لكنها على رسالة الكلية القديمة (غير محدّثة)</t>
  </si>
  <si>
    <t>تحديثها واعتمادها من مجلس القسم</t>
  </si>
  <si>
    <t>خلال المرحلة الأولى</t>
  </si>
  <si>
    <t>متوسطة</t>
  </si>
  <si>
    <t>2-2-4 ربط نواتج المقررات بالبرنامج</t>
  </si>
  <si>
    <t>توصيف البرنامج مع مصفوفة ربط نواتج المقررات بنواتج البرنامج</t>
  </si>
  <si>
    <t>موجود، لكنه غير معتمد من مجلس الكلية</t>
  </si>
  <si>
    <t>رفعه لمجلس الكلية لاعتماده</t>
  </si>
  <si>
    <t>3-0-3 ★ الإرشاد الأكاديمي</t>
  </si>
  <si>
    <t>دليل الإرشاد والتوجيه الأكاديمي للطالب</t>
  </si>
  <si>
    <t>الدليل موجود، لكن الإرشاد لا يُطبّق بانتظام ولا توجد سجلات جلسات</t>
  </si>
  <si>
    <t>تفعيل الساعات الإرشادية وتوثيق الجلسات (القسم)</t>
  </si>
  <si>
    <t>خلال فصل دراسي</t>
  </si>
  <si>
    <t>عالية</t>
  </si>
  <si>
    <t>1-2-2 ★ تحليل مؤشرات الأداء</t>
  </si>
  <si>
    <t>تقارير قياس مؤشرات الأداء الرئيسة</t>
  </si>
  <si>
    <t>التقارير موجودة، لكن لم تُناقش ولم تُبنَ عليها خطة تحسين</t>
  </si>
  <si>
    <t>مناقشتها في مجلس القسم وإعداد خطة تحسين</t>
  </si>
  <si>
    <t>3-0-7 ★ رضا الطلاب عن الخدمات</t>
  </si>
  <si>
    <t>تقرير استطلاعات رأي الطلبة حول جودة الخدمات</t>
  </si>
  <si>
    <t>عمادة الجودة طبّقت الاستطلاع، لكن لا يوجد تقرير خاص بالبرنامج</t>
  </si>
  <si>
    <t>طلب النتائج من عمادة الجودة وإعداد تقرير للبرنامج</t>
  </si>
  <si>
    <t>4-0-6 تقييم أداء هيئة التدريس</t>
  </si>
  <si>
    <t>نماذج من التغذية الراجعة المقدمة عن أداء أعضاء هيئة التدريس</t>
  </si>
  <si>
    <t>التغذية الراجعة تُقدَّم شفهياً أو بالبريد، لكن لا تُحفظ</t>
  </si>
  <si>
    <t>جمع نماذج منها وحفظها في المستودع</t>
  </si>
  <si>
    <t>استطلاع رأي أعضاء هيئة التدريس عن رضاهم عن طرق تقييم أدائهم</t>
  </si>
  <si>
    <t>لم يُطبَّق أصلاً</t>
  </si>
  <si>
    <t>تصميم الاستطلاع وتطبيقه وإعداد تقريره</t>
  </si>
  <si>
    <t>6-0-8 كفاءة الإشراف العلمي (ماجستير)</t>
  </si>
  <si>
    <t>نتائج تقييم الطلاب لجودة الإشراف العلمي</t>
  </si>
  <si>
    <t>لا يوجد تقييم للإشراف</t>
  </si>
  <si>
    <t>تطبيق تقييم سنوي للإشراف ثم تحليله والتحسين</t>
  </si>
  <si>
    <t>خلال سنة دراسية</t>
  </si>
  <si>
    <t>خطأ شائع 🔴</t>
  </si>
  <si>
    <t>مصفوفة اتساق رسالة البرنامج وأهدافه</t>
  </si>
  <si>
    <t>اختار العضو "متوفر ومكتمل" ثم كتب في الإجراء: "تحديث المصفوفة"</t>
  </si>
  <si>
    <t>تتلون الخانة بالأحمر: ما دام يحتاج تحديثاً فهو "متوفر ويحتاج تحسين" وليس "مكتملاً"</t>
  </si>
  <si>
    <t>الخطة التنفيذية للاعتماد البرامجي – برامج كلية الحوسبة والمعلوماتية المستهدفة</t>
  </si>
  <si>
    <r>
      <rPr>
        <b/>
        <sz val="10"/>
        <color rgb="FF000000"/>
        <rFont val="Frutiger LT Arabic 45 Light"/>
      </rPr>
      <t>تصنيف حالة الدليل:</t>
    </r>
    <r>
      <rPr>
        <sz val="10"/>
        <color rgb="FF000000"/>
        <rFont val="Frutiger LT Arabic 45 Light"/>
      </rPr>
      <t xml:space="preserve">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r>
  </si>
  <si>
    <r>
      <t xml:space="preserve">
</t>
    </r>
    <r>
      <rPr>
        <b/>
        <sz val="10"/>
        <color rgb="FF000000"/>
        <rFont val="Frutiger LT Arabic 45 Light"/>
      </rPr>
      <t>خطوات العمل في ورقة الفحص</t>
    </r>
    <r>
      <rPr>
        <sz val="10"/>
        <color rgb="FF000000"/>
        <rFont val="Frutiger LT Arabic 45 Light"/>
      </rPr>
      <t>: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r>
  </si>
  <si>
    <t>تمت المراجعة (أمينة اللجنة)</t>
  </si>
  <si>
    <t xml:space="preserve">متطلبات التقدم للاعتماد البرامجي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</si>
</sst>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ont>
    <font>
      <sz val="10"/>
      <name val="Arial"/>
      <family val="2"/>
    </font>
    <font>
      <sz val="10"/>
      <name val="Arial"/>
      <family val="2"/>
    </font>
    <font>
      <b/>
      <sz val="12"/>
      <color rgb="FFFFFFFF"/>
      <name val="Arial"/>
      <family val="2"/>
    </font>
    <font>
      <b/>
      <sz val="14"/>
      <color rgb="FF1F3864"/>
      <name val="Arial"/>
      <family val="2"/>
    </font>
    <font>
      <b/>
      <sz val="16"/>
      <color rgb="FFFFFFFF"/>
      <name val="Arial"/>
      <family val="2"/>
    </font>
    <font>
      <b/>
      <sz val="11"/>
      <color rgb="FF34205C"/>
      <name val="Arial"/>
      <family val="2"/>
    </font>
    <font>
      <b/>
      <sz val="10"/>
      <color rgb="FF2B1B47"/>
      <name val="Arial"/>
      <family val="2"/>
    </font>
    <font>
      <b/>
      <sz val="10"/>
      <color rgb="FF000000"/>
      <name val="Arial"/>
      <family val="2"/>
    </font>
    <font>
      <sz val="10"/>
      <color rgb="FF000000"/>
      <name val="Arial"/>
      <family val="2"/>
    </font>
    <font>
      <b/>
      <sz val="10"/>
      <color rgb="FF34205C"/>
      <name val="Arial"/>
      <family val="2"/>
    </font>
    <font>
      <b/>
      <sz val="12"/>
      <color rgb="FFFFFFFF"/>
      <name val="Frutiger LT Arabic 45 Light"/>
    </font>
    <font>
      <b/>
      <sz val="10"/>
      <color rgb="FF2B1B47"/>
      <name val="Frutiger LT Arabic 45 Light"/>
    </font>
    <font>
      <b/>
      <sz val="10"/>
      <color rgb="FF000000"/>
      <name val="Frutiger LT Arabic 45 Light"/>
    </font>
    <font>
      <sz val="10"/>
      <color rgb="FF000000"/>
      <name val="Frutiger LT Arabic 45 Light"/>
    </font>
    <font>
      <b/>
      <sz val="10"/>
      <color rgb="FF34205C"/>
      <name val="Frutiger LT Arabic 45 Light"/>
    </font>
    <font>
      <b/>
      <sz val="15"/>
      <color rgb="FF1F3864"/>
      <name val="Frutiger LT Arabic 45 Light"/>
    </font>
    <font>
      <sz val="11"/>
      <color theme="1"/>
      <name val="Frutiger LT Arabic 45 Light"/>
    </font>
    <font>
      <sz val="10"/>
      <name val="Frutiger LT Arabic 45 Light"/>
    </font>
    <font>
      <b/>
      <sz val="11"/>
      <color rgb="FFFFFFFF"/>
      <name val="Frutiger LT Arabic 45 Light"/>
    </font>
    <font>
      <b/>
      <sz val="10"/>
      <name val="Frutiger LT Arabic 45 Light"/>
    </font>
    <font>
      <b/>
      <sz val="10"/>
      <color rgb="FF375623"/>
      <name val="Frutiger LT Arabic 45 Light"/>
    </font>
    <font>
      <b/>
      <sz val="10"/>
      <color rgb="FFFFFFFF"/>
      <name val="Frutiger LT Arabic 45 Light"/>
    </font>
    <font>
      <sz val="9"/>
      <name val="Frutiger LT Arabic 45 Light"/>
    </font>
    <font>
      <b/>
      <sz val="9"/>
      <name val="Frutiger LT Arabic 45 Light"/>
    </font>
    <font>
      <sz val="8"/>
      <color rgb="FF595959"/>
      <name val="Frutiger LT Arabic 45 Light"/>
    </font>
    <font>
      <b/>
      <sz val="10"/>
      <color rgb="FFC00000"/>
      <name val="Frutiger LT Arabic 45 Light"/>
    </font>
    <font>
      <b/>
      <sz val="8"/>
      <color rgb="FFC00000"/>
      <name val="Frutiger LT Arabic 45 Light"/>
    </font>
  </fonts>
  <fills count="22">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style="thin">
        <color rgb="FFBFBFBF"/>
      </right>
      <top style="thin">
        <color rgb="FFBFBFBF"/>
      </top>
      <bottom/>
      <diagonal/>
    </border>
    <border>
      <left/>
      <right/>
      <top style="thin">
        <color theme="0" tint="-0.14999847407452621"/>
      </top>
      <bottom/>
      <diagonal/>
    </border>
    <border>
      <left style="thin">
        <color theme="0" tint="-0.14999847407452621"/>
      </left>
      <right style="thin">
        <color rgb="FFBFBFBF"/>
      </right>
      <top style="thin">
        <color rgb="FFBFBFBF"/>
      </top>
      <bottom style="thin">
        <color rgb="FFBFBFBF"/>
      </bottom>
      <diagonal/>
    </border>
    <border>
      <left style="thin">
        <color indexed="64"/>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right/>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s>
  <cellStyleXfs count="1">
    <xf numFmtId="0" fontId="0" fillId="0" borderId="0"/>
  </cellStyleXfs>
  <cellXfs count="110">
    <xf numFmtId="0" fontId="0" fillId="0" borderId="0" xfId="0"/>
    <xf numFmtId="0" fontId="8" fillId="12" borderId="1" xfId="0" applyFont="1" applyFill="1" applyBorder="1" applyAlignment="1">
      <alignment horizontal="center" vertical="center" wrapText="1"/>
    </xf>
    <xf numFmtId="0" fontId="9" fillId="12" borderId="1" xfId="0" applyFont="1" applyFill="1" applyBorder="1" applyAlignment="1">
      <alignment horizontal="right" vertical="center" wrapText="1"/>
    </xf>
    <xf numFmtId="0" fontId="9" fillId="12" borderId="1" xfId="0" applyFont="1" applyFill="1" applyBorder="1" applyAlignment="1">
      <alignment horizontal="center" vertical="center" wrapText="1"/>
    </xf>
    <xf numFmtId="0" fontId="9" fillId="12" borderId="0" xfId="0" applyFont="1" applyFill="1" applyAlignment="1">
      <alignment horizontal="right" vertical="center" wrapText="1"/>
    </xf>
    <xf numFmtId="0" fontId="7" fillId="17"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0" fontId="14" fillId="19" borderId="1" xfId="0" applyFont="1" applyFill="1" applyBorder="1" applyAlignment="1">
      <alignment horizontal="right" vertical="center" wrapText="1"/>
    </xf>
    <xf numFmtId="0" fontId="14" fillId="19"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4" fillId="12" borderId="1" xfId="0" applyFont="1" applyFill="1" applyBorder="1" applyAlignment="1">
      <alignment horizontal="right" vertical="center" wrapText="1"/>
    </xf>
    <xf numFmtId="0" fontId="14" fillId="12" borderId="1" xfId="0" applyFont="1" applyFill="1" applyBorder="1" applyAlignment="1">
      <alignment horizontal="center" vertical="center" wrapText="1"/>
    </xf>
    <xf numFmtId="0" fontId="9" fillId="12" borderId="4" xfId="0" applyFont="1" applyFill="1" applyBorder="1" applyAlignment="1">
      <alignment horizontal="right" vertical="center" wrapText="1"/>
    </xf>
    <xf numFmtId="0" fontId="0" fillId="0" borderId="15" xfId="0" applyBorder="1"/>
    <xf numFmtId="0" fontId="0" fillId="0" borderId="7" xfId="0" applyBorder="1"/>
    <xf numFmtId="0" fontId="12" fillId="17" borderId="1" xfId="0" applyFont="1" applyFill="1" applyBorder="1" applyAlignment="1">
      <alignment horizontal="center" vertical="center" wrapText="1"/>
    </xf>
    <xf numFmtId="0" fontId="12" fillId="17" borderId="1" xfId="0" applyFont="1" applyFill="1" applyBorder="1" applyAlignment="1">
      <alignment horizontal="right" vertical="center" wrapText="1"/>
    </xf>
    <xf numFmtId="0" fontId="13" fillId="12" borderId="3" xfId="0" applyFont="1" applyFill="1" applyBorder="1" applyAlignment="1">
      <alignment horizontal="center" vertical="center" wrapText="1"/>
    </xf>
    <xf numFmtId="0" fontId="14" fillId="12" borderId="3" xfId="0" applyFont="1" applyFill="1" applyBorder="1" applyAlignment="1">
      <alignment horizontal="right" vertical="center" wrapText="1"/>
    </xf>
    <xf numFmtId="0" fontId="14" fillId="12" borderId="9" xfId="0" applyFont="1" applyFill="1" applyBorder="1" applyAlignment="1">
      <alignment horizontal="right" vertical="center" wrapText="1"/>
    </xf>
    <xf numFmtId="0" fontId="14" fillId="12" borderId="3"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4" fillId="12" borderId="7" xfId="0" applyFont="1" applyFill="1" applyBorder="1" applyAlignment="1">
      <alignment horizontal="right"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right" vertical="center" wrapText="1"/>
    </xf>
    <xf numFmtId="0" fontId="17" fillId="0" borderId="0" xfId="0" applyFont="1"/>
    <xf numFmtId="0" fontId="20" fillId="9" borderId="1"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22" fillId="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right" vertical="center" wrapText="1"/>
    </xf>
    <xf numFmtId="0" fontId="20"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0" fillId="0" borderId="1" xfId="0" applyFont="1" applyBorder="1" applyAlignment="1">
      <alignment horizontal="right" vertical="center" wrapText="1"/>
    </xf>
    <xf numFmtId="9" fontId="18" fillId="0" borderId="1" xfId="0" applyNumberFormat="1" applyFont="1" applyBorder="1" applyAlignment="1">
      <alignment horizontal="center" vertical="center" wrapText="1"/>
    </xf>
    <xf numFmtId="0" fontId="18" fillId="9" borderId="1" xfId="0" applyFont="1" applyFill="1" applyBorder="1" applyAlignment="1">
      <alignment horizontal="center" vertical="center" wrapText="1"/>
    </xf>
    <xf numFmtId="9" fontId="18" fillId="9" borderId="1" xfId="0" applyNumberFormat="1" applyFont="1" applyFill="1" applyBorder="1" applyAlignment="1">
      <alignment horizontal="center" vertical="center" wrapText="1"/>
    </xf>
    <xf numFmtId="0" fontId="23" fillId="4"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5" borderId="1" xfId="0" applyFont="1" applyFill="1" applyBorder="1" applyAlignment="1">
      <alignment horizontal="center" vertical="center" wrapText="1"/>
    </xf>
    <xf numFmtId="0" fontId="24" fillId="0" borderId="1" xfId="0" applyFont="1" applyBorder="1" applyAlignment="1">
      <alignment horizontal="center" vertical="center" wrapText="1"/>
    </xf>
    <xf numFmtId="0" fontId="23" fillId="0" borderId="1" xfId="0" applyFont="1" applyBorder="1" applyAlignment="1">
      <alignment horizontal="right" vertical="center" wrapText="1"/>
    </xf>
    <xf numFmtId="0" fontId="2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3" fillId="4" borderId="1" xfId="0" applyFont="1" applyFill="1" applyBorder="1" applyAlignment="1">
      <alignment horizontal="right" vertical="center" wrapText="1"/>
    </xf>
    <xf numFmtId="0" fontId="24" fillId="10" borderId="2" xfId="0" applyFont="1" applyFill="1" applyBorder="1" applyAlignment="1">
      <alignment horizontal="center" vertical="center" wrapText="1"/>
    </xf>
    <xf numFmtId="0" fontId="23" fillId="10" borderId="2" xfId="0" applyFont="1" applyFill="1" applyBorder="1" applyAlignment="1">
      <alignment horizontal="right" vertical="center" wrapText="1"/>
    </xf>
    <xf numFmtId="0" fontId="26" fillId="10"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3" fillId="0" borderId="2" xfId="0" applyFont="1" applyBorder="1" applyAlignment="1">
      <alignment horizontal="center" vertical="center" wrapText="1"/>
    </xf>
    <xf numFmtId="0" fontId="23" fillId="4" borderId="2" xfId="0" applyFont="1" applyFill="1" applyBorder="1" applyAlignment="1">
      <alignment horizontal="center" vertical="center" wrapText="1"/>
    </xf>
    <xf numFmtId="0" fontId="23" fillId="4" borderId="2" xfId="0" applyFont="1" applyFill="1" applyBorder="1" applyAlignment="1">
      <alignment horizontal="right" vertical="center" wrapText="1"/>
    </xf>
    <xf numFmtId="0" fontId="23" fillId="10" borderId="1" xfId="0" applyFont="1" applyFill="1" applyBorder="1" applyAlignment="1">
      <alignment horizontal="center" vertical="center" wrapText="1"/>
    </xf>
    <xf numFmtId="0" fontId="23" fillId="10" borderId="1" xfId="0" applyFont="1" applyFill="1" applyBorder="1" applyAlignment="1">
      <alignment horizontal="right" vertical="center" wrapText="1"/>
    </xf>
    <xf numFmtId="0" fontId="26" fillId="10" borderId="1" xfId="0" applyFont="1" applyFill="1" applyBorder="1" applyAlignment="1">
      <alignment horizontal="center" vertical="center" wrapText="1"/>
    </xf>
    <xf numFmtId="0" fontId="24" fillId="0" borderId="2" xfId="0" applyFont="1" applyBorder="1" applyAlignment="1">
      <alignment horizontal="center" vertical="center" wrapText="1"/>
    </xf>
    <xf numFmtId="0" fontId="23" fillId="0" borderId="2" xfId="0" applyFont="1" applyBorder="1" applyAlignment="1">
      <alignment horizontal="right" vertical="center" wrapText="1"/>
    </xf>
    <xf numFmtId="0" fontId="26" fillId="0" borderId="2" xfId="0" applyFont="1" applyBorder="1" applyAlignment="1">
      <alignment horizontal="center" vertical="center" wrapText="1"/>
    </xf>
    <xf numFmtId="0" fontId="25" fillId="0" borderId="1" xfId="0" applyFont="1" applyBorder="1" applyAlignment="1">
      <alignment horizontal="right" vertical="center" wrapText="1" readingOrder="2"/>
    </xf>
    <xf numFmtId="0" fontId="25" fillId="10" borderId="2" xfId="0" applyFont="1" applyFill="1" applyBorder="1" applyAlignment="1">
      <alignment horizontal="right" vertical="center" wrapText="1" readingOrder="2"/>
    </xf>
    <xf numFmtId="0" fontId="25" fillId="10" borderId="1" xfId="0" applyFont="1" applyFill="1" applyBorder="1" applyAlignment="1">
      <alignment horizontal="right" vertical="center" wrapText="1" readingOrder="2"/>
    </xf>
    <xf numFmtId="0" fontId="25" fillId="0" borderId="2" xfId="0" applyFont="1" applyBorder="1" applyAlignment="1">
      <alignment horizontal="right" vertical="center" wrapText="1" readingOrder="2"/>
    </xf>
    <xf numFmtId="0" fontId="22" fillId="2" borderId="1" xfId="0" applyFont="1" applyFill="1" applyBorder="1" applyAlignment="1">
      <alignment horizontal="center" vertical="center" wrapText="1" readingOrder="2"/>
    </xf>
    <xf numFmtId="0" fontId="0" fillId="0" borderId="0" xfId="0" applyAlignment="1">
      <alignment readingOrder="2"/>
    </xf>
    <xf numFmtId="0" fontId="27" fillId="0" borderId="2" xfId="0" applyFont="1" applyBorder="1" applyAlignment="1">
      <alignment horizontal="center" vertical="center" wrapText="1"/>
    </xf>
    <xf numFmtId="0" fontId="27" fillId="0" borderId="1" xfId="0" applyFont="1" applyBorder="1" applyAlignment="1">
      <alignment horizontal="center" vertical="center" wrapText="1"/>
    </xf>
    <xf numFmtId="0" fontId="5" fillId="13" borderId="0" xfId="0" applyFont="1" applyFill="1" applyAlignment="1">
      <alignment horizontal="center" vertical="center" wrapText="1"/>
    </xf>
    <xf numFmtId="0" fontId="6" fillId="14" borderId="0" xfId="0" applyFont="1" applyFill="1" applyAlignment="1">
      <alignment horizontal="center" vertical="center" wrapText="1"/>
    </xf>
    <xf numFmtId="0" fontId="11" fillId="15" borderId="1" xfId="0" applyFont="1" applyFill="1" applyBorder="1" applyAlignment="1">
      <alignment horizontal="right" vertical="center" wrapText="1"/>
    </xf>
    <xf numFmtId="0" fontId="11"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5" fillId="16" borderId="1" xfId="0" applyFont="1" applyFill="1" applyBorder="1" applyAlignment="1">
      <alignment horizontal="right" vertical="center" wrapText="1"/>
    </xf>
    <xf numFmtId="0" fontId="11" fillId="20" borderId="0" xfId="0" applyFont="1" applyFill="1" applyAlignment="1">
      <alignment horizontal="right" vertical="center" wrapText="1"/>
    </xf>
    <xf numFmtId="0" fontId="14" fillId="21" borderId="0" xfId="0" applyFont="1" applyFill="1" applyAlignment="1">
      <alignment horizontal="right" vertical="center" wrapText="1" readingOrder="2"/>
    </xf>
    <xf numFmtId="0" fontId="14" fillId="21" borderId="12" xfId="0" applyFont="1" applyFill="1" applyBorder="1" applyAlignment="1">
      <alignment horizontal="right" vertical="center" wrapText="1" readingOrder="2"/>
    </xf>
    <xf numFmtId="0" fontId="11" fillId="15" borderId="0" xfId="0" applyFont="1" applyFill="1" applyAlignment="1">
      <alignment horizontal="right" vertical="center" wrapText="1"/>
    </xf>
    <xf numFmtId="0" fontId="14" fillId="12" borderId="11" xfId="0" applyFont="1" applyFill="1" applyBorder="1" applyAlignment="1">
      <alignment horizontal="right" vertical="center" wrapText="1" readingOrder="2"/>
    </xf>
    <xf numFmtId="0" fontId="14" fillId="12" borderId="14" xfId="0" applyFont="1" applyFill="1" applyBorder="1" applyAlignment="1">
      <alignment horizontal="right" vertical="center" wrapText="1" readingOrder="2"/>
    </xf>
    <xf numFmtId="0" fontId="14" fillId="12" borderId="13" xfId="0" applyFont="1" applyFill="1" applyBorder="1" applyAlignment="1">
      <alignment horizontal="right" vertical="center" wrapText="1" readingOrder="2"/>
    </xf>
    <xf numFmtId="0" fontId="14" fillId="21" borderId="11" xfId="0" applyFont="1" applyFill="1" applyBorder="1" applyAlignment="1">
      <alignment horizontal="right" vertical="center" wrapText="1" readingOrder="2"/>
    </xf>
    <xf numFmtId="0" fontId="14" fillId="21" borderId="17" xfId="0" applyFont="1" applyFill="1" applyBorder="1" applyAlignment="1">
      <alignment horizontal="right" vertical="center" wrapText="1" readingOrder="2"/>
    </xf>
    <xf numFmtId="0" fontId="12" fillId="17" borderId="1" xfId="0" applyFont="1" applyFill="1" applyBorder="1" applyAlignment="1">
      <alignment horizontal="right" vertical="center" wrapText="1"/>
    </xf>
    <xf numFmtId="0" fontId="14" fillId="12" borderId="1"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14" fillId="12" borderId="10" xfId="0" applyFont="1" applyFill="1" applyBorder="1" applyAlignment="1">
      <alignment horizontal="right" vertical="center" wrapText="1"/>
    </xf>
    <xf numFmtId="0" fontId="14" fillId="12" borderId="8" xfId="0" applyFont="1" applyFill="1" applyBorder="1" applyAlignment="1">
      <alignment horizontal="right" vertical="center" wrapText="1"/>
    </xf>
    <xf numFmtId="0" fontId="14" fillId="12" borderId="16" xfId="0" applyFont="1" applyFill="1" applyBorder="1" applyAlignment="1">
      <alignment horizontal="right" vertical="center" wrapText="1"/>
    </xf>
    <xf numFmtId="0" fontId="14" fillId="12" borderId="11" xfId="0" applyFont="1" applyFill="1" applyBorder="1" applyAlignment="1">
      <alignment horizontal="right" vertical="center" wrapText="1"/>
    </xf>
    <xf numFmtId="0" fontId="14" fillId="12" borderId="17" xfId="0" applyFont="1" applyFill="1" applyBorder="1" applyAlignment="1">
      <alignment horizontal="right" vertical="center" wrapText="1"/>
    </xf>
    <xf numFmtId="0" fontId="14" fillId="12" borderId="14" xfId="0" applyFont="1" applyFill="1" applyBorder="1" applyAlignment="1">
      <alignment horizontal="right" vertical="center" wrapText="1"/>
    </xf>
    <xf numFmtId="0" fontId="14" fillId="12" borderId="13"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19" fillId="8" borderId="0" xfId="0" applyFont="1" applyFill="1" applyAlignment="1">
      <alignment horizontal="right" vertical="center" wrapText="1"/>
    </xf>
    <xf numFmtId="0" fontId="16" fillId="0" borderId="0" xfId="0" applyFont="1" applyAlignment="1">
      <alignment horizontal="right" vertical="center" wrapText="1"/>
    </xf>
    <xf numFmtId="0" fontId="18" fillId="0" borderId="0" xfId="0" applyFont="1" applyAlignment="1">
      <alignment horizontal="right" vertical="center" wrapText="1"/>
    </xf>
    <xf numFmtId="0" fontId="21" fillId="11" borderId="0" xfId="0" applyFont="1" applyFill="1" applyAlignment="1">
      <alignment horizontal="center" vertical="center" wrapText="1"/>
    </xf>
    <xf numFmtId="0" fontId="11" fillId="8" borderId="0" xfId="0" applyFont="1" applyFill="1"/>
    <xf numFmtId="0" fontId="17" fillId="0" borderId="0" xfId="0" applyFont="1"/>
    <xf numFmtId="0" fontId="23" fillId="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0" fillId="0" borderId="0" xfId="0"/>
    <xf numFmtId="0" fontId="10" fillId="16" borderId="1" xfId="0" applyFont="1" applyFill="1" applyBorder="1" applyAlignment="1">
      <alignment horizontal="center" vertical="center" wrapText="1"/>
    </xf>
    <xf numFmtId="0" fontId="4" fillId="0" borderId="0" xfId="0" applyFont="1"/>
    <xf numFmtId="0" fontId="1" fillId="0" borderId="0" xfId="0" applyFont="1" applyAlignment="1">
      <alignment horizontal="right" vertical="center" wrapText="1"/>
    </xf>
    <xf numFmtId="0" fontId="2" fillId="0" borderId="0" xfId="0" applyFont="1" applyAlignment="1">
      <alignment horizontal="right" vertical="center" wrapText="1"/>
    </xf>
  </cellXfs>
  <cellStyles count="1">
    <cellStyle name="Normal" xfId="0" builtinId="0"/>
  </cellStyles>
  <dxfs count="29">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00" Type="http://schemas.openxmlformats.org/officeDocument/2006/relationships/worksheet" Target="worksheets/sheet10.xml"/><Relationship Id="rId101"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FFBE6-0547-8449-97C0-D91A54BED5DA}">
  <sheetPr>
    <tabColor rgb="FF1F3864"/>
  </sheetPr>
  <dimension ref="A1:H40"/>
  <sheetViews>
    <sheetView rightToLeft="1" topLeftCell="A3" workbookViewId="0">
      <selection activeCell="C9" sqref="C9"/>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1" t="s">
        <v>645</v>
      </c>
      <c r="B1" s="71"/>
      <c r="C1" s="71"/>
      <c r="D1" s="71"/>
      <c r="E1" s="71"/>
      <c r="F1" s="71"/>
      <c r="G1" s="71"/>
    </row>
    <row r="2" spans="1:7" ht="42.75" customHeight="1" x14ac:dyDescent="0.2">
      <c r="A2" s="72" t="s">
        <v>0</v>
      </c>
      <c r="B2" s="72"/>
      <c r="C2" s="72"/>
      <c r="D2" s="72"/>
      <c r="E2" s="72"/>
      <c r="F2" s="72"/>
      <c r="G2" s="72"/>
    </row>
    <row r="3" spans="1:7" x14ac:dyDescent="0.2">
      <c r="A3" s="4"/>
      <c r="B3" s="4"/>
      <c r="C3" s="4"/>
      <c r="D3" s="4"/>
      <c r="E3" s="4"/>
      <c r="F3" s="4"/>
      <c r="G3" s="4"/>
    </row>
    <row r="4" spans="1:7" ht="42.75" customHeight="1" x14ac:dyDescent="0.2">
      <c r="A4" s="73" t="s">
        <v>1</v>
      </c>
      <c r="B4" s="73"/>
      <c r="C4" s="73"/>
      <c r="D4" s="73"/>
      <c r="E4" s="73"/>
      <c r="F4" s="73"/>
      <c r="G4" s="73"/>
    </row>
    <row r="5" spans="1:7" ht="49.75" customHeight="1" x14ac:dyDescent="0.2">
      <c r="A5" s="6" t="s">
        <v>2</v>
      </c>
      <c r="B5" s="6" t="s">
        <v>3</v>
      </c>
      <c r="C5" s="6" t="s">
        <v>4</v>
      </c>
      <c r="D5" s="6" t="s">
        <v>5</v>
      </c>
      <c r="E5" s="6" t="s">
        <v>6</v>
      </c>
      <c r="F5" s="6" t="s">
        <v>7</v>
      </c>
      <c r="G5" s="6" t="s">
        <v>8</v>
      </c>
    </row>
    <row r="6" spans="1:7" ht="103" customHeight="1" x14ac:dyDescent="0.2">
      <c r="A6" s="7" t="s">
        <v>9</v>
      </c>
      <c r="B6" s="8" t="s">
        <v>10</v>
      </c>
      <c r="C6" s="8" t="s">
        <v>557</v>
      </c>
      <c r="D6" s="8" t="s">
        <v>11</v>
      </c>
      <c r="E6" s="8" t="s">
        <v>12</v>
      </c>
      <c r="F6" s="9" t="s">
        <v>13</v>
      </c>
      <c r="G6" s="8" t="s">
        <v>14</v>
      </c>
    </row>
    <row r="7" spans="1:7" ht="103" customHeight="1" x14ac:dyDescent="0.2">
      <c r="A7" s="10" t="s">
        <v>15</v>
      </c>
      <c r="B7" s="11" t="s">
        <v>16</v>
      </c>
      <c r="C7" s="11" t="s">
        <v>559</v>
      </c>
      <c r="D7" s="11" t="s">
        <v>560</v>
      </c>
      <c r="E7" s="11" t="s">
        <v>17</v>
      </c>
      <c r="F7" s="12" t="s">
        <v>18</v>
      </c>
      <c r="G7" s="11" t="s">
        <v>561</v>
      </c>
    </row>
    <row r="8" spans="1:7" ht="103" customHeight="1" x14ac:dyDescent="0.2">
      <c r="A8" s="10" t="s">
        <v>19</v>
      </c>
      <c r="B8" s="11" t="s">
        <v>20</v>
      </c>
      <c r="C8" s="11" t="s">
        <v>558</v>
      </c>
      <c r="D8" s="11" t="s">
        <v>21</v>
      </c>
      <c r="E8" s="11" t="s">
        <v>22</v>
      </c>
      <c r="F8" s="12" t="s">
        <v>13</v>
      </c>
      <c r="G8" s="11" t="s">
        <v>23</v>
      </c>
    </row>
    <row r="9" spans="1:7" ht="103" customHeight="1" x14ac:dyDescent="0.2">
      <c r="A9" s="10" t="s">
        <v>24</v>
      </c>
      <c r="B9" s="11" t="s">
        <v>25</v>
      </c>
      <c r="C9" s="11" t="s">
        <v>26</v>
      </c>
      <c r="D9" s="11" t="s">
        <v>27</v>
      </c>
      <c r="E9" s="11" t="s">
        <v>28</v>
      </c>
      <c r="F9" s="12" t="s">
        <v>29</v>
      </c>
      <c r="G9" s="11" t="s">
        <v>30</v>
      </c>
    </row>
    <row r="10" spans="1:7" ht="64" customHeight="1" x14ac:dyDescent="0.2">
      <c r="A10" s="1"/>
      <c r="B10" s="2"/>
      <c r="C10" s="2"/>
      <c r="D10" s="2"/>
      <c r="E10" s="2"/>
      <c r="F10" s="3"/>
      <c r="G10" s="2"/>
    </row>
    <row r="11" spans="1:7" ht="42.75" customHeight="1" x14ac:dyDescent="0.2">
      <c r="A11" s="74" t="s">
        <v>31</v>
      </c>
      <c r="B11" s="73"/>
      <c r="C11" s="73"/>
      <c r="D11" s="73"/>
      <c r="E11" s="73"/>
      <c r="F11" s="74"/>
      <c r="G11" s="73"/>
    </row>
    <row r="12" spans="1:7" ht="39" customHeight="1" x14ac:dyDescent="0.2">
      <c r="A12" s="75" t="s">
        <v>32</v>
      </c>
      <c r="B12" s="76"/>
      <c r="C12" s="76"/>
      <c r="D12" s="76"/>
      <c r="E12" s="76"/>
      <c r="F12" s="75"/>
      <c r="G12" s="76"/>
    </row>
    <row r="13" spans="1:7" ht="64" customHeight="1" x14ac:dyDescent="0.2">
      <c r="A13" s="10"/>
      <c r="B13" s="11"/>
      <c r="C13" s="11"/>
      <c r="D13" s="11"/>
      <c r="E13" s="11"/>
      <c r="F13" s="12"/>
      <c r="G13" s="11"/>
    </row>
    <row r="14" spans="1:7" ht="32" customHeight="1" x14ac:dyDescent="0.2">
      <c r="A14" s="16" t="s">
        <v>33</v>
      </c>
      <c r="B14" s="86" t="s">
        <v>34</v>
      </c>
      <c r="C14" s="86"/>
      <c r="D14" s="17" t="s">
        <v>35</v>
      </c>
      <c r="E14" s="17" t="s">
        <v>36</v>
      </c>
      <c r="F14" s="16" t="s">
        <v>37</v>
      </c>
      <c r="G14" s="17" t="s">
        <v>8</v>
      </c>
    </row>
    <row r="15" spans="1:7" ht="40" customHeight="1" x14ac:dyDescent="0.2">
      <c r="A15" s="10" t="s">
        <v>38</v>
      </c>
      <c r="B15" s="87" t="s">
        <v>562</v>
      </c>
      <c r="C15" s="87"/>
      <c r="D15" s="11" t="str">
        <f>'الإعدادات واللجنة'!$B$12</f>
        <v>د. نهلة بنت سعد القثامي</v>
      </c>
      <c r="E15" s="11" t="s">
        <v>563</v>
      </c>
      <c r="F15" s="12" t="s">
        <v>40</v>
      </c>
      <c r="G15" s="11"/>
    </row>
    <row r="16" spans="1:7" ht="40" customHeight="1" x14ac:dyDescent="0.2">
      <c r="A16" s="10" t="s">
        <v>38</v>
      </c>
      <c r="B16" s="87" t="s">
        <v>564</v>
      </c>
      <c r="C16" s="87"/>
      <c r="D16" s="11" t="str">
        <f>'الإعدادات واللجنة'!$B$18</f>
        <v>د. عبدالله بن محمد البركاتي</v>
      </c>
      <c r="E16" s="11" t="s">
        <v>42</v>
      </c>
      <c r="F16" s="12" t="s">
        <v>40</v>
      </c>
      <c r="G16" s="11"/>
    </row>
    <row r="17" spans="1:8" ht="40" customHeight="1" x14ac:dyDescent="0.2">
      <c r="A17" s="10" t="s">
        <v>38</v>
      </c>
      <c r="B17" s="87" t="s">
        <v>565</v>
      </c>
      <c r="C17" s="87"/>
      <c r="D17" s="11" t="str">
        <f>'الإعدادات واللجنة'!$B$12</f>
        <v>د. نهلة بنت سعد القثامي</v>
      </c>
      <c r="E17" s="11" t="s">
        <v>566</v>
      </c>
      <c r="F17" s="12" t="s">
        <v>40</v>
      </c>
      <c r="G17" s="11"/>
    </row>
    <row r="18" spans="1:8" ht="40" customHeight="1" x14ac:dyDescent="0.2">
      <c r="A18" s="10" t="s">
        <v>43</v>
      </c>
      <c r="B18" s="87" t="s">
        <v>567</v>
      </c>
      <c r="C18" s="87"/>
      <c r="D18" s="11" t="str">
        <f>'الإعدادات واللجنة'!$B$13</f>
        <v>د. عبير بنت عبدالله راجحي</v>
      </c>
      <c r="E18" s="11" t="s">
        <v>568</v>
      </c>
      <c r="F18" s="12" t="s">
        <v>40</v>
      </c>
      <c r="G18" s="11"/>
    </row>
    <row r="19" spans="1:8" ht="40" customHeight="1" x14ac:dyDescent="0.2">
      <c r="A19" s="10" t="s">
        <v>46</v>
      </c>
      <c r="B19" s="87" t="s">
        <v>581</v>
      </c>
      <c r="C19" s="87"/>
      <c r="D19" s="11" t="s">
        <v>45</v>
      </c>
      <c r="E19" s="11" t="s">
        <v>569</v>
      </c>
      <c r="F19" s="12" t="s">
        <v>40</v>
      </c>
      <c r="G19" s="11"/>
    </row>
    <row r="20" spans="1:8" ht="40" customHeight="1" x14ac:dyDescent="0.2">
      <c r="A20" s="10" t="s">
        <v>46</v>
      </c>
      <c r="B20" s="87" t="s">
        <v>570</v>
      </c>
      <c r="C20" s="87"/>
      <c r="D20" s="11" t="str">
        <f>'الإعدادات واللجنة'!$B$14</f>
        <v>أ. فاطمة بنت سلمان الخزعل</v>
      </c>
      <c r="E20" s="11" t="s">
        <v>571</v>
      </c>
      <c r="F20" s="12" t="s">
        <v>40</v>
      </c>
      <c r="G20" s="11"/>
    </row>
    <row r="21" spans="1:8" ht="40" customHeight="1" x14ac:dyDescent="0.2">
      <c r="A21" s="10" t="s">
        <v>48</v>
      </c>
      <c r="B21" s="87" t="s">
        <v>572</v>
      </c>
      <c r="C21" s="87"/>
      <c r="D21" s="11" t="str">
        <f>'الإعدادات واللجنة'!$B$12</f>
        <v>د. نهلة بنت سعد القثامي</v>
      </c>
      <c r="E21" s="11" t="s">
        <v>573</v>
      </c>
      <c r="F21" s="12" t="s">
        <v>40</v>
      </c>
      <c r="G21" s="11"/>
    </row>
    <row r="22" spans="1:8" ht="40" customHeight="1" x14ac:dyDescent="0.2">
      <c r="A22" s="10" t="s">
        <v>49</v>
      </c>
      <c r="B22" s="87" t="s">
        <v>574</v>
      </c>
      <c r="C22" s="87"/>
      <c r="D22" s="11" t="str">
        <f>'الإعدادات واللجنة'!$B$12</f>
        <v>د. نهلة بنت سعد القثامي</v>
      </c>
      <c r="E22" s="11" t="s">
        <v>575</v>
      </c>
      <c r="F22" s="12" t="s">
        <v>40</v>
      </c>
      <c r="G22" s="11"/>
    </row>
    <row r="23" spans="1:8" ht="40" customHeight="1" x14ac:dyDescent="0.2">
      <c r="A23" s="10" t="s">
        <v>50</v>
      </c>
      <c r="B23" s="87" t="s">
        <v>582</v>
      </c>
      <c r="C23" s="87"/>
      <c r="D23" s="11" t="str">
        <f>"الأعضاء + "&amp;'الإعدادات واللجنة'!$B$12</f>
        <v>الأعضاء + د. نهلة بنت سعد القثامي</v>
      </c>
      <c r="E23" s="11" t="s">
        <v>576</v>
      </c>
      <c r="F23" s="12" t="s">
        <v>40</v>
      </c>
      <c r="G23" s="11"/>
    </row>
    <row r="24" spans="1:8" ht="40" customHeight="1" x14ac:dyDescent="0.2">
      <c r="A24" s="18" t="s">
        <v>50</v>
      </c>
      <c r="B24" s="88" t="s">
        <v>577</v>
      </c>
      <c r="C24" s="88"/>
      <c r="D24" s="20" t="str">
        <f>'الإعدادات واللجنة'!$B$18</f>
        <v>د. عبدالله بن محمد البركاتي</v>
      </c>
      <c r="E24" s="19" t="s">
        <v>578</v>
      </c>
      <c r="F24" s="21" t="s">
        <v>40</v>
      </c>
      <c r="G24" s="11"/>
    </row>
    <row r="25" spans="1:8" ht="40" customHeight="1" x14ac:dyDescent="0.2">
      <c r="A25" s="22" t="s">
        <v>51</v>
      </c>
      <c r="B25" s="89" t="s">
        <v>579</v>
      </c>
      <c r="C25" s="90"/>
      <c r="D25" s="23" t="str">
        <f>'الإعدادات واللجنة'!$B$12&amp;" + "&amp;'الإعدادات واللجنة'!$B$14&amp;" + "&amp;'الإعدادات واللجنة'!$B$13</f>
        <v>د. نهلة بنت سعد القثامي + أ. فاطمة بنت سلمان الخزعل + د. عبير بنت عبدالله راجحي</v>
      </c>
      <c r="E25" s="23" t="s">
        <v>580</v>
      </c>
      <c r="F25" s="24" t="s">
        <v>40</v>
      </c>
      <c r="G25" s="25"/>
    </row>
    <row r="26" spans="1:8" ht="26.75" customHeight="1" x14ac:dyDescent="0.2">
      <c r="A26" s="13"/>
      <c r="B26" s="13"/>
      <c r="C26" s="13"/>
      <c r="D26" s="13"/>
      <c r="E26" s="4"/>
      <c r="F26" s="13"/>
      <c r="G26" s="4"/>
    </row>
    <row r="27" spans="1:8" ht="42.75" customHeight="1" x14ac:dyDescent="0.2">
      <c r="A27" s="80" t="s">
        <v>52</v>
      </c>
      <c r="B27" s="80"/>
      <c r="C27" s="80"/>
      <c r="D27" s="80"/>
      <c r="E27" s="80"/>
      <c r="F27" s="80"/>
      <c r="G27" s="80"/>
    </row>
    <row r="28" spans="1:8" ht="44.25" customHeight="1" x14ac:dyDescent="0.2">
      <c r="A28" s="81" t="s">
        <v>53</v>
      </c>
      <c r="B28" s="81"/>
      <c r="C28" s="81"/>
      <c r="D28" s="81"/>
      <c r="E28" s="81"/>
      <c r="F28" s="81"/>
      <c r="G28" s="81"/>
    </row>
    <row r="29" spans="1:8" ht="44.25" customHeight="1" x14ac:dyDescent="0.2">
      <c r="A29" s="82" t="s">
        <v>54</v>
      </c>
      <c r="B29" s="82"/>
      <c r="C29" s="82"/>
      <c r="D29" s="82"/>
      <c r="E29" s="82"/>
      <c r="F29" s="82"/>
      <c r="G29" s="83"/>
    </row>
    <row r="30" spans="1:8" ht="44.25" customHeight="1" x14ac:dyDescent="0.2">
      <c r="A30" s="82" t="s">
        <v>55</v>
      </c>
      <c r="B30" s="82"/>
      <c r="C30" s="82"/>
      <c r="D30" s="82"/>
      <c r="E30" s="82"/>
      <c r="F30" s="82"/>
      <c r="G30" s="83"/>
    </row>
    <row r="31" spans="1:8" ht="42.75" customHeight="1" x14ac:dyDescent="0.2">
      <c r="A31" s="80" t="s">
        <v>583</v>
      </c>
      <c r="B31" s="80"/>
      <c r="C31" s="80"/>
      <c r="D31" s="80"/>
      <c r="E31" s="80"/>
      <c r="F31" s="80"/>
      <c r="G31" s="80"/>
    </row>
    <row r="32" spans="1:8" ht="125" customHeight="1" x14ac:dyDescent="0.2">
      <c r="A32" s="91" t="s">
        <v>584</v>
      </c>
      <c r="B32" s="92"/>
      <c r="C32" s="92"/>
      <c r="D32" s="92"/>
      <c r="E32" s="92"/>
      <c r="F32" s="92"/>
      <c r="G32" s="93"/>
      <c r="H32" s="14"/>
    </row>
    <row r="33" spans="1:7" ht="90" customHeight="1" x14ac:dyDescent="0.2">
      <c r="A33" s="94" t="s">
        <v>646</v>
      </c>
      <c r="B33" s="94"/>
      <c r="C33" s="94"/>
      <c r="D33" s="94"/>
      <c r="E33" s="94"/>
      <c r="F33" s="94"/>
      <c r="G33" s="95"/>
    </row>
    <row r="34" spans="1:7" ht="140" customHeight="1" x14ac:dyDescent="0.2">
      <c r="A34" s="94" t="s">
        <v>647</v>
      </c>
      <c r="B34" s="94"/>
      <c r="C34" s="94"/>
      <c r="D34" s="94"/>
      <c r="E34" s="94"/>
      <c r="F34" s="94"/>
      <c r="G34" s="95"/>
    </row>
    <row r="35" spans="1:7" ht="42.75" customHeight="1" x14ac:dyDescent="0.2">
      <c r="A35" s="77" t="s">
        <v>56</v>
      </c>
      <c r="B35" s="77"/>
      <c r="C35" s="77"/>
      <c r="D35" s="77"/>
      <c r="E35" s="77"/>
      <c r="F35" s="77"/>
      <c r="G35" s="77"/>
    </row>
    <row r="36" spans="1:7" ht="48" customHeight="1" x14ac:dyDescent="0.2">
      <c r="A36" s="78" t="s">
        <v>585</v>
      </c>
      <c r="B36" s="78"/>
      <c r="C36" s="78"/>
      <c r="D36" s="78"/>
      <c r="E36" s="78"/>
      <c r="F36" s="78"/>
      <c r="G36" s="79"/>
    </row>
    <row r="37" spans="1:7" ht="30" customHeight="1" x14ac:dyDescent="0.2">
      <c r="A37" s="84" t="s">
        <v>57</v>
      </c>
      <c r="B37" s="84"/>
      <c r="C37" s="84"/>
      <c r="D37" s="84"/>
      <c r="E37" s="84"/>
      <c r="F37" s="84"/>
      <c r="G37" s="85"/>
    </row>
    <row r="40" spans="1:7" x14ac:dyDescent="0.2">
      <c r="A40" s="15"/>
    </row>
  </sheetData>
  <mergeCells count="28">
    <mergeCell ref="A37:G37"/>
    <mergeCell ref="B14:C14"/>
    <mergeCell ref="B15:C15"/>
    <mergeCell ref="B16:C16"/>
    <mergeCell ref="B17:C17"/>
    <mergeCell ref="B18:C18"/>
    <mergeCell ref="B24:C24"/>
    <mergeCell ref="B25:C25"/>
    <mergeCell ref="B19:C19"/>
    <mergeCell ref="B20:C20"/>
    <mergeCell ref="B21:C21"/>
    <mergeCell ref="B22:C22"/>
    <mergeCell ref="B23:C23"/>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8" priority="2" operator="equal">
      <formula>"مكتملة"</formula>
    </cfRule>
    <cfRule type="cellIs" dxfId="27"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76BD-1E17-DC4F-93F9-7A03DF44BB80}">
  <dimension ref="A1:F32"/>
  <sheetViews>
    <sheetView rightToLeft="1" workbookViewId="0">
      <selection activeCell="B7" sqref="B7:C7"/>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6" ht="33" customHeight="1" x14ac:dyDescent="0.55000000000000004">
      <c r="A1" s="98" t="s">
        <v>58</v>
      </c>
      <c r="B1" s="98"/>
      <c r="C1" s="98"/>
      <c r="D1" s="98"/>
      <c r="E1" s="98"/>
      <c r="F1" s="26"/>
    </row>
    <row r="2" spans="1:6" ht="26.75" customHeight="1" x14ac:dyDescent="0.55000000000000004">
      <c r="A2" s="99" t="s">
        <v>59</v>
      </c>
      <c r="B2" s="99"/>
      <c r="C2" s="99"/>
      <c r="D2" s="99"/>
      <c r="E2" s="99"/>
      <c r="F2" s="26"/>
    </row>
    <row r="3" spans="1:6" ht="26" x14ac:dyDescent="0.55000000000000004">
      <c r="A3" s="26"/>
      <c r="B3" s="26"/>
      <c r="C3" s="26"/>
      <c r="D3" s="26"/>
      <c r="E3" s="26"/>
      <c r="F3" s="26"/>
    </row>
    <row r="4" spans="1:6" ht="26.75" customHeight="1" x14ac:dyDescent="0.55000000000000004">
      <c r="A4" s="97" t="s">
        <v>60</v>
      </c>
      <c r="B4" s="97"/>
      <c r="C4" s="97"/>
      <c r="D4" s="97"/>
      <c r="E4" s="97"/>
      <c r="F4" s="26"/>
    </row>
    <row r="5" spans="1:6" ht="26.75" customHeight="1" x14ac:dyDescent="0.55000000000000004">
      <c r="A5" s="27" t="s">
        <v>61</v>
      </c>
      <c r="B5" s="96" t="s">
        <v>62</v>
      </c>
      <c r="C5" s="96"/>
      <c r="D5" s="26"/>
      <c r="E5" s="26"/>
      <c r="F5" s="26"/>
    </row>
    <row r="6" spans="1:6" ht="26.75" customHeight="1" x14ac:dyDescent="0.55000000000000004">
      <c r="A6" s="27" t="s">
        <v>63</v>
      </c>
      <c r="B6" s="96" t="s">
        <v>64</v>
      </c>
      <c r="C6" s="96"/>
      <c r="D6" s="26"/>
      <c r="E6" s="26"/>
      <c r="F6" s="26"/>
    </row>
    <row r="7" spans="1:6" ht="26.75" customHeight="1" x14ac:dyDescent="0.55000000000000004">
      <c r="A7" s="27" t="s">
        <v>65</v>
      </c>
      <c r="B7" s="96" t="s">
        <v>66</v>
      </c>
      <c r="C7" s="96"/>
      <c r="D7" s="26"/>
      <c r="E7" s="26"/>
      <c r="F7" s="26"/>
    </row>
    <row r="8" spans="1:6" ht="53.25" customHeight="1" x14ac:dyDescent="0.55000000000000004">
      <c r="A8" s="100" t="s">
        <v>67</v>
      </c>
      <c r="B8" s="100"/>
      <c r="C8" s="100"/>
      <c r="D8" s="100"/>
      <c r="E8" s="100"/>
      <c r="F8" s="26"/>
    </row>
    <row r="9" spans="1:6" ht="26" x14ac:dyDescent="0.55000000000000004">
      <c r="A9" s="26"/>
      <c r="B9" s="26"/>
      <c r="C9" s="26"/>
      <c r="D9" s="26"/>
      <c r="E9" s="26"/>
      <c r="F9" s="26"/>
    </row>
    <row r="10" spans="1:6" ht="26.75" customHeight="1" x14ac:dyDescent="0.55000000000000004">
      <c r="A10" s="97" t="s">
        <v>68</v>
      </c>
      <c r="B10" s="97"/>
      <c r="C10" s="97"/>
      <c r="D10" s="97"/>
      <c r="E10" s="97"/>
      <c r="F10" s="26"/>
    </row>
    <row r="11" spans="1:6" ht="26" x14ac:dyDescent="0.55000000000000004">
      <c r="A11" s="29" t="s">
        <v>69</v>
      </c>
      <c r="B11" s="29" t="s">
        <v>70</v>
      </c>
      <c r="C11" s="29" t="s">
        <v>71</v>
      </c>
      <c r="D11" s="29" t="s">
        <v>72</v>
      </c>
      <c r="E11" s="29" t="s">
        <v>73</v>
      </c>
      <c r="F11" s="26"/>
    </row>
    <row r="12" spans="1:6" ht="74.75" customHeight="1" x14ac:dyDescent="0.55000000000000004">
      <c r="A12" s="30">
        <v>1</v>
      </c>
      <c r="B12" s="28" t="s">
        <v>39</v>
      </c>
      <c r="C12" s="30" t="s">
        <v>74</v>
      </c>
      <c r="D12" s="31" t="s">
        <v>75</v>
      </c>
      <c r="E12" s="30">
        <f>COUNTIF('فحص-حاسب-بكالوريوس'!$H:$H,B12)+COUNTIF('فحص-بيانات-بكالوريوس'!$H:$H,B12)+COUNTIF('فحص-بيانات-ماجستير'!$H:$H,B12)</f>
        <v>0</v>
      </c>
      <c r="F12" s="26"/>
    </row>
    <row r="13" spans="1:6" ht="74.75" customHeight="1" x14ac:dyDescent="0.55000000000000004">
      <c r="A13" s="30">
        <v>2</v>
      </c>
      <c r="B13" s="28" t="s">
        <v>44</v>
      </c>
      <c r="C13" s="30" t="s">
        <v>76</v>
      </c>
      <c r="D13" s="31" t="s">
        <v>77</v>
      </c>
      <c r="E13" s="30">
        <f>COUNTIF('فحص-حاسب-بكالوريوس'!$H:$H,B13)+COUNTIF('فحص-بيانات-بكالوريوس'!$H:$H,B13)+COUNTIF('فحص-بيانات-ماجستير'!$H:$H,B13)</f>
        <v>0</v>
      </c>
      <c r="F13" s="26"/>
    </row>
    <row r="14" spans="1:6" ht="74.75" customHeight="1" x14ac:dyDescent="0.55000000000000004">
      <c r="A14" s="30">
        <v>3</v>
      </c>
      <c r="B14" s="28" t="s">
        <v>47</v>
      </c>
      <c r="C14" s="30" t="s">
        <v>78</v>
      </c>
      <c r="D14" s="31" t="s">
        <v>79</v>
      </c>
      <c r="E14" s="30">
        <f>COUNTIF('فحص-حاسب-بكالوريوس'!$H:$H,B14)+COUNTIF('فحص-بيانات-بكالوريوس'!$H:$H,B14)+COUNTIF('فحص-بيانات-ماجستير'!$H:$H,B14)</f>
        <v>0</v>
      </c>
      <c r="F14" s="26"/>
    </row>
    <row r="15" spans="1:6" ht="74.75" customHeight="1" x14ac:dyDescent="0.55000000000000004">
      <c r="A15" s="30">
        <v>4</v>
      </c>
      <c r="B15" s="28" t="s">
        <v>80</v>
      </c>
      <c r="C15" s="30" t="s">
        <v>81</v>
      </c>
      <c r="D15" s="31" t="s">
        <v>82</v>
      </c>
      <c r="E15" s="30">
        <f>COUNTIF('فحص-حاسب-بكالوريوس'!$H:$H,B15)+COUNTIF('فحص-بيانات-بكالوريوس'!$H:$H,B15)+COUNTIF('فحص-بيانات-ماجستير'!$H:$H,B15)</f>
        <v>117</v>
      </c>
      <c r="F15" s="26"/>
    </row>
    <row r="16" spans="1:6" ht="74.75" customHeight="1" x14ac:dyDescent="0.55000000000000004">
      <c r="A16" s="30">
        <v>5</v>
      </c>
      <c r="B16" s="28" t="s">
        <v>83</v>
      </c>
      <c r="C16" s="30" t="s">
        <v>81</v>
      </c>
      <c r="D16" s="31" t="s">
        <v>84</v>
      </c>
      <c r="E16" s="30">
        <f>COUNTIF('فحص-حاسب-بكالوريوس'!$H:$H,B16)+COUNTIF('فحص-بيانات-بكالوريوس'!$H:$H,B16)+COUNTIF('فحص-بيانات-ماجستير'!$H:$H,B16)</f>
        <v>141</v>
      </c>
      <c r="F16" s="26"/>
    </row>
    <row r="17" spans="1:6" ht="74.75" customHeight="1" x14ac:dyDescent="0.55000000000000004">
      <c r="A17" s="30">
        <v>6</v>
      </c>
      <c r="B17" s="28" t="s">
        <v>85</v>
      </c>
      <c r="C17" s="30" t="s">
        <v>81</v>
      </c>
      <c r="D17" s="31" t="s">
        <v>86</v>
      </c>
      <c r="E17" s="30">
        <f>COUNTIF('فحص-حاسب-بكالوريوس'!$H:$H,B17)+COUNTIF('فحص-بيانات-بكالوريوس'!$H:$H,B17)+COUNTIF('فحص-بيانات-ماجستير'!$H:$H,B17)</f>
        <v>77</v>
      </c>
      <c r="F17" s="26"/>
    </row>
    <row r="18" spans="1:6" ht="74.75" customHeight="1" x14ac:dyDescent="0.55000000000000004">
      <c r="A18" s="30">
        <v>7</v>
      </c>
      <c r="B18" s="28" t="s">
        <v>41</v>
      </c>
      <c r="C18" s="30" t="s">
        <v>87</v>
      </c>
      <c r="D18" s="31" t="s">
        <v>88</v>
      </c>
      <c r="E18" s="30">
        <f>COUNTIF('فحص-حاسب-بكالوريوس'!$H:$H,B18)+COUNTIF('فحص-بيانات-بكالوريوس'!$H:$H,B18)+COUNTIF('فحص-بيانات-ماجستير'!$H:$H,B18)</f>
        <v>92</v>
      </c>
      <c r="F18" s="26"/>
    </row>
    <row r="19" spans="1:6" ht="74.75" customHeight="1" x14ac:dyDescent="0.55000000000000004">
      <c r="A19" s="30">
        <v>8</v>
      </c>
      <c r="B19" s="28" t="s">
        <v>89</v>
      </c>
      <c r="C19" s="30" t="s">
        <v>81</v>
      </c>
      <c r="D19" s="31" t="s">
        <v>586</v>
      </c>
      <c r="E19" s="30">
        <f>COUNTIF('فحص-حاسب-بكالوريوس'!$H:$H,B19)+COUNTIF('فحص-بيانات-بكالوريوس'!$H:$H,B19)+COUNTIF('فحص-بيانات-ماجستير'!$H:$H,B19)</f>
        <v>117</v>
      </c>
      <c r="F19" s="26"/>
    </row>
    <row r="20" spans="1:6" ht="74.75" customHeight="1" x14ac:dyDescent="0.55000000000000004">
      <c r="A20" s="30">
        <v>9</v>
      </c>
      <c r="B20" s="28" t="s">
        <v>90</v>
      </c>
      <c r="C20" s="30" t="s">
        <v>81</v>
      </c>
      <c r="D20" s="31" t="s">
        <v>587</v>
      </c>
      <c r="E20" s="30">
        <f>COUNTIF('فحص-حاسب-بكالوريوس'!$H:$H,B20)+COUNTIF('فحص-بيانات-بكالوريوس'!$H:$H,B20)+COUNTIF('فحص-بيانات-ماجستير'!$H:$H,B20)</f>
        <v>90</v>
      </c>
      <c r="F20" s="26"/>
    </row>
    <row r="21" spans="1:6" ht="26" x14ac:dyDescent="0.55000000000000004">
      <c r="A21" s="26"/>
      <c r="B21" s="26"/>
      <c r="C21" s="26"/>
      <c r="D21" s="26"/>
      <c r="E21" s="26"/>
      <c r="F21" s="26"/>
    </row>
    <row r="22" spans="1:6" ht="26.75" customHeight="1" x14ac:dyDescent="0.55000000000000004">
      <c r="A22" s="97" t="s">
        <v>91</v>
      </c>
      <c r="B22" s="97"/>
      <c r="C22" s="97"/>
      <c r="D22" s="97"/>
      <c r="E22" s="97"/>
      <c r="F22" s="26"/>
    </row>
    <row r="23" spans="1:6" ht="52" x14ac:dyDescent="0.55000000000000004">
      <c r="A23" s="29" t="s">
        <v>92</v>
      </c>
      <c r="B23" s="29" t="s">
        <v>93</v>
      </c>
      <c r="C23" s="29" t="s">
        <v>35</v>
      </c>
      <c r="D23" s="29" t="s">
        <v>94</v>
      </c>
      <c r="E23" s="29" t="s">
        <v>95</v>
      </c>
      <c r="F23" s="26"/>
    </row>
    <row r="24" spans="1:6" ht="26" x14ac:dyDescent="0.55000000000000004">
      <c r="A24" s="32" t="s">
        <v>96</v>
      </c>
      <c r="B24" s="31" t="s">
        <v>97</v>
      </c>
      <c r="C24" s="33" t="str">
        <f>'الإعدادات واللجنة'!$B$15</f>
        <v>د. سلطان بن سعيد الشمراني</v>
      </c>
      <c r="D24" s="30">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30">
        <f>COUNTIF('فحص-حاسب-بكالوريوس'!$A:$A,A24&amp;"-*")+COUNTIF('فحص-بيانات-بكالوريوس'!$A:$A,A24&amp;"-*")+COUNTIF('فحص-بيانات-ماجستير'!$A:$A,A24&amp;"-*")</f>
        <v>117</v>
      </c>
      <c r="F24" s="26"/>
    </row>
    <row r="25" spans="1:6" ht="26" x14ac:dyDescent="0.55000000000000004">
      <c r="A25" s="32" t="s">
        <v>98</v>
      </c>
      <c r="B25" s="31" t="s">
        <v>99</v>
      </c>
      <c r="C25" s="33" t="str">
        <f>'الإعدادات واللجنة'!$B$19</f>
        <v>د. عمر بن محمد موسى</v>
      </c>
      <c r="D25" s="30">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30">
        <f>COUNTIF('فحص-حاسب-بكالوريوس'!$A:$A,A25&amp;"-*")+COUNTIF('فحص-بيانات-بكالوريوس'!$A:$A,A25&amp;"-*")+COUNTIF('فحص-بيانات-ماجستير'!$A:$A,A25&amp;"-*")</f>
        <v>39</v>
      </c>
      <c r="F25" s="26"/>
    </row>
    <row r="26" spans="1:6" ht="26" x14ac:dyDescent="0.55000000000000004">
      <c r="A26" s="32" t="s">
        <v>100</v>
      </c>
      <c r="B26" s="31" t="s">
        <v>101</v>
      </c>
      <c r="C26" s="33" t="str">
        <f>'الإعدادات واللجنة'!$B$16</f>
        <v>د. احمد بن عوض البشري</v>
      </c>
      <c r="D26" s="30">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30">
        <f>COUNTIF('فحص-حاسب-بكالوريوس'!$A:$A,A26&amp;"-*")+COUNTIF('فحص-بيانات-بكالوريوس'!$A:$A,A26&amp;"-*")+COUNTIF('فحص-بيانات-ماجستير'!$A:$A,A26&amp;"-*")</f>
        <v>75</v>
      </c>
      <c r="F26" s="26"/>
    </row>
    <row r="27" spans="1:6" ht="26" x14ac:dyDescent="0.55000000000000004">
      <c r="A27" s="32" t="s">
        <v>102</v>
      </c>
      <c r="B27" s="31" t="s">
        <v>103</v>
      </c>
      <c r="C27" s="33" t="str">
        <f>'الإعدادات واللجنة'!$B$16</f>
        <v>د. احمد بن عوض البشري</v>
      </c>
      <c r="D27" s="30">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30">
        <f>COUNTIF('فحص-حاسب-بكالوريوس'!$A:$A,A27&amp;"-*")+COUNTIF('فحص-بيانات-بكالوريوس'!$A:$A,A27&amp;"-*")+COUNTIF('فحص-بيانات-ماجستير'!$A:$A,A27&amp;"-*")</f>
        <v>66</v>
      </c>
      <c r="F27" s="26"/>
    </row>
    <row r="28" spans="1:6" ht="26" x14ac:dyDescent="0.55000000000000004">
      <c r="A28" s="32" t="s">
        <v>104</v>
      </c>
      <c r="B28" s="31" t="s">
        <v>105</v>
      </c>
      <c r="C28" s="33" t="str">
        <f>'الإعدادات واللجنة'!$B$17</f>
        <v>د. يثرب بنت سعد القحطاني</v>
      </c>
      <c r="D28" s="30">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30">
        <f>COUNTIF('فحص-حاسب-بكالوريوس'!$A:$A,A28&amp;"-*")+COUNTIF('فحص-بيانات-بكالوريوس'!$A:$A,A28&amp;"-*")+COUNTIF('فحص-بيانات-ماجستير'!$A:$A,A28&amp;"-*")</f>
        <v>77</v>
      </c>
      <c r="F28" s="26"/>
    </row>
    <row r="29" spans="1:6" ht="26" x14ac:dyDescent="0.55000000000000004">
      <c r="A29" s="32" t="s">
        <v>106</v>
      </c>
      <c r="B29" s="31" t="s">
        <v>107</v>
      </c>
      <c r="C29" s="33" t="str">
        <f>'الإعدادات واللجنة'!$B$18</f>
        <v>د. عبدالله بن محمد البركاتي</v>
      </c>
      <c r="D29" s="30">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30">
        <f>COUNTIF('فحص-حاسب-بكالوريوس'!$A:$A,A29&amp;"-*")+COUNTIF('فحص-بيانات-بكالوريوس'!$A:$A,A29&amp;"-*")+COUNTIF('فحص-بيانات-ماجستير'!$A:$A,A29&amp;"-*")</f>
        <v>92</v>
      </c>
      <c r="F29" s="26"/>
    </row>
    <row r="30" spans="1:6" ht="26" x14ac:dyDescent="0.55000000000000004">
      <c r="A30" s="32" t="s">
        <v>108</v>
      </c>
      <c r="B30" s="31" t="s">
        <v>109</v>
      </c>
      <c r="C30" s="33" t="str">
        <f>'الإعدادات واللجنة'!$B$19</f>
        <v>د. عمر بن محمد موسى</v>
      </c>
      <c r="D30" s="30">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30">
        <f>COUNTIF('فحص-حاسب-بكالوريوس'!$A:$A,A30&amp;"-*")+COUNTIF('فحص-بيانات-بكالوريوس'!$A:$A,A30&amp;"-*")+COUNTIF('فحص-بيانات-ماجستير'!$A:$A,A30&amp;"-*")</f>
        <v>78</v>
      </c>
      <c r="F30" s="26"/>
    </row>
    <row r="31" spans="1:6" ht="26" x14ac:dyDescent="0.55000000000000004">
      <c r="A31" s="32" t="s">
        <v>110</v>
      </c>
      <c r="B31" s="31" t="s">
        <v>111</v>
      </c>
      <c r="C31" s="33" t="str">
        <f>'الإعدادات واللجنة'!$B$20</f>
        <v>د. حسن بن سعد القحطاني</v>
      </c>
      <c r="D31" s="30">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30">
        <f>COUNTIF('فحص-حاسب-بكالوريوس'!$A:$A,A31&amp;"-*")+COUNTIF('فحص-بيانات-بكالوريوس'!$A:$A,A31&amp;"-*")+COUNTIF('فحص-بيانات-ماجستير'!$A:$A,A31&amp;"-*")</f>
        <v>57</v>
      </c>
      <c r="F31" s="26"/>
    </row>
    <row r="32" spans="1:6" ht="26" x14ac:dyDescent="0.55000000000000004">
      <c r="A32" s="32" t="s">
        <v>112</v>
      </c>
      <c r="B32" s="31" t="s">
        <v>113</v>
      </c>
      <c r="C32" s="33" t="str">
        <f>'الإعدادات واللجنة'!$B$20</f>
        <v>د. حسن بن سعد القحطاني</v>
      </c>
      <c r="D32" s="30">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30">
        <f>COUNTIF('فحص-حاسب-بكالوريوس'!$A:$A,A32&amp;"-*")+COUNTIF('فحص-بيانات-بكالوريوس'!$A:$A,A32&amp;"-*")+COUNTIF('فحص-بيانات-ماجستير'!$A:$A,A32&amp;"-*")</f>
        <v>33</v>
      </c>
      <c r="F32" s="26"/>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95FAB-3879-8A4D-8B7E-9AC5ACC5111B}">
  <sheetPr>
    <tabColor rgb="FF2E75B6"/>
  </sheetPr>
  <dimension ref="A1:J47"/>
  <sheetViews>
    <sheetView rightToLeft="1" topLeftCell="A32" workbookViewId="0">
      <selection activeCell="C51" sqref="C51"/>
    </sheetView>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25.33203125" customWidth="1"/>
  </cols>
  <sheetData>
    <row r="1" spans="1:10" ht="33" customHeight="1" x14ac:dyDescent="0.55000000000000004">
      <c r="A1" s="98" t="s">
        <v>114</v>
      </c>
      <c r="B1" s="98"/>
      <c r="C1" s="98"/>
      <c r="D1" s="98"/>
      <c r="E1" s="98"/>
      <c r="F1" s="98"/>
      <c r="G1" s="98"/>
      <c r="H1" s="98"/>
      <c r="I1" s="98"/>
      <c r="J1" s="26"/>
    </row>
    <row r="2" spans="1:10" ht="26.75" customHeight="1" x14ac:dyDescent="0.55000000000000004">
      <c r="A2" s="99" t="s">
        <v>115</v>
      </c>
      <c r="B2" s="99"/>
      <c r="C2" s="99"/>
      <c r="D2" s="99"/>
      <c r="E2" s="99"/>
      <c r="F2" s="99"/>
      <c r="G2" s="99"/>
      <c r="H2" s="99"/>
      <c r="I2" s="99"/>
      <c r="J2" s="26"/>
    </row>
    <row r="3" spans="1:10" ht="26" x14ac:dyDescent="0.55000000000000004">
      <c r="A3" s="26"/>
      <c r="B3" s="26"/>
      <c r="C3" s="26"/>
      <c r="D3" s="26"/>
      <c r="E3" s="26"/>
      <c r="F3" s="26"/>
      <c r="G3" s="26"/>
      <c r="H3" s="26"/>
      <c r="I3" s="26"/>
      <c r="J3" s="26"/>
    </row>
    <row r="4" spans="1:10" ht="28" x14ac:dyDescent="0.6">
      <c r="A4" s="101" t="str">
        <f>'الإعدادات واللجنة'!$B$5</f>
        <v>بكالوريوس علوم الحاسب</v>
      </c>
      <c r="B4" s="101"/>
      <c r="C4" s="101"/>
      <c r="D4" s="101"/>
      <c r="E4" s="101"/>
      <c r="F4" s="101"/>
      <c r="G4" s="101"/>
      <c r="H4" s="101"/>
      <c r="I4" s="101"/>
      <c r="J4" s="26"/>
    </row>
    <row r="5" spans="1:10" ht="26" x14ac:dyDescent="0.55000000000000004">
      <c r="A5" s="29" t="s">
        <v>116</v>
      </c>
      <c r="B5" s="29" t="s">
        <v>117</v>
      </c>
      <c r="C5" s="29" t="s">
        <v>118</v>
      </c>
      <c r="D5" s="29" t="s">
        <v>119</v>
      </c>
      <c r="E5" s="29" t="s">
        <v>120</v>
      </c>
      <c r="F5" s="29" t="s">
        <v>121</v>
      </c>
      <c r="G5" s="29" t="s">
        <v>122</v>
      </c>
      <c r="H5" s="29" t="s">
        <v>123</v>
      </c>
      <c r="I5" s="29" t="s">
        <v>648</v>
      </c>
      <c r="J5" s="26"/>
    </row>
    <row r="6" spans="1:10" ht="26" x14ac:dyDescent="0.55000000000000004">
      <c r="A6" s="34" t="s">
        <v>125</v>
      </c>
      <c r="B6" s="30">
        <f>COUNTIF('فحص-حاسب-بكالوريوس'!$B$5:$B$208,"1. إدارة البرنامج وضمان جودته")</f>
        <v>52</v>
      </c>
      <c r="C6" s="30">
        <f>COUNTIFS('فحص-حاسب-بكالوريوس'!$B$5:$B$208,"1. إدارة البرنامج وضمان جودته",'فحص-حاسب-بكالوريوس'!$I$5:$I$208,"متوفر ومكتمل")</f>
        <v>0</v>
      </c>
      <c r="D6" s="30">
        <f>COUNTIFS('فحص-حاسب-بكالوريوس'!$B$5:$B$208,"1. إدارة البرنامج وضمان جودته",'فحص-حاسب-بكالوريوس'!$I$5:$I$208,"متوفر ويحتاج تحسين")</f>
        <v>0</v>
      </c>
      <c r="E6" s="30">
        <f>COUNTIFS('فحص-حاسب-بكالوريوس'!$B$5:$B$208,"1. إدارة البرنامج وضمان جودته",'فحص-حاسب-بكالوريوس'!$I$5:$I$208,"غير متوفر")</f>
        <v>0</v>
      </c>
      <c r="F6" s="30">
        <f t="shared" ref="F6:F12" si="0">B6-SUM(C6:E6)</f>
        <v>52</v>
      </c>
      <c r="G6" s="35">
        <f t="shared" ref="G6:G12" si="1">IF(B6=0,0,C6/B6)</f>
        <v>0</v>
      </c>
      <c r="H6" s="30">
        <f>COUNTIFS('فحص-حاسب-بكالوريوس'!$B$5:$B$208,"1. إدارة البرنامج وضمان جودته",'فحص-حاسب-بكالوريوس'!$K$5:$K$208,"عالية")</f>
        <v>0</v>
      </c>
      <c r="I6" s="30">
        <f>COUNTIFS('فحص-حاسب-بكالوريوس'!$B$5:$B$208,"1. إدارة البرنامج وضمان جودته",'فحص-حاسب-بكالوريوس'!$P$5:$P$208,"&lt;&gt;")</f>
        <v>0</v>
      </c>
      <c r="J6" s="26"/>
    </row>
    <row r="7" spans="1:10" ht="26" x14ac:dyDescent="0.55000000000000004">
      <c r="A7" s="34" t="s">
        <v>126</v>
      </c>
      <c r="B7" s="30">
        <f>COUNTIF('فحص-حاسب-بكالوريوس'!$B$5:$B$208,"2. التعليم والتعلم")</f>
        <v>75</v>
      </c>
      <c r="C7" s="30">
        <f>COUNTIFS('فحص-حاسب-بكالوريوس'!$B$5:$B$208,"2. التعليم والتعلم",'فحص-حاسب-بكالوريوس'!$I$5:$I$208,"متوفر ومكتمل")</f>
        <v>0</v>
      </c>
      <c r="D7" s="30">
        <f>COUNTIFS('فحص-حاسب-بكالوريوس'!$B$5:$B$208,"2. التعليم والتعلم",'فحص-حاسب-بكالوريوس'!$I$5:$I$208,"متوفر ويحتاج تحسين")</f>
        <v>0</v>
      </c>
      <c r="E7" s="30">
        <f>COUNTIFS('فحص-حاسب-بكالوريوس'!$B$5:$B$208,"2. التعليم والتعلم",'فحص-حاسب-بكالوريوس'!$I$5:$I$208,"غير متوفر")</f>
        <v>0</v>
      </c>
      <c r="F7" s="30">
        <f t="shared" si="0"/>
        <v>75</v>
      </c>
      <c r="G7" s="35">
        <f t="shared" si="1"/>
        <v>0</v>
      </c>
      <c r="H7" s="30">
        <f>COUNTIFS('فحص-حاسب-بكالوريوس'!$B$5:$B$208,"2. التعليم والتعلم",'فحص-حاسب-بكالوريوس'!$K$5:$K$208,"عالية")</f>
        <v>0</v>
      </c>
      <c r="I7" s="30">
        <f>COUNTIFS('فحص-حاسب-بكالوريوس'!$B$5:$B$208,"2. التعليم والتعلم",'فحص-حاسب-بكالوريوس'!$P$5:$P$208,"&lt;&gt;")</f>
        <v>0</v>
      </c>
      <c r="J7" s="26"/>
    </row>
    <row r="8" spans="1:10" ht="26" x14ac:dyDescent="0.55000000000000004">
      <c r="A8" s="34" t="s">
        <v>127</v>
      </c>
      <c r="B8" s="30">
        <f>COUNTIF('فحص-حاسب-بكالوريوس'!$B$5:$B$208,"3. الطالب")</f>
        <v>32</v>
      </c>
      <c r="C8" s="30">
        <f>COUNTIFS('فحص-حاسب-بكالوريوس'!$B$5:$B$208,"3. الطالب",'فحص-حاسب-بكالوريوس'!$I$5:$I$208,"متوفر ومكتمل")</f>
        <v>0</v>
      </c>
      <c r="D8" s="30">
        <f>COUNTIFS('فحص-حاسب-بكالوريوس'!$B$5:$B$208,"3. الطالب",'فحص-حاسب-بكالوريوس'!$I$5:$I$208,"متوفر ويحتاج تحسين")</f>
        <v>0</v>
      </c>
      <c r="E8" s="30">
        <f>COUNTIFS('فحص-حاسب-بكالوريوس'!$B$5:$B$208,"3. الطالب",'فحص-حاسب-بكالوريوس'!$I$5:$I$208,"غير متوفر")</f>
        <v>0</v>
      </c>
      <c r="F8" s="30">
        <f t="shared" si="0"/>
        <v>32</v>
      </c>
      <c r="G8" s="35">
        <f t="shared" si="1"/>
        <v>0</v>
      </c>
      <c r="H8" s="30">
        <f>COUNTIFS('فحص-حاسب-بكالوريوس'!$B$5:$B$208,"3. الطالب",'فحص-حاسب-بكالوريوس'!$K$5:$K$208,"عالية")</f>
        <v>0</v>
      </c>
      <c r="I8" s="30">
        <f>COUNTIFS('فحص-حاسب-بكالوريوس'!$B$5:$B$208,"3. الطالب",'فحص-حاسب-بكالوريوس'!$P$5:$P$208,"&lt;&gt;")</f>
        <v>0</v>
      </c>
      <c r="J8" s="26"/>
    </row>
    <row r="9" spans="1:10" ht="26" x14ac:dyDescent="0.55000000000000004">
      <c r="A9" s="34" t="s">
        <v>128</v>
      </c>
      <c r="B9" s="30">
        <f>COUNTIF('فحص-حاسب-بكالوريوس'!$B$5:$B$208,"4. هيئة التدريس")</f>
        <v>26</v>
      </c>
      <c r="C9" s="30">
        <f>COUNTIFS('فحص-حاسب-بكالوريوس'!$B$5:$B$208,"4. هيئة التدريس",'فحص-حاسب-بكالوريوس'!$I$5:$I$208,"متوفر ومكتمل")</f>
        <v>0</v>
      </c>
      <c r="D9" s="30">
        <f>COUNTIFS('فحص-حاسب-بكالوريوس'!$B$5:$B$208,"4. هيئة التدريس",'فحص-حاسب-بكالوريوس'!$I$5:$I$208,"متوفر ويحتاج تحسين")</f>
        <v>0</v>
      </c>
      <c r="E9" s="30">
        <f>COUNTIFS('فحص-حاسب-بكالوريوس'!$B$5:$B$208,"4. هيئة التدريس",'فحص-حاسب-بكالوريوس'!$I$5:$I$208,"غير متوفر")</f>
        <v>0</v>
      </c>
      <c r="F9" s="30">
        <f t="shared" si="0"/>
        <v>26</v>
      </c>
      <c r="G9" s="35">
        <f t="shared" si="1"/>
        <v>0</v>
      </c>
      <c r="H9" s="30">
        <f>COUNTIFS('فحص-حاسب-بكالوريوس'!$B$5:$B$208,"4. هيئة التدريس",'فحص-حاسب-بكالوريوس'!$K$5:$K$208,"عالية")</f>
        <v>0</v>
      </c>
      <c r="I9" s="30">
        <f>COUNTIFS('فحص-حاسب-بكالوريوس'!$B$5:$B$208,"4. هيئة التدريس",'فحص-حاسب-بكالوريوس'!$P$5:$P$208,"&lt;&gt;")</f>
        <v>0</v>
      </c>
      <c r="J9" s="26"/>
    </row>
    <row r="10" spans="1:10" ht="26" x14ac:dyDescent="0.55000000000000004">
      <c r="A10" s="34" t="s">
        <v>129</v>
      </c>
      <c r="B10" s="30">
        <f>COUNTIF('فحص-حاسب-بكالوريوس'!$B$5:$B$208,"5. مصادر التعلم والمرافق والتجهيزات")</f>
        <v>19</v>
      </c>
      <c r="C10" s="30">
        <f>COUNTIFS('فحص-حاسب-بكالوريوس'!$B$5:$B$208,"5. مصادر التعلم والمرافق والتجهيزات",'فحص-حاسب-بكالوريوس'!$I$5:$I$208,"متوفر ومكتمل")</f>
        <v>0</v>
      </c>
      <c r="D10" s="30">
        <f>COUNTIFS('فحص-حاسب-بكالوريوس'!$B$5:$B$208,"5. مصادر التعلم والمرافق والتجهيزات",'فحص-حاسب-بكالوريوس'!$I$5:$I$208,"متوفر ويحتاج تحسين")</f>
        <v>0</v>
      </c>
      <c r="E10" s="30">
        <f>COUNTIFS('فحص-حاسب-بكالوريوس'!$B$5:$B$208,"5. مصادر التعلم والمرافق والتجهيزات",'فحص-حاسب-بكالوريوس'!$I$5:$I$208,"غير متوفر")</f>
        <v>0</v>
      </c>
      <c r="F10" s="30">
        <f t="shared" si="0"/>
        <v>19</v>
      </c>
      <c r="G10" s="35">
        <f t="shared" si="1"/>
        <v>0</v>
      </c>
      <c r="H10" s="30">
        <f>COUNTIFS('فحص-حاسب-بكالوريوس'!$B$5:$B$208,"5. مصادر التعلم والمرافق والتجهيزات",'فحص-حاسب-بكالوريوس'!$K$5:$K$208,"عالية")</f>
        <v>0</v>
      </c>
      <c r="I10" s="30">
        <f>COUNTIFS('فحص-حاسب-بكالوريوس'!$B$5:$B$208,"5. مصادر التعلم والمرافق والتجهيزات",'فحص-حاسب-بكالوريوس'!$P$5:$P$208,"&lt;&gt;")</f>
        <v>0</v>
      </c>
      <c r="J10" s="26"/>
    </row>
    <row r="11" spans="1:10" ht="26" x14ac:dyDescent="0.55000000000000004">
      <c r="A11" s="27" t="s">
        <v>130</v>
      </c>
      <c r="B11" s="36">
        <f>COUNTIF('فحص-حاسب-بكالوريوس'!$D$5:$D$208,"★")</f>
        <v>63</v>
      </c>
      <c r="C11" s="36">
        <f>COUNTIFS('فحص-حاسب-بكالوريوس'!$D$5:$D$208,"★",'فحص-حاسب-بكالوريوس'!$I$5:$I$208,"متوفر ومكتمل")</f>
        <v>0</v>
      </c>
      <c r="D11" s="36">
        <f>COUNTIFS('فحص-حاسب-بكالوريوس'!$D$5:$D$208,"★",'فحص-حاسب-بكالوريوس'!$I$5:$I$208,"متوفر ويحتاج تحسين")</f>
        <v>0</v>
      </c>
      <c r="E11" s="36">
        <f>COUNTIFS('فحص-حاسب-بكالوريوس'!$D$5:$D$208,"★",'فحص-حاسب-بكالوريوس'!$I$5:$I$208,"غير متوفر")</f>
        <v>0</v>
      </c>
      <c r="F11" s="36">
        <f t="shared" si="0"/>
        <v>63</v>
      </c>
      <c r="G11" s="37">
        <f t="shared" si="1"/>
        <v>0</v>
      </c>
      <c r="H11" s="36">
        <f>COUNTIFS('فحص-حاسب-بكالوريوس'!$D$5:$D$208,"★",'فحص-حاسب-بكالوريوس'!$K$5:$K$208,"عالية")</f>
        <v>0</v>
      </c>
      <c r="I11" s="36">
        <f>COUNTIFS('فحص-حاسب-بكالوريوس'!$D$5:$D$208,"★",'فحص-حاسب-بكالوريوس'!$P$5:$P$208,"&lt;&gt;")</f>
        <v>0</v>
      </c>
      <c r="J11" s="26"/>
    </row>
    <row r="12" spans="1:10" ht="26" x14ac:dyDescent="0.55000000000000004">
      <c r="A12" s="27" t="s">
        <v>131</v>
      </c>
      <c r="B12" s="36">
        <f>COUNTIF('فحص-حاسب-بكالوريوس'!$A$5:$A$208,"*")</f>
        <v>204</v>
      </c>
      <c r="C12" s="36">
        <f>COUNTIFS('فحص-حاسب-بكالوريوس'!$A$5:$A$208,"*",'فحص-حاسب-بكالوريوس'!$I$5:$I$208,"متوفر ومكتمل")</f>
        <v>0</v>
      </c>
      <c r="D12" s="36">
        <f>COUNTIFS('فحص-حاسب-بكالوريوس'!$A$5:$A$208,"*",'فحص-حاسب-بكالوريوس'!$I$5:$I$208,"متوفر ويحتاج تحسين")</f>
        <v>0</v>
      </c>
      <c r="E12" s="36">
        <f>COUNTIFS('فحص-حاسب-بكالوريوس'!$A$5:$A$208,"*",'فحص-حاسب-بكالوريوس'!$I$5:$I$208,"غير متوفر")</f>
        <v>0</v>
      </c>
      <c r="F12" s="36">
        <f t="shared" si="0"/>
        <v>204</v>
      </c>
      <c r="G12" s="37">
        <f t="shared" si="1"/>
        <v>0</v>
      </c>
      <c r="H12" s="36">
        <f>COUNTIFS('فحص-حاسب-بكالوريوس'!$A$5:$A$208,"*",'فحص-حاسب-بكالوريوس'!$K$5:$K$208,"عالية")</f>
        <v>0</v>
      </c>
      <c r="I12" s="36">
        <f>COUNTIFS('فحص-حاسب-بكالوريوس'!$A$5:$A$208,"*",'فحص-حاسب-بكالوريوس'!$P$5:$P$208,"&lt;&gt;")</f>
        <v>0</v>
      </c>
      <c r="J12" s="26"/>
    </row>
    <row r="13" spans="1:10" ht="26" x14ac:dyDescent="0.55000000000000004">
      <c r="A13" s="26"/>
      <c r="B13" s="26"/>
      <c r="C13" s="26"/>
      <c r="D13" s="26"/>
      <c r="E13" s="26"/>
      <c r="F13" s="26"/>
      <c r="G13" s="26"/>
      <c r="H13" s="26"/>
      <c r="I13" s="26"/>
      <c r="J13" s="26"/>
    </row>
    <row r="14" spans="1:10" ht="28" x14ac:dyDescent="0.6">
      <c r="A14" s="101" t="str">
        <f>'الإعدادات واللجنة'!$B$6</f>
        <v>بكالوريوس علوم البيانات</v>
      </c>
      <c r="B14" s="101"/>
      <c r="C14" s="101"/>
      <c r="D14" s="101"/>
      <c r="E14" s="101"/>
      <c r="F14" s="101"/>
      <c r="G14" s="101"/>
      <c r="H14" s="101"/>
      <c r="I14" s="101"/>
      <c r="J14" s="26"/>
    </row>
    <row r="15" spans="1:10" ht="26" x14ac:dyDescent="0.55000000000000004">
      <c r="A15" s="29" t="s">
        <v>116</v>
      </c>
      <c r="B15" s="29" t="s">
        <v>117</v>
      </c>
      <c r="C15" s="29" t="s">
        <v>118</v>
      </c>
      <c r="D15" s="29" t="s">
        <v>119</v>
      </c>
      <c r="E15" s="29" t="s">
        <v>120</v>
      </c>
      <c r="F15" s="29" t="s">
        <v>121</v>
      </c>
      <c r="G15" s="29" t="s">
        <v>122</v>
      </c>
      <c r="H15" s="29" t="s">
        <v>123</v>
      </c>
      <c r="I15" s="29" t="s">
        <v>648</v>
      </c>
      <c r="J15" s="26"/>
    </row>
    <row r="16" spans="1:10" ht="26" x14ac:dyDescent="0.55000000000000004">
      <c r="A16" s="34" t="s">
        <v>125</v>
      </c>
      <c r="B16" s="30">
        <f>COUNTIF('فحص-بيانات-بكالوريوس'!$B$5:$B$208,"1. إدارة البرنامج وضمان جودته")</f>
        <v>52</v>
      </c>
      <c r="C16" s="30">
        <f>COUNTIFS('فحص-بيانات-بكالوريوس'!$B$5:$B$208,"1. إدارة البرنامج وضمان جودته",'فحص-بيانات-بكالوريوس'!$I$5:$I$208,"متوفر ومكتمل")</f>
        <v>0</v>
      </c>
      <c r="D16" s="30">
        <f>COUNTIFS('فحص-بيانات-بكالوريوس'!$B$5:$B$208,"1. إدارة البرنامج وضمان جودته",'فحص-بيانات-بكالوريوس'!$I$5:$I$208,"متوفر ويحتاج تحسين")</f>
        <v>0</v>
      </c>
      <c r="E16" s="30">
        <f>COUNTIFS('فحص-بيانات-بكالوريوس'!$B$5:$B$208,"1. إدارة البرنامج وضمان جودته",'فحص-بيانات-بكالوريوس'!$I$5:$I$208,"غير متوفر")</f>
        <v>0</v>
      </c>
      <c r="F16" s="30">
        <f t="shared" ref="F16:F22" si="2">B16-SUM(C16:E16)</f>
        <v>52</v>
      </c>
      <c r="G16" s="35">
        <f t="shared" ref="G16:G22" si="3">IF(B16=0,0,C16/B16)</f>
        <v>0</v>
      </c>
      <c r="H16" s="30">
        <f>COUNTIFS('فحص-بيانات-بكالوريوس'!$B$5:$B$208,"1. إدارة البرنامج وضمان جودته",'فحص-بيانات-بكالوريوس'!$K$5:$K$208,"عالية")</f>
        <v>0</v>
      </c>
      <c r="I16" s="30">
        <f>COUNTIFS('فحص-بيانات-بكالوريوس'!$B$5:$B$208,"1. إدارة البرنامج وضمان جودته",'فحص-بيانات-بكالوريوس'!$P$5:$P$208,"&lt;&gt;")</f>
        <v>0</v>
      </c>
      <c r="J16" s="26"/>
    </row>
    <row r="17" spans="1:10" ht="26" x14ac:dyDescent="0.55000000000000004">
      <c r="A17" s="34" t="s">
        <v>126</v>
      </c>
      <c r="B17" s="30">
        <f>COUNTIF('فحص-بيانات-بكالوريوس'!$B$5:$B$208,"2. التعليم والتعلم")</f>
        <v>75</v>
      </c>
      <c r="C17" s="30">
        <f>COUNTIFS('فحص-بيانات-بكالوريوس'!$B$5:$B$208,"2. التعليم والتعلم",'فحص-بيانات-بكالوريوس'!$I$5:$I$208,"متوفر ومكتمل")</f>
        <v>0</v>
      </c>
      <c r="D17" s="30">
        <f>COUNTIFS('فحص-بيانات-بكالوريوس'!$B$5:$B$208,"2. التعليم والتعلم",'فحص-بيانات-بكالوريوس'!$I$5:$I$208,"متوفر ويحتاج تحسين")</f>
        <v>0</v>
      </c>
      <c r="E17" s="30">
        <f>COUNTIFS('فحص-بيانات-بكالوريوس'!$B$5:$B$208,"2. التعليم والتعلم",'فحص-بيانات-بكالوريوس'!$I$5:$I$208,"غير متوفر")</f>
        <v>0</v>
      </c>
      <c r="F17" s="30">
        <f t="shared" si="2"/>
        <v>75</v>
      </c>
      <c r="G17" s="35">
        <f t="shared" si="3"/>
        <v>0</v>
      </c>
      <c r="H17" s="30">
        <f>COUNTIFS('فحص-بيانات-بكالوريوس'!$B$5:$B$208,"2. التعليم والتعلم",'فحص-بيانات-بكالوريوس'!$K$5:$K$208,"عالية")</f>
        <v>0</v>
      </c>
      <c r="I17" s="30">
        <f>COUNTIFS('فحص-بيانات-بكالوريوس'!$B$5:$B$208,"2. التعليم والتعلم",'فحص-بيانات-بكالوريوس'!$P$5:$P$208,"&lt;&gt;")</f>
        <v>0</v>
      </c>
      <c r="J17" s="26"/>
    </row>
    <row r="18" spans="1:10" ht="26" x14ac:dyDescent="0.55000000000000004">
      <c r="A18" s="34" t="s">
        <v>127</v>
      </c>
      <c r="B18" s="30">
        <f>COUNTIF('فحص-بيانات-بكالوريوس'!$B$5:$B$208,"3. الطالب")</f>
        <v>32</v>
      </c>
      <c r="C18" s="30">
        <f>COUNTIFS('فحص-بيانات-بكالوريوس'!$B$5:$B$208,"3. الطالب",'فحص-بيانات-بكالوريوس'!$I$5:$I$208,"متوفر ومكتمل")</f>
        <v>0</v>
      </c>
      <c r="D18" s="30">
        <f>COUNTIFS('فحص-بيانات-بكالوريوس'!$B$5:$B$208,"3. الطالب",'فحص-بيانات-بكالوريوس'!$I$5:$I$208,"متوفر ويحتاج تحسين")</f>
        <v>0</v>
      </c>
      <c r="E18" s="30">
        <f>COUNTIFS('فحص-بيانات-بكالوريوس'!$B$5:$B$208,"3. الطالب",'فحص-بيانات-بكالوريوس'!$I$5:$I$208,"غير متوفر")</f>
        <v>0</v>
      </c>
      <c r="F18" s="30">
        <f t="shared" si="2"/>
        <v>32</v>
      </c>
      <c r="G18" s="35">
        <f t="shared" si="3"/>
        <v>0</v>
      </c>
      <c r="H18" s="30">
        <f>COUNTIFS('فحص-بيانات-بكالوريوس'!$B$5:$B$208,"3. الطالب",'فحص-بيانات-بكالوريوس'!$K$5:$K$208,"عالية")</f>
        <v>0</v>
      </c>
      <c r="I18" s="30">
        <f>COUNTIFS('فحص-بيانات-بكالوريوس'!$B$5:$B$208,"3. الطالب",'فحص-بيانات-بكالوريوس'!$P$5:$P$208,"&lt;&gt;")</f>
        <v>0</v>
      </c>
      <c r="J18" s="26"/>
    </row>
    <row r="19" spans="1:10" ht="26" x14ac:dyDescent="0.55000000000000004">
      <c r="A19" s="34" t="s">
        <v>128</v>
      </c>
      <c r="B19" s="30">
        <f>COUNTIF('فحص-بيانات-بكالوريوس'!$B$5:$B$208,"4. هيئة التدريس")</f>
        <v>26</v>
      </c>
      <c r="C19" s="30">
        <f>COUNTIFS('فحص-بيانات-بكالوريوس'!$B$5:$B$208,"4. هيئة التدريس",'فحص-بيانات-بكالوريوس'!$I$5:$I$208,"متوفر ومكتمل")</f>
        <v>0</v>
      </c>
      <c r="D19" s="30">
        <f>COUNTIFS('فحص-بيانات-بكالوريوس'!$B$5:$B$208,"4. هيئة التدريس",'فحص-بيانات-بكالوريوس'!$I$5:$I$208,"متوفر ويحتاج تحسين")</f>
        <v>0</v>
      </c>
      <c r="E19" s="30">
        <f>COUNTIFS('فحص-بيانات-بكالوريوس'!$B$5:$B$208,"4. هيئة التدريس",'فحص-بيانات-بكالوريوس'!$I$5:$I$208,"غير متوفر")</f>
        <v>0</v>
      </c>
      <c r="F19" s="30">
        <f t="shared" si="2"/>
        <v>26</v>
      </c>
      <c r="G19" s="35">
        <f t="shared" si="3"/>
        <v>0</v>
      </c>
      <c r="H19" s="30">
        <f>COUNTIFS('فحص-بيانات-بكالوريوس'!$B$5:$B$208,"4. هيئة التدريس",'فحص-بيانات-بكالوريوس'!$K$5:$K$208,"عالية")</f>
        <v>0</v>
      </c>
      <c r="I19" s="30">
        <f>COUNTIFS('فحص-بيانات-بكالوريوس'!$B$5:$B$208,"4. هيئة التدريس",'فحص-بيانات-بكالوريوس'!$P$5:$P$208,"&lt;&gt;")</f>
        <v>0</v>
      </c>
      <c r="J19" s="26"/>
    </row>
    <row r="20" spans="1:10" ht="26" x14ac:dyDescent="0.55000000000000004">
      <c r="A20" s="34" t="s">
        <v>129</v>
      </c>
      <c r="B20" s="30">
        <f>COUNTIF('فحص-بيانات-بكالوريوس'!$B$5:$B$208,"5. مصادر التعلم والمرافق والتجهيزات")</f>
        <v>19</v>
      </c>
      <c r="C20" s="30">
        <f>COUNTIFS('فحص-بيانات-بكالوريوس'!$B$5:$B$208,"5. مصادر التعلم والمرافق والتجهيزات",'فحص-بيانات-بكالوريوس'!$I$5:$I$208,"متوفر ومكتمل")</f>
        <v>0</v>
      </c>
      <c r="D20" s="30">
        <f>COUNTIFS('فحص-بيانات-بكالوريوس'!$B$5:$B$208,"5. مصادر التعلم والمرافق والتجهيزات",'فحص-بيانات-بكالوريوس'!$I$5:$I$208,"متوفر ويحتاج تحسين")</f>
        <v>0</v>
      </c>
      <c r="E20" s="30">
        <f>COUNTIFS('فحص-بيانات-بكالوريوس'!$B$5:$B$208,"5. مصادر التعلم والمرافق والتجهيزات",'فحص-بيانات-بكالوريوس'!$I$5:$I$208,"غير متوفر")</f>
        <v>0</v>
      </c>
      <c r="F20" s="30">
        <f t="shared" si="2"/>
        <v>19</v>
      </c>
      <c r="G20" s="35">
        <f t="shared" si="3"/>
        <v>0</v>
      </c>
      <c r="H20" s="30">
        <f>COUNTIFS('فحص-بيانات-بكالوريوس'!$B$5:$B$208,"5. مصادر التعلم والمرافق والتجهيزات",'فحص-بيانات-بكالوريوس'!$K$5:$K$208,"عالية")</f>
        <v>0</v>
      </c>
      <c r="I20" s="30">
        <f>COUNTIFS('فحص-بيانات-بكالوريوس'!$B$5:$B$208,"5. مصادر التعلم والمرافق والتجهيزات",'فحص-بيانات-بكالوريوس'!$P$5:$P$208,"&lt;&gt;")</f>
        <v>0</v>
      </c>
      <c r="J20" s="26"/>
    </row>
    <row r="21" spans="1:10" ht="26" x14ac:dyDescent="0.55000000000000004">
      <c r="A21" s="27" t="s">
        <v>130</v>
      </c>
      <c r="B21" s="36">
        <f>COUNTIF('فحص-بيانات-بكالوريوس'!$D$5:$D$208,"★")</f>
        <v>63</v>
      </c>
      <c r="C21" s="36">
        <f>COUNTIFS('فحص-بيانات-بكالوريوس'!$D$5:$D$208,"★",'فحص-بيانات-بكالوريوس'!$I$5:$I$208,"متوفر ومكتمل")</f>
        <v>0</v>
      </c>
      <c r="D21" s="36">
        <f>COUNTIFS('فحص-بيانات-بكالوريوس'!$D$5:$D$208,"★",'فحص-بيانات-بكالوريوس'!$I$5:$I$208,"متوفر ويحتاج تحسين")</f>
        <v>0</v>
      </c>
      <c r="E21" s="36">
        <f>COUNTIFS('فحص-بيانات-بكالوريوس'!$D$5:$D$208,"★",'فحص-بيانات-بكالوريوس'!$I$5:$I$208,"غير متوفر")</f>
        <v>0</v>
      </c>
      <c r="F21" s="36">
        <f t="shared" si="2"/>
        <v>63</v>
      </c>
      <c r="G21" s="37">
        <f t="shared" si="3"/>
        <v>0</v>
      </c>
      <c r="H21" s="36">
        <f>COUNTIFS('فحص-بيانات-بكالوريوس'!$D$5:$D$208,"★",'فحص-بيانات-بكالوريوس'!$K$5:$K$208,"عالية")</f>
        <v>0</v>
      </c>
      <c r="I21" s="36">
        <f>COUNTIFS('فحص-بيانات-بكالوريوس'!$D$5:$D$208,"★",'فحص-بيانات-بكالوريوس'!$P$5:$P$208,"&lt;&gt;")</f>
        <v>0</v>
      </c>
      <c r="J21" s="26"/>
    </row>
    <row r="22" spans="1:10" ht="26" x14ac:dyDescent="0.55000000000000004">
      <c r="A22" s="27" t="s">
        <v>131</v>
      </c>
      <c r="B22" s="36">
        <f>COUNTIF('فحص-بيانات-بكالوريوس'!$A$5:$A$208,"*")</f>
        <v>204</v>
      </c>
      <c r="C22" s="36">
        <f>COUNTIFS('فحص-بيانات-بكالوريوس'!$A$5:$A$208,"*",'فحص-بيانات-بكالوريوس'!$I$5:$I$208,"متوفر ومكتمل")</f>
        <v>0</v>
      </c>
      <c r="D22" s="36">
        <f>COUNTIFS('فحص-بيانات-بكالوريوس'!$A$5:$A$208,"*",'فحص-بيانات-بكالوريوس'!$I$5:$I$208,"متوفر ويحتاج تحسين")</f>
        <v>0</v>
      </c>
      <c r="E22" s="36">
        <f>COUNTIFS('فحص-بيانات-بكالوريوس'!$A$5:$A$208,"*",'فحص-بيانات-بكالوريوس'!$I$5:$I$208,"غير متوفر")</f>
        <v>0</v>
      </c>
      <c r="F22" s="36">
        <f t="shared" si="2"/>
        <v>204</v>
      </c>
      <c r="G22" s="37">
        <f t="shared" si="3"/>
        <v>0</v>
      </c>
      <c r="H22" s="36">
        <f>COUNTIFS('فحص-بيانات-بكالوريوس'!$A$5:$A$208,"*",'فحص-بيانات-بكالوريوس'!$K$5:$K$208,"عالية")</f>
        <v>0</v>
      </c>
      <c r="I22" s="36">
        <f>COUNTIFS('فحص-بيانات-بكالوريوس'!$A$5:$A$208,"*",'فحص-بيانات-بكالوريوس'!$P$5:$P$208,"&lt;&gt;")</f>
        <v>0</v>
      </c>
      <c r="J22" s="26"/>
    </row>
    <row r="23" spans="1:10" ht="26" x14ac:dyDescent="0.55000000000000004">
      <c r="A23" s="26"/>
      <c r="B23" s="26"/>
      <c r="C23" s="26"/>
      <c r="D23" s="26"/>
      <c r="E23" s="26"/>
      <c r="F23" s="26"/>
      <c r="G23" s="26"/>
      <c r="H23" s="26"/>
      <c r="I23" s="26"/>
      <c r="J23" s="26"/>
    </row>
    <row r="24" spans="1:10" ht="28" x14ac:dyDescent="0.6">
      <c r="A24" s="101" t="str">
        <f>'الإعدادات واللجنة'!$B$7</f>
        <v>ماجستير علوم البيانات</v>
      </c>
      <c r="B24" s="101"/>
      <c r="C24" s="101"/>
      <c r="D24" s="101"/>
      <c r="E24" s="101"/>
      <c r="F24" s="101"/>
      <c r="G24" s="101"/>
      <c r="H24" s="101"/>
      <c r="I24" s="101"/>
      <c r="J24" s="26"/>
    </row>
    <row r="25" spans="1:10" ht="26" x14ac:dyDescent="0.55000000000000004">
      <c r="A25" s="29" t="s">
        <v>116</v>
      </c>
      <c r="B25" s="29" t="s">
        <v>117</v>
      </c>
      <c r="C25" s="29" t="s">
        <v>118</v>
      </c>
      <c r="D25" s="29" t="s">
        <v>119</v>
      </c>
      <c r="E25" s="29" t="s">
        <v>120</v>
      </c>
      <c r="F25" s="29" t="s">
        <v>121</v>
      </c>
      <c r="G25" s="29" t="s">
        <v>122</v>
      </c>
      <c r="H25" s="29" t="s">
        <v>123</v>
      </c>
      <c r="I25" s="29" t="s">
        <v>648</v>
      </c>
      <c r="J25" s="26"/>
    </row>
    <row r="26" spans="1:10" ht="26" x14ac:dyDescent="0.55000000000000004">
      <c r="A26" s="34" t="s">
        <v>125</v>
      </c>
      <c r="B26" s="30">
        <f>COUNTIF('فحص-بيانات-ماجستير'!$B$5:$B$230,"1. إدارة البرنامج وضمان جودته")</f>
        <v>52</v>
      </c>
      <c r="C26" s="30">
        <f>COUNTIFS('فحص-بيانات-ماجستير'!$B$5:$B$230,"1. إدارة البرنامج وضمان جودته",'فحص-بيانات-ماجستير'!$I$5:$I$230,"متوفر ومكتمل")</f>
        <v>0</v>
      </c>
      <c r="D26" s="30">
        <f>COUNTIFS('فحص-بيانات-ماجستير'!$B$5:$B$230,"1. إدارة البرنامج وضمان جودته",'فحص-بيانات-ماجستير'!$I$5:$I$230,"متوفر ويحتاج تحسين")</f>
        <v>0</v>
      </c>
      <c r="E26" s="30">
        <f>COUNTIFS('فحص-بيانات-ماجستير'!$B$5:$B$230,"1. إدارة البرنامج وضمان جودته",'فحص-بيانات-ماجستير'!$I$5:$I$230,"غير متوفر")</f>
        <v>0</v>
      </c>
      <c r="F26" s="30">
        <f t="shared" ref="F26:F33" si="4">B26-SUM(C26:E26)</f>
        <v>52</v>
      </c>
      <c r="G26" s="35">
        <f t="shared" ref="G26:G33" si="5">IF(B26=0,0,C26/B26)</f>
        <v>0</v>
      </c>
      <c r="H26" s="30">
        <f>COUNTIFS('فحص-بيانات-ماجستير'!$B$5:$B$230,"1. إدارة البرنامج وضمان جودته",'فحص-بيانات-ماجستير'!$K$5:$K$230,"عالية")</f>
        <v>0</v>
      </c>
      <c r="I26" s="30">
        <f>COUNTIFS('فحص-بيانات-ماجستير'!$B$5:$B$230,"1. إدارة البرنامج وضمان جودته",'فحص-بيانات-ماجستير'!$P$5:$P$230,"&lt;&gt;")</f>
        <v>0</v>
      </c>
      <c r="J26" s="26"/>
    </row>
    <row r="27" spans="1:10" ht="26" x14ac:dyDescent="0.55000000000000004">
      <c r="A27" s="34" t="s">
        <v>126</v>
      </c>
      <c r="B27" s="30">
        <f>COUNTIF('فحص-بيانات-ماجستير'!$B$5:$B$230,"2. التعليم والتعلم")</f>
        <v>68</v>
      </c>
      <c r="C27" s="30">
        <f>COUNTIFS('فحص-بيانات-ماجستير'!$B$5:$B$230,"2. التعليم والتعلم",'فحص-بيانات-ماجستير'!$I$5:$I$230,"متوفر ومكتمل")</f>
        <v>0</v>
      </c>
      <c r="D27" s="30">
        <f>COUNTIFS('فحص-بيانات-ماجستير'!$B$5:$B$230,"2. التعليم والتعلم",'فحص-بيانات-ماجستير'!$I$5:$I$230,"متوفر ويحتاج تحسين")</f>
        <v>0</v>
      </c>
      <c r="E27" s="30">
        <f>COUNTIFS('فحص-بيانات-ماجستير'!$B$5:$B$230,"2. التعليم والتعلم",'فحص-بيانات-ماجستير'!$I$5:$I$230,"غير متوفر")</f>
        <v>0</v>
      </c>
      <c r="F27" s="30">
        <f t="shared" si="4"/>
        <v>68</v>
      </c>
      <c r="G27" s="35">
        <f t="shared" si="5"/>
        <v>0</v>
      </c>
      <c r="H27" s="30">
        <f>COUNTIFS('فحص-بيانات-ماجستير'!$B$5:$B$230,"2. التعليم والتعلم",'فحص-بيانات-ماجستير'!$K$5:$K$230,"عالية")</f>
        <v>0</v>
      </c>
      <c r="I27" s="30">
        <f>COUNTIFS('فحص-بيانات-ماجستير'!$B$5:$B$230,"2. التعليم والتعلم",'فحص-بيانات-ماجستير'!$P$5:$P$230,"&lt;&gt;")</f>
        <v>0</v>
      </c>
      <c r="J27" s="26"/>
    </row>
    <row r="28" spans="1:10" ht="26" x14ac:dyDescent="0.55000000000000004">
      <c r="A28" s="34" t="s">
        <v>127</v>
      </c>
      <c r="B28" s="30">
        <f>COUNTIF('فحص-بيانات-ماجستير'!$B$5:$B$230,"3. الطالب")</f>
        <v>28</v>
      </c>
      <c r="C28" s="30">
        <f>COUNTIFS('فحص-بيانات-ماجستير'!$B$5:$B$230,"3. الطالب",'فحص-بيانات-ماجستير'!$I$5:$I$230,"متوفر ومكتمل")</f>
        <v>0</v>
      </c>
      <c r="D28" s="30">
        <f>COUNTIFS('فحص-بيانات-ماجستير'!$B$5:$B$230,"3. الطالب",'فحص-بيانات-ماجستير'!$I$5:$I$230,"متوفر ويحتاج تحسين")</f>
        <v>0</v>
      </c>
      <c r="E28" s="30">
        <f>COUNTIFS('فحص-بيانات-ماجستير'!$B$5:$B$230,"3. الطالب",'فحص-بيانات-ماجستير'!$I$5:$I$230,"غير متوفر")</f>
        <v>0</v>
      </c>
      <c r="F28" s="30">
        <f t="shared" si="4"/>
        <v>28</v>
      </c>
      <c r="G28" s="35">
        <f t="shared" si="5"/>
        <v>0</v>
      </c>
      <c r="H28" s="30">
        <f>COUNTIFS('فحص-بيانات-ماجستير'!$B$5:$B$230,"3. الطالب",'فحص-بيانات-ماجستير'!$K$5:$K$230,"عالية")</f>
        <v>0</v>
      </c>
      <c r="I28" s="30">
        <f>COUNTIFS('فحص-بيانات-ماجستير'!$B$5:$B$230,"3. الطالب",'فحص-بيانات-ماجستير'!$P$5:$P$230,"&lt;&gt;")</f>
        <v>0</v>
      </c>
      <c r="J28" s="26"/>
    </row>
    <row r="29" spans="1:10" ht="26" x14ac:dyDescent="0.55000000000000004">
      <c r="A29" s="34" t="s">
        <v>128</v>
      </c>
      <c r="B29" s="30">
        <f>COUNTIF('فحص-بيانات-ماجستير'!$B$5:$B$230,"4. هيئة التدريس")</f>
        <v>26</v>
      </c>
      <c r="C29" s="30">
        <f>COUNTIFS('فحص-بيانات-ماجستير'!$B$5:$B$230,"4. هيئة التدريس",'فحص-بيانات-ماجستير'!$I$5:$I$230,"متوفر ومكتمل")</f>
        <v>0</v>
      </c>
      <c r="D29" s="30">
        <f>COUNTIFS('فحص-بيانات-ماجستير'!$B$5:$B$230,"4. هيئة التدريس",'فحص-بيانات-ماجستير'!$I$5:$I$230,"متوفر ويحتاج تحسين")</f>
        <v>0</v>
      </c>
      <c r="E29" s="30">
        <f>COUNTIFS('فحص-بيانات-ماجستير'!$B$5:$B$230,"4. هيئة التدريس",'فحص-بيانات-ماجستير'!$I$5:$I$230,"غير متوفر")</f>
        <v>0</v>
      </c>
      <c r="F29" s="30">
        <f t="shared" si="4"/>
        <v>26</v>
      </c>
      <c r="G29" s="35">
        <f t="shared" si="5"/>
        <v>0</v>
      </c>
      <c r="H29" s="30">
        <f>COUNTIFS('فحص-بيانات-ماجستير'!$B$5:$B$230,"4. هيئة التدريس",'فحص-بيانات-ماجستير'!$K$5:$K$230,"عالية")</f>
        <v>0</v>
      </c>
      <c r="I29" s="30">
        <f>COUNTIFS('فحص-بيانات-ماجستير'!$B$5:$B$230,"4. هيئة التدريس",'فحص-بيانات-ماجستير'!$P$5:$P$230,"&lt;&gt;")</f>
        <v>0</v>
      </c>
      <c r="J29" s="26"/>
    </row>
    <row r="30" spans="1:10" ht="26" x14ac:dyDescent="0.55000000000000004">
      <c r="A30" s="34" t="s">
        <v>129</v>
      </c>
      <c r="B30" s="30">
        <f>COUNTIF('فحص-بيانات-ماجستير'!$B$5:$B$230,"5. مصادر التعلم والمرافق والتجهيزات")</f>
        <v>19</v>
      </c>
      <c r="C30" s="30">
        <f>COUNTIFS('فحص-بيانات-ماجستير'!$B$5:$B$230,"5. مصادر التعلم والمرافق والتجهيزات",'فحص-بيانات-ماجستير'!$I$5:$I$230,"متوفر ومكتمل")</f>
        <v>0</v>
      </c>
      <c r="D30" s="30">
        <f>COUNTIFS('فحص-بيانات-ماجستير'!$B$5:$B$230,"5. مصادر التعلم والمرافق والتجهيزات",'فحص-بيانات-ماجستير'!$I$5:$I$230,"متوفر ويحتاج تحسين")</f>
        <v>0</v>
      </c>
      <c r="E30" s="30">
        <f>COUNTIFS('فحص-بيانات-ماجستير'!$B$5:$B$230,"5. مصادر التعلم والمرافق والتجهيزات",'فحص-بيانات-ماجستير'!$I$5:$I$230,"غير متوفر")</f>
        <v>0</v>
      </c>
      <c r="F30" s="30">
        <f t="shared" si="4"/>
        <v>19</v>
      </c>
      <c r="G30" s="35">
        <f t="shared" si="5"/>
        <v>0</v>
      </c>
      <c r="H30" s="30">
        <f>COUNTIFS('فحص-بيانات-ماجستير'!$B$5:$B$230,"5. مصادر التعلم والمرافق والتجهيزات",'فحص-بيانات-ماجستير'!$K$5:$K$230,"عالية")</f>
        <v>0</v>
      </c>
      <c r="I30" s="30">
        <f>COUNTIFS('فحص-بيانات-ماجستير'!$B$5:$B$230,"5. مصادر التعلم والمرافق والتجهيزات",'فحص-بيانات-ماجستير'!$P$5:$P$230,"&lt;&gt;")</f>
        <v>0</v>
      </c>
      <c r="J30" s="26"/>
    </row>
    <row r="31" spans="1:10" ht="26" x14ac:dyDescent="0.55000000000000004">
      <c r="A31" s="34" t="s">
        <v>132</v>
      </c>
      <c r="B31" s="30">
        <f>COUNTIF('فحص-بيانات-ماجستير'!$B$5:$B$230,"6. البحث والمشاريع")</f>
        <v>33</v>
      </c>
      <c r="C31" s="30">
        <f>COUNTIFS('فحص-بيانات-ماجستير'!$B$5:$B$230,"6. البحث والمشاريع",'فحص-بيانات-ماجستير'!$I$5:$I$230,"متوفر ومكتمل")</f>
        <v>0</v>
      </c>
      <c r="D31" s="30">
        <f>COUNTIFS('فحص-بيانات-ماجستير'!$B$5:$B$230,"6. البحث والمشاريع",'فحص-بيانات-ماجستير'!$I$5:$I$230,"متوفر ويحتاج تحسين")</f>
        <v>0</v>
      </c>
      <c r="E31" s="30">
        <f>COUNTIFS('فحص-بيانات-ماجستير'!$B$5:$B$230,"6. البحث والمشاريع",'فحص-بيانات-ماجستير'!$I$5:$I$230,"غير متوفر")</f>
        <v>0</v>
      </c>
      <c r="F31" s="30">
        <f t="shared" si="4"/>
        <v>33</v>
      </c>
      <c r="G31" s="35">
        <f t="shared" si="5"/>
        <v>0</v>
      </c>
      <c r="H31" s="30">
        <f>COUNTIFS('فحص-بيانات-ماجستير'!$B$5:$B$230,"6. البحث والمشاريع",'فحص-بيانات-ماجستير'!$K$5:$K$230,"عالية")</f>
        <v>0</v>
      </c>
      <c r="I31" s="30">
        <f>COUNTIFS('فحص-بيانات-ماجستير'!$B$5:$B$230,"6. البحث والمشاريع",'فحص-بيانات-ماجستير'!$P$5:$P$230,"&lt;&gt;")</f>
        <v>0</v>
      </c>
      <c r="J31" s="26"/>
    </row>
    <row r="32" spans="1:10" ht="26" x14ac:dyDescent="0.55000000000000004">
      <c r="A32" s="27" t="s">
        <v>130</v>
      </c>
      <c r="B32" s="36">
        <f>COUNTIF('فحص-بيانات-ماجستير'!$D$5:$D$230,"★")</f>
        <v>69</v>
      </c>
      <c r="C32" s="36">
        <f>COUNTIFS('فحص-بيانات-ماجستير'!$D$5:$D$230,"★",'فحص-بيانات-ماجستير'!$I$5:$I$230,"متوفر ومكتمل")</f>
        <v>0</v>
      </c>
      <c r="D32" s="36">
        <f>COUNTIFS('فحص-بيانات-ماجستير'!$D$5:$D$230,"★",'فحص-بيانات-ماجستير'!$I$5:$I$230,"متوفر ويحتاج تحسين")</f>
        <v>0</v>
      </c>
      <c r="E32" s="36">
        <f>COUNTIFS('فحص-بيانات-ماجستير'!$D$5:$D$230,"★",'فحص-بيانات-ماجستير'!$I$5:$I$230,"غير متوفر")</f>
        <v>0</v>
      </c>
      <c r="F32" s="36">
        <f t="shared" si="4"/>
        <v>69</v>
      </c>
      <c r="G32" s="37">
        <f t="shared" si="5"/>
        <v>0</v>
      </c>
      <c r="H32" s="36">
        <f>COUNTIFS('فحص-بيانات-ماجستير'!$D$5:$D$230,"★",'فحص-بيانات-ماجستير'!$K$5:$K$230,"عالية")</f>
        <v>0</v>
      </c>
      <c r="I32" s="36">
        <f>COUNTIFS('فحص-بيانات-ماجستير'!$D$5:$D$230,"★",'فحص-بيانات-ماجستير'!$P$5:$P$230,"&lt;&gt;")</f>
        <v>0</v>
      </c>
      <c r="J32" s="26"/>
    </row>
    <row r="33" spans="1:10" ht="26" x14ac:dyDescent="0.55000000000000004">
      <c r="A33" s="27" t="s">
        <v>131</v>
      </c>
      <c r="B33" s="36">
        <f>COUNTIF('فحص-بيانات-ماجستير'!$A$5:$A$230,"*")</f>
        <v>226</v>
      </c>
      <c r="C33" s="36">
        <f>COUNTIFS('فحص-بيانات-ماجستير'!$A$5:$A$230,"*",'فحص-بيانات-ماجستير'!$I$5:$I$230,"متوفر ومكتمل")</f>
        <v>0</v>
      </c>
      <c r="D33" s="36">
        <f>COUNTIFS('فحص-بيانات-ماجستير'!$A$5:$A$230,"*",'فحص-بيانات-ماجستير'!$I$5:$I$230,"متوفر ويحتاج تحسين")</f>
        <v>0</v>
      </c>
      <c r="E33" s="36">
        <f>COUNTIFS('فحص-بيانات-ماجستير'!$A$5:$A$230,"*",'فحص-بيانات-ماجستير'!$I$5:$I$230,"غير متوفر")</f>
        <v>0</v>
      </c>
      <c r="F33" s="36">
        <f t="shared" si="4"/>
        <v>226</v>
      </c>
      <c r="G33" s="37">
        <f t="shared" si="5"/>
        <v>0</v>
      </c>
      <c r="H33" s="36">
        <f>COUNTIFS('فحص-بيانات-ماجستير'!$A$5:$A$230,"*",'فحص-بيانات-ماجستير'!$K$5:$K$230,"عالية")</f>
        <v>0</v>
      </c>
      <c r="I33" s="36">
        <f>COUNTIFS('فحص-بيانات-ماجستير'!$A$5:$A$230,"*",'فحص-بيانات-ماجستير'!$P$5:$P$230,"&lt;&gt;")</f>
        <v>0</v>
      </c>
      <c r="J33" s="26"/>
    </row>
    <row r="34" spans="1:10" ht="26" x14ac:dyDescent="0.55000000000000004">
      <c r="A34" s="26"/>
      <c r="B34" s="26"/>
      <c r="C34" s="26"/>
      <c r="D34" s="26"/>
      <c r="E34" s="26"/>
      <c r="F34" s="26"/>
      <c r="G34" s="26"/>
      <c r="H34" s="26"/>
      <c r="I34" s="26"/>
      <c r="J34" s="26"/>
    </row>
    <row r="35" spans="1:10" ht="26.75" customHeight="1" x14ac:dyDescent="0.55000000000000004">
      <c r="A35" s="97" t="s">
        <v>133</v>
      </c>
      <c r="B35" s="97"/>
      <c r="C35" s="97"/>
      <c r="D35" s="97"/>
      <c r="E35" s="97"/>
      <c r="F35" s="97"/>
      <c r="G35" s="97"/>
      <c r="H35" s="97"/>
      <c r="I35" s="97"/>
      <c r="J35" s="26"/>
    </row>
    <row r="36" spans="1:10" ht="52" x14ac:dyDescent="0.55000000000000004">
      <c r="A36" s="29" t="s">
        <v>70</v>
      </c>
      <c r="B36" s="29" t="s">
        <v>134</v>
      </c>
      <c r="C36" s="29" t="s">
        <v>135</v>
      </c>
      <c r="D36" s="29" t="s">
        <v>136</v>
      </c>
      <c r="E36" s="29" t="s">
        <v>124</v>
      </c>
      <c r="F36" s="29" t="s">
        <v>137</v>
      </c>
      <c r="G36" s="29"/>
      <c r="H36" s="29"/>
      <c r="I36" s="29"/>
      <c r="J36" s="26"/>
    </row>
    <row r="37" spans="1:10" ht="26" x14ac:dyDescent="0.55000000000000004">
      <c r="A37" s="34" t="str">
        <f>'الإعدادات واللجنة'!$B$15</f>
        <v>د. سلطان بن سعيد الشمراني</v>
      </c>
      <c r="B37" s="30">
        <f>COUNTIFS('فحص-حاسب-بكالوريوس'!$H$5:$H$208,'الإعدادات واللجنة'!$B$15)+COUNTIFS('فحص-بيانات-بكالوريوس'!$H$5:$H$208,'الإعدادات واللجنة'!$B$15)+COUNTIFS('فحص-بيانات-ماجستير'!$H$5:$H$230,'الإعدادات واللجنة'!$B$15)</f>
        <v>117</v>
      </c>
      <c r="C37" s="30">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35">
        <f t="shared" ref="D37:D42" si="6">IF(B37=0,0,C37/B37)</f>
        <v>0</v>
      </c>
      <c r="E37" s="30">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30">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c r="G37" s="26"/>
      <c r="H37" s="26"/>
      <c r="I37" s="26"/>
      <c r="J37" s="26"/>
    </row>
    <row r="38" spans="1:10" ht="26" x14ac:dyDescent="0.55000000000000004">
      <c r="A38" s="34" t="str">
        <f>'الإعدادات واللجنة'!$B$16</f>
        <v>د. احمد بن عوض البشري</v>
      </c>
      <c r="B38" s="30">
        <f>COUNTIFS('فحص-حاسب-بكالوريوس'!$H$5:$H$208,'الإعدادات واللجنة'!$B$16)+COUNTIFS('فحص-بيانات-بكالوريوس'!$H$5:$H$208,'الإعدادات واللجنة'!$B$16)+COUNTIFS('فحص-بيانات-ماجستير'!$H$5:$H$230,'الإعدادات واللجنة'!$B$16)</f>
        <v>141</v>
      </c>
      <c r="C38" s="30">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35">
        <f t="shared" si="6"/>
        <v>0</v>
      </c>
      <c r="E38" s="30">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30">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c r="G38" s="26"/>
      <c r="H38" s="26"/>
      <c r="I38" s="26"/>
      <c r="J38" s="26"/>
    </row>
    <row r="39" spans="1:10" ht="26" x14ac:dyDescent="0.55000000000000004">
      <c r="A39" s="34" t="str">
        <f>'الإعدادات واللجنة'!$B$17</f>
        <v>د. يثرب بنت سعد القحطاني</v>
      </c>
      <c r="B39" s="30">
        <f>COUNTIFS('فحص-حاسب-بكالوريوس'!$H$5:$H$208,'الإعدادات واللجنة'!$B$17)+COUNTIFS('فحص-بيانات-بكالوريوس'!$H$5:$H$208,'الإعدادات واللجنة'!$B$17)+COUNTIFS('فحص-بيانات-ماجستير'!$H$5:$H$230,'الإعدادات واللجنة'!$B$17)</f>
        <v>77</v>
      </c>
      <c r="C39" s="30">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35">
        <f t="shared" si="6"/>
        <v>0</v>
      </c>
      <c r="E39" s="30">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30">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c r="G39" s="26"/>
      <c r="H39" s="26"/>
      <c r="I39" s="26"/>
      <c r="J39" s="26"/>
    </row>
    <row r="40" spans="1:10" ht="26" x14ac:dyDescent="0.55000000000000004">
      <c r="A40" s="34" t="str">
        <f>'الإعدادات واللجنة'!$B$18</f>
        <v>د. عبدالله بن محمد البركاتي</v>
      </c>
      <c r="B40" s="30">
        <f>COUNTIFS('فحص-حاسب-بكالوريوس'!$H$5:$H$208,'الإعدادات واللجنة'!$B$18)+COUNTIFS('فحص-بيانات-بكالوريوس'!$H$5:$H$208,'الإعدادات واللجنة'!$B$18)+COUNTIFS('فحص-بيانات-ماجستير'!$H$5:$H$230,'الإعدادات واللجنة'!$B$18)</f>
        <v>92</v>
      </c>
      <c r="C40" s="30">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35">
        <f t="shared" si="6"/>
        <v>0</v>
      </c>
      <c r="E40" s="30">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30">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c r="G40" s="26"/>
      <c r="H40" s="26"/>
      <c r="I40" s="26"/>
      <c r="J40" s="26"/>
    </row>
    <row r="41" spans="1:10" ht="26" x14ac:dyDescent="0.55000000000000004">
      <c r="A41" s="34" t="str">
        <f>'الإعدادات واللجنة'!$B$19</f>
        <v>د. عمر بن محمد موسى</v>
      </c>
      <c r="B41" s="30">
        <f>COUNTIFS('فحص-حاسب-بكالوريوس'!$H$5:$H$208,'الإعدادات واللجنة'!$B$19)+COUNTIFS('فحص-بيانات-بكالوريوس'!$H$5:$H$208,'الإعدادات واللجنة'!$B$19)+COUNTIFS('فحص-بيانات-ماجستير'!$H$5:$H$230,'الإعدادات واللجنة'!$B$19)</f>
        <v>117</v>
      </c>
      <c r="C41" s="30">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35">
        <f t="shared" si="6"/>
        <v>0</v>
      </c>
      <c r="E41" s="30">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30">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c r="G41" s="26"/>
      <c r="H41" s="26"/>
      <c r="I41" s="26"/>
      <c r="J41" s="26"/>
    </row>
    <row r="42" spans="1:10" ht="26" x14ac:dyDescent="0.55000000000000004">
      <c r="A42" s="34" t="str">
        <f>'الإعدادات واللجنة'!$B$20</f>
        <v>د. حسن بن سعد القحطاني</v>
      </c>
      <c r="B42" s="30">
        <f>COUNTIFS('فحص-حاسب-بكالوريوس'!$H$5:$H$208,'الإعدادات واللجنة'!$B$20)+COUNTIFS('فحص-بيانات-بكالوريوس'!$H$5:$H$208,'الإعدادات واللجنة'!$B$20)+COUNTIFS('فحص-بيانات-ماجستير'!$H$5:$H$230,'الإعدادات واللجنة'!$B$20)</f>
        <v>90</v>
      </c>
      <c r="C42" s="30">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35">
        <f t="shared" si="6"/>
        <v>0</v>
      </c>
      <c r="E42" s="30">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30">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c r="G42" s="26"/>
      <c r="H42" s="26"/>
      <c r="I42" s="26"/>
      <c r="J42" s="26"/>
    </row>
    <row r="43" spans="1:10" ht="26" customHeight="1">
      <c r="A43" s="34" t="str">
        <f>'الإعدادات واللجنة'!$B$13&amp;" (وثائق الجودة)"</f>
        <v/>
      </c>
      <c r="B43" s="30" t="inlineStr">
        <is>
          <t xml:space="preserve">—</t>
        </is>
      </c>
      <c r="C43" s="30" t="inlineStr">
        <is>
          <t xml:space="preserve">—</t>
        </is>
      </c>
      <c r="D43" s="35">
        <f>'وثائق الجودة'!$E$3</f>
        <v>0</v>
      </c>
      <c r="E43" s="30" t="inlineStr">
        <is>
          <t xml:space="preserve">—</t>
        </is>
      </c>
      <c r="F43" s="30" t="inlineStr">
        <is>
          <t xml:space="preserve">—</t>
        </is>
      </c>
    </row>
    <row r="44" spans="1:10" ht="26.75" customHeight="1" x14ac:dyDescent="0.55000000000000004">
      <c r="A44" s="97" t="s">
        <v>138</v>
      </c>
      <c r="B44" s="97"/>
      <c r="C44" s="97"/>
      <c r="D44" s="97"/>
      <c r="E44" s="97"/>
      <c r="F44" s="97"/>
      <c r="G44" s="97"/>
      <c r="H44" s="97"/>
      <c r="I44" s="97"/>
      <c r="J44" s="26"/>
    </row>
    <row r="45" spans="1:10" ht="52" x14ac:dyDescent="0.55000000000000004">
      <c r="A45" s="29" t="s">
        <v>139</v>
      </c>
      <c r="B45" s="29" t="str">
        <f>'الإعدادات واللجنة'!$B$5</f>
        <v>بكالوريوس علوم الحاسب</v>
      </c>
      <c r="C45" s="29" t="str">
        <f>'الإعدادات واللجنة'!$B$6</f>
        <v>بكالوريوس علوم البيانات</v>
      </c>
      <c r="D45" s="29" t="str">
        <f>'الإعدادات واللجنة'!$B$7</f>
        <v>ماجستير علوم البيانات</v>
      </c>
      <c r="E45" s="26"/>
      <c r="F45" s="26"/>
      <c r="G45" s="26"/>
      <c r="H45" s="26"/>
      <c r="I45" s="26"/>
      <c r="J45" s="26"/>
    </row>
    <row r="46" spans="1:10" ht="26" x14ac:dyDescent="0.55000000000000004">
      <c r="A46" s="34" t="s">
        <v>588</v>
      </c>
      <c r="B46" s="30">
        <f>COUNTIF('فحص-حاسب-بكالوريوس'!$J$5:$J$208,"فجوة توثيق")</f>
        <v>0</v>
      </c>
      <c r="C46" s="30">
        <f>COUNTIF('فحص-بيانات-بكالوريوس'!$J$5:$J$208,"فجوة توثيق")</f>
        <v>0</v>
      </c>
      <c r="D46" s="30">
        <f>COUNTIF('فحص-بيانات-ماجستير'!$J$5:$J$230,"فجوة توثيق")</f>
        <v>0</v>
      </c>
      <c r="E46" s="26"/>
      <c r="F46" s="26"/>
      <c r="G46" s="26"/>
      <c r="H46" s="26"/>
      <c r="I46" s="26"/>
      <c r="J46" s="26"/>
    </row>
    <row r="47" spans="1:10" ht="26" x14ac:dyDescent="0.55000000000000004">
      <c r="A47" s="34" t="s">
        <v>589</v>
      </c>
      <c r="B47" s="30">
        <f>COUNTIF('فحص-حاسب-بكالوريوس'!$J$5:$J$208,"فجوة تطبيق")</f>
        <v>0</v>
      </c>
      <c r="C47" s="30">
        <f>COUNTIF('فحص-بيانات-بكالوريوس'!$J$5:$J$208,"فجوة تطبيق")</f>
        <v>0</v>
      </c>
      <c r="D47" s="30">
        <f>COUNTIF('فحص-بيانات-ماجستير'!$J$5:$J$230,"فجوة تطبيق")</f>
        <v>0</v>
      </c>
      <c r="E47" s="26"/>
      <c r="F47" s="26"/>
      <c r="G47" s="26"/>
      <c r="H47" s="26"/>
      <c r="I47" s="26"/>
      <c r="J47" s="26"/>
    </row>
  </sheetData>
  <mergeCells count="7">
    <mergeCell ref="A35:I35"/>
    <mergeCell ref="A44:I44"/>
    <mergeCell ref="A1:I1"/>
    <mergeCell ref="A2:I2"/>
    <mergeCell ref="A4:I4"/>
    <mergeCell ref="A14:I14"/>
    <mergeCell ref="A24:I24"/>
  </mergeCells>
  <conditionalFormatting sqref="D37:D43">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6D899-D0E7-A14D-966D-CF424C8168F3}">
  <sheetPr>
    <tabColor rgb="FF2E75B6"/>
  </sheetPr>
  <dimension ref="A1:J235"/>
  <sheetViews>
    <sheetView rightToLeft="1" workbookViewId="0">
      <selection activeCell="E3" sqref="E3"/>
    </sheetView>
  </sheetViews>
  <sheetFormatPr baseColWidth="10" defaultColWidth="8.83203125" defaultRowHeight="15" x14ac:dyDescent="0.2"/>
  <cols>
    <col min="1" max="1" width="6" customWidth="1"/>
    <col min="2" max="2" width="10" customWidth="1"/>
    <col min="3" max="3" width="48" customWidth="1"/>
    <col min="4" max="4" width="26" customWidth="1"/>
    <col min="5" max="5" width="13" customWidth="1"/>
    <col min="6" max="6" width="40" customWidth="1"/>
    <col min="7" max="7" width="18" customWidth="1"/>
    <col min="8" max="8" width="4" customWidth="1"/>
    <col min="9" max="10" width="6" hidden="1" customWidth="1"/>
  </cols>
  <sheetData>
    <row r="1" spans="1:10" ht="30" customHeight="1" x14ac:dyDescent="0.55000000000000004">
      <c r="A1" s="74" t="s">
        <v>590</v>
      </c>
      <c r="B1" s="102"/>
      <c r="C1" s="102"/>
      <c r="D1" s="102"/>
      <c r="E1" s="102"/>
      <c r="F1" s="102"/>
      <c r="G1" s="102"/>
    </row>
    <row r="2" spans="1:10" ht="22" customHeight="1" x14ac:dyDescent="0.55000000000000004">
      <c r="A2" s="75" t="s">
        <v>591</v>
      </c>
      <c r="B2" s="102"/>
      <c r="C2" s="102"/>
      <c r="D2" s="102"/>
      <c r="E2" s="102"/>
      <c r="F2" s="102"/>
      <c r="G2" s="102"/>
    </row>
    <row r="3" spans="1:10" ht="28" customHeight="1" x14ac:dyDescent="0.55000000000000004">
      <c r="A3" s="16" t="s">
        <v>592</v>
      </c>
      <c r="B3" s="103" t="s">
        <v>62</v>
      </c>
      <c r="C3" s="102"/>
      <c r="D3" s="16" t="s">
        <v>191</v>
      </c>
      <c r="E3" s="38" t="s">
        <v>605</v>
      </c>
      <c r="F3" s="16" t="s">
        <v>117</v>
      </c>
      <c r="G3" s="10">
        <f>IFERROR(CHOOSE($J$3,COUNTIF('فحص-حاسب-بكالوريوس'!$I$5:$I$208,$E$3),COUNTIF('فحص-بيانات-بكالوريوس'!$I$5:$I$208,$E$3),COUNTIF('فحص-بيانات-ماجستير'!$I$5:$I$230,$E$3)),0)</f>
        <v>0</v>
      </c>
      <c r="J3" s="2">
        <f>IFERROR(MATCH($B$3,'الإعدادات واللجنة'!$B$5:$B$7,0),1)</f>
        <v>1</v>
      </c>
    </row>
    <row r="4" spans="1:10" ht="26" x14ac:dyDescent="0.55000000000000004">
      <c r="A4" s="26"/>
      <c r="B4" s="26"/>
      <c r="C4" s="26"/>
      <c r="D4" s="26"/>
      <c r="E4" s="26"/>
      <c r="F4" s="26"/>
      <c r="G4" s="26"/>
    </row>
    <row r="5" spans="1:10" ht="28" customHeight="1" x14ac:dyDescent="0.2">
      <c r="A5" s="16" t="s">
        <v>69</v>
      </c>
      <c r="B5" s="16" t="s">
        <v>92</v>
      </c>
      <c r="C5" s="16" t="s">
        <v>593</v>
      </c>
      <c r="D5" s="16" t="s">
        <v>35</v>
      </c>
      <c r="E5" s="16" t="s">
        <v>139</v>
      </c>
      <c r="F5" s="16" t="s">
        <v>193</v>
      </c>
      <c r="G5" s="16" t="s">
        <v>194</v>
      </c>
    </row>
    <row r="6" spans="1:10" x14ac:dyDescent="0.2">
      <c r="A6" s="1" t="str">
        <f>IF($I6="","",1)</f>
        <v/>
      </c>
      <c r="B6" s="2" t="str">
        <f>IF($I6="","",INDEX(CHOOSE($J$3,'فحص-حاسب-بكالوريوس'!$A$5:$A$208,'فحص-بيانات-بكالوريوس'!$A$5:$A$208,'فحص-بيانات-ماجستير'!$A$5:$A$230),$I6)&amp;"")</f>
        <v/>
      </c>
      <c r="C6" s="2" t="str">
        <f>IF($I6="","",INDEX(CHOOSE($J$3,'فحص-حاسب-بكالوريوس'!$F$5:$F$208,'فحص-بيانات-بكالوريوس'!$F$5:$F$208,'فحص-بيانات-ماجستير'!$F$5:$F$230),$I6)&amp;"")</f>
        <v/>
      </c>
      <c r="D6" s="2" t="str">
        <f>IF($I6="","",INDEX(CHOOSE($J$3,'فحص-حاسب-بكالوريوس'!$H$5:$H$208,'فحص-بيانات-بكالوريوس'!$H$5:$H$208,'فحص-بيانات-ماجستير'!$H$5:$H$230),$I6)&amp;"")</f>
        <v/>
      </c>
      <c r="E6" s="2" t="str">
        <f>IF($I6="","",INDEX(CHOOSE($J$3,'فحص-حاسب-بكالوريوس'!$J$5:$J$208,'فحص-بيانات-بكالوريوس'!$J$5:$J$208,'فحص-بيانات-ماجستير'!$J$5:$J$230),$I6)&amp;"")</f>
        <v/>
      </c>
      <c r="F6" s="2" t="str">
        <f>IF($I6="","",INDEX(CHOOSE($J$3,'فحص-حاسب-بكالوريوس'!$L$5:$L$208,'فحص-بيانات-بكالوريوس'!$L$5:$L$208,'فحص-بيانات-ماجستير'!$L$5:$L$230),$I6)&amp;"")</f>
        <v/>
      </c>
      <c r="G6" s="2" t="str">
        <f>IF($I6="","",INDEX(CHOOSE($J$3,'فحص-حاسب-بكالوريوس'!$M$5:$M$208,'فحص-بيانات-بكالوريوس'!$M$5:$M$208,'فحص-بيانات-ماجستير'!$M$5:$M$230),$I6)&amp;"")</f>
        <v/>
      </c>
      <c r="I6" s="2" t="str">
        <f>IFERROR(MATCH($E$3&amp;"#"&amp;1,CHOOSE($J$3,'فحص-حاسب-بكالوريوس'!$R$5:$R$208,'فحص-بيانات-بكالوريوس'!$R$5:$R$208,'فحص-بيانات-ماجستير'!$R$5:$R$230),0),"")</f>
        <v/>
      </c>
    </row>
    <row r="7" spans="1:10" x14ac:dyDescent="0.2">
      <c r="A7" s="1" t="str">
        <f>IF($I7="","",2)</f>
        <v/>
      </c>
      <c r="B7" s="2" t="str">
        <f>IF($I7="","",INDEX(CHOOSE($J$3,'فحص-حاسب-بكالوريوس'!$A$5:$A$208,'فحص-بيانات-بكالوريوس'!$A$5:$A$208,'فحص-بيانات-ماجستير'!$A$5:$A$230),$I7)&amp;"")</f>
        <v/>
      </c>
      <c r="C7" s="2" t="str">
        <f>IF($I7="","",INDEX(CHOOSE($J$3,'فحص-حاسب-بكالوريوس'!$F$5:$F$208,'فحص-بيانات-بكالوريوس'!$F$5:$F$208,'فحص-بيانات-ماجستير'!$F$5:$F$230),$I7)&amp;"")</f>
        <v/>
      </c>
      <c r="D7" s="2" t="str">
        <f>IF($I7="","",INDEX(CHOOSE($J$3,'فحص-حاسب-بكالوريوس'!$H$5:$H$208,'فحص-بيانات-بكالوريوس'!$H$5:$H$208,'فحص-بيانات-ماجستير'!$H$5:$H$230),$I7)&amp;"")</f>
        <v/>
      </c>
      <c r="E7" s="2" t="str">
        <f>IF($I7="","",INDEX(CHOOSE($J$3,'فحص-حاسب-بكالوريوس'!$J$5:$J$208,'فحص-بيانات-بكالوريوس'!$J$5:$J$208,'فحص-بيانات-ماجستير'!$J$5:$J$230),$I7)&amp;"")</f>
        <v/>
      </c>
      <c r="F7" s="2" t="str">
        <f>IF($I7="","",INDEX(CHOOSE($J$3,'فحص-حاسب-بكالوريوس'!$L$5:$L$208,'فحص-بيانات-بكالوريوس'!$L$5:$L$208,'فحص-بيانات-ماجستير'!$L$5:$L$230),$I7)&amp;"")</f>
        <v/>
      </c>
      <c r="G7" s="2" t="str">
        <f>IF($I7="","",INDEX(CHOOSE($J$3,'فحص-حاسب-بكالوريوس'!$M$5:$M$208,'فحص-بيانات-بكالوريوس'!$M$5:$M$208,'فحص-بيانات-ماجستير'!$M$5:$M$230),$I7)&amp;"")</f>
        <v/>
      </c>
      <c r="I7" s="2" t="str">
        <f>IFERROR(MATCH($E$3&amp;"#"&amp;2,CHOOSE($J$3,'فحص-حاسب-بكالوريوس'!$R$5:$R$208,'فحص-بيانات-بكالوريوس'!$R$5:$R$208,'فحص-بيانات-ماجستير'!$R$5:$R$230),0),"")</f>
        <v/>
      </c>
    </row>
    <row r="8" spans="1:10" x14ac:dyDescent="0.2">
      <c r="A8" s="1" t="str">
        <f>IF($I8="","",3)</f>
        <v/>
      </c>
      <c r="B8" s="2" t="str">
        <f>IF($I8="","",INDEX(CHOOSE($J$3,'فحص-حاسب-بكالوريوس'!$A$5:$A$208,'فحص-بيانات-بكالوريوس'!$A$5:$A$208,'فحص-بيانات-ماجستير'!$A$5:$A$230),$I8)&amp;"")</f>
        <v/>
      </c>
      <c r="C8" s="2" t="str">
        <f>IF($I8="","",INDEX(CHOOSE($J$3,'فحص-حاسب-بكالوريوس'!$F$5:$F$208,'فحص-بيانات-بكالوريوس'!$F$5:$F$208,'فحص-بيانات-ماجستير'!$F$5:$F$230),$I8)&amp;"")</f>
        <v/>
      </c>
      <c r="D8" s="2" t="str">
        <f>IF($I8="","",INDEX(CHOOSE($J$3,'فحص-حاسب-بكالوريوس'!$H$5:$H$208,'فحص-بيانات-بكالوريوس'!$H$5:$H$208,'فحص-بيانات-ماجستير'!$H$5:$H$230),$I8)&amp;"")</f>
        <v/>
      </c>
      <c r="E8" s="2" t="str">
        <f>IF($I8="","",INDEX(CHOOSE($J$3,'فحص-حاسب-بكالوريوس'!$J$5:$J$208,'فحص-بيانات-بكالوريوس'!$J$5:$J$208,'فحص-بيانات-ماجستير'!$J$5:$J$230),$I8)&amp;"")</f>
        <v/>
      </c>
      <c r="F8" s="2" t="str">
        <f>IF($I8="","",INDEX(CHOOSE($J$3,'فحص-حاسب-بكالوريوس'!$L$5:$L$208,'فحص-بيانات-بكالوريوس'!$L$5:$L$208,'فحص-بيانات-ماجستير'!$L$5:$L$230),$I8)&amp;"")</f>
        <v/>
      </c>
      <c r="G8" s="2" t="str">
        <f>IF($I8="","",INDEX(CHOOSE($J$3,'فحص-حاسب-بكالوريوس'!$M$5:$M$208,'فحص-بيانات-بكالوريوس'!$M$5:$M$208,'فحص-بيانات-ماجستير'!$M$5:$M$230),$I8)&amp;"")</f>
        <v/>
      </c>
      <c r="I8" s="2" t="str">
        <f>IFERROR(MATCH($E$3&amp;"#"&amp;3,CHOOSE($J$3,'فحص-حاسب-بكالوريوس'!$R$5:$R$208,'فحص-بيانات-بكالوريوس'!$R$5:$R$208,'فحص-بيانات-ماجستير'!$R$5:$R$230),0),"")</f>
        <v/>
      </c>
    </row>
    <row r="9" spans="1:10" x14ac:dyDescent="0.2">
      <c r="A9" s="1" t="str">
        <f>IF($I9="","",4)</f>
        <v/>
      </c>
      <c r="B9" s="2" t="str">
        <f>IF($I9="","",INDEX(CHOOSE($J$3,'فحص-حاسب-بكالوريوس'!$A$5:$A$208,'فحص-بيانات-بكالوريوس'!$A$5:$A$208,'فحص-بيانات-ماجستير'!$A$5:$A$230),$I9)&amp;"")</f>
        <v/>
      </c>
      <c r="C9" s="2" t="str">
        <f>IF($I9="","",INDEX(CHOOSE($J$3,'فحص-حاسب-بكالوريوس'!$F$5:$F$208,'فحص-بيانات-بكالوريوس'!$F$5:$F$208,'فحص-بيانات-ماجستير'!$F$5:$F$230),$I9)&amp;"")</f>
        <v/>
      </c>
      <c r="D9" s="2" t="str">
        <f>IF($I9="","",INDEX(CHOOSE($J$3,'فحص-حاسب-بكالوريوس'!$H$5:$H$208,'فحص-بيانات-بكالوريوس'!$H$5:$H$208,'فحص-بيانات-ماجستير'!$H$5:$H$230),$I9)&amp;"")</f>
        <v/>
      </c>
      <c r="E9" s="2" t="str">
        <f>IF($I9="","",INDEX(CHOOSE($J$3,'فحص-حاسب-بكالوريوس'!$J$5:$J$208,'فحص-بيانات-بكالوريوس'!$J$5:$J$208,'فحص-بيانات-ماجستير'!$J$5:$J$230),$I9)&amp;"")</f>
        <v/>
      </c>
      <c r="F9" s="2" t="str">
        <f>IF($I9="","",INDEX(CHOOSE($J$3,'فحص-حاسب-بكالوريوس'!$L$5:$L$208,'فحص-بيانات-بكالوريوس'!$L$5:$L$208,'فحص-بيانات-ماجستير'!$L$5:$L$230),$I9)&amp;"")</f>
        <v/>
      </c>
      <c r="G9" s="2" t="str">
        <f>IF($I9="","",INDEX(CHOOSE($J$3,'فحص-حاسب-بكالوريوس'!$M$5:$M$208,'فحص-بيانات-بكالوريوس'!$M$5:$M$208,'فحص-بيانات-ماجستير'!$M$5:$M$230),$I9)&amp;"")</f>
        <v/>
      </c>
      <c r="I9" s="2" t="str">
        <f>IFERROR(MATCH($E$3&amp;"#"&amp;4,CHOOSE($J$3,'فحص-حاسب-بكالوريوس'!$R$5:$R$208,'فحص-بيانات-بكالوريوس'!$R$5:$R$208,'فحص-بيانات-ماجستير'!$R$5:$R$230),0),"")</f>
        <v/>
      </c>
    </row>
    <row r="10" spans="1:10" x14ac:dyDescent="0.2">
      <c r="A10" s="1" t="str">
        <f>IF($I10="","",5)</f>
        <v/>
      </c>
      <c r="B10" s="2" t="str">
        <f>IF($I10="","",INDEX(CHOOSE($J$3,'فحص-حاسب-بكالوريوس'!$A$5:$A$208,'فحص-بيانات-بكالوريوس'!$A$5:$A$208,'فحص-بيانات-ماجستير'!$A$5:$A$230),$I10)&amp;"")</f>
        <v/>
      </c>
      <c r="C10" s="2" t="str">
        <f>IF($I10="","",INDEX(CHOOSE($J$3,'فحص-حاسب-بكالوريوس'!$F$5:$F$208,'فحص-بيانات-بكالوريوس'!$F$5:$F$208,'فحص-بيانات-ماجستير'!$F$5:$F$230),$I10)&amp;"")</f>
        <v/>
      </c>
      <c r="D10" s="2" t="str">
        <f>IF($I10="","",INDEX(CHOOSE($J$3,'فحص-حاسب-بكالوريوس'!$H$5:$H$208,'فحص-بيانات-بكالوريوس'!$H$5:$H$208,'فحص-بيانات-ماجستير'!$H$5:$H$230),$I10)&amp;"")</f>
        <v/>
      </c>
      <c r="E10" s="2" t="str">
        <f>IF($I10="","",INDEX(CHOOSE($J$3,'فحص-حاسب-بكالوريوس'!$J$5:$J$208,'فحص-بيانات-بكالوريوس'!$J$5:$J$208,'فحص-بيانات-ماجستير'!$J$5:$J$230),$I10)&amp;"")</f>
        <v/>
      </c>
      <c r="F10" s="2" t="str">
        <f>IF($I10="","",INDEX(CHOOSE($J$3,'فحص-حاسب-بكالوريوس'!$L$5:$L$208,'فحص-بيانات-بكالوريوس'!$L$5:$L$208,'فحص-بيانات-ماجستير'!$L$5:$L$230),$I10)&amp;"")</f>
        <v/>
      </c>
      <c r="G10" s="2" t="str">
        <f>IF($I10="","",INDEX(CHOOSE($J$3,'فحص-حاسب-بكالوريوس'!$M$5:$M$208,'فحص-بيانات-بكالوريوس'!$M$5:$M$208,'فحص-بيانات-ماجستير'!$M$5:$M$230),$I10)&amp;"")</f>
        <v/>
      </c>
      <c r="I10" s="2" t="str">
        <f>IFERROR(MATCH($E$3&amp;"#"&amp;5,CHOOSE($J$3,'فحص-حاسب-بكالوريوس'!$R$5:$R$208,'فحص-بيانات-بكالوريوس'!$R$5:$R$208,'فحص-بيانات-ماجستير'!$R$5:$R$230),0),"")</f>
        <v/>
      </c>
    </row>
    <row r="11" spans="1:10" x14ac:dyDescent="0.2">
      <c r="A11" s="1" t="str">
        <f>IF($I11="","",6)</f>
        <v/>
      </c>
      <c r="B11" s="2" t="str">
        <f>IF($I11="","",INDEX(CHOOSE($J$3,'فحص-حاسب-بكالوريوس'!$A$5:$A$208,'فحص-بيانات-بكالوريوس'!$A$5:$A$208,'فحص-بيانات-ماجستير'!$A$5:$A$230),$I11)&amp;"")</f>
        <v/>
      </c>
      <c r="C11" s="2" t="str">
        <f>IF($I11="","",INDEX(CHOOSE($J$3,'فحص-حاسب-بكالوريوس'!$F$5:$F$208,'فحص-بيانات-بكالوريوس'!$F$5:$F$208,'فحص-بيانات-ماجستير'!$F$5:$F$230),$I11)&amp;"")</f>
        <v/>
      </c>
      <c r="D11" s="2" t="str">
        <f>IF($I11="","",INDEX(CHOOSE($J$3,'فحص-حاسب-بكالوريوس'!$H$5:$H$208,'فحص-بيانات-بكالوريوس'!$H$5:$H$208,'فحص-بيانات-ماجستير'!$H$5:$H$230),$I11)&amp;"")</f>
        <v/>
      </c>
      <c r="E11" s="2" t="str">
        <f>IF($I11="","",INDEX(CHOOSE($J$3,'فحص-حاسب-بكالوريوس'!$J$5:$J$208,'فحص-بيانات-بكالوريوس'!$J$5:$J$208,'فحص-بيانات-ماجستير'!$J$5:$J$230),$I11)&amp;"")</f>
        <v/>
      </c>
      <c r="F11" s="2" t="str">
        <f>IF($I11="","",INDEX(CHOOSE($J$3,'فحص-حاسب-بكالوريوس'!$L$5:$L$208,'فحص-بيانات-بكالوريوس'!$L$5:$L$208,'فحص-بيانات-ماجستير'!$L$5:$L$230),$I11)&amp;"")</f>
        <v/>
      </c>
      <c r="G11" s="2" t="str">
        <f>IF($I11="","",INDEX(CHOOSE($J$3,'فحص-حاسب-بكالوريوس'!$M$5:$M$208,'فحص-بيانات-بكالوريوس'!$M$5:$M$208,'فحص-بيانات-ماجستير'!$M$5:$M$230),$I11)&amp;"")</f>
        <v/>
      </c>
      <c r="I11" s="2" t="str">
        <f>IFERROR(MATCH($E$3&amp;"#"&amp;6,CHOOSE($J$3,'فحص-حاسب-بكالوريوس'!$R$5:$R$208,'فحص-بيانات-بكالوريوس'!$R$5:$R$208,'فحص-بيانات-ماجستير'!$R$5:$R$230),0),"")</f>
        <v/>
      </c>
    </row>
    <row r="12" spans="1:10" x14ac:dyDescent="0.2">
      <c r="A12" s="1" t="str">
        <f>IF($I12="","",7)</f>
        <v/>
      </c>
      <c r="B12" s="2" t="str">
        <f>IF($I12="","",INDEX(CHOOSE($J$3,'فحص-حاسب-بكالوريوس'!$A$5:$A$208,'فحص-بيانات-بكالوريوس'!$A$5:$A$208,'فحص-بيانات-ماجستير'!$A$5:$A$230),$I12)&amp;"")</f>
        <v/>
      </c>
      <c r="C12" s="2" t="str">
        <f>IF($I12="","",INDEX(CHOOSE($J$3,'فحص-حاسب-بكالوريوس'!$F$5:$F$208,'فحص-بيانات-بكالوريوس'!$F$5:$F$208,'فحص-بيانات-ماجستير'!$F$5:$F$230),$I12)&amp;"")</f>
        <v/>
      </c>
      <c r="D12" s="2" t="str">
        <f>IF($I12="","",INDEX(CHOOSE($J$3,'فحص-حاسب-بكالوريوس'!$H$5:$H$208,'فحص-بيانات-بكالوريوس'!$H$5:$H$208,'فحص-بيانات-ماجستير'!$H$5:$H$230),$I12)&amp;"")</f>
        <v/>
      </c>
      <c r="E12" s="2" t="str">
        <f>IF($I12="","",INDEX(CHOOSE($J$3,'فحص-حاسب-بكالوريوس'!$J$5:$J$208,'فحص-بيانات-بكالوريوس'!$J$5:$J$208,'فحص-بيانات-ماجستير'!$J$5:$J$230),$I12)&amp;"")</f>
        <v/>
      </c>
      <c r="F12" s="2" t="str">
        <f>IF($I12="","",INDEX(CHOOSE($J$3,'فحص-حاسب-بكالوريوس'!$L$5:$L$208,'فحص-بيانات-بكالوريوس'!$L$5:$L$208,'فحص-بيانات-ماجستير'!$L$5:$L$230),$I12)&amp;"")</f>
        <v/>
      </c>
      <c r="G12" s="2" t="str">
        <f>IF($I12="","",INDEX(CHOOSE($J$3,'فحص-حاسب-بكالوريوس'!$M$5:$M$208,'فحص-بيانات-بكالوريوس'!$M$5:$M$208,'فحص-بيانات-ماجستير'!$M$5:$M$230),$I12)&amp;"")</f>
        <v/>
      </c>
      <c r="I12" s="2" t="str">
        <f>IFERROR(MATCH($E$3&amp;"#"&amp;7,CHOOSE($J$3,'فحص-حاسب-بكالوريوس'!$R$5:$R$208,'فحص-بيانات-بكالوريوس'!$R$5:$R$208,'فحص-بيانات-ماجستير'!$R$5:$R$230),0),"")</f>
        <v/>
      </c>
    </row>
    <row r="13" spans="1:10" x14ac:dyDescent="0.2">
      <c r="A13" s="1" t="str">
        <f>IF($I13="","",8)</f>
        <v/>
      </c>
      <c r="B13" s="2" t="str">
        <f>IF($I13="","",INDEX(CHOOSE($J$3,'فحص-حاسب-بكالوريوس'!$A$5:$A$208,'فحص-بيانات-بكالوريوس'!$A$5:$A$208,'فحص-بيانات-ماجستير'!$A$5:$A$230),$I13)&amp;"")</f>
        <v/>
      </c>
      <c r="C13" s="2" t="str">
        <f>IF($I13="","",INDEX(CHOOSE($J$3,'فحص-حاسب-بكالوريوس'!$F$5:$F$208,'فحص-بيانات-بكالوريوس'!$F$5:$F$208,'فحص-بيانات-ماجستير'!$F$5:$F$230),$I13)&amp;"")</f>
        <v/>
      </c>
      <c r="D13" s="2" t="str">
        <f>IF($I13="","",INDEX(CHOOSE($J$3,'فحص-حاسب-بكالوريوس'!$H$5:$H$208,'فحص-بيانات-بكالوريوس'!$H$5:$H$208,'فحص-بيانات-ماجستير'!$H$5:$H$230),$I13)&amp;"")</f>
        <v/>
      </c>
      <c r="E13" s="2" t="str">
        <f>IF($I13="","",INDEX(CHOOSE($J$3,'فحص-حاسب-بكالوريوس'!$J$5:$J$208,'فحص-بيانات-بكالوريوس'!$J$5:$J$208,'فحص-بيانات-ماجستير'!$J$5:$J$230),$I13)&amp;"")</f>
        <v/>
      </c>
      <c r="F13" s="2" t="str">
        <f>IF($I13="","",INDEX(CHOOSE($J$3,'فحص-حاسب-بكالوريوس'!$L$5:$L$208,'فحص-بيانات-بكالوريوس'!$L$5:$L$208,'فحص-بيانات-ماجستير'!$L$5:$L$230),$I13)&amp;"")</f>
        <v/>
      </c>
      <c r="G13" s="2" t="str">
        <f>IF($I13="","",INDEX(CHOOSE($J$3,'فحص-حاسب-بكالوريوس'!$M$5:$M$208,'فحص-بيانات-بكالوريوس'!$M$5:$M$208,'فحص-بيانات-ماجستير'!$M$5:$M$230),$I13)&amp;"")</f>
        <v/>
      </c>
      <c r="I13" s="2" t="str">
        <f>IFERROR(MATCH($E$3&amp;"#"&amp;8,CHOOSE($J$3,'فحص-حاسب-بكالوريوس'!$R$5:$R$208,'فحص-بيانات-بكالوريوس'!$R$5:$R$208,'فحص-بيانات-ماجستير'!$R$5:$R$230),0),"")</f>
        <v/>
      </c>
    </row>
    <row r="14" spans="1:10" x14ac:dyDescent="0.2">
      <c r="A14" s="1" t="str">
        <f>IF($I14="","",9)</f>
        <v/>
      </c>
      <c r="B14" s="2" t="str">
        <f>IF($I14="","",INDEX(CHOOSE($J$3,'فحص-حاسب-بكالوريوس'!$A$5:$A$208,'فحص-بيانات-بكالوريوس'!$A$5:$A$208,'فحص-بيانات-ماجستير'!$A$5:$A$230),$I14)&amp;"")</f>
        <v/>
      </c>
      <c r="C14" s="2" t="str">
        <f>IF($I14="","",INDEX(CHOOSE($J$3,'فحص-حاسب-بكالوريوس'!$F$5:$F$208,'فحص-بيانات-بكالوريوس'!$F$5:$F$208,'فحص-بيانات-ماجستير'!$F$5:$F$230),$I14)&amp;"")</f>
        <v/>
      </c>
      <c r="D14" s="2" t="str">
        <f>IF($I14="","",INDEX(CHOOSE($J$3,'فحص-حاسب-بكالوريوس'!$H$5:$H$208,'فحص-بيانات-بكالوريوس'!$H$5:$H$208,'فحص-بيانات-ماجستير'!$H$5:$H$230),$I14)&amp;"")</f>
        <v/>
      </c>
      <c r="E14" s="2" t="str">
        <f>IF($I14="","",INDEX(CHOOSE($J$3,'فحص-حاسب-بكالوريوس'!$J$5:$J$208,'فحص-بيانات-بكالوريوس'!$J$5:$J$208,'فحص-بيانات-ماجستير'!$J$5:$J$230),$I14)&amp;"")</f>
        <v/>
      </c>
      <c r="F14" s="2" t="str">
        <f>IF($I14="","",INDEX(CHOOSE($J$3,'فحص-حاسب-بكالوريوس'!$L$5:$L$208,'فحص-بيانات-بكالوريوس'!$L$5:$L$208,'فحص-بيانات-ماجستير'!$L$5:$L$230),$I14)&amp;"")</f>
        <v/>
      </c>
      <c r="G14" s="2" t="str">
        <f>IF($I14="","",INDEX(CHOOSE($J$3,'فحص-حاسب-بكالوريوس'!$M$5:$M$208,'فحص-بيانات-بكالوريوس'!$M$5:$M$208,'فحص-بيانات-ماجستير'!$M$5:$M$230),$I14)&amp;"")</f>
        <v/>
      </c>
      <c r="I14" s="2" t="str">
        <f>IFERROR(MATCH($E$3&amp;"#"&amp;9,CHOOSE($J$3,'فحص-حاسب-بكالوريوس'!$R$5:$R$208,'فحص-بيانات-بكالوريوس'!$R$5:$R$208,'فحص-بيانات-ماجستير'!$R$5:$R$230),0),"")</f>
        <v/>
      </c>
    </row>
    <row r="15" spans="1:10" x14ac:dyDescent="0.2">
      <c r="A15" s="1" t="str">
        <f>IF($I15="","",10)</f>
        <v/>
      </c>
      <c r="B15" s="2" t="str">
        <f>IF($I15="","",INDEX(CHOOSE($J$3,'فحص-حاسب-بكالوريوس'!$A$5:$A$208,'فحص-بيانات-بكالوريوس'!$A$5:$A$208,'فحص-بيانات-ماجستير'!$A$5:$A$230),$I15)&amp;"")</f>
        <v/>
      </c>
      <c r="C15" s="2" t="str">
        <f>IF($I15="","",INDEX(CHOOSE($J$3,'فحص-حاسب-بكالوريوس'!$F$5:$F$208,'فحص-بيانات-بكالوريوس'!$F$5:$F$208,'فحص-بيانات-ماجستير'!$F$5:$F$230),$I15)&amp;"")</f>
        <v/>
      </c>
      <c r="D15" s="2" t="str">
        <f>IF($I15="","",INDEX(CHOOSE($J$3,'فحص-حاسب-بكالوريوس'!$H$5:$H$208,'فحص-بيانات-بكالوريوس'!$H$5:$H$208,'فحص-بيانات-ماجستير'!$H$5:$H$230),$I15)&amp;"")</f>
        <v/>
      </c>
      <c r="E15" s="2" t="str">
        <f>IF($I15="","",INDEX(CHOOSE($J$3,'فحص-حاسب-بكالوريوس'!$J$5:$J$208,'فحص-بيانات-بكالوريوس'!$J$5:$J$208,'فحص-بيانات-ماجستير'!$J$5:$J$230),$I15)&amp;"")</f>
        <v/>
      </c>
      <c r="F15" s="2" t="str">
        <f>IF($I15="","",INDEX(CHOOSE($J$3,'فحص-حاسب-بكالوريوس'!$L$5:$L$208,'فحص-بيانات-بكالوريوس'!$L$5:$L$208,'فحص-بيانات-ماجستير'!$L$5:$L$230),$I15)&amp;"")</f>
        <v/>
      </c>
      <c r="G15" s="2" t="str">
        <f>IF($I15="","",INDEX(CHOOSE($J$3,'فحص-حاسب-بكالوريوس'!$M$5:$M$208,'فحص-بيانات-بكالوريوس'!$M$5:$M$208,'فحص-بيانات-ماجستير'!$M$5:$M$230),$I15)&amp;"")</f>
        <v/>
      </c>
      <c r="I15" s="2" t="str">
        <f>IFERROR(MATCH($E$3&amp;"#"&amp;10,CHOOSE($J$3,'فحص-حاسب-بكالوريوس'!$R$5:$R$208,'فحص-بيانات-بكالوريوس'!$R$5:$R$208,'فحص-بيانات-ماجستير'!$R$5:$R$230),0),"")</f>
        <v/>
      </c>
    </row>
    <row r="16" spans="1:10" x14ac:dyDescent="0.2">
      <c r="A16" s="1" t="str">
        <f>IF($I16="","",11)</f>
        <v/>
      </c>
      <c r="B16" s="2" t="str">
        <f>IF($I16="","",INDEX(CHOOSE($J$3,'فحص-حاسب-بكالوريوس'!$A$5:$A$208,'فحص-بيانات-بكالوريوس'!$A$5:$A$208,'فحص-بيانات-ماجستير'!$A$5:$A$230),$I16)&amp;"")</f>
        <v/>
      </c>
      <c r="C16" s="2" t="str">
        <f>IF($I16="","",INDEX(CHOOSE($J$3,'فحص-حاسب-بكالوريوس'!$F$5:$F$208,'فحص-بيانات-بكالوريوس'!$F$5:$F$208,'فحص-بيانات-ماجستير'!$F$5:$F$230),$I16)&amp;"")</f>
        <v/>
      </c>
      <c r="D16" s="2" t="str">
        <f>IF($I16="","",INDEX(CHOOSE($J$3,'فحص-حاسب-بكالوريوس'!$H$5:$H$208,'فحص-بيانات-بكالوريوس'!$H$5:$H$208,'فحص-بيانات-ماجستير'!$H$5:$H$230),$I16)&amp;"")</f>
        <v/>
      </c>
      <c r="E16" s="2" t="str">
        <f>IF($I16="","",INDEX(CHOOSE($J$3,'فحص-حاسب-بكالوريوس'!$J$5:$J$208,'فحص-بيانات-بكالوريوس'!$J$5:$J$208,'فحص-بيانات-ماجستير'!$J$5:$J$230),$I16)&amp;"")</f>
        <v/>
      </c>
      <c r="F16" s="2" t="str">
        <f>IF($I16="","",INDEX(CHOOSE($J$3,'فحص-حاسب-بكالوريوس'!$L$5:$L$208,'فحص-بيانات-بكالوريوس'!$L$5:$L$208,'فحص-بيانات-ماجستير'!$L$5:$L$230),$I16)&amp;"")</f>
        <v/>
      </c>
      <c r="G16" s="2" t="str">
        <f>IF($I16="","",INDEX(CHOOSE($J$3,'فحص-حاسب-بكالوريوس'!$M$5:$M$208,'فحص-بيانات-بكالوريوس'!$M$5:$M$208,'فحص-بيانات-ماجستير'!$M$5:$M$230),$I16)&amp;"")</f>
        <v/>
      </c>
      <c r="I16" s="2" t="str">
        <f>IFERROR(MATCH($E$3&amp;"#"&amp;11,CHOOSE($J$3,'فحص-حاسب-بكالوريوس'!$R$5:$R$208,'فحص-بيانات-بكالوريوس'!$R$5:$R$208,'فحص-بيانات-ماجستير'!$R$5:$R$230),0),"")</f>
        <v/>
      </c>
    </row>
    <row r="17" spans="1:9" x14ac:dyDescent="0.2">
      <c r="A17" s="1" t="str">
        <f>IF($I17="","",12)</f>
        <v/>
      </c>
      <c r="B17" s="2" t="str">
        <f>IF($I17="","",INDEX(CHOOSE($J$3,'فحص-حاسب-بكالوريوس'!$A$5:$A$208,'فحص-بيانات-بكالوريوس'!$A$5:$A$208,'فحص-بيانات-ماجستير'!$A$5:$A$230),$I17)&amp;"")</f>
        <v/>
      </c>
      <c r="C17" s="2" t="str">
        <f>IF($I17="","",INDEX(CHOOSE($J$3,'فحص-حاسب-بكالوريوس'!$F$5:$F$208,'فحص-بيانات-بكالوريوس'!$F$5:$F$208,'فحص-بيانات-ماجستير'!$F$5:$F$230),$I17)&amp;"")</f>
        <v/>
      </c>
      <c r="D17" s="2" t="str">
        <f>IF($I17="","",INDEX(CHOOSE($J$3,'فحص-حاسب-بكالوريوس'!$H$5:$H$208,'فحص-بيانات-بكالوريوس'!$H$5:$H$208,'فحص-بيانات-ماجستير'!$H$5:$H$230),$I17)&amp;"")</f>
        <v/>
      </c>
      <c r="E17" s="2" t="str">
        <f>IF($I17="","",INDEX(CHOOSE($J$3,'فحص-حاسب-بكالوريوس'!$J$5:$J$208,'فحص-بيانات-بكالوريوس'!$J$5:$J$208,'فحص-بيانات-ماجستير'!$J$5:$J$230),$I17)&amp;"")</f>
        <v/>
      </c>
      <c r="F17" s="2" t="str">
        <f>IF($I17="","",INDEX(CHOOSE($J$3,'فحص-حاسب-بكالوريوس'!$L$5:$L$208,'فحص-بيانات-بكالوريوس'!$L$5:$L$208,'فحص-بيانات-ماجستير'!$L$5:$L$230),$I17)&amp;"")</f>
        <v/>
      </c>
      <c r="G17" s="2" t="str">
        <f>IF($I17="","",INDEX(CHOOSE($J$3,'فحص-حاسب-بكالوريوس'!$M$5:$M$208,'فحص-بيانات-بكالوريوس'!$M$5:$M$208,'فحص-بيانات-ماجستير'!$M$5:$M$230),$I17)&amp;"")</f>
        <v/>
      </c>
      <c r="I17" s="2" t="str">
        <f>IFERROR(MATCH($E$3&amp;"#"&amp;12,CHOOSE($J$3,'فحص-حاسب-بكالوريوس'!$R$5:$R$208,'فحص-بيانات-بكالوريوس'!$R$5:$R$208,'فحص-بيانات-ماجستير'!$R$5:$R$230),0),"")</f>
        <v/>
      </c>
    </row>
    <row r="18" spans="1:9" x14ac:dyDescent="0.2">
      <c r="A18" s="1" t="str">
        <f>IF($I18="","",13)</f>
        <v/>
      </c>
      <c r="B18" s="2" t="str">
        <f>IF($I18="","",INDEX(CHOOSE($J$3,'فحص-حاسب-بكالوريوس'!$A$5:$A$208,'فحص-بيانات-بكالوريوس'!$A$5:$A$208,'فحص-بيانات-ماجستير'!$A$5:$A$230),$I18)&amp;"")</f>
        <v/>
      </c>
      <c r="C18" s="2" t="str">
        <f>IF($I18="","",INDEX(CHOOSE($J$3,'فحص-حاسب-بكالوريوس'!$F$5:$F$208,'فحص-بيانات-بكالوريوس'!$F$5:$F$208,'فحص-بيانات-ماجستير'!$F$5:$F$230),$I18)&amp;"")</f>
        <v/>
      </c>
      <c r="D18" s="2" t="str">
        <f>IF($I18="","",INDEX(CHOOSE($J$3,'فحص-حاسب-بكالوريوس'!$H$5:$H$208,'فحص-بيانات-بكالوريوس'!$H$5:$H$208,'فحص-بيانات-ماجستير'!$H$5:$H$230),$I18)&amp;"")</f>
        <v/>
      </c>
      <c r="E18" s="2" t="str">
        <f>IF($I18="","",INDEX(CHOOSE($J$3,'فحص-حاسب-بكالوريوس'!$J$5:$J$208,'فحص-بيانات-بكالوريوس'!$J$5:$J$208,'فحص-بيانات-ماجستير'!$J$5:$J$230),$I18)&amp;"")</f>
        <v/>
      </c>
      <c r="F18" s="2" t="str">
        <f>IF($I18="","",INDEX(CHOOSE($J$3,'فحص-حاسب-بكالوريوس'!$L$5:$L$208,'فحص-بيانات-بكالوريوس'!$L$5:$L$208,'فحص-بيانات-ماجستير'!$L$5:$L$230),$I18)&amp;"")</f>
        <v/>
      </c>
      <c r="G18" s="2" t="str">
        <f>IF($I18="","",INDEX(CHOOSE($J$3,'فحص-حاسب-بكالوريوس'!$M$5:$M$208,'فحص-بيانات-بكالوريوس'!$M$5:$M$208,'فحص-بيانات-ماجستير'!$M$5:$M$230),$I18)&amp;"")</f>
        <v/>
      </c>
      <c r="I18" s="2" t="str">
        <f>IFERROR(MATCH($E$3&amp;"#"&amp;13,CHOOSE($J$3,'فحص-حاسب-بكالوريوس'!$R$5:$R$208,'فحص-بيانات-بكالوريوس'!$R$5:$R$208,'فحص-بيانات-ماجستير'!$R$5:$R$230),0),"")</f>
        <v/>
      </c>
    </row>
    <row r="19" spans="1:9" x14ac:dyDescent="0.2">
      <c r="A19" s="1" t="str">
        <f>IF($I19="","",14)</f>
        <v/>
      </c>
      <c r="B19" s="2" t="str">
        <f>IF($I19="","",INDEX(CHOOSE($J$3,'فحص-حاسب-بكالوريوس'!$A$5:$A$208,'فحص-بيانات-بكالوريوس'!$A$5:$A$208,'فحص-بيانات-ماجستير'!$A$5:$A$230),$I19)&amp;"")</f>
        <v/>
      </c>
      <c r="C19" s="2" t="str">
        <f>IF($I19="","",INDEX(CHOOSE($J$3,'فحص-حاسب-بكالوريوس'!$F$5:$F$208,'فحص-بيانات-بكالوريوس'!$F$5:$F$208,'فحص-بيانات-ماجستير'!$F$5:$F$230),$I19)&amp;"")</f>
        <v/>
      </c>
      <c r="D19" s="2" t="str">
        <f>IF($I19="","",INDEX(CHOOSE($J$3,'فحص-حاسب-بكالوريوس'!$H$5:$H$208,'فحص-بيانات-بكالوريوس'!$H$5:$H$208,'فحص-بيانات-ماجستير'!$H$5:$H$230),$I19)&amp;"")</f>
        <v/>
      </c>
      <c r="E19" s="2" t="str">
        <f>IF($I19="","",INDEX(CHOOSE($J$3,'فحص-حاسب-بكالوريوس'!$J$5:$J$208,'فحص-بيانات-بكالوريوس'!$J$5:$J$208,'فحص-بيانات-ماجستير'!$J$5:$J$230),$I19)&amp;"")</f>
        <v/>
      </c>
      <c r="F19" s="2" t="str">
        <f>IF($I19="","",INDEX(CHOOSE($J$3,'فحص-حاسب-بكالوريوس'!$L$5:$L$208,'فحص-بيانات-بكالوريوس'!$L$5:$L$208,'فحص-بيانات-ماجستير'!$L$5:$L$230),$I19)&amp;"")</f>
        <v/>
      </c>
      <c r="G19" s="2" t="str">
        <f>IF($I19="","",INDEX(CHOOSE($J$3,'فحص-حاسب-بكالوريوس'!$M$5:$M$208,'فحص-بيانات-بكالوريوس'!$M$5:$M$208,'فحص-بيانات-ماجستير'!$M$5:$M$230),$I19)&amp;"")</f>
        <v/>
      </c>
      <c r="I19" s="2" t="str">
        <f>IFERROR(MATCH($E$3&amp;"#"&amp;14,CHOOSE($J$3,'فحص-حاسب-بكالوريوس'!$R$5:$R$208,'فحص-بيانات-بكالوريوس'!$R$5:$R$208,'فحص-بيانات-ماجستير'!$R$5:$R$230),0),"")</f>
        <v/>
      </c>
    </row>
    <row r="20" spans="1:9" x14ac:dyDescent="0.2">
      <c r="A20" s="1" t="str">
        <f>IF($I20="","",15)</f>
        <v/>
      </c>
      <c r="B20" s="2" t="str">
        <f>IF($I20="","",INDEX(CHOOSE($J$3,'فحص-حاسب-بكالوريوس'!$A$5:$A$208,'فحص-بيانات-بكالوريوس'!$A$5:$A$208,'فحص-بيانات-ماجستير'!$A$5:$A$230),$I20)&amp;"")</f>
        <v/>
      </c>
      <c r="C20" s="2" t="str">
        <f>IF($I20="","",INDEX(CHOOSE($J$3,'فحص-حاسب-بكالوريوس'!$F$5:$F$208,'فحص-بيانات-بكالوريوس'!$F$5:$F$208,'فحص-بيانات-ماجستير'!$F$5:$F$230),$I20)&amp;"")</f>
        <v/>
      </c>
      <c r="D20" s="2" t="str">
        <f>IF($I20="","",INDEX(CHOOSE($J$3,'فحص-حاسب-بكالوريوس'!$H$5:$H$208,'فحص-بيانات-بكالوريوس'!$H$5:$H$208,'فحص-بيانات-ماجستير'!$H$5:$H$230),$I20)&amp;"")</f>
        <v/>
      </c>
      <c r="E20" s="2" t="str">
        <f>IF($I20="","",INDEX(CHOOSE($J$3,'فحص-حاسب-بكالوريوس'!$J$5:$J$208,'فحص-بيانات-بكالوريوس'!$J$5:$J$208,'فحص-بيانات-ماجستير'!$J$5:$J$230),$I20)&amp;"")</f>
        <v/>
      </c>
      <c r="F20" s="2" t="str">
        <f>IF($I20="","",INDEX(CHOOSE($J$3,'فحص-حاسب-بكالوريوس'!$L$5:$L$208,'فحص-بيانات-بكالوريوس'!$L$5:$L$208,'فحص-بيانات-ماجستير'!$L$5:$L$230),$I20)&amp;"")</f>
        <v/>
      </c>
      <c r="G20" s="2" t="str">
        <f>IF($I20="","",INDEX(CHOOSE($J$3,'فحص-حاسب-بكالوريوس'!$M$5:$M$208,'فحص-بيانات-بكالوريوس'!$M$5:$M$208,'فحص-بيانات-ماجستير'!$M$5:$M$230),$I20)&amp;"")</f>
        <v/>
      </c>
      <c r="I20" s="2" t="str">
        <f>IFERROR(MATCH($E$3&amp;"#"&amp;15,CHOOSE($J$3,'فحص-حاسب-بكالوريوس'!$R$5:$R$208,'فحص-بيانات-بكالوريوس'!$R$5:$R$208,'فحص-بيانات-ماجستير'!$R$5:$R$230),0),"")</f>
        <v/>
      </c>
    </row>
    <row r="21" spans="1:9" x14ac:dyDescent="0.2">
      <c r="A21" s="1" t="str">
        <f>IF($I21="","",16)</f>
        <v/>
      </c>
      <c r="B21" s="2" t="str">
        <f>IF($I21="","",INDEX(CHOOSE($J$3,'فحص-حاسب-بكالوريوس'!$A$5:$A$208,'فحص-بيانات-بكالوريوس'!$A$5:$A$208,'فحص-بيانات-ماجستير'!$A$5:$A$230),$I21)&amp;"")</f>
        <v/>
      </c>
      <c r="C21" s="2" t="str">
        <f>IF($I21="","",INDEX(CHOOSE($J$3,'فحص-حاسب-بكالوريوس'!$F$5:$F$208,'فحص-بيانات-بكالوريوس'!$F$5:$F$208,'فحص-بيانات-ماجستير'!$F$5:$F$230),$I21)&amp;"")</f>
        <v/>
      </c>
      <c r="D21" s="2" t="str">
        <f>IF($I21="","",INDEX(CHOOSE($J$3,'فحص-حاسب-بكالوريوس'!$H$5:$H$208,'فحص-بيانات-بكالوريوس'!$H$5:$H$208,'فحص-بيانات-ماجستير'!$H$5:$H$230),$I21)&amp;"")</f>
        <v/>
      </c>
      <c r="E21" s="2" t="str">
        <f>IF($I21="","",INDEX(CHOOSE($J$3,'فحص-حاسب-بكالوريوس'!$J$5:$J$208,'فحص-بيانات-بكالوريوس'!$J$5:$J$208,'فحص-بيانات-ماجستير'!$J$5:$J$230),$I21)&amp;"")</f>
        <v/>
      </c>
      <c r="F21" s="2" t="str">
        <f>IF($I21="","",INDEX(CHOOSE($J$3,'فحص-حاسب-بكالوريوس'!$L$5:$L$208,'فحص-بيانات-بكالوريوس'!$L$5:$L$208,'فحص-بيانات-ماجستير'!$L$5:$L$230),$I21)&amp;"")</f>
        <v/>
      </c>
      <c r="G21" s="2" t="str">
        <f>IF($I21="","",INDEX(CHOOSE($J$3,'فحص-حاسب-بكالوريوس'!$M$5:$M$208,'فحص-بيانات-بكالوريوس'!$M$5:$M$208,'فحص-بيانات-ماجستير'!$M$5:$M$230),$I21)&amp;"")</f>
        <v/>
      </c>
      <c r="I21" s="2" t="str">
        <f>IFERROR(MATCH($E$3&amp;"#"&amp;16,CHOOSE($J$3,'فحص-حاسب-بكالوريوس'!$R$5:$R$208,'فحص-بيانات-بكالوريوس'!$R$5:$R$208,'فحص-بيانات-ماجستير'!$R$5:$R$230),0),"")</f>
        <v/>
      </c>
    </row>
    <row r="22" spans="1:9" x14ac:dyDescent="0.2">
      <c r="A22" s="1" t="str">
        <f>IF($I22="","",17)</f>
        <v/>
      </c>
      <c r="B22" s="2" t="str">
        <f>IF($I22="","",INDEX(CHOOSE($J$3,'فحص-حاسب-بكالوريوس'!$A$5:$A$208,'فحص-بيانات-بكالوريوس'!$A$5:$A$208,'فحص-بيانات-ماجستير'!$A$5:$A$230),$I22)&amp;"")</f>
        <v/>
      </c>
      <c r="C22" s="2" t="str">
        <f>IF($I22="","",INDEX(CHOOSE($J$3,'فحص-حاسب-بكالوريوس'!$F$5:$F$208,'فحص-بيانات-بكالوريوس'!$F$5:$F$208,'فحص-بيانات-ماجستير'!$F$5:$F$230),$I22)&amp;"")</f>
        <v/>
      </c>
      <c r="D22" s="2" t="str">
        <f>IF($I22="","",INDEX(CHOOSE($J$3,'فحص-حاسب-بكالوريوس'!$H$5:$H$208,'فحص-بيانات-بكالوريوس'!$H$5:$H$208,'فحص-بيانات-ماجستير'!$H$5:$H$230),$I22)&amp;"")</f>
        <v/>
      </c>
      <c r="E22" s="2" t="str">
        <f>IF($I22="","",INDEX(CHOOSE($J$3,'فحص-حاسب-بكالوريوس'!$J$5:$J$208,'فحص-بيانات-بكالوريوس'!$J$5:$J$208,'فحص-بيانات-ماجستير'!$J$5:$J$230),$I22)&amp;"")</f>
        <v/>
      </c>
      <c r="F22" s="2" t="str">
        <f>IF($I22="","",INDEX(CHOOSE($J$3,'فحص-حاسب-بكالوريوس'!$L$5:$L$208,'فحص-بيانات-بكالوريوس'!$L$5:$L$208,'فحص-بيانات-ماجستير'!$L$5:$L$230),$I22)&amp;"")</f>
        <v/>
      </c>
      <c r="G22" s="2" t="str">
        <f>IF($I22="","",INDEX(CHOOSE($J$3,'فحص-حاسب-بكالوريوس'!$M$5:$M$208,'فحص-بيانات-بكالوريوس'!$M$5:$M$208,'فحص-بيانات-ماجستير'!$M$5:$M$230),$I22)&amp;"")</f>
        <v/>
      </c>
      <c r="I22" s="2" t="str">
        <f>IFERROR(MATCH($E$3&amp;"#"&amp;17,CHOOSE($J$3,'فحص-حاسب-بكالوريوس'!$R$5:$R$208,'فحص-بيانات-بكالوريوس'!$R$5:$R$208,'فحص-بيانات-ماجستير'!$R$5:$R$230),0),"")</f>
        <v/>
      </c>
    </row>
    <row r="23" spans="1:9" x14ac:dyDescent="0.2">
      <c r="A23" s="1" t="str">
        <f>IF($I23="","",18)</f>
        <v/>
      </c>
      <c r="B23" s="2" t="str">
        <f>IF($I23="","",INDEX(CHOOSE($J$3,'فحص-حاسب-بكالوريوس'!$A$5:$A$208,'فحص-بيانات-بكالوريوس'!$A$5:$A$208,'فحص-بيانات-ماجستير'!$A$5:$A$230),$I23)&amp;"")</f>
        <v/>
      </c>
      <c r="C23" s="2" t="str">
        <f>IF($I23="","",INDEX(CHOOSE($J$3,'فحص-حاسب-بكالوريوس'!$F$5:$F$208,'فحص-بيانات-بكالوريوس'!$F$5:$F$208,'فحص-بيانات-ماجستير'!$F$5:$F$230),$I23)&amp;"")</f>
        <v/>
      </c>
      <c r="D23" s="2" t="str">
        <f>IF($I23="","",INDEX(CHOOSE($J$3,'فحص-حاسب-بكالوريوس'!$H$5:$H$208,'فحص-بيانات-بكالوريوس'!$H$5:$H$208,'فحص-بيانات-ماجستير'!$H$5:$H$230),$I23)&amp;"")</f>
        <v/>
      </c>
      <c r="E23" s="2" t="str">
        <f>IF($I23="","",INDEX(CHOOSE($J$3,'فحص-حاسب-بكالوريوس'!$J$5:$J$208,'فحص-بيانات-بكالوريوس'!$J$5:$J$208,'فحص-بيانات-ماجستير'!$J$5:$J$230),$I23)&amp;"")</f>
        <v/>
      </c>
      <c r="F23" s="2" t="str">
        <f>IF($I23="","",INDEX(CHOOSE($J$3,'فحص-حاسب-بكالوريوس'!$L$5:$L$208,'فحص-بيانات-بكالوريوس'!$L$5:$L$208,'فحص-بيانات-ماجستير'!$L$5:$L$230),$I23)&amp;"")</f>
        <v/>
      </c>
      <c r="G23" s="2" t="str">
        <f>IF($I23="","",INDEX(CHOOSE($J$3,'فحص-حاسب-بكالوريوس'!$M$5:$M$208,'فحص-بيانات-بكالوريوس'!$M$5:$M$208,'فحص-بيانات-ماجستير'!$M$5:$M$230),$I23)&amp;"")</f>
        <v/>
      </c>
      <c r="I23" s="2" t="str">
        <f>IFERROR(MATCH($E$3&amp;"#"&amp;18,CHOOSE($J$3,'فحص-حاسب-بكالوريوس'!$R$5:$R$208,'فحص-بيانات-بكالوريوس'!$R$5:$R$208,'فحص-بيانات-ماجستير'!$R$5:$R$230),0),"")</f>
        <v/>
      </c>
    </row>
    <row r="24" spans="1:9" x14ac:dyDescent="0.2">
      <c r="A24" s="1" t="str">
        <f>IF($I24="","",19)</f>
        <v/>
      </c>
      <c r="B24" s="2" t="str">
        <f>IF($I24="","",INDEX(CHOOSE($J$3,'فحص-حاسب-بكالوريوس'!$A$5:$A$208,'فحص-بيانات-بكالوريوس'!$A$5:$A$208,'فحص-بيانات-ماجستير'!$A$5:$A$230),$I24)&amp;"")</f>
        <v/>
      </c>
      <c r="C24" s="2" t="str">
        <f>IF($I24="","",INDEX(CHOOSE($J$3,'فحص-حاسب-بكالوريوس'!$F$5:$F$208,'فحص-بيانات-بكالوريوس'!$F$5:$F$208,'فحص-بيانات-ماجستير'!$F$5:$F$230),$I24)&amp;"")</f>
        <v/>
      </c>
      <c r="D24" s="2" t="str">
        <f>IF($I24="","",INDEX(CHOOSE($J$3,'فحص-حاسب-بكالوريوس'!$H$5:$H$208,'فحص-بيانات-بكالوريوس'!$H$5:$H$208,'فحص-بيانات-ماجستير'!$H$5:$H$230),$I24)&amp;"")</f>
        <v/>
      </c>
      <c r="E24" s="2" t="str">
        <f>IF($I24="","",INDEX(CHOOSE($J$3,'فحص-حاسب-بكالوريوس'!$J$5:$J$208,'فحص-بيانات-بكالوريوس'!$J$5:$J$208,'فحص-بيانات-ماجستير'!$J$5:$J$230),$I24)&amp;"")</f>
        <v/>
      </c>
      <c r="F24" s="2" t="str">
        <f>IF($I24="","",INDEX(CHOOSE($J$3,'فحص-حاسب-بكالوريوس'!$L$5:$L$208,'فحص-بيانات-بكالوريوس'!$L$5:$L$208,'فحص-بيانات-ماجستير'!$L$5:$L$230),$I24)&amp;"")</f>
        <v/>
      </c>
      <c r="G24" s="2" t="str">
        <f>IF($I24="","",INDEX(CHOOSE($J$3,'فحص-حاسب-بكالوريوس'!$M$5:$M$208,'فحص-بيانات-بكالوريوس'!$M$5:$M$208,'فحص-بيانات-ماجستير'!$M$5:$M$230),$I24)&amp;"")</f>
        <v/>
      </c>
      <c r="I24" s="2" t="str">
        <f>IFERROR(MATCH($E$3&amp;"#"&amp;19,CHOOSE($J$3,'فحص-حاسب-بكالوريوس'!$R$5:$R$208,'فحص-بيانات-بكالوريوس'!$R$5:$R$208,'فحص-بيانات-ماجستير'!$R$5:$R$230),0),"")</f>
        <v/>
      </c>
    </row>
    <row r="25" spans="1:9" x14ac:dyDescent="0.2">
      <c r="A25" s="1" t="str">
        <f>IF($I25="","",20)</f>
        <v/>
      </c>
      <c r="B25" s="2" t="str">
        <f>IF($I25="","",INDEX(CHOOSE($J$3,'فحص-حاسب-بكالوريوس'!$A$5:$A$208,'فحص-بيانات-بكالوريوس'!$A$5:$A$208,'فحص-بيانات-ماجستير'!$A$5:$A$230),$I25)&amp;"")</f>
        <v/>
      </c>
      <c r="C25" s="2" t="str">
        <f>IF($I25="","",INDEX(CHOOSE($J$3,'فحص-حاسب-بكالوريوس'!$F$5:$F$208,'فحص-بيانات-بكالوريوس'!$F$5:$F$208,'فحص-بيانات-ماجستير'!$F$5:$F$230),$I25)&amp;"")</f>
        <v/>
      </c>
      <c r="D25" s="2" t="str">
        <f>IF($I25="","",INDEX(CHOOSE($J$3,'فحص-حاسب-بكالوريوس'!$H$5:$H$208,'فحص-بيانات-بكالوريوس'!$H$5:$H$208,'فحص-بيانات-ماجستير'!$H$5:$H$230),$I25)&amp;"")</f>
        <v/>
      </c>
      <c r="E25" s="2" t="str">
        <f>IF($I25="","",INDEX(CHOOSE($J$3,'فحص-حاسب-بكالوريوس'!$J$5:$J$208,'فحص-بيانات-بكالوريوس'!$J$5:$J$208,'فحص-بيانات-ماجستير'!$J$5:$J$230),$I25)&amp;"")</f>
        <v/>
      </c>
      <c r="F25" s="2" t="str">
        <f>IF($I25="","",INDEX(CHOOSE($J$3,'فحص-حاسب-بكالوريوس'!$L$5:$L$208,'فحص-بيانات-بكالوريوس'!$L$5:$L$208,'فحص-بيانات-ماجستير'!$L$5:$L$230),$I25)&amp;"")</f>
        <v/>
      </c>
      <c r="G25" s="2" t="str">
        <f>IF($I25="","",INDEX(CHOOSE($J$3,'فحص-حاسب-بكالوريوس'!$M$5:$M$208,'فحص-بيانات-بكالوريوس'!$M$5:$M$208,'فحص-بيانات-ماجستير'!$M$5:$M$230),$I25)&amp;"")</f>
        <v/>
      </c>
      <c r="I25" s="2" t="str">
        <f>IFERROR(MATCH($E$3&amp;"#"&amp;20,CHOOSE($J$3,'فحص-حاسب-بكالوريوس'!$R$5:$R$208,'فحص-بيانات-بكالوريوس'!$R$5:$R$208,'فحص-بيانات-ماجستير'!$R$5:$R$230),0),"")</f>
        <v/>
      </c>
    </row>
    <row r="26" spans="1:9" x14ac:dyDescent="0.2">
      <c r="A26" s="1" t="str">
        <f>IF($I26="","",21)</f>
        <v/>
      </c>
      <c r="B26" s="2" t="str">
        <f>IF($I26="","",INDEX(CHOOSE($J$3,'فحص-حاسب-بكالوريوس'!$A$5:$A$208,'فحص-بيانات-بكالوريوس'!$A$5:$A$208,'فحص-بيانات-ماجستير'!$A$5:$A$230),$I26)&amp;"")</f>
        <v/>
      </c>
      <c r="C26" s="2" t="str">
        <f>IF($I26="","",INDEX(CHOOSE($J$3,'فحص-حاسب-بكالوريوس'!$F$5:$F$208,'فحص-بيانات-بكالوريوس'!$F$5:$F$208,'فحص-بيانات-ماجستير'!$F$5:$F$230),$I26)&amp;"")</f>
        <v/>
      </c>
      <c r="D26" s="2" t="str">
        <f>IF($I26="","",INDEX(CHOOSE($J$3,'فحص-حاسب-بكالوريوس'!$H$5:$H$208,'فحص-بيانات-بكالوريوس'!$H$5:$H$208,'فحص-بيانات-ماجستير'!$H$5:$H$230),$I26)&amp;"")</f>
        <v/>
      </c>
      <c r="E26" s="2" t="str">
        <f>IF($I26="","",INDEX(CHOOSE($J$3,'فحص-حاسب-بكالوريوس'!$J$5:$J$208,'فحص-بيانات-بكالوريوس'!$J$5:$J$208,'فحص-بيانات-ماجستير'!$J$5:$J$230),$I26)&amp;"")</f>
        <v/>
      </c>
      <c r="F26" s="2" t="str">
        <f>IF($I26="","",INDEX(CHOOSE($J$3,'فحص-حاسب-بكالوريوس'!$L$5:$L$208,'فحص-بيانات-بكالوريوس'!$L$5:$L$208,'فحص-بيانات-ماجستير'!$L$5:$L$230),$I26)&amp;"")</f>
        <v/>
      </c>
      <c r="G26" s="2" t="str">
        <f>IF($I26="","",INDEX(CHOOSE($J$3,'فحص-حاسب-بكالوريوس'!$M$5:$M$208,'فحص-بيانات-بكالوريوس'!$M$5:$M$208,'فحص-بيانات-ماجستير'!$M$5:$M$230),$I26)&amp;"")</f>
        <v/>
      </c>
      <c r="I26" s="2" t="str">
        <f>IFERROR(MATCH($E$3&amp;"#"&amp;21,CHOOSE($J$3,'فحص-حاسب-بكالوريوس'!$R$5:$R$208,'فحص-بيانات-بكالوريوس'!$R$5:$R$208,'فحص-بيانات-ماجستير'!$R$5:$R$230),0),"")</f>
        <v/>
      </c>
    </row>
    <row r="27" spans="1:9" x14ac:dyDescent="0.2">
      <c r="A27" s="1" t="str">
        <f>IF($I27="","",22)</f>
        <v/>
      </c>
      <c r="B27" s="2" t="str">
        <f>IF($I27="","",INDEX(CHOOSE($J$3,'فحص-حاسب-بكالوريوس'!$A$5:$A$208,'فحص-بيانات-بكالوريوس'!$A$5:$A$208,'فحص-بيانات-ماجستير'!$A$5:$A$230),$I27)&amp;"")</f>
        <v/>
      </c>
      <c r="C27" s="2" t="str">
        <f>IF($I27="","",INDEX(CHOOSE($J$3,'فحص-حاسب-بكالوريوس'!$F$5:$F$208,'فحص-بيانات-بكالوريوس'!$F$5:$F$208,'فحص-بيانات-ماجستير'!$F$5:$F$230),$I27)&amp;"")</f>
        <v/>
      </c>
      <c r="D27" s="2" t="str">
        <f>IF($I27="","",INDEX(CHOOSE($J$3,'فحص-حاسب-بكالوريوس'!$H$5:$H$208,'فحص-بيانات-بكالوريوس'!$H$5:$H$208,'فحص-بيانات-ماجستير'!$H$5:$H$230),$I27)&amp;"")</f>
        <v/>
      </c>
      <c r="E27" s="2" t="str">
        <f>IF($I27="","",INDEX(CHOOSE($J$3,'فحص-حاسب-بكالوريوس'!$J$5:$J$208,'فحص-بيانات-بكالوريوس'!$J$5:$J$208,'فحص-بيانات-ماجستير'!$J$5:$J$230),$I27)&amp;"")</f>
        <v/>
      </c>
      <c r="F27" s="2" t="str">
        <f>IF($I27="","",INDEX(CHOOSE($J$3,'فحص-حاسب-بكالوريوس'!$L$5:$L$208,'فحص-بيانات-بكالوريوس'!$L$5:$L$208,'فحص-بيانات-ماجستير'!$L$5:$L$230),$I27)&amp;"")</f>
        <v/>
      </c>
      <c r="G27" s="2" t="str">
        <f>IF($I27="","",INDEX(CHOOSE($J$3,'فحص-حاسب-بكالوريوس'!$M$5:$M$208,'فحص-بيانات-بكالوريوس'!$M$5:$M$208,'فحص-بيانات-ماجستير'!$M$5:$M$230),$I27)&amp;"")</f>
        <v/>
      </c>
      <c r="I27" s="2" t="str">
        <f>IFERROR(MATCH($E$3&amp;"#"&amp;22,CHOOSE($J$3,'فحص-حاسب-بكالوريوس'!$R$5:$R$208,'فحص-بيانات-بكالوريوس'!$R$5:$R$208,'فحص-بيانات-ماجستير'!$R$5:$R$230),0),"")</f>
        <v/>
      </c>
    </row>
    <row r="28" spans="1:9" x14ac:dyDescent="0.2">
      <c r="A28" s="1" t="str">
        <f>IF($I28="","",23)</f>
        <v/>
      </c>
      <c r="B28" s="2" t="str">
        <f>IF($I28="","",INDEX(CHOOSE($J$3,'فحص-حاسب-بكالوريوس'!$A$5:$A$208,'فحص-بيانات-بكالوريوس'!$A$5:$A$208,'فحص-بيانات-ماجستير'!$A$5:$A$230),$I28)&amp;"")</f>
        <v/>
      </c>
      <c r="C28" s="2" t="str">
        <f>IF($I28="","",INDEX(CHOOSE($J$3,'فحص-حاسب-بكالوريوس'!$F$5:$F$208,'فحص-بيانات-بكالوريوس'!$F$5:$F$208,'فحص-بيانات-ماجستير'!$F$5:$F$230),$I28)&amp;"")</f>
        <v/>
      </c>
      <c r="D28" s="2" t="str">
        <f>IF($I28="","",INDEX(CHOOSE($J$3,'فحص-حاسب-بكالوريوس'!$H$5:$H$208,'فحص-بيانات-بكالوريوس'!$H$5:$H$208,'فحص-بيانات-ماجستير'!$H$5:$H$230),$I28)&amp;"")</f>
        <v/>
      </c>
      <c r="E28" s="2" t="str">
        <f>IF($I28="","",INDEX(CHOOSE($J$3,'فحص-حاسب-بكالوريوس'!$J$5:$J$208,'فحص-بيانات-بكالوريوس'!$J$5:$J$208,'فحص-بيانات-ماجستير'!$J$5:$J$230),$I28)&amp;"")</f>
        <v/>
      </c>
      <c r="F28" s="2" t="str">
        <f>IF($I28="","",INDEX(CHOOSE($J$3,'فحص-حاسب-بكالوريوس'!$L$5:$L$208,'فحص-بيانات-بكالوريوس'!$L$5:$L$208,'فحص-بيانات-ماجستير'!$L$5:$L$230),$I28)&amp;"")</f>
        <v/>
      </c>
      <c r="G28" s="2" t="str">
        <f>IF($I28="","",INDEX(CHOOSE($J$3,'فحص-حاسب-بكالوريوس'!$M$5:$M$208,'فحص-بيانات-بكالوريوس'!$M$5:$M$208,'فحص-بيانات-ماجستير'!$M$5:$M$230),$I28)&amp;"")</f>
        <v/>
      </c>
      <c r="I28" s="2" t="str">
        <f>IFERROR(MATCH($E$3&amp;"#"&amp;23,CHOOSE($J$3,'فحص-حاسب-بكالوريوس'!$R$5:$R$208,'فحص-بيانات-بكالوريوس'!$R$5:$R$208,'فحص-بيانات-ماجستير'!$R$5:$R$230),0),"")</f>
        <v/>
      </c>
    </row>
    <row r="29" spans="1:9" x14ac:dyDescent="0.2">
      <c r="A29" s="1" t="str">
        <f>IF($I29="","",24)</f>
        <v/>
      </c>
      <c r="B29" s="2" t="str">
        <f>IF($I29="","",INDEX(CHOOSE($J$3,'فحص-حاسب-بكالوريوس'!$A$5:$A$208,'فحص-بيانات-بكالوريوس'!$A$5:$A$208,'فحص-بيانات-ماجستير'!$A$5:$A$230),$I29)&amp;"")</f>
        <v/>
      </c>
      <c r="C29" s="2" t="str">
        <f>IF($I29="","",INDEX(CHOOSE($J$3,'فحص-حاسب-بكالوريوس'!$F$5:$F$208,'فحص-بيانات-بكالوريوس'!$F$5:$F$208,'فحص-بيانات-ماجستير'!$F$5:$F$230),$I29)&amp;"")</f>
        <v/>
      </c>
      <c r="D29" s="2" t="str">
        <f>IF($I29="","",INDEX(CHOOSE($J$3,'فحص-حاسب-بكالوريوس'!$H$5:$H$208,'فحص-بيانات-بكالوريوس'!$H$5:$H$208,'فحص-بيانات-ماجستير'!$H$5:$H$230),$I29)&amp;"")</f>
        <v/>
      </c>
      <c r="E29" s="2" t="str">
        <f>IF($I29="","",INDEX(CHOOSE($J$3,'فحص-حاسب-بكالوريوس'!$J$5:$J$208,'فحص-بيانات-بكالوريوس'!$J$5:$J$208,'فحص-بيانات-ماجستير'!$J$5:$J$230),$I29)&amp;"")</f>
        <v/>
      </c>
      <c r="F29" s="2" t="str">
        <f>IF($I29="","",INDEX(CHOOSE($J$3,'فحص-حاسب-بكالوريوس'!$L$5:$L$208,'فحص-بيانات-بكالوريوس'!$L$5:$L$208,'فحص-بيانات-ماجستير'!$L$5:$L$230),$I29)&amp;"")</f>
        <v/>
      </c>
      <c r="G29" s="2" t="str">
        <f>IF($I29="","",INDEX(CHOOSE($J$3,'فحص-حاسب-بكالوريوس'!$M$5:$M$208,'فحص-بيانات-بكالوريوس'!$M$5:$M$208,'فحص-بيانات-ماجستير'!$M$5:$M$230),$I29)&amp;"")</f>
        <v/>
      </c>
      <c r="I29" s="2" t="str">
        <f>IFERROR(MATCH($E$3&amp;"#"&amp;24,CHOOSE($J$3,'فحص-حاسب-بكالوريوس'!$R$5:$R$208,'فحص-بيانات-بكالوريوس'!$R$5:$R$208,'فحص-بيانات-ماجستير'!$R$5:$R$230),0),"")</f>
        <v/>
      </c>
    </row>
    <row r="30" spans="1:9" x14ac:dyDescent="0.2">
      <c r="A30" s="1" t="str">
        <f>IF($I30="","",25)</f>
        <v/>
      </c>
      <c r="B30" s="2" t="str">
        <f>IF($I30="","",INDEX(CHOOSE($J$3,'فحص-حاسب-بكالوريوس'!$A$5:$A$208,'فحص-بيانات-بكالوريوس'!$A$5:$A$208,'فحص-بيانات-ماجستير'!$A$5:$A$230),$I30)&amp;"")</f>
        <v/>
      </c>
      <c r="C30" s="2" t="str">
        <f>IF($I30="","",INDEX(CHOOSE($J$3,'فحص-حاسب-بكالوريوس'!$F$5:$F$208,'فحص-بيانات-بكالوريوس'!$F$5:$F$208,'فحص-بيانات-ماجستير'!$F$5:$F$230),$I30)&amp;"")</f>
        <v/>
      </c>
      <c r="D30" s="2" t="str">
        <f>IF($I30="","",INDEX(CHOOSE($J$3,'فحص-حاسب-بكالوريوس'!$H$5:$H$208,'فحص-بيانات-بكالوريوس'!$H$5:$H$208,'فحص-بيانات-ماجستير'!$H$5:$H$230),$I30)&amp;"")</f>
        <v/>
      </c>
      <c r="E30" s="2" t="str">
        <f>IF($I30="","",INDEX(CHOOSE($J$3,'فحص-حاسب-بكالوريوس'!$J$5:$J$208,'فحص-بيانات-بكالوريوس'!$J$5:$J$208,'فحص-بيانات-ماجستير'!$J$5:$J$230),$I30)&amp;"")</f>
        <v/>
      </c>
      <c r="F30" s="2" t="str">
        <f>IF($I30="","",INDEX(CHOOSE($J$3,'فحص-حاسب-بكالوريوس'!$L$5:$L$208,'فحص-بيانات-بكالوريوس'!$L$5:$L$208,'فحص-بيانات-ماجستير'!$L$5:$L$230),$I30)&amp;"")</f>
        <v/>
      </c>
      <c r="G30" s="2" t="str">
        <f>IF($I30="","",INDEX(CHOOSE($J$3,'فحص-حاسب-بكالوريوس'!$M$5:$M$208,'فحص-بيانات-بكالوريوس'!$M$5:$M$208,'فحص-بيانات-ماجستير'!$M$5:$M$230),$I30)&amp;"")</f>
        <v/>
      </c>
      <c r="I30" s="2" t="str">
        <f>IFERROR(MATCH($E$3&amp;"#"&amp;25,CHOOSE($J$3,'فحص-حاسب-بكالوريوس'!$R$5:$R$208,'فحص-بيانات-بكالوريوس'!$R$5:$R$208,'فحص-بيانات-ماجستير'!$R$5:$R$230),0),"")</f>
        <v/>
      </c>
    </row>
    <row r="31" spans="1:9" x14ac:dyDescent="0.2">
      <c r="A31" s="1" t="str">
        <f>IF($I31="","",26)</f>
        <v/>
      </c>
      <c r="B31" s="2" t="str">
        <f>IF($I31="","",INDEX(CHOOSE($J$3,'فحص-حاسب-بكالوريوس'!$A$5:$A$208,'فحص-بيانات-بكالوريوس'!$A$5:$A$208,'فحص-بيانات-ماجستير'!$A$5:$A$230),$I31)&amp;"")</f>
        <v/>
      </c>
      <c r="C31" s="2" t="str">
        <f>IF($I31="","",INDEX(CHOOSE($J$3,'فحص-حاسب-بكالوريوس'!$F$5:$F$208,'فحص-بيانات-بكالوريوس'!$F$5:$F$208,'فحص-بيانات-ماجستير'!$F$5:$F$230),$I31)&amp;"")</f>
        <v/>
      </c>
      <c r="D31" s="2" t="str">
        <f>IF($I31="","",INDEX(CHOOSE($J$3,'فحص-حاسب-بكالوريوس'!$H$5:$H$208,'فحص-بيانات-بكالوريوس'!$H$5:$H$208,'فحص-بيانات-ماجستير'!$H$5:$H$230),$I31)&amp;"")</f>
        <v/>
      </c>
      <c r="E31" s="2" t="str">
        <f>IF($I31="","",INDEX(CHOOSE($J$3,'فحص-حاسب-بكالوريوس'!$J$5:$J$208,'فحص-بيانات-بكالوريوس'!$J$5:$J$208,'فحص-بيانات-ماجستير'!$J$5:$J$230),$I31)&amp;"")</f>
        <v/>
      </c>
      <c r="F31" s="2" t="str">
        <f>IF($I31="","",INDEX(CHOOSE($J$3,'فحص-حاسب-بكالوريوس'!$L$5:$L$208,'فحص-بيانات-بكالوريوس'!$L$5:$L$208,'فحص-بيانات-ماجستير'!$L$5:$L$230),$I31)&amp;"")</f>
        <v/>
      </c>
      <c r="G31" s="2" t="str">
        <f>IF($I31="","",INDEX(CHOOSE($J$3,'فحص-حاسب-بكالوريوس'!$M$5:$M$208,'فحص-بيانات-بكالوريوس'!$M$5:$M$208,'فحص-بيانات-ماجستير'!$M$5:$M$230),$I31)&amp;"")</f>
        <v/>
      </c>
      <c r="I31" s="2" t="str">
        <f>IFERROR(MATCH($E$3&amp;"#"&amp;26,CHOOSE($J$3,'فحص-حاسب-بكالوريوس'!$R$5:$R$208,'فحص-بيانات-بكالوريوس'!$R$5:$R$208,'فحص-بيانات-ماجستير'!$R$5:$R$230),0),"")</f>
        <v/>
      </c>
    </row>
    <row r="32" spans="1:9" x14ac:dyDescent="0.2">
      <c r="A32" s="1" t="str">
        <f>IF($I32="","",27)</f>
        <v/>
      </c>
      <c r="B32" s="2" t="str">
        <f>IF($I32="","",INDEX(CHOOSE($J$3,'فحص-حاسب-بكالوريوس'!$A$5:$A$208,'فحص-بيانات-بكالوريوس'!$A$5:$A$208,'فحص-بيانات-ماجستير'!$A$5:$A$230),$I32)&amp;"")</f>
        <v/>
      </c>
      <c r="C32" s="2" t="str">
        <f>IF($I32="","",INDEX(CHOOSE($J$3,'فحص-حاسب-بكالوريوس'!$F$5:$F$208,'فحص-بيانات-بكالوريوس'!$F$5:$F$208,'فحص-بيانات-ماجستير'!$F$5:$F$230),$I32)&amp;"")</f>
        <v/>
      </c>
      <c r="D32" s="2" t="str">
        <f>IF($I32="","",INDEX(CHOOSE($J$3,'فحص-حاسب-بكالوريوس'!$H$5:$H$208,'فحص-بيانات-بكالوريوس'!$H$5:$H$208,'فحص-بيانات-ماجستير'!$H$5:$H$230),$I32)&amp;"")</f>
        <v/>
      </c>
      <c r="E32" s="2" t="str">
        <f>IF($I32="","",INDEX(CHOOSE($J$3,'فحص-حاسب-بكالوريوس'!$J$5:$J$208,'فحص-بيانات-بكالوريوس'!$J$5:$J$208,'فحص-بيانات-ماجستير'!$J$5:$J$230),$I32)&amp;"")</f>
        <v/>
      </c>
      <c r="F32" s="2" t="str">
        <f>IF($I32="","",INDEX(CHOOSE($J$3,'فحص-حاسب-بكالوريوس'!$L$5:$L$208,'فحص-بيانات-بكالوريوس'!$L$5:$L$208,'فحص-بيانات-ماجستير'!$L$5:$L$230),$I32)&amp;"")</f>
        <v/>
      </c>
      <c r="G32" s="2" t="str">
        <f>IF($I32="","",INDEX(CHOOSE($J$3,'فحص-حاسب-بكالوريوس'!$M$5:$M$208,'فحص-بيانات-بكالوريوس'!$M$5:$M$208,'فحص-بيانات-ماجستير'!$M$5:$M$230),$I32)&amp;"")</f>
        <v/>
      </c>
      <c r="I32" s="2" t="str">
        <f>IFERROR(MATCH($E$3&amp;"#"&amp;27,CHOOSE($J$3,'فحص-حاسب-بكالوريوس'!$R$5:$R$208,'فحص-بيانات-بكالوريوس'!$R$5:$R$208,'فحص-بيانات-ماجستير'!$R$5:$R$230),0),"")</f>
        <v/>
      </c>
    </row>
    <row r="33" spans="1:9" x14ac:dyDescent="0.2">
      <c r="A33" s="1" t="str">
        <f>IF($I33="","",28)</f>
        <v/>
      </c>
      <c r="B33" s="2" t="str">
        <f>IF($I33="","",INDEX(CHOOSE($J$3,'فحص-حاسب-بكالوريوس'!$A$5:$A$208,'فحص-بيانات-بكالوريوس'!$A$5:$A$208,'فحص-بيانات-ماجستير'!$A$5:$A$230),$I33)&amp;"")</f>
        <v/>
      </c>
      <c r="C33" s="2" t="str">
        <f>IF($I33="","",INDEX(CHOOSE($J$3,'فحص-حاسب-بكالوريوس'!$F$5:$F$208,'فحص-بيانات-بكالوريوس'!$F$5:$F$208,'فحص-بيانات-ماجستير'!$F$5:$F$230),$I33)&amp;"")</f>
        <v/>
      </c>
      <c r="D33" s="2" t="str">
        <f>IF($I33="","",INDEX(CHOOSE($J$3,'فحص-حاسب-بكالوريوس'!$H$5:$H$208,'فحص-بيانات-بكالوريوس'!$H$5:$H$208,'فحص-بيانات-ماجستير'!$H$5:$H$230),$I33)&amp;"")</f>
        <v/>
      </c>
      <c r="E33" s="2" t="str">
        <f>IF($I33="","",INDEX(CHOOSE($J$3,'فحص-حاسب-بكالوريوس'!$J$5:$J$208,'فحص-بيانات-بكالوريوس'!$J$5:$J$208,'فحص-بيانات-ماجستير'!$J$5:$J$230),$I33)&amp;"")</f>
        <v/>
      </c>
      <c r="F33" s="2" t="str">
        <f>IF($I33="","",INDEX(CHOOSE($J$3,'فحص-حاسب-بكالوريوس'!$L$5:$L$208,'فحص-بيانات-بكالوريوس'!$L$5:$L$208,'فحص-بيانات-ماجستير'!$L$5:$L$230),$I33)&amp;"")</f>
        <v/>
      </c>
      <c r="G33" s="2" t="str">
        <f>IF($I33="","",INDEX(CHOOSE($J$3,'فحص-حاسب-بكالوريوس'!$M$5:$M$208,'فحص-بيانات-بكالوريوس'!$M$5:$M$208,'فحص-بيانات-ماجستير'!$M$5:$M$230),$I33)&amp;"")</f>
        <v/>
      </c>
      <c r="I33" s="2" t="str">
        <f>IFERROR(MATCH($E$3&amp;"#"&amp;28,CHOOSE($J$3,'فحص-حاسب-بكالوريوس'!$R$5:$R$208,'فحص-بيانات-بكالوريوس'!$R$5:$R$208,'فحص-بيانات-ماجستير'!$R$5:$R$230),0),"")</f>
        <v/>
      </c>
    </row>
    <row r="34" spans="1:9" x14ac:dyDescent="0.2">
      <c r="A34" s="1" t="str">
        <f>IF($I34="","",29)</f>
        <v/>
      </c>
      <c r="B34" s="2" t="str">
        <f>IF($I34="","",INDEX(CHOOSE($J$3,'فحص-حاسب-بكالوريوس'!$A$5:$A$208,'فحص-بيانات-بكالوريوس'!$A$5:$A$208,'فحص-بيانات-ماجستير'!$A$5:$A$230),$I34)&amp;"")</f>
        <v/>
      </c>
      <c r="C34" s="2" t="str">
        <f>IF($I34="","",INDEX(CHOOSE($J$3,'فحص-حاسب-بكالوريوس'!$F$5:$F$208,'فحص-بيانات-بكالوريوس'!$F$5:$F$208,'فحص-بيانات-ماجستير'!$F$5:$F$230),$I34)&amp;"")</f>
        <v/>
      </c>
      <c r="D34" s="2" t="str">
        <f>IF($I34="","",INDEX(CHOOSE($J$3,'فحص-حاسب-بكالوريوس'!$H$5:$H$208,'فحص-بيانات-بكالوريوس'!$H$5:$H$208,'فحص-بيانات-ماجستير'!$H$5:$H$230),$I34)&amp;"")</f>
        <v/>
      </c>
      <c r="E34" s="2" t="str">
        <f>IF($I34="","",INDEX(CHOOSE($J$3,'فحص-حاسب-بكالوريوس'!$J$5:$J$208,'فحص-بيانات-بكالوريوس'!$J$5:$J$208,'فحص-بيانات-ماجستير'!$J$5:$J$230),$I34)&amp;"")</f>
        <v/>
      </c>
      <c r="F34" s="2" t="str">
        <f>IF($I34="","",INDEX(CHOOSE($J$3,'فحص-حاسب-بكالوريوس'!$L$5:$L$208,'فحص-بيانات-بكالوريوس'!$L$5:$L$208,'فحص-بيانات-ماجستير'!$L$5:$L$230),$I34)&amp;"")</f>
        <v/>
      </c>
      <c r="G34" s="2" t="str">
        <f>IF($I34="","",INDEX(CHOOSE($J$3,'فحص-حاسب-بكالوريوس'!$M$5:$M$208,'فحص-بيانات-بكالوريوس'!$M$5:$M$208,'فحص-بيانات-ماجستير'!$M$5:$M$230),$I34)&amp;"")</f>
        <v/>
      </c>
      <c r="I34" s="2" t="str">
        <f>IFERROR(MATCH($E$3&amp;"#"&amp;29,CHOOSE($J$3,'فحص-حاسب-بكالوريوس'!$R$5:$R$208,'فحص-بيانات-بكالوريوس'!$R$5:$R$208,'فحص-بيانات-ماجستير'!$R$5:$R$230),0),"")</f>
        <v/>
      </c>
    </row>
    <row r="35" spans="1:9" x14ac:dyDescent="0.2">
      <c r="A35" s="1" t="str">
        <f>IF($I35="","",30)</f>
        <v/>
      </c>
      <c r="B35" s="2" t="str">
        <f>IF($I35="","",INDEX(CHOOSE($J$3,'فحص-حاسب-بكالوريوس'!$A$5:$A$208,'فحص-بيانات-بكالوريوس'!$A$5:$A$208,'فحص-بيانات-ماجستير'!$A$5:$A$230),$I35)&amp;"")</f>
        <v/>
      </c>
      <c r="C35" s="2" t="str">
        <f>IF($I35="","",INDEX(CHOOSE($J$3,'فحص-حاسب-بكالوريوس'!$F$5:$F$208,'فحص-بيانات-بكالوريوس'!$F$5:$F$208,'فحص-بيانات-ماجستير'!$F$5:$F$230),$I35)&amp;"")</f>
        <v/>
      </c>
      <c r="D35" s="2" t="str">
        <f>IF($I35="","",INDEX(CHOOSE($J$3,'فحص-حاسب-بكالوريوس'!$H$5:$H$208,'فحص-بيانات-بكالوريوس'!$H$5:$H$208,'فحص-بيانات-ماجستير'!$H$5:$H$230),$I35)&amp;"")</f>
        <v/>
      </c>
      <c r="E35" s="2" t="str">
        <f>IF($I35="","",INDEX(CHOOSE($J$3,'فحص-حاسب-بكالوريوس'!$J$5:$J$208,'فحص-بيانات-بكالوريوس'!$J$5:$J$208,'فحص-بيانات-ماجستير'!$J$5:$J$230),$I35)&amp;"")</f>
        <v/>
      </c>
      <c r="F35" s="2" t="str">
        <f>IF($I35="","",INDEX(CHOOSE($J$3,'فحص-حاسب-بكالوريوس'!$L$5:$L$208,'فحص-بيانات-بكالوريوس'!$L$5:$L$208,'فحص-بيانات-ماجستير'!$L$5:$L$230),$I35)&amp;"")</f>
        <v/>
      </c>
      <c r="G35" s="2" t="str">
        <f>IF($I35="","",INDEX(CHOOSE($J$3,'فحص-حاسب-بكالوريوس'!$M$5:$M$208,'فحص-بيانات-بكالوريوس'!$M$5:$M$208,'فحص-بيانات-ماجستير'!$M$5:$M$230),$I35)&amp;"")</f>
        <v/>
      </c>
      <c r="I35" s="2" t="str">
        <f>IFERROR(MATCH($E$3&amp;"#"&amp;30,CHOOSE($J$3,'فحص-حاسب-بكالوريوس'!$R$5:$R$208,'فحص-بيانات-بكالوريوس'!$R$5:$R$208,'فحص-بيانات-ماجستير'!$R$5:$R$230),0),"")</f>
        <v/>
      </c>
    </row>
    <row r="36" spans="1:9" x14ac:dyDescent="0.2">
      <c r="A36" s="1" t="str">
        <f>IF($I36="","",31)</f>
        <v/>
      </c>
      <c r="B36" s="2" t="str">
        <f>IF($I36="","",INDEX(CHOOSE($J$3,'فحص-حاسب-بكالوريوس'!$A$5:$A$208,'فحص-بيانات-بكالوريوس'!$A$5:$A$208,'فحص-بيانات-ماجستير'!$A$5:$A$230),$I36)&amp;"")</f>
        <v/>
      </c>
      <c r="C36" s="2" t="str">
        <f>IF($I36="","",INDEX(CHOOSE($J$3,'فحص-حاسب-بكالوريوس'!$F$5:$F$208,'فحص-بيانات-بكالوريوس'!$F$5:$F$208,'فحص-بيانات-ماجستير'!$F$5:$F$230),$I36)&amp;"")</f>
        <v/>
      </c>
      <c r="D36" s="2" t="str">
        <f>IF($I36="","",INDEX(CHOOSE($J$3,'فحص-حاسب-بكالوريوس'!$H$5:$H$208,'فحص-بيانات-بكالوريوس'!$H$5:$H$208,'فحص-بيانات-ماجستير'!$H$5:$H$230),$I36)&amp;"")</f>
        <v/>
      </c>
      <c r="E36" s="2" t="str">
        <f>IF($I36="","",INDEX(CHOOSE($J$3,'فحص-حاسب-بكالوريوس'!$J$5:$J$208,'فحص-بيانات-بكالوريوس'!$J$5:$J$208,'فحص-بيانات-ماجستير'!$J$5:$J$230),$I36)&amp;"")</f>
        <v/>
      </c>
      <c r="F36" s="2" t="str">
        <f>IF($I36="","",INDEX(CHOOSE($J$3,'فحص-حاسب-بكالوريوس'!$L$5:$L$208,'فحص-بيانات-بكالوريوس'!$L$5:$L$208,'فحص-بيانات-ماجستير'!$L$5:$L$230),$I36)&amp;"")</f>
        <v/>
      </c>
      <c r="G36" s="2" t="str">
        <f>IF($I36="","",INDEX(CHOOSE($J$3,'فحص-حاسب-بكالوريوس'!$M$5:$M$208,'فحص-بيانات-بكالوريوس'!$M$5:$M$208,'فحص-بيانات-ماجستير'!$M$5:$M$230),$I36)&amp;"")</f>
        <v/>
      </c>
      <c r="I36" s="2" t="str">
        <f>IFERROR(MATCH($E$3&amp;"#"&amp;31,CHOOSE($J$3,'فحص-حاسب-بكالوريوس'!$R$5:$R$208,'فحص-بيانات-بكالوريوس'!$R$5:$R$208,'فحص-بيانات-ماجستير'!$R$5:$R$230),0),"")</f>
        <v/>
      </c>
    </row>
    <row r="37" spans="1:9" x14ac:dyDescent="0.2">
      <c r="A37" s="1" t="str">
        <f>IF($I37="","",32)</f>
        <v/>
      </c>
      <c r="B37" s="2" t="str">
        <f>IF($I37="","",INDEX(CHOOSE($J$3,'فحص-حاسب-بكالوريوس'!$A$5:$A$208,'فحص-بيانات-بكالوريوس'!$A$5:$A$208,'فحص-بيانات-ماجستير'!$A$5:$A$230),$I37)&amp;"")</f>
        <v/>
      </c>
      <c r="C37" s="2" t="str">
        <f>IF($I37="","",INDEX(CHOOSE($J$3,'فحص-حاسب-بكالوريوس'!$F$5:$F$208,'فحص-بيانات-بكالوريوس'!$F$5:$F$208,'فحص-بيانات-ماجستير'!$F$5:$F$230),$I37)&amp;"")</f>
        <v/>
      </c>
      <c r="D37" s="2" t="str">
        <f>IF($I37="","",INDEX(CHOOSE($J$3,'فحص-حاسب-بكالوريوس'!$H$5:$H$208,'فحص-بيانات-بكالوريوس'!$H$5:$H$208,'فحص-بيانات-ماجستير'!$H$5:$H$230),$I37)&amp;"")</f>
        <v/>
      </c>
      <c r="E37" s="2" t="str">
        <f>IF($I37="","",INDEX(CHOOSE($J$3,'فحص-حاسب-بكالوريوس'!$J$5:$J$208,'فحص-بيانات-بكالوريوس'!$J$5:$J$208,'فحص-بيانات-ماجستير'!$J$5:$J$230),$I37)&amp;"")</f>
        <v/>
      </c>
      <c r="F37" s="2" t="str">
        <f>IF($I37="","",INDEX(CHOOSE($J$3,'فحص-حاسب-بكالوريوس'!$L$5:$L$208,'فحص-بيانات-بكالوريوس'!$L$5:$L$208,'فحص-بيانات-ماجستير'!$L$5:$L$230),$I37)&amp;"")</f>
        <v/>
      </c>
      <c r="G37" s="2" t="str">
        <f>IF($I37="","",INDEX(CHOOSE($J$3,'فحص-حاسب-بكالوريوس'!$M$5:$M$208,'فحص-بيانات-بكالوريوس'!$M$5:$M$208,'فحص-بيانات-ماجستير'!$M$5:$M$230),$I37)&amp;"")</f>
        <v/>
      </c>
      <c r="I37" s="2" t="str">
        <f>IFERROR(MATCH($E$3&amp;"#"&amp;32,CHOOSE($J$3,'فحص-حاسب-بكالوريوس'!$R$5:$R$208,'فحص-بيانات-بكالوريوس'!$R$5:$R$208,'فحص-بيانات-ماجستير'!$R$5:$R$230),0),"")</f>
        <v/>
      </c>
    </row>
    <row r="38" spans="1:9" x14ac:dyDescent="0.2">
      <c r="A38" s="1" t="str">
        <f>IF($I38="","",33)</f>
        <v/>
      </c>
      <c r="B38" s="2" t="str">
        <f>IF($I38="","",INDEX(CHOOSE($J$3,'فحص-حاسب-بكالوريوس'!$A$5:$A$208,'فحص-بيانات-بكالوريوس'!$A$5:$A$208,'فحص-بيانات-ماجستير'!$A$5:$A$230),$I38)&amp;"")</f>
        <v/>
      </c>
      <c r="C38" s="2" t="str">
        <f>IF($I38="","",INDEX(CHOOSE($J$3,'فحص-حاسب-بكالوريوس'!$F$5:$F$208,'فحص-بيانات-بكالوريوس'!$F$5:$F$208,'فحص-بيانات-ماجستير'!$F$5:$F$230),$I38)&amp;"")</f>
        <v/>
      </c>
      <c r="D38" s="2" t="str">
        <f>IF($I38="","",INDEX(CHOOSE($J$3,'فحص-حاسب-بكالوريوس'!$H$5:$H$208,'فحص-بيانات-بكالوريوس'!$H$5:$H$208,'فحص-بيانات-ماجستير'!$H$5:$H$230),$I38)&amp;"")</f>
        <v/>
      </c>
      <c r="E38" s="2" t="str">
        <f>IF($I38="","",INDEX(CHOOSE($J$3,'فحص-حاسب-بكالوريوس'!$J$5:$J$208,'فحص-بيانات-بكالوريوس'!$J$5:$J$208,'فحص-بيانات-ماجستير'!$J$5:$J$230),$I38)&amp;"")</f>
        <v/>
      </c>
      <c r="F38" s="2" t="str">
        <f>IF($I38="","",INDEX(CHOOSE($J$3,'فحص-حاسب-بكالوريوس'!$L$5:$L$208,'فحص-بيانات-بكالوريوس'!$L$5:$L$208,'فحص-بيانات-ماجستير'!$L$5:$L$230),$I38)&amp;"")</f>
        <v/>
      </c>
      <c r="G38" s="2" t="str">
        <f>IF($I38="","",INDEX(CHOOSE($J$3,'فحص-حاسب-بكالوريوس'!$M$5:$M$208,'فحص-بيانات-بكالوريوس'!$M$5:$M$208,'فحص-بيانات-ماجستير'!$M$5:$M$230),$I38)&amp;"")</f>
        <v/>
      </c>
      <c r="I38" s="2" t="str">
        <f>IFERROR(MATCH($E$3&amp;"#"&amp;33,CHOOSE($J$3,'فحص-حاسب-بكالوريوس'!$R$5:$R$208,'فحص-بيانات-بكالوريوس'!$R$5:$R$208,'فحص-بيانات-ماجستير'!$R$5:$R$230),0),"")</f>
        <v/>
      </c>
    </row>
    <row r="39" spans="1:9" x14ac:dyDescent="0.2">
      <c r="A39" s="1" t="str">
        <f>IF($I39="","",34)</f>
        <v/>
      </c>
      <c r="B39" s="2" t="str">
        <f>IF($I39="","",INDEX(CHOOSE($J$3,'فحص-حاسب-بكالوريوس'!$A$5:$A$208,'فحص-بيانات-بكالوريوس'!$A$5:$A$208,'فحص-بيانات-ماجستير'!$A$5:$A$230),$I39)&amp;"")</f>
        <v/>
      </c>
      <c r="C39" s="2" t="str">
        <f>IF($I39="","",INDEX(CHOOSE($J$3,'فحص-حاسب-بكالوريوس'!$F$5:$F$208,'فحص-بيانات-بكالوريوس'!$F$5:$F$208,'فحص-بيانات-ماجستير'!$F$5:$F$230),$I39)&amp;"")</f>
        <v/>
      </c>
      <c r="D39" s="2" t="str">
        <f>IF($I39="","",INDEX(CHOOSE($J$3,'فحص-حاسب-بكالوريوس'!$H$5:$H$208,'فحص-بيانات-بكالوريوس'!$H$5:$H$208,'فحص-بيانات-ماجستير'!$H$5:$H$230),$I39)&amp;"")</f>
        <v/>
      </c>
      <c r="E39" s="2" t="str">
        <f>IF($I39="","",INDEX(CHOOSE($J$3,'فحص-حاسب-بكالوريوس'!$J$5:$J$208,'فحص-بيانات-بكالوريوس'!$J$5:$J$208,'فحص-بيانات-ماجستير'!$J$5:$J$230),$I39)&amp;"")</f>
        <v/>
      </c>
      <c r="F39" s="2" t="str">
        <f>IF($I39="","",INDEX(CHOOSE($J$3,'فحص-حاسب-بكالوريوس'!$L$5:$L$208,'فحص-بيانات-بكالوريوس'!$L$5:$L$208,'فحص-بيانات-ماجستير'!$L$5:$L$230),$I39)&amp;"")</f>
        <v/>
      </c>
      <c r="G39" s="2" t="str">
        <f>IF($I39="","",INDEX(CHOOSE($J$3,'فحص-حاسب-بكالوريوس'!$M$5:$M$208,'فحص-بيانات-بكالوريوس'!$M$5:$M$208,'فحص-بيانات-ماجستير'!$M$5:$M$230),$I39)&amp;"")</f>
        <v/>
      </c>
      <c r="I39" s="2" t="str">
        <f>IFERROR(MATCH($E$3&amp;"#"&amp;34,CHOOSE($J$3,'فحص-حاسب-بكالوريوس'!$R$5:$R$208,'فحص-بيانات-بكالوريوس'!$R$5:$R$208,'فحص-بيانات-ماجستير'!$R$5:$R$230),0),"")</f>
        <v/>
      </c>
    </row>
    <row r="40" spans="1:9" x14ac:dyDescent="0.2">
      <c r="A40" s="1" t="str">
        <f>IF($I40="","",35)</f>
        <v/>
      </c>
      <c r="B40" s="2" t="str">
        <f>IF($I40="","",INDEX(CHOOSE($J$3,'فحص-حاسب-بكالوريوس'!$A$5:$A$208,'فحص-بيانات-بكالوريوس'!$A$5:$A$208,'فحص-بيانات-ماجستير'!$A$5:$A$230),$I40)&amp;"")</f>
        <v/>
      </c>
      <c r="C40" s="2" t="str">
        <f>IF($I40="","",INDEX(CHOOSE($J$3,'فحص-حاسب-بكالوريوس'!$F$5:$F$208,'فحص-بيانات-بكالوريوس'!$F$5:$F$208,'فحص-بيانات-ماجستير'!$F$5:$F$230),$I40)&amp;"")</f>
        <v/>
      </c>
      <c r="D40" s="2" t="str">
        <f>IF($I40="","",INDEX(CHOOSE($J$3,'فحص-حاسب-بكالوريوس'!$H$5:$H$208,'فحص-بيانات-بكالوريوس'!$H$5:$H$208,'فحص-بيانات-ماجستير'!$H$5:$H$230),$I40)&amp;"")</f>
        <v/>
      </c>
      <c r="E40" s="2" t="str">
        <f>IF($I40="","",INDEX(CHOOSE($J$3,'فحص-حاسب-بكالوريوس'!$J$5:$J$208,'فحص-بيانات-بكالوريوس'!$J$5:$J$208,'فحص-بيانات-ماجستير'!$J$5:$J$230),$I40)&amp;"")</f>
        <v/>
      </c>
      <c r="F40" s="2" t="str">
        <f>IF($I40="","",INDEX(CHOOSE($J$3,'فحص-حاسب-بكالوريوس'!$L$5:$L$208,'فحص-بيانات-بكالوريوس'!$L$5:$L$208,'فحص-بيانات-ماجستير'!$L$5:$L$230),$I40)&amp;"")</f>
        <v/>
      </c>
      <c r="G40" s="2" t="str">
        <f>IF($I40="","",INDEX(CHOOSE($J$3,'فحص-حاسب-بكالوريوس'!$M$5:$M$208,'فحص-بيانات-بكالوريوس'!$M$5:$M$208,'فحص-بيانات-ماجستير'!$M$5:$M$230),$I40)&amp;"")</f>
        <v/>
      </c>
      <c r="I40" s="2" t="str">
        <f>IFERROR(MATCH($E$3&amp;"#"&amp;35,CHOOSE($J$3,'فحص-حاسب-بكالوريوس'!$R$5:$R$208,'فحص-بيانات-بكالوريوس'!$R$5:$R$208,'فحص-بيانات-ماجستير'!$R$5:$R$230),0),"")</f>
        <v/>
      </c>
    </row>
    <row r="41" spans="1:9" x14ac:dyDescent="0.2">
      <c r="A41" s="1" t="str">
        <f>IF($I41="","",36)</f>
        <v/>
      </c>
      <c r="B41" s="2" t="str">
        <f>IF($I41="","",INDEX(CHOOSE($J$3,'فحص-حاسب-بكالوريوس'!$A$5:$A$208,'فحص-بيانات-بكالوريوس'!$A$5:$A$208,'فحص-بيانات-ماجستير'!$A$5:$A$230),$I41)&amp;"")</f>
        <v/>
      </c>
      <c r="C41" s="2" t="str">
        <f>IF($I41="","",INDEX(CHOOSE($J$3,'فحص-حاسب-بكالوريوس'!$F$5:$F$208,'فحص-بيانات-بكالوريوس'!$F$5:$F$208,'فحص-بيانات-ماجستير'!$F$5:$F$230),$I41)&amp;"")</f>
        <v/>
      </c>
      <c r="D41" s="2" t="str">
        <f>IF($I41="","",INDEX(CHOOSE($J$3,'فحص-حاسب-بكالوريوس'!$H$5:$H$208,'فحص-بيانات-بكالوريوس'!$H$5:$H$208,'فحص-بيانات-ماجستير'!$H$5:$H$230),$I41)&amp;"")</f>
        <v/>
      </c>
      <c r="E41" s="2" t="str">
        <f>IF($I41="","",INDEX(CHOOSE($J$3,'فحص-حاسب-بكالوريوس'!$J$5:$J$208,'فحص-بيانات-بكالوريوس'!$J$5:$J$208,'فحص-بيانات-ماجستير'!$J$5:$J$230),$I41)&amp;"")</f>
        <v/>
      </c>
      <c r="F41" s="2" t="str">
        <f>IF($I41="","",INDEX(CHOOSE($J$3,'فحص-حاسب-بكالوريوس'!$L$5:$L$208,'فحص-بيانات-بكالوريوس'!$L$5:$L$208,'فحص-بيانات-ماجستير'!$L$5:$L$230),$I41)&amp;"")</f>
        <v/>
      </c>
      <c r="G41" s="2" t="str">
        <f>IF($I41="","",INDEX(CHOOSE($J$3,'فحص-حاسب-بكالوريوس'!$M$5:$M$208,'فحص-بيانات-بكالوريوس'!$M$5:$M$208,'فحص-بيانات-ماجستير'!$M$5:$M$230),$I41)&amp;"")</f>
        <v/>
      </c>
      <c r="I41" s="2" t="str">
        <f>IFERROR(MATCH($E$3&amp;"#"&amp;36,CHOOSE($J$3,'فحص-حاسب-بكالوريوس'!$R$5:$R$208,'فحص-بيانات-بكالوريوس'!$R$5:$R$208,'فحص-بيانات-ماجستير'!$R$5:$R$230),0),"")</f>
        <v/>
      </c>
    </row>
    <row r="42" spans="1:9" x14ac:dyDescent="0.2">
      <c r="A42" s="1" t="str">
        <f>IF($I42="","",37)</f>
        <v/>
      </c>
      <c r="B42" s="2" t="str">
        <f>IF($I42="","",INDEX(CHOOSE($J$3,'فحص-حاسب-بكالوريوس'!$A$5:$A$208,'فحص-بيانات-بكالوريوس'!$A$5:$A$208,'فحص-بيانات-ماجستير'!$A$5:$A$230),$I42)&amp;"")</f>
        <v/>
      </c>
      <c r="C42" s="2" t="str">
        <f>IF($I42="","",INDEX(CHOOSE($J$3,'فحص-حاسب-بكالوريوس'!$F$5:$F$208,'فحص-بيانات-بكالوريوس'!$F$5:$F$208,'فحص-بيانات-ماجستير'!$F$5:$F$230),$I42)&amp;"")</f>
        <v/>
      </c>
      <c r="D42" s="2" t="str">
        <f>IF($I42="","",INDEX(CHOOSE($J$3,'فحص-حاسب-بكالوريوس'!$H$5:$H$208,'فحص-بيانات-بكالوريوس'!$H$5:$H$208,'فحص-بيانات-ماجستير'!$H$5:$H$230),$I42)&amp;"")</f>
        <v/>
      </c>
      <c r="E42" s="2" t="str">
        <f>IF($I42="","",INDEX(CHOOSE($J$3,'فحص-حاسب-بكالوريوس'!$J$5:$J$208,'فحص-بيانات-بكالوريوس'!$J$5:$J$208,'فحص-بيانات-ماجستير'!$J$5:$J$230),$I42)&amp;"")</f>
        <v/>
      </c>
      <c r="F42" s="2" t="str">
        <f>IF($I42="","",INDEX(CHOOSE($J$3,'فحص-حاسب-بكالوريوس'!$L$5:$L$208,'فحص-بيانات-بكالوريوس'!$L$5:$L$208,'فحص-بيانات-ماجستير'!$L$5:$L$230),$I42)&amp;"")</f>
        <v/>
      </c>
      <c r="G42" s="2" t="str">
        <f>IF($I42="","",INDEX(CHOOSE($J$3,'فحص-حاسب-بكالوريوس'!$M$5:$M$208,'فحص-بيانات-بكالوريوس'!$M$5:$M$208,'فحص-بيانات-ماجستير'!$M$5:$M$230),$I42)&amp;"")</f>
        <v/>
      </c>
      <c r="I42" s="2" t="str">
        <f>IFERROR(MATCH($E$3&amp;"#"&amp;37,CHOOSE($J$3,'فحص-حاسب-بكالوريوس'!$R$5:$R$208,'فحص-بيانات-بكالوريوس'!$R$5:$R$208,'فحص-بيانات-ماجستير'!$R$5:$R$230),0),"")</f>
        <v/>
      </c>
    </row>
    <row r="43" spans="1:9" x14ac:dyDescent="0.2">
      <c r="A43" s="1" t="str">
        <f>IF($I43="","",38)</f>
        <v/>
      </c>
      <c r="B43" s="2" t="str">
        <f>IF($I43="","",INDEX(CHOOSE($J$3,'فحص-حاسب-بكالوريوس'!$A$5:$A$208,'فحص-بيانات-بكالوريوس'!$A$5:$A$208,'فحص-بيانات-ماجستير'!$A$5:$A$230),$I43)&amp;"")</f>
        <v/>
      </c>
      <c r="C43" s="2" t="str">
        <f>IF($I43="","",INDEX(CHOOSE($J$3,'فحص-حاسب-بكالوريوس'!$F$5:$F$208,'فحص-بيانات-بكالوريوس'!$F$5:$F$208,'فحص-بيانات-ماجستير'!$F$5:$F$230),$I43)&amp;"")</f>
        <v/>
      </c>
      <c r="D43" s="2" t="str">
        <f>IF($I43="","",INDEX(CHOOSE($J$3,'فحص-حاسب-بكالوريوس'!$H$5:$H$208,'فحص-بيانات-بكالوريوس'!$H$5:$H$208,'فحص-بيانات-ماجستير'!$H$5:$H$230),$I43)&amp;"")</f>
        <v/>
      </c>
      <c r="E43" s="2" t="str">
        <f>IF($I43="","",INDEX(CHOOSE($J$3,'فحص-حاسب-بكالوريوس'!$J$5:$J$208,'فحص-بيانات-بكالوريوس'!$J$5:$J$208,'فحص-بيانات-ماجستير'!$J$5:$J$230),$I43)&amp;"")</f>
        <v/>
      </c>
      <c r="F43" s="2" t="str">
        <f>IF($I43="","",INDEX(CHOOSE($J$3,'فحص-حاسب-بكالوريوس'!$L$5:$L$208,'فحص-بيانات-بكالوريوس'!$L$5:$L$208,'فحص-بيانات-ماجستير'!$L$5:$L$230),$I43)&amp;"")</f>
        <v/>
      </c>
      <c r="G43" s="2" t="str">
        <f>IF($I43="","",INDEX(CHOOSE($J$3,'فحص-حاسب-بكالوريوس'!$M$5:$M$208,'فحص-بيانات-بكالوريوس'!$M$5:$M$208,'فحص-بيانات-ماجستير'!$M$5:$M$230),$I43)&amp;"")</f>
        <v/>
      </c>
      <c r="I43" s="2" t="str">
        <f>IFERROR(MATCH($E$3&amp;"#"&amp;38,CHOOSE($J$3,'فحص-حاسب-بكالوريوس'!$R$5:$R$208,'فحص-بيانات-بكالوريوس'!$R$5:$R$208,'فحص-بيانات-ماجستير'!$R$5:$R$230),0),"")</f>
        <v/>
      </c>
    </row>
    <row r="44" spans="1:9" x14ac:dyDescent="0.2">
      <c r="A44" s="1" t="str">
        <f>IF($I44="","",39)</f>
        <v/>
      </c>
      <c r="B44" s="2" t="str">
        <f>IF($I44="","",INDEX(CHOOSE($J$3,'فحص-حاسب-بكالوريوس'!$A$5:$A$208,'فحص-بيانات-بكالوريوس'!$A$5:$A$208,'فحص-بيانات-ماجستير'!$A$5:$A$230),$I44)&amp;"")</f>
        <v/>
      </c>
      <c r="C44" s="2" t="str">
        <f>IF($I44="","",INDEX(CHOOSE($J$3,'فحص-حاسب-بكالوريوس'!$F$5:$F$208,'فحص-بيانات-بكالوريوس'!$F$5:$F$208,'فحص-بيانات-ماجستير'!$F$5:$F$230),$I44)&amp;"")</f>
        <v/>
      </c>
      <c r="D44" s="2" t="str">
        <f>IF($I44="","",INDEX(CHOOSE($J$3,'فحص-حاسب-بكالوريوس'!$H$5:$H$208,'فحص-بيانات-بكالوريوس'!$H$5:$H$208,'فحص-بيانات-ماجستير'!$H$5:$H$230),$I44)&amp;"")</f>
        <v/>
      </c>
      <c r="E44" s="2" t="str">
        <f>IF($I44="","",INDEX(CHOOSE($J$3,'فحص-حاسب-بكالوريوس'!$J$5:$J$208,'فحص-بيانات-بكالوريوس'!$J$5:$J$208,'فحص-بيانات-ماجستير'!$J$5:$J$230),$I44)&amp;"")</f>
        <v/>
      </c>
      <c r="F44" s="2" t="str">
        <f>IF($I44="","",INDEX(CHOOSE($J$3,'فحص-حاسب-بكالوريوس'!$L$5:$L$208,'فحص-بيانات-بكالوريوس'!$L$5:$L$208,'فحص-بيانات-ماجستير'!$L$5:$L$230),$I44)&amp;"")</f>
        <v/>
      </c>
      <c r="G44" s="2" t="str">
        <f>IF($I44="","",INDEX(CHOOSE($J$3,'فحص-حاسب-بكالوريوس'!$M$5:$M$208,'فحص-بيانات-بكالوريوس'!$M$5:$M$208,'فحص-بيانات-ماجستير'!$M$5:$M$230),$I44)&amp;"")</f>
        <v/>
      </c>
      <c r="I44" s="2" t="str">
        <f>IFERROR(MATCH($E$3&amp;"#"&amp;39,CHOOSE($J$3,'فحص-حاسب-بكالوريوس'!$R$5:$R$208,'فحص-بيانات-بكالوريوس'!$R$5:$R$208,'فحص-بيانات-ماجستير'!$R$5:$R$230),0),"")</f>
        <v/>
      </c>
    </row>
    <row r="45" spans="1:9" x14ac:dyDescent="0.2">
      <c r="A45" s="1" t="str">
        <f>IF($I45="","",40)</f>
        <v/>
      </c>
      <c r="B45" s="2" t="str">
        <f>IF($I45="","",INDEX(CHOOSE($J$3,'فحص-حاسب-بكالوريوس'!$A$5:$A$208,'فحص-بيانات-بكالوريوس'!$A$5:$A$208,'فحص-بيانات-ماجستير'!$A$5:$A$230),$I45)&amp;"")</f>
        <v/>
      </c>
      <c r="C45" s="2" t="str">
        <f>IF($I45="","",INDEX(CHOOSE($J$3,'فحص-حاسب-بكالوريوس'!$F$5:$F$208,'فحص-بيانات-بكالوريوس'!$F$5:$F$208,'فحص-بيانات-ماجستير'!$F$5:$F$230),$I45)&amp;"")</f>
        <v/>
      </c>
      <c r="D45" s="2" t="str">
        <f>IF($I45="","",INDEX(CHOOSE($J$3,'فحص-حاسب-بكالوريوس'!$H$5:$H$208,'فحص-بيانات-بكالوريوس'!$H$5:$H$208,'فحص-بيانات-ماجستير'!$H$5:$H$230),$I45)&amp;"")</f>
        <v/>
      </c>
      <c r="E45" s="2" t="str">
        <f>IF($I45="","",INDEX(CHOOSE($J$3,'فحص-حاسب-بكالوريوس'!$J$5:$J$208,'فحص-بيانات-بكالوريوس'!$J$5:$J$208,'فحص-بيانات-ماجستير'!$J$5:$J$230),$I45)&amp;"")</f>
        <v/>
      </c>
      <c r="F45" s="2" t="str">
        <f>IF($I45="","",INDEX(CHOOSE($J$3,'فحص-حاسب-بكالوريوس'!$L$5:$L$208,'فحص-بيانات-بكالوريوس'!$L$5:$L$208,'فحص-بيانات-ماجستير'!$L$5:$L$230),$I45)&amp;"")</f>
        <v/>
      </c>
      <c r="G45" s="2" t="str">
        <f>IF($I45="","",INDEX(CHOOSE($J$3,'فحص-حاسب-بكالوريوس'!$M$5:$M$208,'فحص-بيانات-بكالوريوس'!$M$5:$M$208,'فحص-بيانات-ماجستير'!$M$5:$M$230),$I45)&amp;"")</f>
        <v/>
      </c>
      <c r="I45" s="2" t="str">
        <f>IFERROR(MATCH($E$3&amp;"#"&amp;40,CHOOSE($J$3,'فحص-حاسب-بكالوريوس'!$R$5:$R$208,'فحص-بيانات-بكالوريوس'!$R$5:$R$208,'فحص-بيانات-ماجستير'!$R$5:$R$230),0),"")</f>
        <v/>
      </c>
    </row>
    <row r="46" spans="1:9" x14ac:dyDescent="0.2">
      <c r="A46" s="1" t="str">
        <f>IF($I46="","",41)</f>
        <v/>
      </c>
      <c r="B46" s="2" t="str">
        <f>IF($I46="","",INDEX(CHOOSE($J$3,'فحص-حاسب-بكالوريوس'!$A$5:$A$208,'فحص-بيانات-بكالوريوس'!$A$5:$A$208,'فحص-بيانات-ماجستير'!$A$5:$A$230),$I46)&amp;"")</f>
        <v/>
      </c>
      <c r="C46" s="2" t="str">
        <f>IF($I46="","",INDEX(CHOOSE($J$3,'فحص-حاسب-بكالوريوس'!$F$5:$F$208,'فحص-بيانات-بكالوريوس'!$F$5:$F$208,'فحص-بيانات-ماجستير'!$F$5:$F$230),$I46)&amp;"")</f>
        <v/>
      </c>
      <c r="D46" s="2" t="str">
        <f>IF($I46="","",INDEX(CHOOSE($J$3,'فحص-حاسب-بكالوريوس'!$H$5:$H$208,'فحص-بيانات-بكالوريوس'!$H$5:$H$208,'فحص-بيانات-ماجستير'!$H$5:$H$230),$I46)&amp;"")</f>
        <v/>
      </c>
      <c r="E46" s="2" t="str">
        <f>IF($I46="","",INDEX(CHOOSE($J$3,'فحص-حاسب-بكالوريوس'!$J$5:$J$208,'فحص-بيانات-بكالوريوس'!$J$5:$J$208,'فحص-بيانات-ماجستير'!$J$5:$J$230),$I46)&amp;"")</f>
        <v/>
      </c>
      <c r="F46" s="2" t="str">
        <f>IF($I46="","",INDEX(CHOOSE($J$3,'فحص-حاسب-بكالوريوس'!$L$5:$L$208,'فحص-بيانات-بكالوريوس'!$L$5:$L$208,'فحص-بيانات-ماجستير'!$L$5:$L$230),$I46)&amp;"")</f>
        <v/>
      </c>
      <c r="G46" s="2" t="str">
        <f>IF($I46="","",INDEX(CHOOSE($J$3,'فحص-حاسب-بكالوريوس'!$M$5:$M$208,'فحص-بيانات-بكالوريوس'!$M$5:$M$208,'فحص-بيانات-ماجستير'!$M$5:$M$230),$I46)&amp;"")</f>
        <v/>
      </c>
      <c r="I46" s="2" t="str">
        <f>IFERROR(MATCH($E$3&amp;"#"&amp;41,CHOOSE($J$3,'فحص-حاسب-بكالوريوس'!$R$5:$R$208,'فحص-بيانات-بكالوريوس'!$R$5:$R$208,'فحص-بيانات-ماجستير'!$R$5:$R$230),0),"")</f>
        <v/>
      </c>
    </row>
    <row r="47" spans="1:9" x14ac:dyDescent="0.2">
      <c r="A47" s="1" t="str">
        <f>IF($I47="","",42)</f>
        <v/>
      </c>
      <c r="B47" s="2" t="str">
        <f>IF($I47="","",INDEX(CHOOSE($J$3,'فحص-حاسب-بكالوريوس'!$A$5:$A$208,'فحص-بيانات-بكالوريوس'!$A$5:$A$208,'فحص-بيانات-ماجستير'!$A$5:$A$230),$I47)&amp;"")</f>
        <v/>
      </c>
      <c r="C47" s="2" t="str">
        <f>IF($I47="","",INDEX(CHOOSE($J$3,'فحص-حاسب-بكالوريوس'!$F$5:$F$208,'فحص-بيانات-بكالوريوس'!$F$5:$F$208,'فحص-بيانات-ماجستير'!$F$5:$F$230),$I47)&amp;"")</f>
        <v/>
      </c>
      <c r="D47" s="2" t="str">
        <f>IF($I47="","",INDEX(CHOOSE($J$3,'فحص-حاسب-بكالوريوس'!$H$5:$H$208,'فحص-بيانات-بكالوريوس'!$H$5:$H$208,'فحص-بيانات-ماجستير'!$H$5:$H$230),$I47)&amp;"")</f>
        <v/>
      </c>
      <c r="E47" s="2" t="str">
        <f>IF($I47="","",INDEX(CHOOSE($J$3,'فحص-حاسب-بكالوريوس'!$J$5:$J$208,'فحص-بيانات-بكالوريوس'!$J$5:$J$208,'فحص-بيانات-ماجستير'!$J$5:$J$230),$I47)&amp;"")</f>
        <v/>
      </c>
      <c r="F47" s="2" t="str">
        <f>IF($I47="","",INDEX(CHOOSE($J$3,'فحص-حاسب-بكالوريوس'!$L$5:$L$208,'فحص-بيانات-بكالوريوس'!$L$5:$L$208,'فحص-بيانات-ماجستير'!$L$5:$L$230),$I47)&amp;"")</f>
        <v/>
      </c>
      <c r="G47" s="2" t="str">
        <f>IF($I47="","",INDEX(CHOOSE($J$3,'فحص-حاسب-بكالوريوس'!$M$5:$M$208,'فحص-بيانات-بكالوريوس'!$M$5:$M$208,'فحص-بيانات-ماجستير'!$M$5:$M$230),$I47)&amp;"")</f>
        <v/>
      </c>
      <c r="I47" s="2" t="str">
        <f>IFERROR(MATCH($E$3&amp;"#"&amp;42,CHOOSE($J$3,'فحص-حاسب-بكالوريوس'!$R$5:$R$208,'فحص-بيانات-بكالوريوس'!$R$5:$R$208,'فحص-بيانات-ماجستير'!$R$5:$R$230),0),"")</f>
        <v/>
      </c>
    </row>
    <row r="48" spans="1:9" x14ac:dyDescent="0.2">
      <c r="A48" s="1" t="str">
        <f>IF($I48="","",43)</f>
        <v/>
      </c>
      <c r="B48" s="2" t="str">
        <f>IF($I48="","",INDEX(CHOOSE($J$3,'فحص-حاسب-بكالوريوس'!$A$5:$A$208,'فحص-بيانات-بكالوريوس'!$A$5:$A$208,'فحص-بيانات-ماجستير'!$A$5:$A$230),$I48)&amp;"")</f>
        <v/>
      </c>
      <c r="C48" s="2" t="str">
        <f>IF($I48="","",INDEX(CHOOSE($J$3,'فحص-حاسب-بكالوريوس'!$F$5:$F$208,'فحص-بيانات-بكالوريوس'!$F$5:$F$208,'فحص-بيانات-ماجستير'!$F$5:$F$230),$I48)&amp;"")</f>
        <v/>
      </c>
      <c r="D48" s="2" t="str">
        <f>IF($I48="","",INDEX(CHOOSE($J$3,'فحص-حاسب-بكالوريوس'!$H$5:$H$208,'فحص-بيانات-بكالوريوس'!$H$5:$H$208,'فحص-بيانات-ماجستير'!$H$5:$H$230),$I48)&amp;"")</f>
        <v/>
      </c>
      <c r="E48" s="2" t="str">
        <f>IF($I48="","",INDEX(CHOOSE($J$3,'فحص-حاسب-بكالوريوس'!$J$5:$J$208,'فحص-بيانات-بكالوريوس'!$J$5:$J$208,'فحص-بيانات-ماجستير'!$J$5:$J$230),$I48)&amp;"")</f>
        <v/>
      </c>
      <c r="F48" s="2" t="str">
        <f>IF($I48="","",INDEX(CHOOSE($J$3,'فحص-حاسب-بكالوريوس'!$L$5:$L$208,'فحص-بيانات-بكالوريوس'!$L$5:$L$208,'فحص-بيانات-ماجستير'!$L$5:$L$230),$I48)&amp;"")</f>
        <v/>
      </c>
      <c r="G48" s="2" t="str">
        <f>IF($I48="","",INDEX(CHOOSE($J$3,'فحص-حاسب-بكالوريوس'!$M$5:$M$208,'فحص-بيانات-بكالوريوس'!$M$5:$M$208,'فحص-بيانات-ماجستير'!$M$5:$M$230),$I48)&amp;"")</f>
        <v/>
      </c>
      <c r="I48" s="2" t="str">
        <f>IFERROR(MATCH($E$3&amp;"#"&amp;43,CHOOSE($J$3,'فحص-حاسب-بكالوريوس'!$R$5:$R$208,'فحص-بيانات-بكالوريوس'!$R$5:$R$208,'فحص-بيانات-ماجستير'!$R$5:$R$230),0),"")</f>
        <v/>
      </c>
    </row>
    <row r="49" spans="1:9" x14ac:dyDescent="0.2">
      <c r="A49" s="1" t="str">
        <f>IF($I49="","",44)</f>
        <v/>
      </c>
      <c r="B49" s="2" t="str">
        <f>IF($I49="","",INDEX(CHOOSE($J$3,'فحص-حاسب-بكالوريوس'!$A$5:$A$208,'فحص-بيانات-بكالوريوس'!$A$5:$A$208,'فحص-بيانات-ماجستير'!$A$5:$A$230),$I49)&amp;"")</f>
        <v/>
      </c>
      <c r="C49" s="2" t="str">
        <f>IF($I49="","",INDEX(CHOOSE($J$3,'فحص-حاسب-بكالوريوس'!$F$5:$F$208,'فحص-بيانات-بكالوريوس'!$F$5:$F$208,'فحص-بيانات-ماجستير'!$F$5:$F$230),$I49)&amp;"")</f>
        <v/>
      </c>
      <c r="D49" s="2" t="str">
        <f>IF($I49="","",INDEX(CHOOSE($J$3,'فحص-حاسب-بكالوريوس'!$H$5:$H$208,'فحص-بيانات-بكالوريوس'!$H$5:$H$208,'فحص-بيانات-ماجستير'!$H$5:$H$230),$I49)&amp;"")</f>
        <v/>
      </c>
      <c r="E49" s="2" t="str">
        <f>IF($I49="","",INDEX(CHOOSE($J$3,'فحص-حاسب-بكالوريوس'!$J$5:$J$208,'فحص-بيانات-بكالوريوس'!$J$5:$J$208,'فحص-بيانات-ماجستير'!$J$5:$J$230),$I49)&amp;"")</f>
        <v/>
      </c>
      <c r="F49" s="2" t="str">
        <f>IF($I49="","",INDEX(CHOOSE($J$3,'فحص-حاسب-بكالوريوس'!$L$5:$L$208,'فحص-بيانات-بكالوريوس'!$L$5:$L$208,'فحص-بيانات-ماجستير'!$L$5:$L$230),$I49)&amp;"")</f>
        <v/>
      </c>
      <c r="G49" s="2" t="str">
        <f>IF($I49="","",INDEX(CHOOSE($J$3,'فحص-حاسب-بكالوريوس'!$M$5:$M$208,'فحص-بيانات-بكالوريوس'!$M$5:$M$208,'فحص-بيانات-ماجستير'!$M$5:$M$230),$I49)&amp;"")</f>
        <v/>
      </c>
      <c r="I49" s="2" t="str">
        <f>IFERROR(MATCH($E$3&amp;"#"&amp;44,CHOOSE($J$3,'فحص-حاسب-بكالوريوس'!$R$5:$R$208,'فحص-بيانات-بكالوريوس'!$R$5:$R$208,'فحص-بيانات-ماجستير'!$R$5:$R$230),0),"")</f>
        <v/>
      </c>
    </row>
    <row r="50" spans="1:9" x14ac:dyDescent="0.2">
      <c r="A50" s="1" t="str">
        <f>IF($I50="","",45)</f>
        <v/>
      </c>
      <c r="B50" s="2" t="str">
        <f>IF($I50="","",INDEX(CHOOSE($J$3,'فحص-حاسب-بكالوريوس'!$A$5:$A$208,'فحص-بيانات-بكالوريوس'!$A$5:$A$208,'فحص-بيانات-ماجستير'!$A$5:$A$230),$I50)&amp;"")</f>
        <v/>
      </c>
      <c r="C50" s="2" t="str">
        <f>IF($I50="","",INDEX(CHOOSE($J$3,'فحص-حاسب-بكالوريوس'!$F$5:$F$208,'فحص-بيانات-بكالوريوس'!$F$5:$F$208,'فحص-بيانات-ماجستير'!$F$5:$F$230),$I50)&amp;"")</f>
        <v/>
      </c>
      <c r="D50" s="2" t="str">
        <f>IF($I50="","",INDEX(CHOOSE($J$3,'فحص-حاسب-بكالوريوس'!$H$5:$H$208,'فحص-بيانات-بكالوريوس'!$H$5:$H$208,'فحص-بيانات-ماجستير'!$H$5:$H$230),$I50)&amp;"")</f>
        <v/>
      </c>
      <c r="E50" s="2" t="str">
        <f>IF($I50="","",INDEX(CHOOSE($J$3,'فحص-حاسب-بكالوريوس'!$J$5:$J$208,'فحص-بيانات-بكالوريوس'!$J$5:$J$208,'فحص-بيانات-ماجستير'!$J$5:$J$230),$I50)&amp;"")</f>
        <v/>
      </c>
      <c r="F50" s="2" t="str">
        <f>IF($I50="","",INDEX(CHOOSE($J$3,'فحص-حاسب-بكالوريوس'!$L$5:$L$208,'فحص-بيانات-بكالوريوس'!$L$5:$L$208,'فحص-بيانات-ماجستير'!$L$5:$L$230),$I50)&amp;"")</f>
        <v/>
      </c>
      <c r="G50" s="2" t="str">
        <f>IF($I50="","",INDEX(CHOOSE($J$3,'فحص-حاسب-بكالوريوس'!$M$5:$M$208,'فحص-بيانات-بكالوريوس'!$M$5:$M$208,'فحص-بيانات-ماجستير'!$M$5:$M$230),$I50)&amp;"")</f>
        <v/>
      </c>
      <c r="I50" s="2" t="str">
        <f>IFERROR(MATCH($E$3&amp;"#"&amp;45,CHOOSE($J$3,'فحص-حاسب-بكالوريوس'!$R$5:$R$208,'فحص-بيانات-بكالوريوس'!$R$5:$R$208,'فحص-بيانات-ماجستير'!$R$5:$R$230),0),"")</f>
        <v/>
      </c>
    </row>
    <row r="51" spans="1:9" x14ac:dyDescent="0.2">
      <c r="A51" s="1" t="str">
        <f>IF($I51="","",46)</f>
        <v/>
      </c>
      <c r="B51" s="2" t="str">
        <f>IF($I51="","",INDEX(CHOOSE($J$3,'فحص-حاسب-بكالوريوس'!$A$5:$A$208,'فحص-بيانات-بكالوريوس'!$A$5:$A$208,'فحص-بيانات-ماجستير'!$A$5:$A$230),$I51)&amp;"")</f>
        <v/>
      </c>
      <c r="C51" s="2" t="str">
        <f>IF($I51="","",INDEX(CHOOSE($J$3,'فحص-حاسب-بكالوريوس'!$F$5:$F$208,'فحص-بيانات-بكالوريوس'!$F$5:$F$208,'فحص-بيانات-ماجستير'!$F$5:$F$230),$I51)&amp;"")</f>
        <v/>
      </c>
      <c r="D51" s="2" t="str">
        <f>IF($I51="","",INDEX(CHOOSE($J$3,'فحص-حاسب-بكالوريوس'!$H$5:$H$208,'فحص-بيانات-بكالوريوس'!$H$5:$H$208,'فحص-بيانات-ماجستير'!$H$5:$H$230),$I51)&amp;"")</f>
        <v/>
      </c>
      <c r="E51" s="2" t="str">
        <f>IF($I51="","",INDEX(CHOOSE($J$3,'فحص-حاسب-بكالوريوس'!$J$5:$J$208,'فحص-بيانات-بكالوريوس'!$J$5:$J$208,'فحص-بيانات-ماجستير'!$J$5:$J$230),$I51)&amp;"")</f>
        <v/>
      </c>
      <c r="F51" s="2" t="str">
        <f>IF($I51="","",INDEX(CHOOSE($J$3,'فحص-حاسب-بكالوريوس'!$L$5:$L$208,'فحص-بيانات-بكالوريوس'!$L$5:$L$208,'فحص-بيانات-ماجستير'!$L$5:$L$230),$I51)&amp;"")</f>
        <v/>
      </c>
      <c r="G51" s="2" t="str">
        <f>IF($I51="","",INDEX(CHOOSE($J$3,'فحص-حاسب-بكالوريوس'!$M$5:$M$208,'فحص-بيانات-بكالوريوس'!$M$5:$M$208,'فحص-بيانات-ماجستير'!$M$5:$M$230),$I51)&amp;"")</f>
        <v/>
      </c>
      <c r="I51" s="2" t="str">
        <f>IFERROR(MATCH($E$3&amp;"#"&amp;46,CHOOSE($J$3,'فحص-حاسب-بكالوريوس'!$R$5:$R$208,'فحص-بيانات-بكالوريوس'!$R$5:$R$208,'فحص-بيانات-ماجستير'!$R$5:$R$230),0),"")</f>
        <v/>
      </c>
    </row>
    <row r="52" spans="1:9" x14ac:dyDescent="0.2">
      <c r="A52" s="1" t="str">
        <f>IF($I52="","",47)</f>
        <v/>
      </c>
      <c r="B52" s="2" t="str">
        <f>IF($I52="","",INDEX(CHOOSE($J$3,'فحص-حاسب-بكالوريوس'!$A$5:$A$208,'فحص-بيانات-بكالوريوس'!$A$5:$A$208,'فحص-بيانات-ماجستير'!$A$5:$A$230),$I52)&amp;"")</f>
        <v/>
      </c>
      <c r="C52" s="2" t="str">
        <f>IF($I52="","",INDEX(CHOOSE($J$3,'فحص-حاسب-بكالوريوس'!$F$5:$F$208,'فحص-بيانات-بكالوريوس'!$F$5:$F$208,'فحص-بيانات-ماجستير'!$F$5:$F$230),$I52)&amp;"")</f>
        <v/>
      </c>
      <c r="D52" s="2" t="str">
        <f>IF($I52="","",INDEX(CHOOSE($J$3,'فحص-حاسب-بكالوريوس'!$H$5:$H$208,'فحص-بيانات-بكالوريوس'!$H$5:$H$208,'فحص-بيانات-ماجستير'!$H$5:$H$230),$I52)&amp;"")</f>
        <v/>
      </c>
      <c r="E52" s="2" t="str">
        <f>IF($I52="","",INDEX(CHOOSE($J$3,'فحص-حاسب-بكالوريوس'!$J$5:$J$208,'فحص-بيانات-بكالوريوس'!$J$5:$J$208,'فحص-بيانات-ماجستير'!$J$5:$J$230),$I52)&amp;"")</f>
        <v/>
      </c>
      <c r="F52" s="2" t="str">
        <f>IF($I52="","",INDEX(CHOOSE($J$3,'فحص-حاسب-بكالوريوس'!$L$5:$L$208,'فحص-بيانات-بكالوريوس'!$L$5:$L$208,'فحص-بيانات-ماجستير'!$L$5:$L$230),$I52)&amp;"")</f>
        <v/>
      </c>
      <c r="G52" s="2" t="str">
        <f>IF($I52="","",INDEX(CHOOSE($J$3,'فحص-حاسب-بكالوريوس'!$M$5:$M$208,'فحص-بيانات-بكالوريوس'!$M$5:$M$208,'فحص-بيانات-ماجستير'!$M$5:$M$230),$I52)&amp;"")</f>
        <v/>
      </c>
      <c r="I52" s="2" t="str">
        <f>IFERROR(MATCH($E$3&amp;"#"&amp;47,CHOOSE($J$3,'فحص-حاسب-بكالوريوس'!$R$5:$R$208,'فحص-بيانات-بكالوريوس'!$R$5:$R$208,'فحص-بيانات-ماجستير'!$R$5:$R$230),0),"")</f>
        <v/>
      </c>
    </row>
    <row r="53" spans="1:9" x14ac:dyDescent="0.2">
      <c r="A53" s="1" t="str">
        <f>IF($I53="","",48)</f>
        <v/>
      </c>
      <c r="B53" s="2" t="str">
        <f>IF($I53="","",INDEX(CHOOSE($J$3,'فحص-حاسب-بكالوريوس'!$A$5:$A$208,'فحص-بيانات-بكالوريوس'!$A$5:$A$208,'فحص-بيانات-ماجستير'!$A$5:$A$230),$I53)&amp;"")</f>
        <v/>
      </c>
      <c r="C53" s="2" t="str">
        <f>IF($I53="","",INDEX(CHOOSE($J$3,'فحص-حاسب-بكالوريوس'!$F$5:$F$208,'فحص-بيانات-بكالوريوس'!$F$5:$F$208,'فحص-بيانات-ماجستير'!$F$5:$F$230),$I53)&amp;"")</f>
        <v/>
      </c>
      <c r="D53" s="2" t="str">
        <f>IF($I53="","",INDEX(CHOOSE($J$3,'فحص-حاسب-بكالوريوس'!$H$5:$H$208,'فحص-بيانات-بكالوريوس'!$H$5:$H$208,'فحص-بيانات-ماجستير'!$H$5:$H$230),$I53)&amp;"")</f>
        <v/>
      </c>
      <c r="E53" s="2" t="str">
        <f>IF($I53="","",INDEX(CHOOSE($J$3,'فحص-حاسب-بكالوريوس'!$J$5:$J$208,'فحص-بيانات-بكالوريوس'!$J$5:$J$208,'فحص-بيانات-ماجستير'!$J$5:$J$230),$I53)&amp;"")</f>
        <v/>
      </c>
      <c r="F53" s="2" t="str">
        <f>IF($I53="","",INDEX(CHOOSE($J$3,'فحص-حاسب-بكالوريوس'!$L$5:$L$208,'فحص-بيانات-بكالوريوس'!$L$5:$L$208,'فحص-بيانات-ماجستير'!$L$5:$L$230),$I53)&amp;"")</f>
        <v/>
      </c>
      <c r="G53" s="2" t="str">
        <f>IF($I53="","",INDEX(CHOOSE($J$3,'فحص-حاسب-بكالوريوس'!$M$5:$M$208,'فحص-بيانات-بكالوريوس'!$M$5:$M$208,'فحص-بيانات-ماجستير'!$M$5:$M$230),$I53)&amp;"")</f>
        <v/>
      </c>
      <c r="I53" s="2" t="str">
        <f>IFERROR(MATCH($E$3&amp;"#"&amp;48,CHOOSE($J$3,'فحص-حاسب-بكالوريوس'!$R$5:$R$208,'فحص-بيانات-بكالوريوس'!$R$5:$R$208,'فحص-بيانات-ماجستير'!$R$5:$R$230),0),"")</f>
        <v/>
      </c>
    </row>
    <row r="54" spans="1:9" x14ac:dyDescent="0.2">
      <c r="A54" s="1" t="str">
        <f>IF($I54="","",49)</f>
        <v/>
      </c>
      <c r="B54" s="2" t="str">
        <f>IF($I54="","",INDEX(CHOOSE($J$3,'فحص-حاسب-بكالوريوس'!$A$5:$A$208,'فحص-بيانات-بكالوريوس'!$A$5:$A$208,'فحص-بيانات-ماجستير'!$A$5:$A$230),$I54)&amp;"")</f>
        <v/>
      </c>
      <c r="C54" s="2" t="str">
        <f>IF($I54="","",INDEX(CHOOSE($J$3,'فحص-حاسب-بكالوريوس'!$F$5:$F$208,'فحص-بيانات-بكالوريوس'!$F$5:$F$208,'فحص-بيانات-ماجستير'!$F$5:$F$230),$I54)&amp;"")</f>
        <v/>
      </c>
      <c r="D54" s="2" t="str">
        <f>IF($I54="","",INDEX(CHOOSE($J$3,'فحص-حاسب-بكالوريوس'!$H$5:$H$208,'فحص-بيانات-بكالوريوس'!$H$5:$H$208,'فحص-بيانات-ماجستير'!$H$5:$H$230),$I54)&amp;"")</f>
        <v/>
      </c>
      <c r="E54" s="2" t="str">
        <f>IF($I54="","",INDEX(CHOOSE($J$3,'فحص-حاسب-بكالوريوس'!$J$5:$J$208,'فحص-بيانات-بكالوريوس'!$J$5:$J$208,'فحص-بيانات-ماجستير'!$J$5:$J$230),$I54)&amp;"")</f>
        <v/>
      </c>
      <c r="F54" s="2" t="str">
        <f>IF($I54="","",INDEX(CHOOSE($J$3,'فحص-حاسب-بكالوريوس'!$L$5:$L$208,'فحص-بيانات-بكالوريوس'!$L$5:$L$208,'فحص-بيانات-ماجستير'!$L$5:$L$230),$I54)&amp;"")</f>
        <v/>
      </c>
      <c r="G54" s="2" t="str">
        <f>IF($I54="","",INDEX(CHOOSE($J$3,'فحص-حاسب-بكالوريوس'!$M$5:$M$208,'فحص-بيانات-بكالوريوس'!$M$5:$M$208,'فحص-بيانات-ماجستير'!$M$5:$M$230),$I54)&amp;"")</f>
        <v/>
      </c>
      <c r="I54" s="2" t="str">
        <f>IFERROR(MATCH($E$3&amp;"#"&amp;49,CHOOSE($J$3,'فحص-حاسب-بكالوريوس'!$R$5:$R$208,'فحص-بيانات-بكالوريوس'!$R$5:$R$208,'فحص-بيانات-ماجستير'!$R$5:$R$230),0),"")</f>
        <v/>
      </c>
    </row>
    <row r="55" spans="1:9" x14ac:dyDescent="0.2">
      <c r="A55" s="1" t="str">
        <f>IF($I55="","",50)</f>
        <v/>
      </c>
      <c r="B55" s="2" t="str">
        <f>IF($I55="","",INDEX(CHOOSE($J$3,'فحص-حاسب-بكالوريوس'!$A$5:$A$208,'فحص-بيانات-بكالوريوس'!$A$5:$A$208,'فحص-بيانات-ماجستير'!$A$5:$A$230),$I55)&amp;"")</f>
        <v/>
      </c>
      <c r="C55" s="2" t="str">
        <f>IF($I55="","",INDEX(CHOOSE($J$3,'فحص-حاسب-بكالوريوس'!$F$5:$F$208,'فحص-بيانات-بكالوريوس'!$F$5:$F$208,'فحص-بيانات-ماجستير'!$F$5:$F$230),$I55)&amp;"")</f>
        <v/>
      </c>
      <c r="D55" s="2" t="str">
        <f>IF($I55="","",INDEX(CHOOSE($J$3,'فحص-حاسب-بكالوريوس'!$H$5:$H$208,'فحص-بيانات-بكالوريوس'!$H$5:$H$208,'فحص-بيانات-ماجستير'!$H$5:$H$230),$I55)&amp;"")</f>
        <v/>
      </c>
      <c r="E55" s="2" t="str">
        <f>IF($I55="","",INDEX(CHOOSE($J$3,'فحص-حاسب-بكالوريوس'!$J$5:$J$208,'فحص-بيانات-بكالوريوس'!$J$5:$J$208,'فحص-بيانات-ماجستير'!$J$5:$J$230),$I55)&amp;"")</f>
        <v/>
      </c>
      <c r="F55" s="2" t="str">
        <f>IF($I55="","",INDEX(CHOOSE($J$3,'فحص-حاسب-بكالوريوس'!$L$5:$L$208,'فحص-بيانات-بكالوريوس'!$L$5:$L$208,'فحص-بيانات-ماجستير'!$L$5:$L$230),$I55)&amp;"")</f>
        <v/>
      </c>
      <c r="G55" s="2" t="str">
        <f>IF($I55="","",INDEX(CHOOSE($J$3,'فحص-حاسب-بكالوريوس'!$M$5:$M$208,'فحص-بيانات-بكالوريوس'!$M$5:$M$208,'فحص-بيانات-ماجستير'!$M$5:$M$230),$I55)&amp;"")</f>
        <v/>
      </c>
      <c r="I55" s="2" t="str">
        <f>IFERROR(MATCH($E$3&amp;"#"&amp;50,CHOOSE($J$3,'فحص-حاسب-بكالوريوس'!$R$5:$R$208,'فحص-بيانات-بكالوريوس'!$R$5:$R$208,'فحص-بيانات-ماجستير'!$R$5:$R$230),0),"")</f>
        <v/>
      </c>
    </row>
    <row r="56" spans="1:9" x14ac:dyDescent="0.2">
      <c r="A56" s="1" t="str">
        <f>IF($I56="","",51)</f>
        <v/>
      </c>
      <c r="B56" s="2" t="str">
        <f>IF($I56="","",INDEX(CHOOSE($J$3,'فحص-حاسب-بكالوريوس'!$A$5:$A$208,'فحص-بيانات-بكالوريوس'!$A$5:$A$208,'فحص-بيانات-ماجستير'!$A$5:$A$230),$I56)&amp;"")</f>
        <v/>
      </c>
      <c r="C56" s="2" t="str">
        <f>IF($I56="","",INDEX(CHOOSE($J$3,'فحص-حاسب-بكالوريوس'!$F$5:$F$208,'فحص-بيانات-بكالوريوس'!$F$5:$F$208,'فحص-بيانات-ماجستير'!$F$5:$F$230),$I56)&amp;"")</f>
        <v/>
      </c>
      <c r="D56" s="2" t="str">
        <f>IF($I56="","",INDEX(CHOOSE($J$3,'فحص-حاسب-بكالوريوس'!$H$5:$H$208,'فحص-بيانات-بكالوريوس'!$H$5:$H$208,'فحص-بيانات-ماجستير'!$H$5:$H$230),$I56)&amp;"")</f>
        <v/>
      </c>
      <c r="E56" s="2" t="str">
        <f>IF($I56="","",INDEX(CHOOSE($J$3,'فحص-حاسب-بكالوريوس'!$J$5:$J$208,'فحص-بيانات-بكالوريوس'!$J$5:$J$208,'فحص-بيانات-ماجستير'!$J$5:$J$230),$I56)&amp;"")</f>
        <v/>
      </c>
      <c r="F56" s="2" t="str">
        <f>IF($I56="","",INDEX(CHOOSE($J$3,'فحص-حاسب-بكالوريوس'!$L$5:$L$208,'فحص-بيانات-بكالوريوس'!$L$5:$L$208,'فحص-بيانات-ماجستير'!$L$5:$L$230),$I56)&amp;"")</f>
        <v/>
      </c>
      <c r="G56" s="2" t="str">
        <f>IF($I56="","",INDEX(CHOOSE($J$3,'فحص-حاسب-بكالوريوس'!$M$5:$M$208,'فحص-بيانات-بكالوريوس'!$M$5:$M$208,'فحص-بيانات-ماجستير'!$M$5:$M$230),$I56)&amp;"")</f>
        <v/>
      </c>
      <c r="I56" s="2" t="str">
        <f>IFERROR(MATCH($E$3&amp;"#"&amp;51,CHOOSE($J$3,'فحص-حاسب-بكالوريوس'!$R$5:$R$208,'فحص-بيانات-بكالوريوس'!$R$5:$R$208,'فحص-بيانات-ماجستير'!$R$5:$R$230),0),"")</f>
        <v/>
      </c>
    </row>
    <row r="57" spans="1:9" x14ac:dyDescent="0.2">
      <c r="A57" s="1" t="str">
        <f>IF($I57="","",52)</f>
        <v/>
      </c>
      <c r="B57" s="2" t="str">
        <f>IF($I57="","",INDEX(CHOOSE($J$3,'فحص-حاسب-بكالوريوس'!$A$5:$A$208,'فحص-بيانات-بكالوريوس'!$A$5:$A$208,'فحص-بيانات-ماجستير'!$A$5:$A$230),$I57)&amp;"")</f>
        <v/>
      </c>
      <c r="C57" s="2" t="str">
        <f>IF($I57="","",INDEX(CHOOSE($J$3,'فحص-حاسب-بكالوريوس'!$F$5:$F$208,'فحص-بيانات-بكالوريوس'!$F$5:$F$208,'فحص-بيانات-ماجستير'!$F$5:$F$230),$I57)&amp;"")</f>
        <v/>
      </c>
      <c r="D57" s="2" t="str">
        <f>IF($I57="","",INDEX(CHOOSE($J$3,'فحص-حاسب-بكالوريوس'!$H$5:$H$208,'فحص-بيانات-بكالوريوس'!$H$5:$H$208,'فحص-بيانات-ماجستير'!$H$5:$H$230),$I57)&amp;"")</f>
        <v/>
      </c>
      <c r="E57" s="2" t="str">
        <f>IF($I57="","",INDEX(CHOOSE($J$3,'فحص-حاسب-بكالوريوس'!$J$5:$J$208,'فحص-بيانات-بكالوريوس'!$J$5:$J$208,'فحص-بيانات-ماجستير'!$J$5:$J$230),$I57)&amp;"")</f>
        <v/>
      </c>
      <c r="F57" s="2" t="str">
        <f>IF($I57="","",INDEX(CHOOSE($J$3,'فحص-حاسب-بكالوريوس'!$L$5:$L$208,'فحص-بيانات-بكالوريوس'!$L$5:$L$208,'فحص-بيانات-ماجستير'!$L$5:$L$230),$I57)&amp;"")</f>
        <v/>
      </c>
      <c r="G57" s="2" t="str">
        <f>IF($I57="","",INDEX(CHOOSE($J$3,'فحص-حاسب-بكالوريوس'!$M$5:$M$208,'فحص-بيانات-بكالوريوس'!$M$5:$M$208,'فحص-بيانات-ماجستير'!$M$5:$M$230),$I57)&amp;"")</f>
        <v/>
      </c>
      <c r="I57" s="2" t="str">
        <f>IFERROR(MATCH($E$3&amp;"#"&amp;52,CHOOSE($J$3,'فحص-حاسب-بكالوريوس'!$R$5:$R$208,'فحص-بيانات-بكالوريوس'!$R$5:$R$208,'فحص-بيانات-ماجستير'!$R$5:$R$230),0),"")</f>
        <v/>
      </c>
    </row>
    <row r="58" spans="1:9" x14ac:dyDescent="0.2">
      <c r="A58" s="1" t="str">
        <f>IF($I58="","",53)</f>
        <v/>
      </c>
      <c r="B58" s="2" t="str">
        <f>IF($I58="","",INDEX(CHOOSE($J$3,'فحص-حاسب-بكالوريوس'!$A$5:$A$208,'فحص-بيانات-بكالوريوس'!$A$5:$A$208,'فحص-بيانات-ماجستير'!$A$5:$A$230),$I58)&amp;"")</f>
        <v/>
      </c>
      <c r="C58" s="2" t="str">
        <f>IF($I58="","",INDEX(CHOOSE($J$3,'فحص-حاسب-بكالوريوس'!$F$5:$F$208,'فحص-بيانات-بكالوريوس'!$F$5:$F$208,'فحص-بيانات-ماجستير'!$F$5:$F$230),$I58)&amp;"")</f>
        <v/>
      </c>
      <c r="D58" s="2" t="str">
        <f>IF($I58="","",INDEX(CHOOSE($J$3,'فحص-حاسب-بكالوريوس'!$H$5:$H$208,'فحص-بيانات-بكالوريوس'!$H$5:$H$208,'فحص-بيانات-ماجستير'!$H$5:$H$230),$I58)&amp;"")</f>
        <v/>
      </c>
      <c r="E58" s="2" t="str">
        <f>IF($I58="","",INDEX(CHOOSE($J$3,'فحص-حاسب-بكالوريوس'!$J$5:$J$208,'فحص-بيانات-بكالوريوس'!$J$5:$J$208,'فحص-بيانات-ماجستير'!$J$5:$J$230),$I58)&amp;"")</f>
        <v/>
      </c>
      <c r="F58" s="2" t="str">
        <f>IF($I58="","",INDEX(CHOOSE($J$3,'فحص-حاسب-بكالوريوس'!$L$5:$L$208,'فحص-بيانات-بكالوريوس'!$L$5:$L$208,'فحص-بيانات-ماجستير'!$L$5:$L$230),$I58)&amp;"")</f>
        <v/>
      </c>
      <c r="G58" s="2" t="str">
        <f>IF($I58="","",INDEX(CHOOSE($J$3,'فحص-حاسب-بكالوريوس'!$M$5:$M$208,'فحص-بيانات-بكالوريوس'!$M$5:$M$208,'فحص-بيانات-ماجستير'!$M$5:$M$230),$I58)&amp;"")</f>
        <v/>
      </c>
      <c r="I58" s="2" t="str">
        <f>IFERROR(MATCH($E$3&amp;"#"&amp;53,CHOOSE($J$3,'فحص-حاسب-بكالوريوس'!$R$5:$R$208,'فحص-بيانات-بكالوريوس'!$R$5:$R$208,'فحص-بيانات-ماجستير'!$R$5:$R$230),0),"")</f>
        <v/>
      </c>
    </row>
    <row r="59" spans="1:9" x14ac:dyDescent="0.2">
      <c r="A59" s="1" t="str">
        <f>IF($I59="","",54)</f>
        <v/>
      </c>
      <c r="B59" s="2" t="str">
        <f>IF($I59="","",INDEX(CHOOSE($J$3,'فحص-حاسب-بكالوريوس'!$A$5:$A$208,'فحص-بيانات-بكالوريوس'!$A$5:$A$208,'فحص-بيانات-ماجستير'!$A$5:$A$230),$I59)&amp;"")</f>
        <v/>
      </c>
      <c r="C59" s="2" t="str">
        <f>IF($I59="","",INDEX(CHOOSE($J$3,'فحص-حاسب-بكالوريوس'!$F$5:$F$208,'فحص-بيانات-بكالوريوس'!$F$5:$F$208,'فحص-بيانات-ماجستير'!$F$5:$F$230),$I59)&amp;"")</f>
        <v/>
      </c>
      <c r="D59" s="2" t="str">
        <f>IF($I59="","",INDEX(CHOOSE($J$3,'فحص-حاسب-بكالوريوس'!$H$5:$H$208,'فحص-بيانات-بكالوريوس'!$H$5:$H$208,'فحص-بيانات-ماجستير'!$H$5:$H$230),$I59)&amp;"")</f>
        <v/>
      </c>
      <c r="E59" s="2" t="str">
        <f>IF($I59="","",INDEX(CHOOSE($J$3,'فحص-حاسب-بكالوريوس'!$J$5:$J$208,'فحص-بيانات-بكالوريوس'!$J$5:$J$208,'فحص-بيانات-ماجستير'!$J$5:$J$230),$I59)&amp;"")</f>
        <v/>
      </c>
      <c r="F59" s="2" t="str">
        <f>IF($I59="","",INDEX(CHOOSE($J$3,'فحص-حاسب-بكالوريوس'!$L$5:$L$208,'فحص-بيانات-بكالوريوس'!$L$5:$L$208,'فحص-بيانات-ماجستير'!$L$5:$L$230),$I59)&amp;"")</f>
        <v/>
      </c>
      <c r="G59" s="2" t="str">
        <f>IF($I59="","",INDEX(CHOOSE($J$3,'فحص-حاسب-بكالوريوس'!$M$5:$M$208,'فحص-بيانات-بكالوريوس'!$M$5:$M$208,'فحص-بيانات-ماجستير'!$M$5:$M$230),$I59)&amp;"")</f>
        <v/>
      </c>
      <c r="I59" s="2" t="str">
        <f>IFERROR(MATCH($E$3&amp;"#"&amp;54,CHOOSE($J$3,'فحص-حاسب-بكالوريوس'!$R$5:$R$208,'فحص-بيانات-بكالوريوس'!$R$5:$R$208,'فحص-بيانات-ماجستير'!$R$5:$R$230),0),"")</f>
        <v/>
      </c>
    </row>
    <row r="60" spans="1:9" x14ac:dyDescent="0.2">
      <c r="A60" s="1" t="str">
        <f>IF($I60="","",55)</f>
        <v/>
      </c>
      <c r="B60" s="2" t="str">
        <f>IF($I60="","",INDEX(CHOOSE($J$3,'فحص-حاسب-بكالوريوس'!$A$5:$A$208,'فحص-بيانات-بكالوريوس'!$A$5:$A$208,'فحص-بيانات-ماجستير'!$A$5:$A$230),$I60)&amp;"")</f>
        <v/>
      </c>
      <c r="C60" s="2" t="str">
        <f>IF($I60="","",INDEX(CHOOSE($J$3,'فحص-حاسب-بكالوريوس'!$F$5:$F$208,'فحص-بيانات-بكالوريوس'!$F$5:$F$208,'فحص-بيانات-ماجستير'!$F$5:$F$230),$I60)&amp;"")</f>
        <v/>
      </c>
      <c r="D60" s="2" t="str">
        <f>IF($I60="","",INDEX(CHOOSE($J$3,'فحص-حاسب-بكالوريوس'!$H$5:$H$208,'فحص-بيانات-بكالوريوس'!$H$5:$H$208,'فحص-بيانات-ماجستير'!$H$5:$H$230),$I60)&amp;"")</f>
        <v/>
      </c>
      <c r="E60" s="2" t="str">
        <f>IF($I60="","",INDEX(CHOOSE($J$3,'فحص-حاسب-بكالوريوس'!$J$5:$J$208,'فحص-بيانات-بكالوريوس'!$J$5:$J$208,'فحص-بيانات-ماجستير'!$J$5:$J$230),$I60)&amp;"")</f>
        <v/>
      </c>
      <c r="F60" s="2" t="str">
        <f>IF($I60="","",INDEX(CHOOSE($J$3,'فحص-حاسب-بكالوريوس'!$L$5:$L$208,'فحص-بيانات-بكالوريوس'!$L$5:$L$208,'فحص-بيانات-ماجستير'!$L$5:$L$230),$I60)&amp;"")</f>
        <v/>
      </c>
      <c r="G60" s="2" t="str">
        <f>IF($I60="","",INDEX(CHOOSE($J$3,'فحص-حاسب-بكالوريوس'!$M$5:$M$208,'فحص-بيانات-بكالوريوس'!$M$5:$M$208,'فحص-بيانات-ماجستير'!$M$5:$M$230),$I60)&amp;"")</f>
        <v/>
      </c>
      <c r="I60" s="2" t="str">
        <f>IFERROR(MATCH($E$3&amp;"#"&amp;55,CHOOSE($J$3,'فحص-حاسب-بكالوريوس'!$R$5:$R$208,'فحص-بيانات-بكالوريوس'!$R$5:$R$208,'فحص-بيانات-ماجستير'!$R$5:$R$230),0),"")</f>
        <v/>
      </c>
    </row>
    <row r="61" spans="1:9" x14ac:dyDescent="0.2">
      <c r="A61" s="1" t="str">
        <f>IF($I61="","",56)</f>
        <v/>
      </c>
      <c r="B61" s="2" t="str">
        <f>IF($I61="","",INDEX(CHOOSE($J$3,'فحص-حاسب-بكالوريوس'!$A$5:$A$208,'فحص-بيانات-بكالوريوس'!$A$5:$A$208,'فحص-بيانات-ماجستير'!$A$5:$A$230),$I61)&amp;"")</f>
        <v/>
      </c>
      <c r="C61" s="2" t="str">
        <f>IF($I61="","",INDEX(CHOOSE($J$3,'فحص-حاسب-بكالوريوس'!$F$5:$F$208,'فحص-بيانات-بكالوريوس'!$F$5:$F$208,'فحص-بيانات-ماجستير'!$F$5:$F$230),$I61)&amp;"")</f>
        <v/>
      </c>
      <c r="D61" s="2" t="str">
        <f>IF($I61="","",INDEX(CHOOSE($J$3,'فحص-حاسب-بكالوريوس'!$H$5:$H$208,'فحص-بيانات-بكالوريوس'!$H$5:$H$208,'فحص-بيانات-ماجستير'!$H$5:$H$230),$I61)&amp;"")</f>
        <v/>
      </c>
      <c r="E61" s="2" t="str">
        <f>IF($I61="","",INDEX(CHOOSE($J$3,'فحص-حاسب-بكالوريوس'!$J$5:$J$208,'فحص-بيانات-بكالوريوس'!$J$5:$J$208,'فحص-بيانات-ماجستير'!$J$5:$J$230),$I61)&amp;"")</f>
        <v/>
      </c>
      <c r="F61" s="2" t="str">
        <f>IF($I61="","",INDEX(CHOOSE($J$3,'فحص-حاسب-بكالوريوس'!$L$5:$L$208,'فحص-بيانات-بكالوريوس'!$L$5:$L$208,'فحص-بيانات-ماجستير'!$L$5:$L$230),$I61)&amp;"")</f>
        <v/>
      </c>
      <c r="G61" s="2" t="str">
        <f>IF($I61="","",INDEX(CHOOSE($J$3,'فحص-حاسب-بكالوريوس'!$M$5:$M$208,'فحص-بيانات-بكالوريوس'!$M$5:$M$208,'فحص-بيانات-ماجستير'!$M$5:$M$230),$I61)&amp;"")</f>
        <v/>
      </c>
      <c r="I61" s="2" t="str">
        <f>IFERROR(MATCH($E$3&amp;"#"&amp;56,CHOOSE($J$3,'فحص-حاسب-بكالوريوس'!$R$5:$R$208,'فحص-بيانات-بكالوريوس'!$R$5:$R$208,'فحص-بيانات-ماجستير'!$R$5:$R$230),0),"")</f>
        <v/>
      </c>
    </row>
    <row r="62" spans="1:9" x14ac:dyDescent="0.2">
      <c r="A62" s="1" t="str">
        <f>IF($I62="","",57)</f>
        <v/>
      </c>
      <c r="B62" s="2" t="str">
        <f>IF($I62="","",INDEX(CHOOSE($J$3,'فحص-حاسب-بكالوريوس'!$A$5:$A$208,'فحص-بيانات-بكالوريوس'!$A$5:$A$208,'فحص-بيانات-ماجستير'!$A$5:$A$230),$I62)&amp;"")</f>
        <v/>
      </c>
      <c r="C62" s="2" t="str">
        <f>IF($I62="","",INDEX(CHOOSE($J$3,'فحص-حاسب-بكالوريوس'!$F$5:$F$208,'فحص-بيانات-بكالوريوس'!$F$5:$F$208,'فحص-بيانات-ماجستير'!$F$5:$F$230),$I62)&amp;"")</f>
        <v/>
      </c>
      <c r="D62" s="2" t="str">
        <f>IF($I62="","",INDEX(CHOOSE($J$3,'فحص-حاسب-بكالوريوس'!$H$5:$H$208,'فحص-بيانات-بكالوريوس'!$H$5:$H$208,'فحص-بيانات-ماجستير'!$H$5:$H$230),$I62)&amp;"")</f>
        <v/>
      </c>
      <c r="E62" s="2" t="str">
        <f>IF($I62="","",INDEX(CHOOSE($J$3,'فحص-حاسب-بكالوريوس'!$J$5:$J$208,'فحص-بيانات-بكالوريوس'!$J$5:$J$208,'فحص-بيانات-ماجستير'!$J$5:$J$230),$I62)&amp;"")</f>
        <v/>
      </c>
      <c r="F62" s="2" t="str">
        <f>IF($I62="","",INDEX(CHOOSE($J$3,'فحص-حاسب-بكالوريوس'!$L$5:$L$208,'فحص-بيانات-بكالوريوس'!$L$5:$L$208,'فحص-بيانات-ماجستير'!$L$5:$L$230),$I62)&amp;"")</f>
        <v/>
      </c>
      <c r="G62" s="2" t="str">
        <f>IF($I62="","",INDEX(CHOOSE($J$3,'فحص-حاسب-بكالوريوس'!$M$5:$M$208,'فحص-بيانات-بكالوريوس'!$M$5:$M$208,'فحص-بيانات-ماجستير'!$M$5:$M$230),$I62)&amp;"")</f>
        <v/>
      </c>
      <c r="I62" s="2" t="str">
        <f>IFERROR(MATCH($E$3&amp;"#"&amp;57,CHOOSE($J$3,'فحص-حاسب-بكالوريوس'!$R$5:$R$208,'فحص-بيانات-بكالوريوس'!$R$5:$R$208,'فحص-بيانات-ماجستير'!$R$5:$R$230),0),"")</f>
        <v/>
      </c>
    </row>
    <row r="63" spans="1:9" x14ac:dyDescent="0.2">
      <c r="A63" s="1" t="str">
        <f>IF($I63="","",58)</f>
        <v/>
      </c>
      <c r="B63" s="2" t="str">
        <f>IF($I63="","",INDEX(CHOOSE($J$3,'فحص-حاسب-بكالوريوس'!$A$5:$A$208,'فحص-بيانات-بكالوريوس'!$A$5:$A$208,'فحص-بيانات-ماجستير'!$A$5:$A$230),$I63)&amp;"")</f>
        <v/>
      </c>
      <c r="C63" s="2" t="str">
        <f>IF($I63="","",INDEX(CHOOSE($J$3,'فحص-حاسب-بكالوريوس'!$F$5:$F$208,'فحص-بيانات-بكالوريوس'!$F$5:$F$208,'فحص-بيانات-ماجستير'!$F$5:$F$230),$I63)&amp;"")</f>
        <v/>
      </c>
      <c r="D63" s="2" t="str">
        <f>IF($I63="","",INDEX(CHOOSE($J$3,'فحص-حاسب-بكالوريوس'!$H$5:$H$208,'فحص-بيانات-بكالوريوس'!$H$5:$H$208,'فحص-بيانات-ماجستير'!$H$5:$H$230),$I63)&amp;"")</f>
        <v/>
      </c>
      <c r="E63" s="2" t="str">
        <f>IF($I63="","",INDEX(CHOOSE($J$3,'فحص-حاسب-بكالوريوس'!$J$5:$J$208,'فحص-بيانات-بكالوريوس'!$J$5:$J$208,'فحص-بيانات-ماجستير'!$J$5:$J$230),$I63)&amp;"")</f>
        <v/>
      </c>
      <c r="F63" s="2" t="str">
        <f>IF($I63="","",INDEX(CHOOSE($J$3,'فحص-حاسب-بكالوريوس'!$L$5:$L$208,'فحص-بيانات-بكالوريوس'!$L$5:$L$208,'فحص-بيانات-ماجستير'!$L$5:$L$230),$I63)&amp;"")</f>
        <v/>
      </c>
      <c r="G63" s="2" t="str">
        <f>IF($I63="","",INDEX(CHOOSE($J$3,'فحص-حاسب-بكالوريوس'!$M$5:$M$208,'فحص-بيانات-بكالوريوس'!$M$5:$M$208,'فحص-بيانات-ماجستير'!$M$5:$M$230),$I63)&amp;"")</f>
        <v/>
      </c>
      <c r="I63" s="2" t="str">
        <f>IFERROR(MATCH($E$3&amp;"#"&amp;58,CHOOSE($J$3,'فحص-حاسب-بكالوريوس'!$R$5:$R$208,'فحص-بيانات-بكالوريوس'!$R$5:$R$208,'فحص-بيانات-ماجستير'!$R$5:$R$230),0),"")</f>
        <v/>
      </c>
    </row>
    <row r="64" spans="1:9" x14ac:dyDescent="0.2">
      <c r="A64" s="1" t="str">
        <f>IF($I64="","",59)</f>
        <v/>
      </c>
      <c r="B64" s="2" t="str">
        <f>IF($I64="","",INDEX(CHOOSE($J$3,'فحص-حاسب-بكالوريوس'!$A$5:$A$208,'فحص-بيانات-بكالوريوس'!$A$5:$A$208,'فحص-بيانات-ماجستير'!$A$5:$A$230),$I64)&amp;"")</f>
        <v/>
      </c>
      <c r="C64" s="2" t="str">
        <f>IF($I64="","",INDEX(CHOOSE($J$3,'فحص-حاسب-بكالوريوس'!$F$5:$F$208,'فحص-بيانات-بكالوريوس'!$F$5:$F$208,'فحص-بيانات-ماجستير'!$F$5:$F$230),$I64)&amp;"")</f>
        <v/>
      </c>
      <c r="D64" s="2" t="str">
        <f>IF($I64="","",INDEX(CHOOSE($J$3,'فحص-حاسب-بكالوريوس'!$H$5:$H$208,'فحص-بيانات-بكالوريوس'!$H$5:$H$208,'فحص-بيانات-ماجستير'!$H$5:$H$230),$I64)&amp;"")</f>
        <v/>
      </c>
      <c r="E64" s="2" t="str">
        <f>IF($I64="","",INDEX(CHOOSE($J$3,'فحص-حاسب-بكالوريوس'!$J$5:$J$208,'فحص-بيانات-بكالوريوس'!$J$5:$J$208,'فحص-بيانات-ماجستير'!$J$5:$J$230),$I64)&amp;"")</f>
        <v/>
      </c>
      <c r="F64" s="2" t="str">
        <f>IF($I64="","",INDEX(CHOOSE($J$3,'فحص-حاسب-بكالوريوس'!$L$5:$L$208,'فحص-بيانات-بكالوريوس'!$L$5:$L$208,'فحص-بيانات-ماجستير'!$L$5:$L$230),$I64)&amp;"")</f>
        <v/>
      </c>
      <c r="G64" s="2" t="str">
        <f>IF($I64="","",INDEX(CHOOSE($J$3,'فحص-حاسب-بكالوريوس'!$M$5:$M$208,'فحص-بيانات-بكالوريوس'!$M$5:$M$208,'فحص-بيانات-ماجستير'!$M$5:$M$230),$I64)&amp;"")</f>
        <v/>
      </c>
      <c r="I64" s="2" t="str">
        <f>IFERROR(MATCH($E$3&amp;"#"&amp;59,CHOOSE($J$3,'فحص-حاسب-بكالوريوس'!$R$5:$R$208,'فحص-بيانات-بكالوريوس'!$R$5:$R$208,'فحص-بيانات-ماجستير'!$R$5:$R$230),0),"")</f>
        <v/>
      </c>
    </row>
    <row r="65" spans="1:9" x14ac:dyDescent="0.2">
      <c r="A65" s="1" t="str">
        <f>IF($I65="","",60)</f>
        <v/>
      </c>
      <c r="B65" s="2" t="str">
        <f>IF($I65="","",INDEX(CHOOSE($J$3,'فحص-حاسب-بكالوريوس'!$A$5:$A$208,'فحص-بيانات-بكالوريوس'!$A$5:$A$208,'فحص-بيانات-ماجستير'!$A$5:$A$230),$I65)&amp;"")</f>
        <v/>
      </c>
      <c r="C65" s="2" t="str">
        <f>IF($I65="","",INDEX(CHOOSE($J$3,'فحص-حاسب-بكالوريوس'!$F$5:$F$208,'فحص-بيانات-بكالوريوس'!$F$5:$F$208,'فحص-بيانات-ماجستير'!$F$5:$F$230),$I65)&amp;"")</f>
        <v/>
      </c>
      <c r="D65" s="2" t="str">
        <f>IF($I65="","",INDEX(CHOOSE($J$3,'فحص-حاسب-بكالوريوس'!$H$5:$H$208,'فحص-بيانات-بكالوريوس'!$H$5:$H$208,'فحص-بيانات-ماجستير'!$H$5:$H$230),$I65)&amp;"")</f>
        <v/>
      </c>
      <c r="E65" s="2" t="str">
        <f>IF($I65="","",INDEX(CHOOSE($J$3,'فحص-حاسب-بكالوريوس'!$J$5:$J$208,'فحص-بيانات-بكالوريوس'!$J$5:$J$208,'فحص-بيانات-ماجستير'!$J$5:$J$230),$I65)&amp;"")</f>
        <v/>
      </c>
      <c r="F65" s="2" t="str">
        <f>IF($I65="","",INDEX(CHOOSE($J$3,'فحص-حاسب-بكالوريوس'!$L$5:$L$208,'فحص-بيانات-بكالوريوس'!$L$5:$L$208,'فحص-بيانات-ماجستير'!$L$5:$L$230),$I65)&amp;"")</f>
        <v/>
      </c>
      <c r="G65" s="2" t="str">
        <f>IF($I65="","",INDEX(CHOOSE($J$3,'فحص-حاسب-بكالوريوس'!$M$5:$M$208,'فحص-بيانات-بكالوريوس'!$M$5:$M$208,'فحص-بيانات-ماجستير'!$M$5:$M$230),$I65)&amp;"")</f>
        <v/>
      </c>
      <c r="I65" s="2" t="str">
        <f>IFERROR(MATCH($E$3&amp;"#"&amp;60,CHOOSE($J$3,'فحص-حاسب-بكالوريوس'!$R$5:$R$208,'فحص-بيانات-بكالوريوس'!$R$5:$R$208,'فحص-بيانات-ماجستير'!$R$5:$R$230),0),"")</f>
        <v/>
      </c>
    </row>
    <row r="66" spans="1:9" x14ac:dyDescent="0.2">
      <c r="A66" s="1" t="str">
        <f>IF($I66="","",61)</f>
        <v/>
      </c>
      <c r="B66" s="2" t="str">
        <f>IF($I66="","",INDEX(CHOOSE($J$3,'فحص-حاسب-بكالوريوس'!$A$5:$A$208,'فحص-بيانات-بكالوريوس'!$A$5:$A$208,'فحص-بيانات-ماجستير'!$A$5:$A$230),$I66)&amp;"")</f>
        <v/>
      </c>
      <c r="C66" s="2" t="str">
        <f>IF($I66="","",INDEX(CHOOSE($J$3,'فحص-حاسب-بكالوريوس'!$F$5:$F$208,'فحص-بيانات-بكالوريوس'!$F$5:$F$208,'فحص-بيانات-ماجستير'!$F$5:$F$230),$I66)&amp;"")</f>
        <v/>
      </c>
      <c r="D66" s="2" t="str">
        <f>IF($I66="","",INDEX(CHOOSE($J$3,'فحص-حاسب-بكالوريوس'!$H$5:$H$208,'فحص-بيانات-بكالوريوس'!$H$5:$H$208,'فحص-بيانات-ماجستير'!$H$5:$H$230),$I66)&amp;"")</f>
        <v/>
      </c>
      <c r="E66" s="2" t="str">
        <f>IF($I66="","",INDEX(CHOOSE($J$3,'فحص-حاسب-بكالوريوس'!$J$5:$J$208,'فحص-بيانات-بكالوريوس'!$J$5:$J$208,'فحص-بيانات-ماجستير'!$J$5:$J$230),$I66)&amp;"")</f>
        <v/>
      </c>
      <c r="F66" s="2" t="str">
        <f>IF($I66="","",INDEX(CHOOSE($J$3,'فحص-حاسب-بكالوريوس'!$L$5:$L$208,'فحص-بيانات-بكالوريوس'!$L$5:$L$208,'فحص-بيانات-ماجستير'!$L$5:$L$230),$I66)&amp;"")</f>
        <v/>
      </c>
      <c r="G66" s="2" t="str">
        <f>IF($I66="","",INDEX(CHOOSE($J$3,'فحص-حاسب-بكالوريوس'!$M$5:$M$208,'فحص-بيانات-بكالوريوس'!$M$5:$M$208,'فحص-بيانات-ماجستير'!$M$5:$M$230),$I66)&amp;"")</f>
        <v/>
      </c>
      <c r="I66" s="2" t="str">
        <f>IFERROR(MATCH($E$3&amp;"#"&amp;61,CHOOSE($J$3,'فحص-حاسب-بكالوريوس'!$R$5:$R$208,'فحص-بيانات-بكالوريوس'!$R$5:$R$208,'فحص-بيانات-ماجستير'!$R$5:$R$230),0),"")</f>
        <v/>
      </c>
    </row>
    <row r="67" spans="1:9" x14ac:dyDescent="0.2">
      <c r="A67" s="1" t="str">
        <f>IF($I67="","",62)</f>
        <v/>
      </c>
      <c r="B67" s="2" t="str">
        <f>IF($I67="","",INDEX(CHOOSE($J$3,'فحص-حاسب-بكالوريوس'!$A$5:$A$208,'فحص-بيانات-بكالوريوس'!$A$5:$A$208,'فحص-بيانات-ماجستير'!$A$5:$A$230),$I67)&amp;"")</f>
        <v/>
      </c>
      <c r="C67" s="2" t="str">
        <f>IF($I67="","",INDEX(CHOOSE($J$3,'فحص-حاسب-بكالوريوس'!$F$5:$F$208,'فحص-بيانات-بكالوريوس'!$F$5:$F$208,'فحص-بيانات-ماجستير'!$F$5:$F$230),$I67)&amp;"")</f>
        <v/>
      </c>
      <c r="D67" s="2" t="str">
        <f>IF($I67="","",INDEX(CHOOSE($J$3,'فحص-حاسب-بكالوريوس'!$H$5:$H$208,'فحص-بيانات-بكالوريوس'!$H$5:$H$208,'فحص-بيانات-ماجستير'!$H$5:$H$230),$I67)&amp;"")</f>
        <v/>
      </c>
      <c r="E67" s="2" t="str">
        <f>IF($I67="","",INDEX(CHOOSE($J$3,'فحص-حاسب-بكالوريوس'!$J$5:$J$208,'فحص-بيانات-بكالوريوس'!$J$5:$J$208,'فحص-بيانات-ماجستير'!$J$5:$J$230),$I67)&amp;"")</f>
        <v/>
      </c>
      <c r="F67" s="2" t="str">
        <f>IF($I67="","",INDEX(CHOOSE($J$3,'فحص-حاسب-بكالوريوس'!$L$5:$L$208,'فحص-بيانات-بكالوريوس'!$L$5:$L$208,'فحص-بيانات-ماجستير'!$L$5:$L$230),$I67)&amp;"")</f>
        <v/>
      </c>
      <c r="G67" s="2" t="str">
        <f>IF($I67="","",INDEX(CHOOSE($J$3,'فحص-حاسب-بكالوريوس'!$M$5:$M$208,'فحص-بيانات-بكالوريوس'!$M$5:$M$208,'فحص-بيانات-ماجستير'!$M$5:$M$230),$I67)&amp;"")</f>
        <v/>
      </c>
      <c r="I67" s="2" t="str">
        <f>IFERROR(MATCH($E$3&amp;"#"&amp;62,CHOOSE($J$3,'فحص-حاسب-بكالوريوس'!$R$5:$R$208,'فحص-بيانات-بكالوريوس'!$R$5:$R$208,'فحص-بيانات-ماجستير'!$R$5:$R$230),0),"")</f>
        <v/>
      </c>
    </row>
    <row r="68" spans="1:9" x14ac:dyDescent="0.2">
      <c r="A68" s="1" t="str">
        <f>IF($I68="","",63)</f>
        <v/>
      </c>
      <c r="B68" s="2" t="str">
        <f>IF($I68="","",INDEX(CHOOSE($J$3,'فحص-حاسب-بكالوريوس'!$A$5:$A$208,'فحص-بيانات-بكالوريوس'!$A$5:$A$208,'فحص-بيانات-ماجستير'!$A$5:$A$230),$I68)&amp;"")</f>
        <v/>
      </c>
      <c r="C68" s="2" t="str">
        <f>IF($I68="","",INDEX(CHOOSE($J$3,'فحص-حاسب-بكالوريوس'!$F$5:$F$208,'فحص-بيانات-بكالوريوس'!$F$5:$F$208,'فحص-بيانات-ماجستير'!$F$5:$F$230),$I68)&amp;"")</f>
        <v/>
      </c>
      <c r="D68" s="2" t="str">
        <f>IF($I68="","",INDEX(CHOOSE($J$3,'فحص-حاسب-بكالوريوس'!$H$5:$H$208,'فحص-بيانات-بكالوريوس'!$H$5:$H$208,'فحص-بيانات-ماجستير'!$H$5:$H$230),$I68)&amp;"")</f>
        <v/>
      </c>
      <c r="E68" s="2" t="str">
        <f>IF($I68="","",INDEX(CHOOSE($J$3,'فحص-حاسب-بكالوريوس'!$J$5:$J$208,'فحص-بيانات-بكالوريوس'!$J$5:$J$208,'فحص-بيانات-ماجستير'!$J$5:$J$230),$I68)&amp;"")</f>
        <v/>
      </c>
      <c r="F68" s="2" t="str">
        <f>IF($I68="","",INDEX(CHOOSE($J$3,'فحص-حاسب-بكالوريوس'!$L$5:$L$208,'فحص-بيانات-بكالوريوس'!$L$5:$L$208,'فحص-بيانات-ماجستير'!$L$5:$L$230),$I68)&amp;"")</f>
        <v/>
      </c>
      <c r="G68" s="2" t="str">
        <f>IF($I68="","",INDEX(CHOOSE($J$3,'فحص-حاسب-بكالوريوس'!$M$5:$M$208,'فحص-بيانات-بكالوريوس'!$M$5:$M$208,'فحص-بيانات-ماجستير'!$M$5:$M$230),$I68)&amp;"")</f>
        <v/>
      </c>
      <c r="I68" s="2" t="str">
        <f>IFERROR(MATCH($E$3&amp;"#"&amp;63,CHOOSE($J$3,'فحص-حاسب-بكالوريوس'!$R$5:$R$208,'فحص-بيانات-بكالوريوس'!$R$5:$R$208,'فحص-بيانات-ماجستير'!$R$5:$R$230),0),"")</f>
        <v/>
      </c>
    </row>
    <row r="69" spans="1:9" x14ac:dyDescent="0.2">
      <c r="A69" s="1" t="str">
        <f>IF($I69="","",64)</f>
        <v/>
      </c>
      <c r="B69" s="2" t="str">
        <f>IF($I69="","",INDEX(CHOOSE($J$3,'فحص-حاسب-بكالوريوس'!$A$5:$A$208,'فحص-بيانات-بكالوريوس'!$A$5:$A$208,'فحص-بيانات-ماجستير'!$A$5:$A$230),$I69)&amp;"")</f>
        <v/>
      </c>
      <c r="C69" s="2" t="str">
        <f>IF($I69="","",INDEX(CHOOSE($J$3,'فحص-حاسب-بكالوريوس'!$F$5:$F$208,'فحص-بيانات-بكالوريوس'!$F$5:$F$208,'فحص-بيانات-ماجستير'!$F$5:$F$230),$I69)&amp;"")</f>
        <v/>
      </c>
      <c r="D69" s="2" t="str">
        <f>IF($I69="","",INDEX(CHOOSE($J$3,'فحص-حاسب-بكالوريوس'!$H$5:$H$208,'فحص-بيانات-بكالوريوس'!$H$5:$H$208,'فحص-بيانات-ماجستير'!$H$5:$H$230),$I69)&amp;"")</f>
        <v/>
      </c>
      <c r="E69" s="2" t="str">
        <f>IF($I69="","",INDEX(CHOOSE($J$3,'فحص-حاسب-بكالوريوس'!$J$5:$J$208,'فحص-بيانات-بكالوريوس'!$J$5:$J$208,'فحص-بيانات-ماجستير'!$J$5:$J$230),$I69)&amp;"")</f>
        <v/>
      </c>
      <c r="F69" s="2" t="str">
        <f>IF($I69="","",INDEX(CHOOSE($J$3,'فحص-حاسب-بكالوريوس'!$L$5:$L$208,'فحص-بيانات-بكالوريوس'!$L$5:$L$208,'فحص-بيانات-ماجستير'!$L$5:$L$230),$I69)&amp;"")</f>
        <v/>
      </c>
      <c r="G69" s="2" t="str">
        <f>IF($I69="","",INDEX(CHOOSE($J$3,'فحص-حاسب-بكالوريوس'!$M$5:$M$208,'فحص-بيانات-بكالوريوس'!$M$5:$M$208,'فحص-بيانات-ماجستير'!$M$5:$M$230),$I69)&amp;"")</f>
        <v/>
      </c>
      <c r="I69" s="2" t="str">
        <f>IFERROR(MATCH($E$3&amp;"#"&amp;64,CHOOSE($J$3,'فحص-حاسب-بكالوريوس'!$R$5:$R$208,'فحص-بيانات-بكالوريوس'!$R$5:$R$208,'فحص-بيانات-ماجستير'!$R$5:$R$230),0),"")</f>
        <v/>
      </c>
    </row>
    <row r="70" spans="1:9" x14ac:dyDescent="0.2">
      <c r="A70" s="1" t="str">
        <f>IF($I70="","",65)</f>
        <v/>
      </c>
      <c r="B70" s="2" t="str">
        <f>IF($I70="","",INDEX(CHOOSE($J$3,'فحص-حاسب-بكالوريوس'!$A$5:$A$208,'فحص-بيانات-بكالوريوس'!$A$5:$A$208,'فحص-بيانات-ماجستير'!$A$5:$A$230),$I70)&amp;"")</f>
        <v/>
      </c>
      <c r="C70" s="2" t="str">
        <f>IF($I70="","",INDEX(CHOOSE($J$3,'فحص-حاسب-بكالوريوس'!$F$5:$F$208,'فحص-بيانات-بكالوريوس'!$F$5:$F$208,'فحص-بيانات-ماجستير'!$F$5:$F$230),$I70)&amp;"")</f>
        <v/>
      </c>
      <c r="D70" s="2" t="str">
        <f>IF($I70="","",INDEX(CHOOSE($J$3,'فحص-حاسب-بكالوريوس'!$H$5:$H$208,'فحص-بيانات-بكالوريوس'!$H$5:$H$208,'فحص-بيانات-ماجستير'!$H$5:$H$230),$I70)&amp;"")</f>
        <v/>
      </c>
      <c r="E70" s="2" t="str">
        <f>IF($I70="","",INDEX(CHOOSE($J$3,'فحص-حاسب-بكالوريوس'!$J$5:$J$208,'فحص-بيانات-بكالوريوس'!$J$5:$J$208,'فحص-بيانات-ماجستير'!$J$5:$J$230),$I70)&amp;"")</f>
        <v/>
      </c>
      <c r="F70" s="2" t="str">
        <f>IF($I70="","",INDEX(CHOOSE($J$3,'فحص-حاسب-بكالوريوس'!$L$5:$L$208,'فحص-بيانات-بكالوريوس'!$L$5:$L$208,'فحص-بيانات-ماجستير'!$L$5:$L$230),$I70)&amp;"")</f>
        <v/>
      </c>
      <c r="G70" s="2" t="str">
        <f>IF($I70="","",INDEX(CHOOSE($J$3,'فحص-حاسب-بكالوريوس'!$M$5:$M$208,'فحص-بيانات-بكالوريوس'!$M$5:$M$208,'فحص-بيانات-ماجستير'!$M$5:$M$230),$I70)&amp;"")</f>
        <v/>
      </c>
      <c r="I70" s="2" t="str">
        <f>IFERROR(MATCH($E$3&amp;"#"&amp;65,CHOOSE($J$3,'فحص-حاسب-بكالوريوس'!$R$5:$R$208,'فحص-بيانات-بكالوريوس'!$R$5:$R$208,'فحص-بيانات-ماجستير'!$R$5:$R$230),0),"")</f>
        <v/>
      </c>
    </row>
    <row r="71" spans="1:9" x14ac:dyDescent="0.2">
      <c r="A71" s="1" t="str">
        <f>IF($I71="","",66)</f>
        <v/>
      </c>
      <c r="B71" s="2" t="str">
        <f>IF($I71="","",INDEX(CHOOSE($J$3,'فحص-حاسب-بكالوريوس'!$A$5:$A$208,'فحص-بيانات-بكالوريوس'!$A$5:$A$208,'فحص-بيانات-ماجستير'!$A$5:$A$230),$I71)&amp;"")</f>
        <v/>
      </c>
      <c r="C71" s="2" t="str">
        <f>IF($I71="","",INDEX(CHOOSE($J$3,'فحص-حاسب-بكالوريوس'!$F$5:$F$208,'فحص-بيانات-بكالوريوس'!$F$5:$F$208,'فحص-بيانات-ماجستير'!$F$5:$F$230),$I71)&amp;"")</f>
        <v/>
      </c>
      <c r="D71" s="2" t="str">
        <f>IF($I71="","",INDEX(CHOOSE($J$3,'فحص-حاسب-بكالوريوس'!$H$5:$H$208,'فحص-بيانات-بكالوريوس'!$H$5:$H$208,'فحص-بيانات-ماجستير'!$H$5:$H$230),$I71)&amp;"")</f>
        <v/>
      </c>
      <c r="E71" s="2" t="str">
        <f>IF($I71="","",INDEX(CHOOSE($J$3,'فحص-حاسب-بكالوريوس'!$J$5:$J$208,'فحص-بيانات-بكالوريوس'!$J$5:$J$208,'فحص-بيانات-ماجستير'!$J$5:$J$230),$I71)&amp;"")</f>
        <v/>
      </c>
      <c r="F71" s="2" t="str">
        <f>IF($I71="","",INDEX(CHOOSE($J$3,'فحص-حاسب-بكالوريوس'!$L$5:$L$208,'فحص-بيانات-بكالوريوس'!$L$5:$L$208,'فحص-بيانات-ماجستير'!$L$5:$L$230),$I71)&amp;"")</f>
        <v/>
      </c>
      <c r="G71" s="2" t="str">
        <f>IF($I71="","",INDEX(CHOOSE($J$3,'فحص-حاسب-بكالوريوس'!$M$5:$M$208,'فحص-بيانات-بكالوريوس'!$M$5:$M$208,'فحص-بيانات-ماجستير'!$M$5:$M$230),$I71)&amp;"")</f>
        <v/>
      </c>
      <c r="I71" s="2" t="str">
        <f>IFERROR(MATCH($E$3&amp;"#"&amp;66,CHOOSE($J$3,'فحص-حاسب-بكالوريوس'!$R$5:$R$208,'فحص-بيانات-بكالوريوس'!$R$5:$R$208,'فحص-بيانات-ماجستير'!$R$5:$R$230),0),"")</f>
        <v/>
      </c>
    </row>
    <row r="72" spans="1:9" x14ac:dyDescent="0.2">
      <c r="A72" s="1" t="str">
        <f>IF($I72="","",67)</f>
        <v/>
      </c>
      <c r="B72" s="2" t="str">
        <f>IF($I72="","",INDEX(CHOOSE($J$3,'فحص-حاسب-بكالوريوس'!$A$5:$A$208,'فحص-بيانات-بكالوريوس'!$A$5:$A$208,'فحص-بيانات-ماجستير'!$A$5:$A$230),$I72)&amp;"")</f>
        <v/>
      </c>
      <c r="C72" s="2" t="str">
        <f>IF($I72="","",INDEX(CHOOSE($J$3,'فحص-حاسب-بكالوريوس'!$F$5:$F$208,'فحص-بيانات-بكالوريوس'!$F$5:$F$208,'فحص-بيانات-ماجستير'!$F$5:$F$230),$I72)&amp;"")</f>
        <v/>
      </c>
      <c r="D72" s="2" t="str">
        <f>IF($I72="","",INDEX(CHOOSE($J$3,'فحص-حاسب-بكالوريوس'!$H$5:$H$208,'فحص-بيانات-بكالوريوس'!$H$5:$H$208,'فحص-بيانات-ماجستير'!$H$5:$H$230),$I72)&amp;"")</f>
        <v/>
      </c>
      <c r="E72" s="2" t="str">
        <f>IF($I72="","",INDEX(CHOOSE($J$3,'فحص-حاسب-بكالوريوس'!$J$5:$J$208,'فحص-بيانات-بكالوريوس'!$J$5:$J$208,'فحص-بيانات-ماجستير'!$J$5:$J$230),$I72)&amp;"")</f>
        <v/>
      </c>
      <c r="F72" s="2" t="str">
        <f>IF($I72="","",INDEX(CHOOSE($J$3,'فحص-حاسب-بكالوريوس'!$L$5:$L$208,'فحص-بيانات-بكالوريوس'!$L$5:$L$208,'فحص-بيانات-ماجستير'!$L$5:$L$230),$I72)&amp;"")</f>
        <v/>
      </c>
      <c r="G72" s="2" t="str">
        <f>IF($I72="","",INDEX(CHOOSE($J$3,'فحص-حاسب-بكالوريوس'!$M$5:$M$208,'فحص-بيانات-بكالوريوس'!$M$5:$M$208,'فحص-بيانات-ماجستير'!$M$5:$M$230),$I72)&amp;"")</f>
        <v/>
      </c>
      <c r="I72" s="2" t="str">
        <f>IFERROR(MATCH($E$3&amp;"#"&amp;67,CHOOSE($J$3,'فحص-حاسب-بكالوريوس'!$R$5:$R$208,'فحص-بيانات-بكالوريوس'!$R$5:$R$208,'فحص-بيانات-ماجستير'!$R$5:$R$230),0),"")</f>
        <v/>
      </c>
    </row>
    <row r="73" spans="1:9" x14ac:dyDescent="0.2">
      <c r="A73" s="1" t="str">
        <f>IF($I73="","",68)</f>
        <v/>
      </c>
      <c r="B73" s="2" t="str">
        <f>IF($I73="","",INDEX(CHOOSE($J$3,'فحص-حاسب-بكالوريوس'!$A$5:$A$208,'فحص-بيانات-بكالوريوس'!$A$5:$A$208,'فحص-بيانات-ماجستير'!$A$5:$A$230),$I73)&amp;"")</f>
        <v/>
      </c>
      <c r="C73" s="2" t="str">
        <f>IF($I73="","",INDEX(CHOOSE($J$3,'فحص-حاسب-بكالوريوس'!$F$5:$F$208,'فحص-بيانات-بكالوريوس'!$F$5:$F$208,'فحص-بيانات-ماجستير'!$F$5:$F$230),$I73)&amp;"")</f>
        <v/>
      </c>
      <c r="D73" s="2" t="str">
        <f>IF($I73="","",INDEX(CHOOSE($J$3,'فحص-حاسب-بكالوريوس'!$H$5:$H$208,'فحص-بيانات-بكالوريوس'!$H$5:$H$208,'فحص-بيانات-ماجستير'!$H$5:$H$230),$I73)&amp;"")</f>
        <v/>
      </c>
      <c r="E73" s="2" t="str">
        <f>IF($I73="","",INDEX(CHOOSE($J$3,'فحص-حاسب-بكالوريوس'!$J$5:$J$208,'فحص-بيانات-بكالوريوس'!$J$5:$J$208,'فحص-بيانات-ماجستير'!$J$5:$J$230),$I73)&amp;"")</f>
        <v/>
      </c>
      <c r="F73" s="2" t="str">
        <f>IF($I73="","",INDEX(CHOOSE($J$3,'فحص-حاسب-بكالوريوس'!$L$5:$L$208,'فحص-بيانات-بكالوريوس'!$L$5:$L$208,'فحص-بيانات-ماجستير'!$L$5:$L$230),$I73)&amp;"")</f>
        <v/>
      </c>
      <c r="G73" s="2" t="str">
        <f>IF($I73="","",INDEX(CHOOSE($J$3,'فحص-حاسب-بكالوريوس'!$M$5:$M$208,'فحص-بيانات-بكالوريوس'!$M$5:$M$208,'فحص-بيانات-ماجستير'!$M$5:$M$230),$I73)&amp;"")</f>
        <v/>
      </c>
      <c r="I73" s="2" t="str">
        <f>IFERROR(MATCH($E$3&amp;"#"&amp;68,CHOOSE($J$3,'فحص-حاسب-بكالوريوس'!$R$5:$R$208,'فحص-بيانات-بكالوريوس'!$R$5:$R$208,'فحص-بيانات-ماجستير'!$R$5:$R$230),0),"")</f>
        <v/>
      </c>
    </row>
    <row r="74" spans="1:9" x14ac:dyDescent="0.2">
      <c r="A74" s="1" t="str">
        <f>IF($I74="","",69)</f>
        <v/>
      </c>
      <c r="B74" s="2" t="str">
        <f>IF($I74="","",INDEX(CHOOSE($J$3,'فحص-حاسب-بكالوريوس'!$A$5:$A$208,'فحص-بيانات-بكالوريوس'!$A$5:$A$208,'فحص-بيانات-ماجستير'!$A$5:$A$230),$I74)&amp;"")</f>
        <v/>
      </c>
      <c r="C74" s="2" t="str">
        <f>IF($I74="","",INDEX(CHOOSE($J$3,'فحص-حاسب-بكالوريوس'!$F$5:$F$208,'فحص-بيانات-بكالوريوس'!$F$5:$F$208,'فحص-بيانات-ماجستير'!$F$5:$F$230),$I74)&amp;"")</f>
        <v/>
      </c>
      <c r="D74" s="2" t="str">
        <f>IF($I74="","",INDEX(CHOOSE($J$3,'فحص-حاسب-بكالوريوس'!$H$5:$H$208,'فحص-بيانات-بكالوريوس'!$H$5:$H$208,'فحص-بيانات-ماجستير'!$H$5:$H$230),$I74)&amp;"")</f>
        <v/>
      </c>
      <c r="E74" s="2" t="str">
        <f>IF($I74="","",INDEX(CHOOSE($J$3,'فحص-حاسب-بكالوريوس'!$J$5:$J$208,'فحص-بيانات-بكالوريوس'!$J$5:$J$208,'فحص-بيانات-ماجستير'!$J$5:$J$230),$I74)&amp;"")</f>
        <v/>
      </c>
      <c r="F74" s="2" t="str">
        <f>IF($I74="","",INDEX(CHOOSE($J$3,'فحص-حاسب-بكالوريوس'!$L$5:$L$208,'فحص-بيانات-بكالوريوس'!$L$5:$L$208,'فحص-بيانات-ماجستير'!$L$5:$L$230),$I74)&amp;"")</f>
        <v/>
      </c>
      <c r="G74" s="2" t="str">
        <f>IF($I74="","",INDEX(CHOOSE($J$3,'فحص-حاسب-بكالوريوس'!$M$5:$M$208,'فحص-بيانات-بكالوريوس'!$M$5:$M$208,'فحص-بيانات-ماجستير'!$M$5:$M$230),$I74)&amp;"")</f>
        <v/>
      </c>
      <c r="I74" s="2" t="str">
        <f>IFERROR(MATCH($E$3&amp;"#"&amp;69,CHOOSE($J$3,'فحص-حاسب-بكالوريوس'!$R$5:$R$208,'فحص-بيانات-بكالوريوس'!$R$5:$R$208,'فحص-بيانات-ماجستير'!$R$5:$R$230),0),"")</f>
        <v/>
      </c>
    </row>
    <row r="75" spans="1:9" x14ac:dyDescent="0.2">
      <c r="A75" s="1" t="str">
        <f>IF($I75="","",70)</f>
        <v/>
      </c>
      <c r="B75" s="2" t="str">
        <f>IF($I75="","",INDEX(CHOOSE($J$3,'فحص-حاسب-بكالوريوس'!$A$5:$A$208,'فحص-بيانات-بكالوريوس'!$A$5:$A$208,'فحص-بيانات-ماجستير'!$A$5:$A$230),$I75)&amp;"")</f>
        <v/>
      </c>
      <c r="C75" s="2" t="str">
        <f>IF($I75="","",INDEX(CHOOSE($J$3,'فحص-حاسب-بكالوريوس'!$F$5:$F$208,'فحص-بيانات-بكالوريوس'!$F$5:$F$208,'فحص-بيانات-ماجستير'!$F$5:$F$230),$I75)&amp;"")</f>
        <v/>
      </c>
      <c r="D75" s="2" t="str">
        <f>IF($I75="","",INDEX(CHOOSE($J$3,'فحص-حاسب-بكالوريوس'!$H$5:$H$208,'فحص-بيانات-بكالوريوس'!$H$5:$H$208,'فحص-بيانات-ماجستير'!$H$5:$H$230),$I75)&amp;"")</f>
        <v/>
      </c>
      <c r="E75" s="2" t="str">
        <f>IF($I75="","",INDEX(CHOOSE($J$3,'فحص-حاسب-بكالوريوس'!$J$5:$J$208,'فحص-بيانات-بكالوريوس'!$J$5:$J$208,'فحص-بيانات-ماجستير'!$J$5:$J$230),$I75)&amp;"")</f>
        <v/>
      </c>
      <c r="F75" s="2" t="str">
        <f>IF($I75="","",INDEX(CHOOSE($J$3,'فحص-حاسب-بكالوريوس'!$L$5:$L$208,'فحص-بيانات-بكالوريوس'!$L$5:$L$208,'فحص-بيانات-ماجستير'!$L$5:$L$230),$I75)&amp;"")</f>
        <v/>
      </c>
      <c r="G75" s="2" t="str">
        <f>IF($I75="","",INDEX(CHOOSE($J$3,'فحص-حاسب-بكالوريوس'!$M$5:$M$208,'فحص-بيانات-بكالوريوس'!$M$5:$M$208,'فحص-بيانات-ماجستير'!$M$5:$M$230),$I75)&amp;"")</f>
        <v/>
      </c>
      <c r="I75" s="2" t="str">
        <f>IFERROR(MATCH($E$3&amp;"#"&amp;70,CHOOSE($J$3,'فحص-حاسب-بكالوريوس'!$R$5:$R$208,'فحص-بيانات-بكالوريوس'!$R$5:$R$208,'فحص-بيانات-ماجستير'!$R$5:$R$230),0),"")</f>
        <v/>
      </c>
    </row>
    <row r="76" spans="1:9" x14ac:dyDescent="0.2">
      <c r="A76" s="1" t="str">
        <f>IF($I76="","",71)</f>
        <v/>
      </c>
      <c r="B76" s="2" t="str">
        <f>IF($I76="","",INDEX(CHOOSE($J$3,'فحص-حاسب-بكالوريوس'!$A$5:$A$208,'فحص-بيانات-بكالوريوس'!$A$5:$A$208,'فحص-بيانات-ماجستير'!$A$5:$A$230),$I76)&amp;"")</f>
        <v/>
      </c>
      <c r="C76" s="2" t="str">
        <f>IF($I76="","",INDEX(CHOOSE($J$3,'فحص-حاسب-بكالوريوس'!$F$5:$F$208,'فحص-بيانات-بكالوريوس'!$F$5:$F$208,'فحص-بيانات-ماجستير'!$F$5:$F$230),$I76)&amp;"")</f>
        <v/>
      </c>
      <c r="D76" s="2" t="str">
        <f>IF($I76="","",INDEX(CHOOSE($J$3,'فحص-حاسب-بكالوريوس'!$H$5:$H$208,'فحص-بيانات-بكالوريوس'!$H$5:$H$208,'فحص-بيانات-ماجستير'!$H$5:$H$230),$I76)&amp;"")</f>
        <v/>
      </c>
      <c r="E76" s="2" t="str">
        <f>IF($I76="","",INDEX(CHOOSE($J$3,'فحص-حاسب-بكالوريوس'!$J$5:$J$208,'فحص-بيانات-بكالوريوس'!$J$5:$J$208,'فحص-بيانات-ماجستير'!$J$5:$J$230),$I76)&amp;"")</f>
        <v/>
      </c>
      <c r="F76" s="2" t="str">
        <f>IF($I76="","",INDEX(CHOOSE($J$3,'فحص-حاسب-بكالوريوس'!$L$5:$L$208,'فحص-بيانات-بكالوريوس'!$L$5:$L$208,'فحص-بيانات-ماجستير'!$L$5:$L$230),$I76)&amp;"")</f>
        <v/>
      </c>
      <c r="G76" s="2" t="str">
        <f>IF($I76="","",INDEX(CHOOSE($J$3,'فحص-حاسب-بكالوريوس'!$M$5:$M$208,'فحص-بيانات-بكالوريوس'!$M$5:$M$208,'فحص-بيانات-ماجستير'!$M$5:$M$230),$I76)&amp;"")</f>
        <v/>
      </c>
      <c r="I76" s="2" t="str">
        <f>IFERROR(MATCH($E$3&amp;"#"&amp;71,CHOOSE($J$3,'فحص-حاسب-بكالوريوس'!$R$5:$R$208,'فحص-بيانات-بكالوريوس'!$R$5:$R$208,'فحص-بيانات-ماجستير'!$R$5:$R$230),0),"")</f>
        <v/>
      </c>
    </row>
    <row r="77" spans="1:9" x14ac:dyDescent="0.2">
      <c r="A77" s="1" t="str">
        <f>IF($I77="","",72)</f>
        <v/>
      </c>
      <c r="B77" s="2" t="str">
        <f>IF($I77="","",INDEX(CHOOSE($J$3,'فحص-حاسب-بكالوريوس'!$A$5:$A$208,'فحص-بيانات-بكالوريوس'!$A$5:$A$208,'فحص-بيانات-ماجستير'!$A$5:$A$230),$I77)&amp;"")</f>
        <v/>
      </c>
      <c r="C77" s="2" t="str">
        <f>IF($I77="","",INDEX(CHOOSE($J$3,'فحص-حاسب-بكالوريوس'!$F$5:$F$208,'فحص-بيانات-بكالوريوس'!$F$5:$F$208,'فحص-بيانات-ماجستير'!$F$5:$F$230),$I77)&amp;"")</f>
        <v/>
      </c>
      <c r="D77" s="2" t="str">
        <f>IF($I77="","",INDEX(CHOOSE($J$3,'فحص-حاسب-بكالوريوس'!$H$5:$H$208,'فحص-بيانات-بكالوريوس'!$H$5:$H$208,'فحص-بيانات-ماجستير'!$H$5:$H$230),$I77)&amp;"")</f>
        <v/>
      </c>
      <c r="E77" s="2" t="str">
        <f>IF($I77="","",INDEX(CHOOSE($J$3,'فحص-حاسب-بكالوريوس'!$J$5:$J$208,'فحص-بيانات-بكالوريوس'!$J$5:$J$208,'فحص-بيانات-ماجستير'!$J$5:$J$230),$I77)&amp;"")</f>
        <v/>
      </c>
      <c r="F77" s="2" t="str">
        <f>IF($I77="","",INDEX(CHOOSE($J$3,'فحص-حاسب-بكالوريوس'!$L$5:$L$208,'فحص-بيانات-بكالوريوس'!$L$5:$L$208,'فحص-بيانات-ماجستير'!$L$5:$L$230),$I77)&amp;"")</f>
        <v/>
      </c>
      <c r="G77" s="2" t="str">
        <f>IF($I77="","",INDEX(CHOOSE($J$3,'فحص-حاسب-بكالوريوس'!$M$5:$M$208,'فحص-بيانات-بكالوريوس'!$M$5:$M$208,'فحص-بيانات-ماجستير'!$M$5:$M$230),$I77)&amp;"")</f>
        <v/>
      </c>
      <c r="I77" s="2" t="str">
        <f>IFERROR(MATCH($E$3&amp;"#"&amp;72,CHOOSE($J$3,'فحص-حاسب-بكالوريوس'!$R$5:$R$208,'فحص-بيانات-بكالوريوس'!$R$5:$R$208,'فحص-بيانات-ماجستير'!$R$5:$R$230),0),"")</f>
        <v/>
      </c>
    </row>
    <row r="78" spans="1:9" x14ac:dyDescent="0.2">
      <c r="A78" s="1" t="str">
        <f>IF($I78="","",73)</f>
        <v/>
      </c>
      <c r="B78" s="2" t="str">
        <f>IF($I78="","",INDEX(CHOOSE($J$3,'فحص-حاسب-بكالوريوس'!$A$5:$A$208,'فحص-بيانات-بكالوريوس'!$A$5:$A$208,'فحص-بيانات-ماجستير'!$A$5:$A$230),$I78)&amp;"")</f>
        <v/>
      </c>
      <c r="C78" s="2" t="str">
        <f>IF($I78="","",INDEX(CHOOSE($J$3,'فحص-حاسب-بكالوريوس'!$F$5:$F$208,'فحص-بيانات-بكالوريوس'!$F$5:$F$208,'فحص-بيانات-ماجستير'!$F$5:$F$230),$I78)&amp;"")</f>
        <v/>
      </c>
      <c r="D78" s="2" t="str">
        <f>IF($I78="","",INDEX(CHOOSE($J$3,'فحص-حاسب-بكالوريوس'!$H$5:$H$208,'فحص-بيانات-بكالوريوس'!$H$5:$H$208,'فحص-بيانات-ماجستير'!$H$5:$H$230),$I78)&amp;"")</f>
        <v/>
      </c>
      <c r="E78" s="2" t="str">
        <f>IF($I78="","",INDEX(CHOOSE($J$3,'فحص-حاسب-بكالوريوس'!$J$5:$J$208,'فحص-بيانات-بكالوريوس'!$J$5:$J$208,'فحص-بيانات-ماجستير'!$J$5:$J$230),$I78)&amp;"")</f>
        <v/>
      </c>
      <c r="F78" s="2" t="str">
        <f>IF($I78="","",INDEX(CHOOSE($J$3,'فحص-حاسب-بكالوريوس'!$L$5:$L$208,'فحص-بيانات-بكالوريوس'!$L$5:$L$208,'فحص-بيانات-ماجستير'!$L$5:$L$230),$I78)&amp;"")</f>
        <v/>
      </c>
      <c r="G78" s="2" t="str">
        <f>IF($I78="","",INDEX(CHOOSE($J$3,'فحص-حاسب-بكالوريوس'!$M$5:$M$208,'فحص-بيانات-بكالوريوس'!$M$5:$M$208,'فحص-بيانات-ماجستير'!$M$5:$M$230),$I78)&amp;"")</f>
        <v/>
      </c>
      <c r="I78" s="2" t="str">
        <f>IFERROR(MATCH($E$3&amp;"#"&amp;73,CHOOSE($J$3,'فحص-حاسب-بكالوريوس'!$R$5:$R$208,'فحص-بيانات-بكالوريوس'!$R$5:$R$208,'فحص-بيانات-ماجستير'!$R$5:$R$230),0),"")</f>
        <v/>
      </c>
    </row>
    <row r="79" spans="1:9" x14ac:dyDescent="0.2">
      <c r="A79" s="1" t="str">
        <f>IF($I79="","",74)</f>
        <v/>
      </c>
      <c r="B79" s="2" t="str">
        <f>IF($I79="","",INDEX(CHOOSE($J$3,'فحص-حاسب-بكالوريوس'!$A$5:$A$208,'فحص-بيانات-بكالوريوس'!$A$5:$A$208,'فحص-بيانات-ماجستير'!$A$5:$A$230),$I79)&amp;"")</f>
        <v/>
      </c>
      <c r="C79" s="2" t="str">
        <f>IF($I79="","",INDEX(CHOOSE($J$3,'فحص-حاسب-بكالوريوس'!$F$5:$F$208,'فحص-بيانات-بكالوريوس'!$F$5:$F$208,'فحص-بيانات-ماجستير'!$F$5:$F$230),$I79)&amp;"")</f>
        <v/>
      </c>
      <c r="D79" s="2" t="str">
        <f>IF($I79="","",INDEX(CHOOSE($J$3,'فحص-حاسب-بكالوريوس'!$H$5:$H$208,'فحص-بيانات-بكالوريوس'!$H$5:$H$208,'فحص-بيانات-ماجستير'!$H$5:$H$230),$I79)&amp;"")</f>
        <v/>
      </c>
      <c r="E79" s="2" t="str">
        <f>IF($I79="","",INDEX(CHOOSE($J$3,'فحص-حاسب-بكالوريوس'!$J$5:$J$208,'فحص-بيانات-بكالوريوس'!$J$5:$J$208,'فحص-بيانات-ماجستير'!$J$5:$J$230),$I79)&amp;"")</f>
        <v/>
      </c>
      <c r="F79" s="2" t="str">
        <f>IF($I79="","",INDEX(CHOOSE($J$3,'فحص-حاسب-بكالوريوس'!$L$5:$L$208,'فحص-بيانات-بكالوريوس'!$L$5:$L$208,'فحص-بيانات-ماجستير'!$L$5:$L$230),$I79)&amp;"")</f>
        <v/>
      </c>
      <c r="G79" s="2" t="str">
        <f>IF($I79="","",INDEX(CHOOSE($J$3,'فحص-حاسب-بكالوريوس'!$M$5:$M$208,'فحص-بيانات-بكالوريوس'!$M$5:$M$208,'فحص-بيانات-ماجستير'!$M$5:$M$230),$I79)&amp;"")</f>
        <v/>
      </c>
      <c r="I79" s="2" t="str">
        <f>IFERROR(MATCH($E$3&amp;"#"&amp;74,CHOOSE($J$3,'فحص-حاسب-بكالوريوس'!$R$5:$R$208,'فحص-بيانات-بكالوريوس'!$R$5:$R$208,'فحص-بيانات-ماجستير'!$R$5:$R$230),0),"")</f>
        <v/>
      </c>
    </row>
    <row r="80" spans="1:9" x14ac:dyDescent="0.2">
      <c r="A80" s="1" t="str">
        <f>IF($I80="","",75)</f>
        <v/>
      </c>
      <c r="B80" s="2" t="str">
        <f>IF($I80="","",INDEX(CHOOSE($J$3,'فحص-حاسب-بكالوريوس'!$A$5:$A$208,'فحص-بيانات-بكالوريوس'!$A$5:$A$208,'فحص-بيانات-ماجستير'!$A$5:$A$230),$I80)&amp;"")</f>
        <v/>
      </c>
      <c r="C80" s="2" t="str">
        <f>IF($I80="","",INDEX(CHOOSE($J$3,'فحص-حاسب-بكالوريوس'!$F$5:$F$208,'فحص-بيانات-بكالوريوس'!$F$5:$F$208,'فحص-بيانات-ماجستير'!$F$5:$F$230),$I80)&amp;"")</f>
        <v/>
      </c>
      <c r="D80" s="2" t="str">
        <f>IF($I80="","",INDEX(CHOOSE($J$3,'فحص-حاسب-بكالوريوس'!$H$5:$H$208,'فحص-بيانات-بكالوريوس'!$H$5:$H$208,'فحص-بيانات-ماجستير'!$H$5:$H$230),$I80)&amp;"")</f>
        <v/>
      </c>
      <c r="E80" s="2" t="str">
        <f>IF($I80="","",INDEX(CHOOSE($J$3,'فحص-حاسب-بكالوريوس'!$J$5:$J$208,'فحص-بيانات-بكالوريوس'!$J$5:$J$208,'فحص-بيانات-ماجستير'!$J$5:$J$230),$I80)&amp;"")</f>
        <v/>
      </c>
      <c r="F80" s="2" t="str">
        <f>IF($I80="","",INDEX(CHOOSE($J$3,'فحص-حاسب-بكالوريوس'!$L$5:$L$208,'فحص-بيانات-بكالوريوس'!$L$5:$L$208,'فحص-بيانات-ماجستير'!$L$5:$L$230),$I80)&amp;"")</f>
        <v/>
      </c>
      <c r="G80" s="2" t="str">
        <f>IF($I80="","",INDEX(CHOOSE($J$3,'فحص-حاسب-بكالوريوس'!$M$5:$M$208,'فحص-بيانات-بكالوريوس'!$M$5:$M$208,'فحص-بيانات-ماجستير'!$M$5:$M$230),$I80)&amp;"")</f>
        <v/>
      </c>
      <c r="I80" s="2" t="str">
        <f>IFERROR(MATCH($E$3&amp;"#"&amp;75,CHOOSE($J$3,'فحص-حاسب-بكالوريوس'!$R$5:$R$208,'فحص-بيانات-بكالوريوس'!$R$5:$R$208,'فحص-بيانات-ماجستير'!$R$5:$R$230),0),"")</f>
        <v/>
      </c>
    </row>
    <row r="81" spans="1:9" x14ac:dyDescent="0.2">
      <c r="A81" s="1" t="str">
        <f>IF($I81="","",76)</f>
        <v/>
      </c>
      <c r="B81" s="2" t="str">
        <f>IF($I81="","",INDEX(CHOOSE($J$3,'فحص-حاسب-بكالوريوس'!$A$5:$A$208,'فحص-بيانات-بكالوريوس'!$A$5:$A$208,'فحص-بيانات-ماجستير'!$A$5:$A$230),$I81)&amp;"")</f>
        <v/>
      </c>
      <c r="C81" s="2" t="str">
        <f>IF($I81="","",INDEX(CHOOSE($J$3,'فحص-حاسب-بكالوريوس'!$F$5:$F$208,'فحص-بيانات-بكالوريوس'!$F$5:$F$208,'فحص-بيانات-ماجستير'!$F$5:$F$230),$I81)&amp;"")</f>
        <v/>
      </c>
      <c r="D81" s="2" t="str">
        <f>IF($I81="","",INDEX(CHOOSE($J$3,'فحص-حاسب-بكالوريوس'!$H$5:$H$208,'فحص-بيانات-بكالوريوس'!$H$5:$H$208,'فحص-بيانات-ماجستير'!$H$5:$H$230),$I81)&amp;"")</f>
        <v/>
      </c>
      <c r="E81" s="2" t="str">
        <f>IF($I81="","",INDEX(CHOOSE($J$3,'فحص-حاسب-بكالوريوس'!$J$5:$J$208,'فحص-بيانات-بكالوريوس'!$J$5:$J$208,'فحص-بيانات-ماجستير'!$J$5:$J$230),$I81)&amp;"")</f>
        <v/>
      </c>
      <c r="F81" s="2" t="str">
        <f>IF($I81="","",INDEX(CHOOSE($J$3,'فحص-حاسب-بكالوريوس'!$L$5:$L$208,'فحص-بيانات-بكالوريوس'!$L$5:$L$208,'فحص-بيانات-ماجستير'!$L$5:$L$230),$I81)&amp;"")</f>
        <v/>
      </c>
      <c r="G81" s="2" t="str">
        <f>IF($I81="","",INDEX(CHOOSE($J$3,'فحص-حاسب-بكالوريوس'!$M$5:$M$208,'فحص-بيانات-بكالوريوس'!$M$5:$M$208,'فحص-بيانات-ماجستير'!$M$5:$M$230),$I81)&amp;"")</f>
        <v/>
      </c>
      <c r="I81" s="2" t="str">
        <f>IFERROR(MATCH($E$3&amp;"#"&amp;76,CHOOSE($J$3,'فحص-حاسب-بكالوريوس'!$R$5:$R$208,'فحص-بيانات-بكالوريوس'!$R$5:$R$208,'فحص-بيانات-ماجستير'!$R$5:$R$230),0),"")</f>
        <v/>
      </c>
    </row>
    <row r="82" spans="1:9" x14ac:dyDescent="0.2">
      <c r="A82" s="1" t="str">
        <f>IF($I82="","",77)</f>
        <v/>
      </c>
      <c r="B82" s="2" t="str">
        <f>IF($I82="","",INDEX(CHOOSE($J$3,'فحص-حاسب-بكالوريوس'!$A$5:$A$208,'فحص-بيانات-بكالوريوس'!$A$5:$A$208,'فحص-بيانات-ماجستير'!$A$5:$A$230),$I82)&amp;"")</f>
        <v/>
      </c>
      <c r="C82" s="2" t="str">
        <f>IF($I82="","",INDEX(CHOOSE($J$3,'فحص-حاسب-بكالوريوس'!$F$5:$F$208,'فحص-بيانات-بكالوريوس'!$F$5:$F$208,'فحص-بيانات-ماجستير'!$F$5:$F$230),$I82)&amp;"")</f>
        <v/>
      </c>
      <c r="D82" s="2" t="str">
        <f>IF($I82="","",INDEX(CHOOSE($J$3,'فحص-حاسب-بكالوريوس'!$H$5:$H$208,'فحص-بيانات-بكالوريوس'!$H$5:$H$208,'فحص-بيانات-ماجستير'!$H$5:$H$230),$I82)&amp;"")</f>
        <v/>
      </c>
      <c r="E82" s="2" t="str">
        <f>IF($I82="","",INDEX(CHOOSE($J$3,'فحص-حاسب-بكالوريوس'!$J$5:$J$208,'فحص-بيانات-بكالوريوس'!$J$5:$J$208,'فحص-بيانات-ماجستير'!$J$5:$J$230),$I82)&amp;"")</f>
        <v/>
      </c>
      <c r="F82" s="2" t="str">
        <f>IF($I82="","",INDEX(CHOOSE($J$3,'فحص-حاسب-بكالوريوس'!$L$5:$L$208,'فحص-بيانات-بكالوريوس'!$L$5:$L$208,'فحص-بيانات-ماجستير'!$L$5:$L$230),$I82)&amp;"")</f>
        <v/>
      </c>
      <c r="G82" s="2" t="str">
        <f>IF($I82="","",INDEX(CHOOSE($J$3,'فحص-حاسب-بكالوريوس'!$M$5:$M$208,'فحص-بيانات-بكالوريوس'!$M$5:$M$208,'فحص-بيانات-ماجستير'!$M$5:$M$230),$I82)&amp;"")</f>
        <v/>
      </c>
      <c r="I82" s="2" t="str">
        <f>IFERROR(MATCH($E$3&amp;"#"&amp;77,CHOOSE($J$3,'فحص-حاسب-بكالوريوس'!$R$5:$R$208,'فحص-بيانات-بكالوريوس'!$R$5:$R$208,'فحص-بيانات-ماجستير'!$R$5:$R$230),0),"")</f>
        <v/>
      </c>
    </row>
    <row r="83" spans="1:9" x14ac:dyDescent="0.2">
      <c r="A83" s="1" t="str">
        <f>IF($I83="","",78)</f>
        <v/>
      </c>
      <c r="B83" s="2" t="str">
        <f>IF($I83="","",INDEX(CHOOSE($J$3,'فحص-حاسب-بكالوريوس'!$A$5:$A$208,'فحص-بيانات-بكالوريوس'!$A$5:$A$208,'فحص-بيانات-ماجستير'!$A$5:$A$230),$I83)&amp;"")</f>
        <v/>
      </c>
      <c r="C83" s="2" t="str">
        <f>IF($I83="","",INDEX(CHOOSE($J$3,'فحص-حاسب-بكالوريوس'!$F$5:$F$208,'فحص-بيانات-بكالوريوس'!$F$5:$F$208,'فحص-بيانات-ماجستير'!$F$5:$F$230),$I83)&amp;"")</f>
        <v/>
      </c>
      <c r="D83" s="2" t="str">
        <f>IF($I83="","",INDEX(CHOOSE($J$3,'فحص-حاسب-بكالوريوس'!$H$5:$H$208,'فحص-بيانات-بكالوريوس'!$H$5:$H$208,'فحص-بيانات-ماجستير'!$H$5:$H$230),$I83)&amp;"")</f>
        <v/>
      </c>
      <c r="E83" s="2" t="str">
        <f>IF($I83="","",INDEX(CHOOSE($J$3,'فحص-حاسب-بكالوريوس'!$J$5:$J$208,'فحص-بيانات-بكالوريوس'!$J$5:$J$208,'فحص-بيانات-ماجستير'!$J$5:$J$230),$I83)&amp;"")</f>
        <v/>
      </c>
      <c r="F83" s="2" t="str">
        <f>IF($I83="","",INDEX(CHOOSE($J$3,'فحص-حاسب-بكالوريوس'!$L$5:$L$208,'فحص-بيانات-بكالوريوس'!$L$5:$L$208,'فحص-بيانات-ماجستير'!$L$5:$L$230),$I83)&amp;"")</f>
        <v/>
      </c>
      <c r="G83" s="2" t="str">
        <f>IF($I83="","",INDEX(CHOOSE($J$3,'فحص-حاسب-بكالوريوس'!$M$5:$M$208,'فحص-بيانات-بكالوريوس'!$M$5:$M$208,'فحص-بيانات-ماجستير'!$M$5:$M$230),$I83)&amp;"")</f>
        <v/>
      </c>
      <c r="I83" s="2" t="str">
        <f>IFERROR(MATCH($E$3&amp;"#"&amp;78,CHOOSE($J$3,'فحص-حاسب-بكالوريوس'!$R$5:$R$208,'فحص-بيانات-بكالوريوس'!$R$5:$R$208,'فحص-بيانات-ماجستير'!$R$5:$R$230),0),"")</f>
        <v/>
      </c>
    </row>
    <row r="84" spans="1:9" x14ac:dyDescent="0.2">
      <c r="A84" s="1" t="str">
        <f>IF($I84="","",79)</f>
        <v/>
      </c>
      <c r="B84" s="2" t="str">
        <f>IF($I84="","",INDEX(CHOOSE($J$3,'فحص-حاسب-بكالوريوس'!$A$5:$A$208,'فحص-بيانات-بكالوريوس'!$A$5:$A$208,'فحص-بيانات-ماجستير'!$A$5:$A$230),$I84)&amp;"")</f>
        <v/>
      </c>
      <c r="C84" s="2" t="str">
        <f>IF($I84="","",INDEX(CHOOSE($J$3,'فحص-حاسب-بكالوريوس'!$F$5:$F$208,'فحص-بيانات-بكالوريوس'!$F$5:$F$208,'فحص-بيانات-ماجستير'!$F$5:$F$230),$I84)&amp;"")</f>
        <v/>
      </c>
      <c r="D84" s="2" t="str">
        <f>IF($I84="","",INDEX(CHOOSE($J$3,'فحص-حاسب-بكالوريوس'!$H$5:$H$208,'فحص-بيانات-بكالوريوس'!$H$5:$H$208,'فحص-بيانات-ماجستير'!$H$5:$H$230),$I84)&amp;"")</f>
        <v/>
      </c>
      <c r="E84" s="2" t="str">
        <f>IF($I84="","",INDEX(CHOOSE($J$3,'فحص-حاسب-بكالوريوس'!$J$5:$J$208,'فحص-بيانات-بكالوريوس'!$J$5:$J$208,'فحص-بيانات-ماجستير'!$J$5:$J$230),$I84)&amp;"")</f>
        <v/>
      </c>
      <c r="F84" s="2" t="str">
        <f>IF($I84="","",INDEX(CHOOSE($J$3,'فحص-حاسب-بكالوريوس'!$L$5:$L$208,'فحص-بيانات-بكالوريوس'!$L$5:$L$208,'فحص-بيانات-ماجستير'!$L$5:$L$230),$I84)&amp;"")</f>
        <v/>
      </c>
      <c r="G84" s="2" t="str">
        <f>IF($I84="","",INDEX(CHOOSE($J$3,'فحص-حاسب-بكالوريوس'!$M$5:$M$208,'فحص-بيانات-بكالوريوس'!$M$5:$M$208,'فحص-بيانات-ماجستير'!$M$5:$M$230),$I84)&amp;"")</f>
        <v/>
      </c>
      <c r="I84" s="2" t="str">
        <f>IFERROR(MATCH($E$3&amp;"#"&amp;79,CHOOSE($J$3,'فحص-حاسب-بكالوريوس'!$R$5:$R$208,'فحص-بيانات-بكالوريوس'!$R$5:$R$208,'فحص-بيانات-ماجستير'!$R$5:$R$230),0),"")</f>
        <v/>
      </c>
    </row>
    <row r="85" spans="1:9" x14ac:dyDescent="0.2">
      <c r="A85" s="1" t="str">
        <f>IF($I85="","",80)</f>
        <v/>
      </c>
      <c r="B85" s="2" t="str">
        <f>IF($I85="","",INDEX(CHOOSE($J$3,'فحص-حاسب-بكالوريوس'!$A$5:$A$208,'فحص-بيانات-بكالوريوس'!$A$5:$A$208,'فحص-بيانات-ماجستير'!$A$5:$A$230),$I85)&amp;"")</f>
        <v/>
      </c>
      <c r="C85" s="2" t="str">
        <f>IF($I85="","",INDEX(CHOOSE($J$3,'فحص-حاسب-بكالوريوس'!$F$5:$F$208,'فحص-بيانات-بكالوريوس'!$F$5:$F$208,'فحص-بيانات-ماجستير'!$F$5:$F$230),$I85)&amp;"")</f>
        <v/>
      </c>
      <c r="D85" s="2" t="str">
        <f>IF($I85="","",INDEX(CHOOSE($J$3,'فحص-حاسب-بكالوريوس'!$H$5:$H$208,'فحص-بيانات-بكالوريوس'!$H$5:$H$208,'فحص-بيانات-ماجستير'!$H$5:$H$230),$I85)&amp;"")</f>
        <v/>
      </c>
      <c r="E85" s="2" t="str">
        <f>IF($I85="","",INDEX(CHOOSE($J$3,'فحص-حاسب-بكالوريوس'!$J$5:$J$208,'فحص-بيانات-بكالوريوس'!$J$5:$J$208,'فحص-بيانات-ماجستير'!$J$5:$J$230),$I85)&amp;"")</f>
        <v/>
      </c>
      <c r="F85" s="2" t="str">
        <f>IF($I85="","",INDEX(CHOOSE($J$3,'فحص-حاسب-بكالوريوس'!$L$5:$L$208,'فحص-بيانات-بكالوريوس'!$L$5:$L$208,'فحص-بيانات-ماجستير'!$L$5:$L$230),$I85)&amp;"")</f>
        <v/>
      </c>
      <c r="G85" s="2" t="str">
        <f>IF($I85="","",INDEX(CHOOSE($J$3,'فحص-حاسب-بكالوريوس'!$M$5:$M$208,'فحص-بيانات-بكالوريوس'!$M$5:$M$208,'فحص-بيانات-ماجستير'!$M$5:$M$230),$I85)&amp;"")</f>
        <v/>
      </c>
      <c r="I85" s="2" t="str">
        <f>IFERROR(MATCH($E$3&amp;"#"&amp;80,CHOOSE($J$3,'فحص-حاسب-بكالوريوس'!$R$5:$R$208,'فحص-بيانات-بكالوريوس'!$R$5:$R$208,'فحص-بيانات-ماجستير'!$R$5:$R$230),0),"")</f>
        <v/>
      </c>
    </row>
    <row r="86" spans="1:9" x14ac:dyDescent="0.2">
      <c r="A86" s="1" t="str">
        <f>IF($I86="","",81)</f>
        <v/>
      </c>
      <c r="B86" s="2" t="str">
        <f>IF($I86="","",INDEX(CHOOSE($J$3,'فحص-حاسب-بكالوريوس'!$A$5:$A$208,'فحص-بيانات-بكالوريوس'!$A$5:$A$208,'فحص-بيانات-ماجستير'!$A$5:$A$230),$I86)&amp;"")</f>
        <v/>
      </c>
      <c r="C86" s="2" t="str">
        <f>IF($I86="","",INDEX(CHOOSE($J$3,'فحص-حاسب-بكالوريوس'!$F$5:$F$208,'فحص-بيانات-بكالوريوس'!$F$5:$F$208,'فحص-بيانات-ماجستير'!$F$5:$F$230),$I86)&amp;"")</f>
        <v/>
      </c>
      <c r="D86" s="2" t="str">
        <f>IF($I86="","",INDEX(CHOOSE($J$3,'فحص-حاسب-بكالوريوس'!$H$5:$H$208,'فحص-بيانات-بكالوريوس'!$H$5:$H$208,'فحص-بيانات-ماجستير'!$H$5:$H$230),$I86)&amp;"")</f>
        <v/>
      </c>
      <c r="E86" s="2" t="str">
        <f>IF($I86="","",INDEX(CHOOSE($J$3,'فحص-حاسب-بكالوريوس'!$J$5:$J$208,'فحص-بيانات-بكالوريوس'!$J$5:$J$208,'فحص-بيانات-ماجستير'!$J$5:$J$230),$I86)&amp;"")</f>
        <v/>
      </c>
      <c r="F86" s="2" t="str">
        <f>IF($I86="","",INDEX(CHOOSE($J$3,'فحص-حاسب-بكالوريوس'!$L$5:$L$208,'فحص-بيانات-بكالوريوس'!$L$5:$L$208,'فحص-بيانات-ماجستير'!$L$5:$L$230),$I86)&amp;"")</f>
        <v/>
      </c>
      <c r="G86" s="2" t="str">
        <f>IF($I86="","",INDEX(CHOOSE($J$3,'فحص-حاسب-بكالوريوس'!$M$5:$M$208,'فحص-بيانات-بكالوريوس'!$M$5:$M$208,'فحص-بيانات-ماجستير'!$M$5:$M$230),$I86)&amp;"")</f>
        <v/>
      </c>
      <c r="I86" s="2" t="str">
        <f>IFERROR(MATCH($E$3&amp;"#"&amp;81,CHOOSE($J$3,'فحص-حاسب-بكالوريوس'!$R$5:$R$208,'فحص-بيانات-بكالوريوس'!$R$5:$R$208,'فحص-بيانات-ماجستير'!$R$5:$R$230),0),"")</f>
        <v/>
      </c>
    </row>
    <row r="87" spans="1:9" x14ac:dyDescent="0.2">
      <c r="A87" s="1" t="str">
        <f>IF($I87="","",82)</f>
        <v/>
      </c>
      <c r="B87" s="2" t="str">
        <f>IF($I87="","",INDEX(CHOOSE($J$3,'فحص-حاسب-بكالوريوس'!$A$5:$A$208,'فحص-بيانات-بكالوريوس'!$A$5:$A$208,'فحص-بيانات-ماجستير'!$A$5:$A$230),$I87)&amp;"")</f>
        <v/>
      </c>
      <c r="C87" s="2" t="str">
        <f>IF($I87="","",INDEX(CHOOSE($J$3,'فحص-حاسب-بكالوريوس'!$F$5:$F$208,'فحص-بيانات-بكالوريوس'!$F$5:$F$208,'فحص-بيانات-ماجستير'!$F$5:$F$230),$I87)&amp;"")</f>
        <v/>
      </c>
      <c r="D87" s="2" t="str">
        <f>IF($I87="","",INDEX(CHOOSE($J$3,'فحص-حاسب-بكالوريوس'!$H$5:$H$208,'فحص-بيانات-بكالوريوس'!$H$5:$H$208,'فحص-بيانات-ماجستير'!$H$5:$H$230),$I87)&amp;"")</f>
        <v/>
      </c>
      <c r="E87" s="2" t="str">
        <f>IF($I87="","",INDEX(CHOOSE($J$3,'فحص-حاسب-بكالوريوس'!$J$5:$J$208,'فحص-بيانات-بكالوريوس'!$J$5:$J$208,'فحص-بيانات-ماجستير'!$J$5:$J$230),$I87)&amp;"")</f>
        <v/>
      </c>
      <c r="F87" s="2" t="str">
        <f>IF($I87="","",INDEX(CHOOSE($J$3,'فحص-حاسب-بكالوريوس'!$L$5:$L$208,'فحص-بيانات-بكالوريوس'!$L$5:$L$208,'فحص-بيانات-ماجستير'!$L$5:$L$230),$I87)&amp;"")</f>
        <v/>
      </c>
      <c r="G87" s="2" t="str">
        <f>IF($I87="","",INDEX(CHOOSE($J$3,'فحص-حاسب-بكالوريوس'!$M$5:$M$208,'فحص-بيانات-بكالوريوس'!$M$5:$M$208,'فحص-بيانات-ماجستير'!$M$5:$M$230),$I87)&amp;"")</f>
        <v/>
      </c>
      <c r="I87" s="2" t="str">
        <f>IFERROR(MATCH($E$3&amp;"#"&amp;82,CHOOSE($J$3,'فحص-حاسب-بكالوريوس'!$R$5:$R$208,'فحص-بيانات-بكالوريوس'!$R$5:$R$208,'فحص-بيانات-ماجستير'!$R$5:$R$230),0),"")</f>
        <v/>
      </c>
    </row>
    <row r="88" spans="1:9" x14ac:dyDescent="0.2">
      <c r="A88" s="1" t="str">
        <f>IF($I88="","",83)</f>
        <v/>
      </c>
      <c r="B88" s="2" t="str">
        <f>IF($I88="","",INDEX(CHOOSE($J$3,'فحص-حاسب-بكالوريوس'!$A$5:$A$208,'فحص-بيانات-بكالوريوس'!$A$5:$A$208,'فحص-بيانات-ماجستير'!$A$5:$A$230),$I88)&amp;"")</f>
        <v/>
      </c>
      <c r="C88" s="2" t="str">
        <f>IF($I88="","",INDEX(CHOOSE($J$3,'فحص-حاسب-بكالوريوس'!$F$5:$F$208,'فحص-بيانات-بكالوريوس'!$F$5:$F$208,'فحص-بيانات-ماجستير'!$F$5:$F$230),$I88)&amp;"")</f>
        <v/>
      </c>
      <c r="D88" s="2" t="str">
        <f>IF($I88="","",INDEX(CHOOSE($J$3,'فحص-حاسب-بكالوريوس'!$H$5:$H$208,'فحص-بيانات-بكالوريوس'!$H$5:$H$208,'فحص-بيانات-ماجستير'!$H$5:$H$230),$I88)&amp;"")</f>
        <v/>
      </c>
      <c r="E88" s="2" t="str">
        <f>IF($I88="","",INDEX(CHOOSE($J$3,'فحص-حاسب-بكالوريوس'!$J$5:$J$208,'فحص-بيانات-بكالوريوس'!$J$5:$J$208,'فحص-بيانات-ماجستير'!$J$5:$J$230),$I88)&amp;"")</f>
        <v/>
      </c>
      <c r="F88" s="2" t="str">
        <f>IF($I88="","",INDEX(CHOOSE($J$3,'فحص-حاسب-بكالوريوس'!$L$5:$L$208,'فحص-بيانات-بكالوريوس'!$L$5:$L$208,'فحص-بيانات-ماجستير'!$L$5:$L$230),$I88)&amp;"")</f>
        <v/>
      </c>
      <c r="G88" s="2" t="str">
        <f>IF($I88="","",INDEX(CHOOSE($J$3,'فحص-حاسب-بكالوريوس'!$M$5:$M$208,'فحص-بيانات-بكالوريوس'!$M$5:$M$208,'فحص-بيانات-ماجستير'!$M$5:$M$230),$I88)&amp;"")</f>
        <v/>
      </c>
      <c r="I88" s="2" t="str">
        <f>IFERROR(MATCH($E$3&amp;"#"&amp;83,CHOOSE($J$3,'فحص-حاسب-بكالوريوس'!$R$5:$R$208,'فحص-بيانات-بكالوريوس'!$R$5:$R$208,'فحص-بيانات-ماجستير'!$R$5:$R$230),0),"")</f>
        <v/>
      </c>
    </row>
    <row r="89" spans="1:9" x14ac:dyDescent="0.2">
      <c r="A89" s="1" t="str">
        <f>IF($I89="","",84)</f>
        <v/>
      </c>
      <c r="B89" s="2" t="str">
        <f>IF($I89="","",INDEX(CHOOSE($J$3,'فحص-حاسب-بكالوريوس'!$A$5:$A$208,'فحص-بيانات-بكالوريوس'!$A$5:$A$208,'فحص-بيانات-ماجستير'!$A$5:$A$230),$I89)&amp;"")</f>
        <v/>
      </c>
      <c r="C89" s="2" t="str">
        <f>IF($I89="","",INDEX(CHOOSE($J$3,'فحص-حاسب-بكالوريوس'!$F$5:$F$208,'فحص-بيانات-بكالوريوس'!$F$5:$F$208,'فحص-بيانات-ماجستير'!$F$5:$F$230),$I89)&amp;"")</f>
        <v/>
      </c>
      <c r="D89" s="2" t="str">
        <f>IF($I89="","",INDEX(CHOOSE($J$3,'فحص-حاسب-بكالوريوس'!$H$5:$H$208,'فحص-بيانات-بكالوريوس'!$H$5:$H$208,'فحص-بيانات-ماجستير'!$H$5:$H$230),$I89)&amp;"")</f>
        <v/>
      </c>
      <c r="E89" s="2" t="str">
        <f>IF($I89="","",INDEX(CHOOSE($J$3,'فحص-حاسب-بكالوريوس'!$J$5:$J$208,'فحص-بيانات-بكالوريوس'!$J$5:$J$208,'فحص-بيانات-ماجستير'!$J$5:$J$230),$I89)&amp;"")</f>
        <v/>
      </c>
      <c r="F89" s="2" t="str">
        <f>IF($I89="","",INDEX(CHOOSE($J$3,'فحص-حاسب-بكالوريوس'!$L$5:$L$208,'فحص-بيانات-بكالوريوس'!$L$5:$L$208,'فحص-بيانات-ماجستير'!$L$5:$L$230),$I89)&amp;"")</f>
        <v/>
      </c>
      <c r="G89" s="2" t="str">
        <f>IF($I89="","",INDEX(CHOOSE($J$3,'فحص-حاسب-بكالوريوس'!$M$5:$M$208,'فحص-بيانات-بكالوريوس'!$M$5:$M$208,'فحص-بيانات-ماجستير'!$M$5:$M$230),$I89)&amp;"")</f>
        <v/>
      </c>
      <c r="I89" s="2" t="str">
        <f>IFERROR(MATCH($E$3&amp;"#"&amp;84,CHOOSE($J$3,'فحص-حاسب-بكالوريوس'!$R$5:$R$208,'فحص-بيانات-بكالوريوس'!$R$5:$R$208,'فحص-بيانات-ماجستير'!$R$5:$R$230),0),"")</f>
        <v/>
      </c>
    </row>
    <row r="90" spans="1:9" x14ac:dyDescent="0.2">
      <c r="A90" s="1" t="str">
        <f>IF($I90="","",85)</f>
        <v/>
      </c>
      <c r="B90" s="2" t="str">
        <f>IF($I90="","",INDEX(CHOOSE($J$3,'فحص-حاسب-بكالوريوس'!$A$5:$A$208,'فحص-بيانات-بكالوريوس'!$A$5:$A$208,'فحص-بيانات-ماجستير'!$A$5:$A$230),$I90)&amp;"")</f>
        <v/>
      </c>
      <c r="C90" s="2" t="str">
        <f>IF($I90="","",INDEX(CHOOSE($J$3,'فحص-حاسب-بكالوريوس'!$F$5:$F$208,'فحص-بيانات-بكالوريوس'!$F$5:$F$208,'فحص-بيانات-ماجستير'!$F$5:$F$230),$I90)&amp;"")</f>
        <v/>
      </c>
      <c r="D90" s="2" t="str">
        <f>IF($I90="","",INDEX(CHOOSE($J$3,'فحص-حاسب-بكالوريوس'!$H$5:$H$208,'فحص-بيانات-بكالوريوس'!$H$5:$H$208,'فحص-بيانات-ماجستير'!$H$5:$H$230),$I90)&amp;"")</f>
        <v/>
      </c>
      <c r="E90" s="2" t="str">
        <f>IF($I90="","",INDEX(CHOOSE($J$3,'فحص-حاسب-بكالوريوس'!$J$5:$J$208,'فحص-بيانات-بكالوريوس'!$J$5:$J$208,'فحص-بيانات-ماجستير'!$J$5:$J$230),$I90)&amp;"")</f>
        <v/>
      </c>
      <c r="F90" s="2" t="str">
        <f>IF($I90="","",INDEX(CHOOSE($J$3,'فحص-حاسب-بكالوريوس'!$L$5:$L$208,'فحص-بيانات-بكالوريوس'!$L$5:$L$208,'فحص-بيانات-ماجستير'!$L$5:$L$230),$I90)&amp;"")</f>
        <v/>
      </c>
      <c r="G90" s="2" t="str">
        <f>IF($I90="","",INDEX(CHOOSE($J$3,'فحص-حاسب-بكالوريوس'!$M$5:$M$208,'فحص-بيانات-بكالوريوس'!$M$5:$M$208,'فحص-بيانات-ماجستير'!$M$5:$M$230),$I90)&amp;"")</f>
        <v/>
      </c>
      <c r="I90" s="2" t="str">
        <f>IFERROR(MATCH($E$3&amp;"#"&amp;85,CHOOSE($J$3,'فحص-حاسب-بكالوريوس'!$R$5:$R$208,'فحص-بيانات-بكالوريوس'!$R$5:$R$208,'فحص-بيانات-ماجستير'!$R$5:$R$230),0),"")</f>
        <v/>
      </c>
    </row>
    <row r="91" spans="1:9" x14ac:dyDescent="0.2">
      <c r="A91" s="1" t="str">
        <f>IF($I91="","",86)</f>
        <v/>
      </c>
      <c r="B91" s="2" t="str">
        <f>IF($I91="","",INDEX(CHOOSE($J$3,'فحص-حاسب-بكالوريوس'!$A$5:$A$208,'فحص-بيانات-بكالوريوس'!$A$5:$A$208,'فحص-بيانات-ماجستير'!$A$5:$A$230),$I91)&amp;"")</f>
        <v/>
      </c>
      <c r="C91" s="2" t="str">
        <f>IF($I91="","",INDEX(CHOOSE($J$3,'فحص-حاسب-بكالوريوس'!$F$5:$F$208,'فحص-بيانات-بكالوريوس'!$F$5:$F$208,'فحص-بيانات-ماجستير'!$F$5:$F$230),$I91)&amp;"")</f>
        <v/>
      </c>
      <c r="D91" s="2" t="str">
        <f>IF($I91="","",INDEX(CHOOSE($J$3,'فحص-حاسب-بكالوريوس'!$H$5:$H$208,'فحص-بيانات-بكالوريوس'!$H$5:$H$208,'فحص-بيانات-ماجستير'!$H$5:$H$230),$I91)&amp;"")</f>
        <v/>
      </c>
      <c r="E91" s="2" t="str">
        <f>IF($I91="","",INDEX(CHOOSE($J$3,'فحص-حاسب-بكالوريوس'!$J$5:$J$208,'فحص-بيانات-بكالوريوس'!$J$5:$J$208,'فحص-بيانات-ماجستير'!$J$5:$J$230),$I91)&amp;"")</f>
        <v/>
      </c>
      <c r="F91" s="2" t="str">
        <f>IF($I91="","",INDEX(CHOOSE($J$3,'فحص-حاسب-بكالوريوس'!$L$5:$L$208,'فحص-بيانات-بكالوريوس'!$L$5:$L$208,'فحص-بيانات-ماجستير'!$L$5:$L$230),$I91)&amp;"")</f>
        <v/>
      </c>
      <c r="G91" s="2" t="str">
        <f>IF($I91="","",INDEX(CHOOSE($J$3,'فحص-حاسب-بكالوريوس'!$M$5:$M$208,'فحص-بيانات-بكالوريوس'!$M$5:$M$208,'فحص-بيانات-ماجستير'!$M$5:$M$230),$I91)&amp;"")</f>
        <v/>
      </c>
      <c r="I91" s="2" t="str">
        <f>IFERROR(MATCH($E$3&amp;"#"&amp;86,CHOOSE($J$3,'فحص-حاسب-بكالوريوس'!$R$5:$R$208,'فحص-بيانات-بكالوريوس'!$R$5:$R$208,'فحص-بيانات-ماجستير'!$R$5:$R$230),0),"")</f>
        <v/>
      </c>
    </row>
    <row r="92" spans="1:9" x14ac:dyDescent="0.2">
      <c r="A92" s="1" t="str">
        <f>IF($I92="","",87)</f>
        <v/>
      </c>
      <c r="B92" s="2" t="str">
        <f>IF($I92="","",INDEX(CHOOSE($J$3,'فحص-حاسب-بكالوريوس'!$A$5:$A$208,'فحص-بيانات-بكالوريوس'!$A$5:$A$208,'فحص-بيانات-ماجستير'!$A$5:$A$230),$I92)&amp;"")</f>
        <v/>
      </c>
      <c r="C92" s="2" t="str">
        <f>IF($I92="","",INDEX(CHOOSE($J$3,'فحص-حاسب-بكالوريوس'!$F$5:$F$208,'فحص-بيانات-بكالوريوس'!$F$5:$F$208,'فحص-بيانات-ماجستير'!$F$5:$F$230),$I92)&amp;"")</f>
        <v/>
      </c>
      <c r="D92" s="2" t="str">
        <f>IF($I92="","",INDEX(CHOOSE($J$3,'فحص-حاسب-بكالوريوس'!$H$5:$H$208,'فحص-بيانات-بكالوريوس'!$H$5:$H$208,'فحص-بيانات-ماجستير'!$H$5:$H$230),$I92)&amp;"")</f>
        <v/>
      </c>
      <c r="E92" s="2" t="str">
        <f>IF($I92="","",INDEX(CHOOSE($J$3,'فحص-حاسب-بكالوريوس'!$J$5:$J$208,'فحص-بيانات-بكالوريوس'!$J$5:$J$208,'فحص-بيانات-ماجستير'!$J$5:$J$230),$I92)&amp;"")</f>
        <v/>
      </c>
      <c r="F92" s="2" t="str">
        <f>IF($I92="","",INDEX(CHOOSE($J$3,'فحص-حاسب-بكالوريوس'!$L$5:$L$208,'فحص-بيانات-بكالوريوس'!$L$5:$L$208,'فحص-بيانات-ماجستير'!$L$5:$L$230),$I92)&amp;"")</f>
        <v/>
      </c>
      <c r="G92" s="2" t="str">
        <f>IF($I92="","",INDEX(CHOOSE($J$3,'فحص-حاسب-بكالوريوس'!$M$5:$M$208,'فحص-بيانات-بكالوريوس'!$M$5:$M$208,'فحص-بيانات-ماجستير'!$M$5:$M$230),$I92)&amp;"")</f>
        <v/>
      </c>
      <c r="I92" s="2" t="str">
        <f>IFERROR(MATCH($E$3&amp;"#"&amp;87,CHOOSE($J$3,'فحص-حاسب-بكالوريوس'!$R$5:$R$208,'فحص-بيانات-بكالوريوس'!$R$5:$R$208,'فحص-بيانات-ماجستير'!$R$5:$R$230),0),"")</f>
        <v/>
      </c>
    </row>
    <row r="93" spans="1:9" x14ac:dyDescent="0.2">
      <c r="A93" s="1" t="str">
        <f>IF($I93="","",88)</f>
        <v/>
      </c>
      <c r="B93" s="2" t="str">
        <f>IF($I93="","",INDEX(CHOOSE($J$3,'فحص-حاسب-بكالوريوس'!$A$5:$A$208,'فحص-بيانات-بكالوريوس'!$A$5:$A$208,'فحص-بيانات-ماجستير'!$A$5:$A$230),$I93)&amp;"")</f>
        <v/>
      </c>
      <c r="C93" s="2" t="str">
        <f>IF($I93="","",INDEX(CHOOSE($J$3,'فحص-حاسب-بكالوريوس'!$F$5:$F$208,'فحص-بيانات-بكالوريوس'!$F$5:$F$208,'فحص-بيانات-ماجستير'!$F$5:$F$230),$I93)&amp;"")</f>
        <v/>
      </c>
      <c r="D93" s="2" t="str">
        <f>IF($I93="","",INDEX(CHOOSE($J$3,'فحص-حاسب-بكالوريوس'!$H$5:$H$208,'فحص-بيانات-بكالوريوس'!$H$5:$H$208,'فحص-بيانات-ماجستير'!$H$5:$H$230),$I93)&amp;"")</f>
        <v/>
      </c>
      <c r="E93" s="2" t="str">
        <f>IF($I93="","",INDEX(CHOOSE($J$3,'فحص-حاسب-بكالوريوس'!$J$5:$J$208,'فحص-بيانات-بكالوريوس'!$J$5:$J$208,'فحص-بيانات-ماجستير'!$J$5:$J$230),$I93)&amp;"")</f>
        <v/>
      </c>
      <c r="F93" s="2" t="str">
        <f>IF($I93="","",INDEX(CHOOSE($J$3,'فحص-حاسب-بكالوريوس'!$L$5:$L$208,'فحص-بيانات-بكالوريوس'!$L$5:$L$208,'فحص-بيانات-ماجستير'!$L$5:$L$230),$I93)&amp;"")</f>
        <v/>
      </c>
      <c r="G93" s="2" t="str">
        <f>IF($I93="","",INDEX(CHOOSE($J$3,'فحص-حاسب-بكالوريوس'!$M$5:$M$208,'فحص-بيانات-بكالوريوس'!$M$5:$M$208,'فحص-بيانات-ماجستير'!$M$5:$M$230),$I93)&amp;"")</f>
        <v/>
      </c>
      <c r="I93" s="2" t="str">
        <f>IFERROR(MATCH($E$3&amp;"#"&amp;88,CHOOSE($J$3,'فحص-حاسب-بكالوريوس'!$R$5:$R$208,'فحص-بيانات-بكالوريوس'!$R$5:$R$208,'فحص-بيانات-ماجستير'!$R$5:$R$230),0),"")</f>
        <v/>
      </c>
    </row>
    <row r="94" spans="1:9" x14ac:dyDescent="0.2">
      <c r="A94" s="1" t="str">
        <f>IF($I94="","",89)</f>
        <v/>
      </c>
      <c r="B94" s="2" t="str">
        <f>IF($I94="","",INDEX(CHOOSE($J$3,'فحص-حاسب-بكالوريوس'!$A$5:$A$208,'فحص-بيانات-بكالوريوس'!$A$5:$A$208,'فحص-بيانات-ماجستير'!$A$5:$A$230),$I94)&amp;"")</f>
        <v/>
      </c>
      <c r="C94" s="2" t="str">
        <f>IF($I94="","",INDEX(CHOOSE($J$3,'فحص-حاسب-بكالوريوس'!$F$5:$F$208,'فحص-بيانات-بكالوريوس'!$F$5:$F$208,'فحص-بيانات-ماجستير'!$F$5:$F$230),$I94)&amp;"")</f>
        <v/>
      </c>
      <c r="D94" s="2" t="str">
        <f>IF($I94="","",INDEX(CHOOSE($J$3,'فحص-حاسب-بكالوريوس'!$H$5:$H$208,'فحص-بيانات-بكالوريوس'!$H$5:$H$208,'فحص-بيانات-ماجستير'!$H$5:$H$230),$I94)&amp;"")</f>
        <v/>
      </c>
      <c r="E94" s="2" t="str">
        <f>IF($I94="","",INDEX(CHOOSE($J$3,'فحص-حاسب-بكالوريوس'!$J$5:$J$208,'فحص-بيانات-بكالوريوس'!$J$5:$J$208,'فحص-بيانات-ماجستير'!$J$5:$J$230),$I94)&amp;"")</f>
        <v/>
      </c>
      <c r="F94" s="2" t="str">
        <f>IF($I94="","",INDEX(CHOOSE($J$3,'فحص-حاسب-بكالوريوس'!$L$5:$L$208,'فحص-بيانات-بكالوريوس'!$L$5:$L$208,'فحص-بيانات-ماجستير'!$L$5:$L$230),$I94)&amp;"")</f>
        <v/>
      </c>
      <c r="G94" s="2" t="str">
        <f>IF($I94="","",INDEX(CHOOSE($J$3,'فحص-حاسب-بكالوريوس'!$M$5:$M$208,'فحص-بيانات-بكالوريوس'!$M$5:$M$208,'فحص-بيانات-ماجستير'!$M$5:$M$230),$I94)&amp;"")</f>
        <v/>
      </c>
      <c r="I94" s="2" t="str">
        <f>IFERROR(MATCH($E$3&amp;"#"&amp;89,CHOOSE($J$3,'فحص-حاسب-بكالوريوس'!$R$5:$R$208,'فحص-بيانات-بكالوريوس'!$R$5:$R$208,'فحص-بيانات-ماجستير'!$R$5:$R$230),0),"")</f>
        <v/>
      </c>
    </row>
    <row r="95" spans="1:9" x14ac:dyDescent="0.2">
      <c r="A95" s="1" t="str">
        <f>IF($I95="","",90)</f>
        <v/>
      </c>
      <c r="B95" s="2" t="str">
        <f>IF($I95="","",INDEX(CHOOSE($J$3,'فحص-حاسب-بكالوريوس'!$A$5:$A$208,'فحص-بيانات-بكالوريوس'!$A$5:$A$208,'فحص-بيانات-ماجستير'!$A$5:$A$230),$I95)&amp;"")</f>
        <v/>
      </c>
      <c r="C95" s="2" t="str">
        <f>IF($I95="","",INDEX(CHOOSE($J$3,'فحص-حاسب-بكالوريوس'!$F$5:$F$208,'فحص-بيانات-بكالوريوس'!$F$5:$F$208,'فحص-بيانات-ماجستير'!$F$5:$F$230),$I95)&amp;"")</f>
        <v/>
      </c>
      <c r="D95" s="2" t="str">
        <f>IF($I95="","",INDEX(CHOOSE($J$3,'فحص-حاسب-بكالوريوس'!$H$5:$H$208,'فحص-بيانات-بكالوريوس'!$H$5:$H$208,'فحص-بيانات-ماجستير'!$H$5:$H$230),$I95)&amp;"")</f>
        <v/>
      </c>
      <c r="E95" s="2" t="str">
        <f>IF($I95="","",INDEX(CHOOSE($J$3,'فحص-حاسب-بكالوريوس'!$J$5:$J$208,'فحص-بيانات-بكالوريوس'!$J$5:$J$208,'فحص-بيانات-ماجستير'!$J$5:$J$230),$I95)&amp;"")</f>
        <v/>
      </c>
      <c r="F95" s="2" t="str">
        <f>IF($I95="","",INDEX(CHOOSE($J$3,'فحص-حاسب-بكالوريوس'!$L$5:$L$208,'فحص-بيانات-بكالوريوس'!$L$5:$L$208,'فحص-بيانات-ماجستير'!$L$5:$L$230),$I95)&amp;"")</f>
        <v/>
      </c>
      <c r="G95" s="2" t="str">
        <f>IF($I95="","",INDEX(CHOOSE($J$3,'فحص-حاسب-بكالوريوس'!$M$5:$M$208,'فحص-بيانات-بكالوريوس'!$M$5:$M$208,'فحص-بيانات-ماجستير'!$M$5:$M$230),$I95)&amp;"")</f>
        <v/>
      </c>
      <c r="I95" s="2" t="str">
        <f>IFERROR(MATCH($E$3&amp;"#"&amp;90,CHOOSE($J$3,'فحص-حاسب-بكالوريوس'!$R$5:$R$208,'فحص-بيانات-بكالوريوس'!$R$5:$R$208,'فحص-بيانات-ماجستير'!$R$5:$R$230),0),"")</f>
        <v/>
      </c>
    </row>
    <row r="96" spans="1:9" x14ac:dyDescent="0.2">
      <c r="A96" s="1" t="str">
        <f>IF($I96="","",91)</f>
        <v/>
      </c>
      <c r="B96" s="2" t="str">
        <f>IF($I96="","",INDEX(CHOOSE($J$3,'فحص-حاسب-بكالوريوس'!$A$5:$A$208,'فحص-بيانات-بكالوريوس'!$A$5:$A$208,'فحص-بيانات-ماجستير'!$A$5:$A$230),$I96)&amp;"")</f>
        <v/>
      </c>
      <c r="C96" s="2" t="str">
        <f>IF($I96="","",INDEX(CHOOSE($J$3,'فحص-حاسب-بكالوريوس'!$F$5:$F$208,'فحص-بيانات-بكالوريوس'!$F$5:$F$208,'فحص-بيانات-ماجستير'!$F$5:$F$230),$I96)&amp;"")</f>
        <v/>
      </c>
      <c r="D96" s="2" t="str">
        <f>IF($I96="","",INDEX(CHOOSE($J$3,'فحص-حاسب-بكالوريوس'!$H$5:$H$208,'فحص-بيانات-بكالوريوس'!$H$5:$H$208,'فحص-بيانات-ماجستير'!$H$5:$H$230),$I96)&amp;"")</f>
        <v/>
      </c>
      <c r="E96" s="2" t="str">
        <f>IF($I96="","",INDEX(CHOOSE($J$3,'فحص-حاسب-بكالوريوس'!$J$5:$J$208,'فحص-بيانات-بكالوريوس'!$J$5:$J$208,'فحص-بيانات-ماجستير'!$J$5:$J$230),$I96)&amp;"")</f>
        <v/>
      </c>
      <c r="F96" s="2" t="str">
        <f>IF($I96="","",INDEX(CHOOSE($J$3,'فحص-حاسب-بكالوريوس'!$L$5:$L$208,'فحص-بيانات-بكالوريوس'!$L$5:$L$208,'فحص-بيانات-ماجستير'!$L$5:$L$230),$I96)&amp;"")</f>
        <v/>
      </c>
      <c r="G96" s="2" t="str">
        <f>IF($I96="","",INDEX(CHOOSE($J$3,'فحص-حاسب-بكالوريوس'!$M$5:$M$208,'فحص-بيانات-بكالوريوس'!$M$5:$M$208,'فحص-بيانات-ماجستير'!$M$5:$M$230),$I96)&amp;"")</f>
        <v/>
      </c>
      <c r="I96" s="2" t="str">
        <f>IFERROR(MATCH($E$3&amp;"#"&amp;91,CHOOSE($J$3,'فحص-حاسب-بكالوريوس'!$R$5:$R$208,'فحص-بيانات-بكالوريوس'!$R$5:$R$208,'فحص-بيانات-ماجستير'!$R$5:$R$230),0),"")</f>
        <v/>
      </c>
    </row>
    <row r="97" spans="1:9" x14ac:dyDescent="0.2">
      <c r="A97" s="1" t="str">
        <f>IF($I97="","",92)</f>
        <v/>
      </c>
      <c r="B97" s="2" t="str">
        <f>IF($I97="","",INDEX(CHOOSE($J$3,'فحص-حاسب-بكالوريوس'!$A$5:$A$208,'فحص-بيانات-بكالوريوس'!$A$5:$A$208,'فحص-بيانات-ماجستير'!$A$5:$A$230),$I97)&amp;"")</f>
        <v/>
      </c>
      <c r="C97" s="2" t="str">
        <f>IF($I97="","",INDEX(CHOOSE($J$3,'فحص-حاسب-بكالوريوس'!$F$5:$F$208,'فحص-بيانات-بكالوريوس'!$F$5:$F$208,'فحص-بيانات-ماجستير'!$F$5:$F$230),$I97)&amp;"")</f>
        <v/>
      </c>
      <c r="D97" s="2" t="str">
        <f>IF($I97="","",INDEX(CHOOSE($J$3,'فحص-حاسب-بكالوريوس'!$H$5:$H$208,'فحص-بيانات-بكالوريوس'!$H$5:$H$208,'فحص-بيانات-ماجستير'!$H$5:$H$230),$I97)&amp;"")</f>
        <v/>
      </c>
      <c r="E97" s="2" t="str">
        <f>IF($I97="","",INDEX(CHOOSE($J$3,'فحص-حاسب-بكالوريوس'!$J$5:$J$208,'فحص-بيانات-بكالوريوس'!$J$5:$J$208,'فحص-بيانات-ماجستير'!$J$5:$J$230),$I97)&amp;"")</f>
        <v/>
      </c>
      <c r="F97" s="2" t="str">
        <f>IF($I97="","",INDEX(CHOOSE($J$3,'فحص-حاسب-بكالوريوس'!$L$5:$L$208,'فحص-بيانات-بكالوريوس'!$L$5:$L$208,'فحص-بيانات-ماجستير'!$L$5:$L$230),$I97)&amp;"")</f>
        <v/>
      </c>
      <c r="G97" s="2" t="str">
        <f>IF($I97="","",INDEX(CHOOSE($J$3,'فحص-حاسب-بكالوريوس'!$M$5:$M$208,'فحص-بيانات-بكالوريوس'!$M$5:$M$208,'فحص-بيانات-ماجستير'!$M$5:$M$230),$I97)&amp;"")</f>
        <v/>
      </c>
      <c r="I97" s="2" t="str">
        <f>IFERROR(MATCH($E$3&amp;"#"&amp;92,CHOOSE($J$3,'فحص-حاسب-بكالوريوس'!$R$5:$R$208,'فحص-بيانات-بكالوريوس'!$R$5:$R$208,'فحص-بيانات-ماجستير'!$R$5:$R$230),0),"")</f>
        <v/>
      </c>
    </row>
    <row r="98" spans="1:9" x14ac:dyDescent="0.2">
      <c r="A98" s="1" t="str">
        <f>IF($I98="","",93)</f>
        <v/>
      </c>
      <c r="B98" s="2" t="str">
        <f>IF($I98="","",INDEX(CHOOSE($J$3,'فحص-حاسب-بكالوريوس'!$A$5:$A$208,'فحص-بيانات-بكالوريوس'!$A$5:$A$208,'فحص-بيانات-ماجستير'!$A$5:$A$230),$I98)&amp;"")</f>
        <v/>
      </c>
      <c r="C98" s="2" t="str">
        <f>IF($I98="","",INDEX(CHOOSE($J$3,'فحص-حاسب-بكالوريوس'!$F$5:$F$208,'فحص-بيانات-بكالوريوس'!$F$5:$F$208,'فحص-بيانات-ماجستير'!$F$5:$F$230),$I98)&amp;"")</f>
        <v/>
      </c>
      <c r="D98" s="2" t="str">
        <f>IF($I98="","",INDEX(CHOOSE($J$3,'فحص-حاسب-بكالوريوس'!$H$5:$H$208,'فحص-بيانات-بكالوريوس'!$H$5:$H$208,'فحص-بيانات-ماجستير'!$H$5:$H$230),$I98)&amp;"")</f>
        <v/>
      </c>
      <c r="E98" s="2" t="str">
        <f>IF($I98="","",INDEX(CHOOSE($J$3,'فحص-حاسب-بكالوريوس'!$J$5:$J$208,'فحص-بيانات-بكالوريوس'!$J$5:$J$208,'فحص-بيانات-ماجستير'!$J$5:$J$230),$I98)&amp;"")</f>
        <v/>
      </c>
      <c r="F98" s="2" t="str">
        <f>IF($I98="","",INDEX(CHOOSE($J$3,'فحص-حاسب-بكالوريوس'!$L$5:$L$208,'فحص-بيانات-بكالوريوس'!$L$5:$L$208,'فحص-بيانات-ماجستير'!$L$5:$L$230),$I98)&amp;"")</f>
        <v/>
      </c>
      <c r="G98" s="2" t="str">
        <f>IF($I98="","",INDEX(CHOOSE($J$3,'فحص-حاسب-بكالوريوس'!$M$5:$M$208,'فحص-بيانات-بكالوريوس'!$M$5:$M$208,'فحص-بيانات-ماجستير'!$M$5:$M$230),$I98)&amp;"")</f>
        <v/>
      </c>
      <c r="I98" s="2" t="str">
        <f>IFERROR(MATCH($E$3&amp;"#"&amp;93,CHOOSE($J$3,'فحص-حاسب-بكالوريوس'!$R$5:$R$208,'فحص-بيانات-بكالوريوس'!$R$5:$R$208,'فحص-بيانات-ماجستير'!$R$5:$R$230),0),"")</f>
        <v/>
      </c>
    </row>
    <row r="99" spans="1:9" x14ac:dyDescent="0.2">
      <c r="A99" s="1" t="str">
        <f>IF($I99="","",94)</f>
        <v/>
      </c>
      <c r="B99" s="2" t="str">
        <f>IF($I99="","",INDEX(CHOOSE($J$3,'فحص-حاسب-بكالوريوس'!$A$5:$A$208,'فحص-بيانات-بكالوريوس'!$A$5:$A$208,'فحص-بيانات-ماجستير'!$A$5:$A$230),$I99)&amp;"")</f>
        <v/>
      </c>
      <c r="C99" s="2" t="str">
        <f>IF($I99="","",INDEX(CHOOSE($J$3,'فحص-حاسب-بكالوريوس'!$F$5:$F$208,'فحص-بيانات-بكالوريوس'!$F$5:$F$208,'فحص-بيانات-ماجستير'!$F$5:$F$230),$I99)&amp;"")</f>
        <v/>
      </c>
      <c r="D99" s="2" t="str">
        <f>IF($I99="","",INDEX(CHOOSE($J$3,'فحص-حاسب-بكالوريوس'!$H$5:$H$208,'فحص-بيانات-بكالوريوس'!$H$5:$H$208,'فحص-بيانات-ماجستير'!$H$5:$H$230),$I99)&amp;"")</f>
        <v/>
      </c>
      <c r="E99" s="2" t="str">
        <f>IF($I99="","",INDEX(CHOOSE($J$3,'فحص-حاسب-بكالوريوس'!$J$5:$J$208,'فحص-بيانات-بكالوريوس'!$J$5:$J$208,'فحص-بيانات-ماجستير'!$J$5:$J$230),$I99)&amp;"")</f>
        <v/>
      </c>
      <c r="F99" s="2" t="str">
        <f>IF($I99="","",INDEX(CHOOSE($J$3,'فحص-حاسب-بكالوريوس'!$L$5:$L$208,'فحص-بيانات-بكالوريوس'!$L$5:$L$208,'فحص-بيانات-ماجستير'!$L$5:$L$230),$I99)&amp;"")</f>
        <v/>
      </c>
      <c r="G99" s="2" t="str">
        <f>IF($I99="","",INDEX(CHOOSE($J$3,'فحص-حاسب-بكالوريوس'!$M$5:$M$208,'فحص-بيانات-بكالوريوس'!$M$5:$M$208,'فحص-بيانات-ماجستير'!$M$5:$M$230),$I99)&amp;"")</f>
        <v/>
      </c>
      <c r="I99" s="2" t="str">
        <f>IFERROR(MATCH($E$3&amp;"#"&amp;94,CHOOSE($J$3,'فحص-حاسب-بكالوريوس'!$R$5:$R$208,'فحص-بيانات-بكالوريوس'!$R$5:$R$208,'فحص-بيانات-ماجستير'!$R$5:$R$230),0),"")</f>
        <v/>
      </c>
    </row>
    <row r="100" spans="1:9" x14ac:dyDescent="0.2">
      <c r="A100" s="1" t="str">
        <f>IF($I100="","",95)</f>
        <v/>
      </c>
      <c r="B100" s="2" t="str">
        <f>IF($I100="","",INDEX(CHOOSE($J$3,'فحص-حاسب-بكالوريوس'!$A$5:$A$208,'فحص-بيانات-بكالوريوس'!$A$5:$A$208,'فحص-بيانات-ماجستير'!$A$5:$A$230),$I100)&amp;"")</f>
        <v/>
      </c>
      <c r="C100" s="2" t="str">
        <f>IF($I100="","",INDEX(CHOOSE($J$3,'فحص-حاسب-بكالوريوس'!$F$5:$F$208,'فحص-بيانات-بكالوريوس'!$F$5:$F$208,'فحص-بيانات-ماجستير'!$F$5:$F$230),$I100)&amp;"")</f>
        <v/>
      </c>
      <c r="D100" s="2" t="str">
        <f>IF($I100="","",INDEX(CHOOSE($J$3,'فحص-حاسب-بكالوريوس'!$H$5:$H$208,'فحص-بيانات-بكالوريوس'!$H$5:$H$208,'فحص-بيانات-ماجستير'!$H$5:$H$230),$I100)&amp;"")</f>
        <v/>
      </c>
      <c r="E100" s="2" t="str">
        <f>IF($I100="","",INDEX(CHOOSE($J$3,'فحص-حاسب-بكالوريوس'!$J$5:$J$208,'فحص-بيانات-بكالوريوس'!$J$5:$J$208,'فحص-بيانات-ماجستير'!$J$5:$J$230),$I100)&amp;"")</f>
        <v/>
      </c>
      <c r="F100" s="2" t="str">
        <f>IF($I100="","",INDEX(CHOOSE($J$3,'فحص-حاسب-بكالوريوس'!$L$5:$L$208,'فحص-بيانات-بكالوريوس'!$L$5:$L$208,'فحص-بيانات-ماجستير'!$L$5:$L$230),$I100)&amp;"")</f>
        <v/>
      </c>
      <c r="G100" s="2" t="str">
        <f>IF($I100="","",INDEX(CHOOSE($J$3,'فحص-حاسب-بكالوريوس'!$M$5:$M$208,'فحص-بيانات-بكالوريوس'!$M$5:$M$208,'فحص-بيانات-ماجستير'!$M$5:$M$230),$I100)&amp;"")</f>
        <v/>
      </c>
      <c r="I100" s="2" t="str">
        <f>IFERROR(MATCH($E$3&amp;"#"&amp;95,CHOOSE($J$3,'فحص-حاسب-بكالوريوس'!$R$5:$R$208,'فحص-بيانات-بكالوريوس'!$R$5:$R$208,'فحص-بيانات-ماجستير'!$R$5:$R$230),0),"")</f>
        <v/>
      </c>
    </row>
    <row r="101" spans="1:9" x14ac:dyDescent="0.2">
      <c r="A101" s="1" t="str">
        <f>IF($I101="","",96)</f>
        <v/>
      </c>
      <c r="B101" s="2" t="str">
        <f>IF($I101="","",INDEX(CHOOSE($J$3,'فحص-حاسب-بكالوريوس'!$A$5:$A$208,'فحص-بيانات-بكالوريوس'!$A$5:$A$208,'فحص-بيانات-ماجستير'!$A$5:$A$230),$I101)&amp;"")</f>
        <v/>
      </c>
      <c r="C101" s="2" t="str">
        <f>IF($I101="","",INDEX(CHOOSE($J$3,'فحص-حاسب-بكالوريوس'!$F$5:$F$208,'فحص-بيانات-بكالوريوس'!$F$5:$F$208,'فحص-بيانات-ماجستير'!$F$5:$F$230),$I101)&amp;"")</f>
        <v/>
      </c>
      <c r="D101" s="2" t="str">
        <f>IF($I101="","",INDEX(CHOOSE($J$3,'فحص-حاسب-بكالوريوس'!$H$5:$H$208,'فحص-بيانات-بكالوريوس'!$H$5:$H$208,'فحص-بيانات-ماجستير'!$H$5:$H$230),$I101)&amp;"")</f>
        <v/>
      </c>
      <c r="E101" s="2" t="str">
        <f>IF($I101="","",INDEX(CHOOSE($J$3,'فحص-حاسب-بكالوريوس'!$J$5:$J$208,'فحص-بيانات-بكالوريوس'!$J$5:$J$208,'فحص-بيانات-ماجستير'!$J$5:$J$230),$I101)&amp;"")</f>
        <v/>
      </c>
      <c r="F101" s="2" t="str">
        <f>IF($I101="","",INDEX(CHOOSE($J$3,'فحص-حاسب-بكالوريوس'!$L$5:$L$208,'فحص-بيانات-بكالوريوس'!$L$5:$L$208,'فحص-بيانات-ماجستير'!$L$5:$L$230),$I101)&amp;"")</f>
        <v/>
      </c>
      <c r="G101" s="2" t="str">
        <f>IF($I101="","",INDEX(CHOOSE($J$3,'فحص-حاسب-بكالوريوس'!$M$5:$M$208,'فحص-بيانات-بكالوريوس'!$M$5:$M$208,'فحص-بيانات-ماجستير'!$M$5:$M$230),$I101)&amp;"")</f>
        <v/>
      </c>
      <c r="I101" s="2" t="str">
        <f>IFERROR(MATCH($E$3&amp;"#"&amp;96,CHOOSE($J$3,'فحص-حاسب-بكالوريوس'!$R$5:$R$208,'فحص-بيانات-بكالوريوس'!$R$5:$R$208,'فحص-بيانات-ماجستير'!$R$5:$R$230),0),"")</f>
        <v/>
      </c>
    </row>
    <row r="102" spans="1:9" x14ac:dyDescent="0.2">
      <c r="A102" s="1" t="str">
        <f>IF($I102="","",97)</f>
        <v/>
      </c>
      <c r="B102" s="2" t="str">
        <f>IF($I102="","",INDEX(CHOOSE($J$3,'فحص-حاسب-بكالوريوس'!$A$5:$A$208,'فحص-بيانات-بكالوريوس'!$A$5:$A$208,'فحص-بيانات-ماجستير'!$A$5:$A$230),$I102)&amp;"")</f>
        <v/>
      </c>
      <c r="C102" s="2" t="str">
        <f>IF($I102="","",INDEX(CHOOSE($J$3,'فحص-حاسب-بكالوريوس'!$F$5:$F$208,'فحص-بيانات-بكالوريوس'!$F$5:$F$208,'فحص-بيانات-ماجستير'!$F$5:$F$230),$I102)&amp;"")</f>
        <v/>
      </c>
      <c r="D102" s="2" t="str">
        <f>IF($I102="","",INDEX(CHOOSE($J$3,'فحص-حاسب-بكالوريوس'!$H$5:$H$208,'فحص-بيانات-بكالوريوس'!$H$5:$H$208,'فحص-بيانات-ماجستير'!$H$5:$H$230),$I102)&amp;"")</f>
        <v/>
      </c>
      <c r="E102" s="2" t="str">
        <f>IF($I102="","",INDEX(CHOOSE($J$3,'فحص-حاسب-بكالوريوس'!$J$5:$J$208,'فحص-بيانات-بكالوريوس'!$J$5:$J$208,'فحص-بيانات-ماجستير'!$J$5:$J$230),$I102)&amp;"")</f>
        <v/>
      </c>
      <c r="F102" s="2" t="str">
        <f>IF($I102="","",INDEX(CHOOSE($J$3,'فحص-حاسب-بكالوريوس'!$L$5:$L$208,'فحص-بيانات-بكالوريوس'!$L$5:$L$208,'فحص-بيانات-ماجستير'!$L$5:$L$230),$I102)&amp;"")</f>
        <v/>
      </c>
      <c r="G102" s="2" t="str">
        <f>IF($I102="","",INDEX(CHOOSE($J$3,'فحص-حاسب-بكالوريوس'!$M$5:$M$208,'فحص-بيانات-بكالوريوس'!$M$5:$M$208,'فحص-بيانات-ماجستير'!$M$5:$M$230),$I102)&amp;"")</f>
        <v/>
      </c>
      <c r="I102" s="2" t="str">
        <f>IFERROR(MATCH($E$3&amp;"#"&amp;97,CHOOSE($J$3,'فحص-حاسب-بكالوريوس'!$R$5:$R$208,'فحص-بيانات-بكالوريوس'!$R$5:$R$208,'فحص-بيانات-ماجستير'!$R$5:$R$230),0),"")</f>
        <v/>
      </c>
    </row>
    <row r="103" spans="1:9" x14ac:dyDescent="0.2">
      <c r="A103" s="1" t="str">
        <f>IF($I103="","",98)</f>
        <v/>
      </c>
      <c r="B103" s="2" t="str">
        <f>IF($I103="","",INDEX(CHOOSE($J$3,'فحص-حاسب-بكالوريوس'!$A$5:$A$208,'فحص-بيانات-بكالوريوس'!$A$5:$A$208,'فحص-بيانات-ماجستير'!$A$5:$A$230),$I103)&amp;"")</f>
        <v/>
      </c>
      <c r="C103" s="2" t="str">
        <f>IF($I103="","",INDEX(CHOOSE($J$3,'فحص-حاسب-بكالوريوس'!$F$5:$F$208,'فحص-بيانات-بكالوريوس'!$F$5:$F$208,'فحص-بيانات-ماجستير'!$F$5:$F$230),$I103)&amp;"")</f>
        <v/>
      </c>
      <c r="D103" s="2" t="str">
        <f>IF($I103="","",INDEX(CHOOSE($J$3,'فحص-حاسب-بكالوريوس'!$H$5:$H$208,'فحص-بيانات-بكالوريوس'!$H$5:$H$208,'فحص-بيانات-ماجستير'!$H$5:$H$230),$I103)&amp;"")</f>
        <v/>
      </c>
      <c r="E103" s="2" t="str">
        <f>IF($I103="","",INDEX(CHOOSE($J$3,'فحص-حاسب-بكالوريوس'!$J$5:$J$208,'فحص-بيانات-بكالوريوس'!$J$5:$J$208,'فحص-بيانات-ماجستير'!$J$5:$J$230),$I103)&amp;"")</f>
        <v/>
      </c>
      <c r="F103" s="2" t="str">
        <f>IF($I103="","",INDEX(CHOOSE($J$3,'فحص-حاسب-بكالوريوس'!$L$5:$L$208,'فحص-بيانات-بكالوريوس'!$L$5:$L$208,'فحص-بيانات-ماجستير'!$L$5:$L$230),$I103)&amp;"")</f>
        <v/>
      </c>
      <c r="G103" s="2" t="str">
        <f>IF($I103="","",INDEX(CHOOSE($J$3,'فحص-حاسب-بكالوريوس'!$M$5:$M$208,'فحص-بيانات-بكالوريوس'!$M$5:$M$208,'فحص-بيانات-ماجستير'!$M$5:$M$230),$I103)&amp;"")</f>
        <v/>
      </c>
      <c r="I103" s="2" t="str">
        <f>IFERROR(MATCH($E$3&amp;"#"&amp;98,CHOOSE($J$3,'فحص-حاسب-بكالوريوس'!$R$5:$R$208,'فحص-بيانات-بكالوريوس'!$R$5:$R$208,'فحص-بيانات-ماجستير'!$R$5:$R$230),0),"")</f>
        <v/>
      </c>
    </row>
    <row r="104" spans="1:9" x14ac:dyDescent="0.2">
      <c r="A104" s="1" t="str">
        <f>IF($I104="","",99)</f>
        <v/>
      </c>
      <c r="B104" s="2" t="str">
        <f>IF($I104="","",INDEX(CHOOSE($J$3,'فحص-حاسب-بكالوريوس'!$A$5:$A$208,'فحص-بيانات-بكالوريوس'!$A$5:$A$208,'فحص-بيانات-ماجستير'!$A$5:$A$230),$I104)&amp;"")</f>
        <v/>
      </c>
      <c r="C104" s="2" t="str">
        <f>IF($I104="","",INDEX(CHOOSE($J$3,'فحص-حاسب-بكالوريوس'!$F$5:$F$208,'فحص-بيانات-بكالوريوس'!$F$5:$F$208,'فحص-بيانات-ماجستير'!$F$5:$F$230),$I104)&amp;"")</f>
        <v/>
      </c>
      <c r="D104" s="2" t="str">
        <f>IF($I104="","",INDEX(CHOOSE($J$3,'فحص-حاسب-بكالوريوس'!$H$5:$H$208,'فحص-بيانات-بكالوريوس'!$H$5:$H$208,'فحص-بيانات-ماجستير'!$H$5:$H$230),$I104)&amp;"")</f>
        <v/>
      </c>
      <c r="E104" s="2" t="str">
        <f>IF($I104="","",INDEX(CHOOSE($J$3,'فحص-حاسب-بكالوريوس'!$J$5:$J$208,'فحص-بيانات-بكالوريوس'!$J$5:$J$208,'فحص-بيانات-ماجستير'!$J$5:$J$230),$I104)&amp;"")</f>
        <v/>
      </c>
      <c r="F104" s="2" t="str">
        <f>IF($I104="","",INDEX(CHOOSE($J$3,'فحص-حاسب-بكالوريوس'!$L$5:$L$208,'فحص-بيانات-بكالوريوس'!$L$5:$L$208,'فحص-بيانات-ماجستير'!$L$5:$L$230),$I104)&amp;"")</f>
        <v/>
      </c>
      <c r="G104" s="2" t="str">
        <f>IF($I104="","",INDEX(CHOOSE($J$3,'فحص-حاسب-بكالوريوس'!$M$5:$M$208,'فحص-بيانات-بكالوريوس'!$M$5:$M$208,'فحص-بيانات-ماجستير'!$M$5:$M$230),$I104)&amp;"")</f>
        <v/>
      </c>
      <c r="I104" s="2" t="str">
        <f>IFERROR(MATCH($E$3&amp;"#"&amp;99,CHOOSE($J$3,'فحص-حاسب-بكالوريوس'!$R$5:$R$208,'فحص-بيانات-بكالوريوس'!$R$5:$R$208,'فحص-بيانات-ماجستير'!$R$5:$R$230),0),"")</f>
        <v/>
      </c>
    </row>
    <row r="105" spans="1:9" x14ac:dyDescent="0.2">
      <c r="A105" s="1" t="str">
        <f>IF($I105="","",100)</f>
        <v/>
      </c>
      <c r="B105" s="2" t="str">
        <f>IF($I105="","",INDEX(CHOOSE($J$3,'فحص-حاسب-بكالوريوس'!$A$5:$A$208,'فحص-بيانات-بكالوريوس'!$A$5:$A$208,'فحص-بيانات-ماجستير'!$A$5:$A$230),$I105)&amp;"")</f>
        <v/>
      </c>
      <c r="C105" s="2" t="str">
        <f>IF($I105="","",INDEX(CHOOSE($J$3,'فحص-حاسب-بكالوريوس'!$F$5:$F$208,'فحص-بيانات-بكالوريوس'!$F$5:$F$208,'فحص-بيانات-ماجستير'!$F$5:$F$230),$I105)&amp;"")</f>
        <v/>
      </c>
      <c r="D105" s="2" t="str">
        <f>IF($I105="","",INDEX(CHOOSE($J$3,'فحص-حاسب-بكالوريوس'!$H$5:$H$208,'فحص-بيانات-بكالوريوس'!$H$5:$H$208,'فحص-بيانات-ماجستير'!$H$5:$H$230),$I105)&amp;"")</f>
        <v/>
      </c>
      <c r="E105" s="2" t="str">
        <f>IF($I105="","",INDEX(CHOOSE($J$3,'فحص-حاسب-بكالوريوس'!$J$5:$J$208,'فحص-بيانات-بكالوريوس'!$J$5:$J$208,'فحص-بيانات-ماجستير'!$J$5:$J$230),$I105)&amp;"")</f>
        <v/>
      </c>
      <c r="F105" s="2" t="str">
        <f>IF($I105="","",INDEX(CHOOSE($J$3,'فحص-حاسب-بكالوريوس'!$L$5:$L$208,'فحص-بيانات-بكالوريوس'!$L$5:$L$208,'فحص-بيانات-ماجستير'!$L$5:$L$230),$I105)&amp;"")</f>
        <v/>
      </c>
      <c r="G105" s="2" t="str">
        <f>IF($I105="","",INDEX(CHOOSE($J$3,'فحص-حاسب-بكالوريوس'!$M$5:$M$208,'فحص-بيانات-بكالوريوس'!$M$5:$M$208,'فحص-بيانات-ماجستير'!$M$5:$M$230),$I105)&amp;"")</f>
        <v/>
      </c>
      <c r="I105" s="2" t="str">
        <f>IFERROR(MATCH($E$3&amp;"#"&amp;100,CHOOSE($J$3,'فحص-حاسب-بكالوريوس'!$R$5:$R$208,'فحص-بيانات-بكالوريوس'!$R$5:$R$208,'فحص-بيانات-ماجستير'!$R$5:$R$230),0),"")</f>
        <v/>
      </c>
    </row>
    <row r="106" spans="1:9" x14ac:dyDescent="0.2">
      <c r="A106" s="1" t="str">
        <f>IF($I106="","",101)</f>
        <v/>
      </c>
      <c r="B106" s="2" t="str">
        <f>IF($I106="","",INDEX(CHOOSE($J$3,'فحص-حاسب-بكالوريوس'!$A$5:$A$208,'فحص-بيانات-بكالوريوس'!$A$5:$A$208,'فحص-بيانات-ماجستير'!$A$5:$A$230),$I106)&amp;"")</f>
        <v/>
      </c>
      <c r="C106" s="2" t="str">
        <f>IF($I106="","",INDEX(CHOOSE($J$3,'فحص-حاسب-بكالوريوس'!$F$5:$F$208,'فحص-بيانات-بكالوريوس'!$F$5:$F$208,'فحص-بيانات-ماجستير'!$F$5:$F$230),$I106)&amp;"")</f>
        <v/>
      </c>
      <c r="D106" s="2" t="str">
        <f>IF($I106="","",INDEX(CHOOSE($J$3,'فحص-حاسب-بكالوريوس'!$H$5:$H$208,'فحص-بيانات-بكالوريوس'!$H$5:$H$208,'فحص-بيانات-ماجستير'!$H$5:$H$230),$I106)&amp;"")</f>
        <v/>
      </c>
      <c r="E106" s="2" t="str">
        <f>IF($I106="","",INDEX(CHOOSE($J$3,'فحص-حاسب-بكالوريوس'!$J$5:$J$208,'فحص-بيانات-بكالوريوس'!$J$5:$J$208,'فحص-بيانات-ماجستير'!$J$5:$J$230),$I106)&amp;"")</f>
        <v/>
      </c>
      <c r="F106" s="2" t="str">
        <f>IF($I106="","",INDEX(CHOOSE($J$3,'فحص-حاسب-بكالوريوس'!$L$5:$L$208,'فحص-بيانات-بكالوريوس'!$L$5:$L$208,'فحص-بيانات-ماجستير'!$L$5:$L$230),$I106)&amp;"")</f>
        <v/>
      </c>
      <c r="G106" s="2" t="str">
        <f>IF($I106="","",INDEX(CHOOSE($J$3,'فحص-حاسب-بكالوريوس'!$M$5:$M$208,'فحص-بيانات-بكالوريوس'!$M$5:$M$208,'فحص-بيانات-ماجستير'!$M$5:$M$230),$I106)&amp;"")</f>
        <v/>
      </c>
      <c r="I106" s="2" t="str">
        <f>IFERROR(MATCH($E$3&amp;"#"&amp;101,CHOOSE($J$3,'فحص-حاسب-بكالوريوس'!$R$5:$R$208,'فحص-بيانات-بكالوريوس'!$R$5:$R$208,'فحص-بيانات-ماجستير'!$R$5:$R$230),0),"")</f>
        <v/>
      </c>
    </row>
    <row r="107" spans="1:9" x14ac:dyDescent="0.2">
      <c r="A107" s="1" t="str">
        <f>IF($I107="","",102)</f>
        <v/>
      </c>
      <c r="B107" s="2" t="str">
        <f>IF($I107="","",INDEX(CHOOSE($J$3,'فحص-حاسب-بكالوريوس'!$A$5:$A$208,'فحص-بيانات-بكالوريوس'!$A$5:$A$208,'فحص-بيانات-ماجستير'!$A$5:$A$230),$I107)&amp;"")</f>
        <v/>
      </c>
      <c r="C107" s="2" t="str">
        <f>IF($I107="","",INDEX(CHOOSE($J$3,'فحص-حاسب-بكالوريوس'!$F$5:$F$208,'فحص-بيانات-بكالوريوس'!$F$5:$F$208,'فحص-بيانات-ماجستير'!$F$5:$F$230),$I107)&amp;"")</f>
        <v/>
      </c>
      <c r="D107" s="2" t="str">
        <f>IF($I107="","",INDEX(CHOOSE($J$3,'فحص-حاسب-بكالوريوس'!$H$5:$H$208,'فحص-بيانات-بكالوريوس'!$H$5:$H$208,'فحص-بيانات-ماجستير'!$H$5:$H$230),$I107)&amp;"")</f>
        <v/>
      </c>
      <c r="E107" s="2" t="str">
        <f>IF($I107="","",INDEX(CHOOSE($J$3,'فحص-حاسب-بكالوريوس'!$J$5:$J$208,'فحص-بيانات-بكالوريوس'!$J$5:$J$208,'فحص-بيانات-ماجستير'!$J$5:$J$230),$I107)&amp;"")</f>
        <v/>
      </c>
      <c r="F107" s="2" t="str">
        <f>IF($I107="","",INDEX(CHOOSE($J$3,'فحص-حاسب-بكالوريوس'!$L$5:$L$208,'فحص-بيانات-بكالوريوس'!$L$5:$L$208,'فحص-بيانات-ماجستير'!$L$5:$L$230),$I107)&amp;"")</f>
        <v/>
      </c>
      <c r="G107" s="2" t="str">
        <f>IF($I107="","",INDEX(CHOOSE($J$3,'فحص-حاسب-بكالوريوس'!$M$5:$M$208,'فحص-بيانات-بكالوريوس'!$M$5:$M$208,'فحص-بيانات-ماجستير'!$M$5:$M$230),$I107)&amp;"")</f>
        <v/>
      </c>
      <c r="I107" s="2" t="str">
        <f>IFERROR(MATCH($E$3&amp;"#"&amp;102,CHOOSE($J$3,'فحص-حاسب-بكالوريوس'!$R$5:$R$208,'فحص-بيانات-بكالوريوس'!$R$5:$R$208,'فحص-بيانات-ماجستير'!$R$5:$R$230),0),"")</f>
        <v/>
      </c>
    </row>
    <row r="108" spans="1:9" x14ac:dyDescent="0.2">
      <c r="A108" s="1" t="str">
        <f>IF($I108="","",103)</f>
        <v/>
      </c>
      <c r="B108" s="2" t="str">
        <f>IF($I108="","",INDEX(CHOOSE($J$3,'فحص-حاسب-بكالوريوس'!$A$5:$A$208,'فحص-بيانات-بكالوريوس'!$A$5:$A$208,'فحص-بيانات-ماجستير'!$A$5:$A$230),$I108)&amp;"")</f>
        <v/>
      </c>
      <c r="C108" s="2" t="str">
        <f>IF($I108="","",INDEX(CHOOSE($J$3,'فحص-حاسب-بكالوريوس'!$F$5:$F$208,'فحص-بيانات-بكالوريوس'!$F$5:$F$208,'فحص-بيانات-ماجستير'!$F$5:$F$230),$I108)&amp;"")</f>
        <v/>
      </c>
      <c r="D108" s="2" t="str">
        <f>IF($I108="","",INDEX(CHOOSE($J$3,'فحص-حاسب-بكالوريوس'!$H$5:$H$208,'فحص-بيانات-بكالوريوس'!$H$5:$H$208,'فحص-بيانات-ماجستير'!$H$5:$H$230),$I108)&amp;"")</f>
        <v/>
      </c>
      <c r="E108" s="2" t="str">
        <f>IF($I108="","",INDEX(CHOOSE($J$3,'فحص-حاسب-بكالوريوس'!$J$5:$J$208,'فحص-بيانات-بكالوريوس'!$J$5:$J$208,'فحص-بيانات-ماجستير'!$J$5:$J$230),$I108)&amp;"")</f>
        <v/>
      </c>
      <c r="F108" s="2" t="str">
        <f>IF($I108="","",INDEX(CHOOSE($J$3,'فحص-حاسب-بكالوريوس'!$L$5:$L$208,'فحص-بيانات-بكالوريوس'!$L$5:$L$208,'فحص-بيانات-ماجستير'!$L$5:$L$230),$I108)&amp;"")</f>
        <v/>
      </c>
      <c r="G108" s="2" t="str">
        <f>IF($I108="","",INDEX(CHOOSE($J$3,'فحص-حاسب-بكالوريوس'!$M$5:$M$208,'فحص-بيانات-بكالوريوس'!$M$5:$M$208,'فحص-بيانات-ماجستير'!$M$5:$M$230),$I108)&amp;"")</f>
        <v/>
      </c>
      <c r="I108" s="2" t="str">
        <f>IFERROR(MATCH($E$3&amp;"#"&amp;103,CHOOSE($J$3,'فحص-حاسب-بكالوريوس'!$R$5:$R$208,'فحص-بيانات-بكالوريوس'!$R$5:$R$208,'فحص-بيانات-ماجستير'!$R$5:$R$230),0),"")</f>
        <v/>
      </c>
    </row>
    <row r="109" spans="1:9" x14ac:dyDescent="0.2">
      <c r="A109" s="1" t="str">
        <f>IF($I109="","",104)</f>
        <v/>
      </c>
      <c r="B109" s="2" t="str">
        <f>IF($I109="","",INDEX(CHOOSE($J$3,'فحص-حاسب-بكالوريوس'!$A$5:$A$208,'فحص-بيانات-بكالوريوس'!$A$5:$A$208,'فحص-بيانات-ماجستير'!$A$5:$A$230),$I109)&amp;"")</f>
        <v/>
      </c>
      <c r="C109" s="2" t="str">
        <f>IF($I109="","",INDEX(CHOOSE($J$3,'فحص-حاسب-بكالوريوس'!$F$5:$F$208,'فحص-بيانات-بكالوريوس'!$F$5:$F$208,'فحص-بيانات-ماجستير'!$F$5:$F$230),$I109)&amp;"")</f>
        <v/>
      </c>
      <c r="D109" s="2" t="str">
        <f>IF($I109="","",INDEX(CHOOSE($J$3,'فحص-حاسب-بكالوريوس'!$H$5:$H$208,'فحص-بيانات-بكالوريوس'!$H$5:$H$208,'فحص-بيانات-ماجستير'!$H$5:$H$230),$I109)&amp;"")</f>
        <v/>
      </c>
      <c r="E109" s="2" t="str">
        <f>IF($I109="","",INDEX(CHOOSE($J$3,'فحص-حاسب-بكالوريوس'!$J$5:$J$208,'فحص-بيانات-بكالوريوس'!$J$5:$J$208,'فحص-بيانات-ماجستير'!$J$5:$J$230),$I109)&amp;"")</f>
        <v/>
      </c>
      <c r="F109" s="2" t="str">
        <f>IF($I109="","",INDEX(CHOOSE($J$3,'فحص-حاسب-بكالوريوس'!$L$5:$L$208,'فحص-بيانات-بكالوريوس'!$L$5:$L$208,'فحص-بيانات-ماجستير'!$L$5:$L$230),$I109)&amp;"")</f>
        <v/>
      </c>
      <c r="G109" s="2" t="str">
        <f>IF($I109="","",INDEX(CHOOSE($J$3,'فحص-حاسب-بكالوريوس'!$M$5:$M$208,'فحص-بيانات-بكالوريوس'!$M$5:$M$208,'فحص-بيانات-ماجستير'!$M$5:$M$230),$I109)&amp;"")</f>
        <v/>
      </c>
      <c r="I109" s="2" t="str">
        <f>IFERROR(MATCH($E$3&amp;"#"&amp;104,CHOOSE($J$3,'فحص-حاسب-بكالوريوس'!$R$5:$R$208,'فحص-بيانات-بكالوريوس'!$R$5:$R$208,'فحص-بيانات-ماجستير'!$R$5:$R$230),0),"")</f>
        <v/>
      </c>
    </row>
    <row r="110" spans="1:9" x14ac:dyDescent="0.2">
      <c r="A110" s="1" t="str">
        <f>IF($I110="","",105)</f>
        <v/>
      </c>
      <c r="B110" s="2" t="str">
        <f>IF($I110="","",INDEX(CHOOSE($J$3,'فحص-حاسب-بكالوريوس'!$A$5:$A$208,'فحص-بيانات-بكالوريوس'!$A$5:$A$208,'فحص-بيانات-ماجستير'!$A$5:$A$230),$I110)&amp;"")</f>
        <v/>
      </c>
      <c r="C110" s="2" t="str">
        <f>IF($I110="","",INDEX(CHOOSE($J$3,'فحص-حاسب-بكالوريوس'!$F$5:$F$208,'فحص-بيانات-بكالوريوس'!$F$5:$F$208,'فحص-بيانات-ماجستير'!$F$5:$F$230),$I110)&amp;"")</f>
        <v/>
      </c>
      <c r="D110" s="2" t="str">
        <f>IF($I110="","",INDEX(CHOOSE($J$3,'فحص-حاسب-بكالوريوس'!$H$5:$H$208,'فحص-بيانات-بكالوريوس'!$H$5:$H$208,'فحص-بيانات-ماجستير'!$H$5:$H$230),$I110)&amp;"")</f>
        <v/>
      </c>
      <c r="E110" s="2" t="str">
        <f>IF($I110="","",INDEX(CHOOSE($J$3,'فحص-حاسب-بكالوريوس'!$J$5:$J$208,'فحص-بيانات-بكالوريوس'!$J$5:$J$208,'فحص-بيانات-ماجستير'!$J$5:$J$230),$I110)&amp;"")</f>
        <v/>
      </c>
      <c r="F110" s="2" t="str">
        <f>IF($I110="","",INDEX(CHOOSE($J$3,'فحص-حاسب-بكالوريوس'!$L$5:$L$208,'فحص-بيانات-بكالوريوس'!$L$5:$L$208,'فحص-بيانات-ماجستير'!$L$5:$L$230),$I110)&amp;"")</f>
        <v/>
      </c>
      <c r="G110" s="2" t="str">
        <f>IF($I110="","",INDEX(CHOOSE($J$3,'فحص-حاسب-بكالوريوس'!$M$5:$M$208,'فحص-بيانات-بكالوريوس'!$M$5:$M$208,'فحص-بيانات-ماجستير'!$M$5:$M$230),$I110)&amp;"")</f>
        <v/>
      </c>
      <c r="I110" s="2" t="str">
        <f>IFERROR(MATCH($E$3&amp;"#"&amp;105,CHOOSE($J$3,'فحص-حاسب-بكالوريوس'!$R$5:$R$208,'فحص-بيانات-بكالوريوس'!$R$5:$R$208,'فحص-بيانات-ماجستير'!$R$5:$R$230),0),"")</f>
        <v/>
      </c>
    </row>
    <row r="111" spans="1:9" x14ac:dyDescent="0.2">
      <c r="A111" s="1" t="str">
        <f>IF($I111="","",106)</f>
        <v/>
      </c>
      <c r="B111" s="2" t="str">
        <f>IF($I111="","",INDEX(CHOOSE($J$3,'فحص-حاسب-بكالوريوس'!$A$5:$A$208,'فحص-بيانات-بكالوريوس'!$A$5:$A$208,'فحص-بيانات-ماجستير'!$A$5:$A$230),$I111)&amp;"")</f>
        <v/>
      </c>
      <c r="C111" s="2" t="str">
        <f>IF($I111="","",INDEX(CHOOSE($J$3,'فحص-حاسب-بكالوريوس'!$F$5:$F$208,'فحص-بيانات-بكالوريوس'!$F$5:$F$208,'فحص-بيانات-ماجستير'!$F$5:$F$230),$I111)&amp;"")</f>
        <v/>
      </c>
      <c r="D111" s="2" t="str">
        <f>IF($I111="","",INDEX(CHOOSE($J$3,'فحص-حاسب-بكالوريوس'!$H$5:$H$208,'فحص-بيانات-بكالوريوس'!$H$5:$H$208,'فحص-بيانات-ماجستير'!$H$5:$H$230),$I111)&amp;"")</f>
        <v/>
      </c>
      <c r="E111" s="2" t="str">
        <f>IF($I111="","",INDEX(CHOOSE($J$3,'فحص-حاسب-بكالوريوس'!$J$5:$J$208,'فحص-بيانات-بكالوريوس'!$J$5:$J$208,'فحص-بيانات-ماجستير'!$J$5:$J$230),$I111)&amp;"")</f>
        <v/>
      </c>
      <c r="F111" s="2" t="str">
        <f>IF($I111="","",INDEX(CHOOSE($J$3,'فحص-حاسب-بكالوريوس'!$L$5:$L$208,'فحص-بيانات-بكالوريوس'!$L$5:$L$208,'فحص-بيانات-ماجستير'!$L$5:$L$230),$I111)&amp;"")</f>
        <v/>
      </c>
      <c r="G111" s="2" t="str">
        <f>IF($I111="","",INDEX(CHOOSE($J$3,'فحص-حاسب-بكالوريوس'!$M$5:$M$208,'فحص-بيانات-بكالوريوس'!$M$5:$M$208,'فحص-بيانات-ماجستير'!$M$5:$M$230),$I111)&amp;"")</f>
        <v/>
      </c>
      <c r="I111" s="2" t="str">
        <f>IFERROR(MATCH($E$3&amp;"#"&amp;106,CHOOSE($J$3,'فحص-حاسب-بكالوريوس'!$R$5:$R$208,'فحص-بيانات-بكالوريوس'!$R$5:$R$208,'فحص-بيانات-ماجستير'!$R$5:$R$230),0),"")</f>
        <v/>
      </c>
    </row>
    <row r="112" spans="1:9" x14ac:dyDescent="0.2">
      <c r="A112" s="1" t="str">
        <f>IF($I112="","",107)</f>
        <v/>
      </c>
      <c r="B112" s="2" t="str">
        <f>IF($I112="","",INDEX(CHOOSE($J$3,'فحص-حاسب-بكالوريوس'!$A$5:$A$208,'فحص-بيانات-بكالوريوس'!$A$5:$A$208,'فحص-بيانات-ماجستير'!$A$5:$A$230),$I112)&amp;"")</f>
        <v/>
      </c>
      <c r="C112" s="2" t="str">
        <f>IF($I112="","",INDEX(CHOOSE($J$3,'فحص-حاسب-بكالوريوس'!$F$5:$F$208,'فحص-بيانات-بكالوريوس'!$F$5:$F$208,'فحص-بيانات-ماجستير'!$F$5:$F$230),$I112)&amp;"")</f>
        <v/>
      </c>
      <c r="D112" s="2" t="str">
        <f>IF($I112="","",INDEX(CHOOSE($J$3,'فحص-حاسب-بكالوريوس'!$H$5:$H$208,'فحص-بيانات-بكالوريوس'!$H$5:$H$208,'فحص-بيانات-ماجستير'!$H$5:$H$230),$I112)&amp;"")</f>
        <v/>
      </c>
      <c r="E112" s="2" t="str">
        <f>IF($I112="","",INDEX(CHOOSE($J$3,'فحص-حاسب-بكالوريوس'!$J$5:$J$208,'فحص-بيانات-بكالوريوس'!$J$5:$J$208,'فحص-بيانات-ماجستير'!$J$5:$J$230),$I112)&amp;"")</f>
        <v/>
      </c>
      <c r="F112" s="2" t="str">
        <f>IF($I112="","",INDEX(CHOOSE($J$3,'فحص-حاسب-بكالوريوس'!$L$5:$L$208,'فحص-بيانات-بكالوريوس'!$L$5:$L$208,'فحص-بيانات-ماجستير'!$L$5:$L$230),$I112)&amp;"")</f>
        <v/>
      </c>
      <c r="G112" s="2" t="str">
        <f>IF($I112="","",INDEX(CHOOSE($J$3,'فحص-حاسب-بكالوريوس'!$M$5:$M$208,'فحص-بيانات-بكالوريوس'!$M$5:$M$208,'فحص-بيانات-ماجستير'!$M$5:$M$230),$I112)&amp;"")</f>
        <v/>
      </c>
      <c r="I112" s="2" t="str">
        <f>IFERROR(MATCH($E$3&amp;"#"&amp;107,CHOOSE($J$3,'فحص-حاسب-بكالوريوس'!$R$5:$R$208,'فحص-بيانات-بكالوريوس'!$R$5:$R$208,'فحص-بيانات-ماجستير'!$R$5:$R$230),0),"")</f>
        <v/>
      </c>
    </row>
    <row r="113" spans="1:9" x14ac:dyDescent="0.2">
      <c r="A113" s="1" t="str">
        <f>IF($I113="","",108)</f>
        <v/>
      </c>
      <c r="B113" s="2" t="str">
        <f>IF($I113="","",INDEX(CHOOSE($J$3,'فحص-حاسب-بكالوريوس'!$A$5:$A$208,'فحص-بيانات-بكالوريوس'!$A$5:$A$208,'فحص-بيانات-ماجستير'!$A$5:$A$230),$I113)&amp;"")</f>
        <v/>
      </c>
      <c r="C113" s="2" t="str">
        <f>IF($I113="","",INDEX(CHOOSE($J$3,'فحص-حاسب-بكالوريوس'!$F$5:$F$208,'فحص-بيانات-بكالوريوس'!$F$5:$F$208,'فحص-بيانات-ماجستير'!$F$5:$F$230),$I113)&amp;"")</f>
        <v/>
      </c>
      <c r="D113" s="2" t="str">
        <f>IF($I113="","",INDEX(CHOOSE($J$3,'فحص-حاسب-بكالوريوس'!$H$5:$H$208,'فحص-بيانات-بكالوريوس'!$H$5:$H$208,'فحص-بيانات-ماجستير'!$H$5:$H$230),$I113)&amp;"")</f>
        <v/>
      </c>
      <c r="E113" s="2" t="str">
        <f>IF($I113="","",INDEX(CHOOSE($J$3,'فحص-حاسب-بكالوريوس'!$J$5:$J$208,'فحص-بيانات-بكالوريوس'!$J$5:$J$208,'فحص-بيانات-ماجستير'!$J$5:$J$230),$I113)&amp;"")</f>
        <v/>
      </c>
      <c r="F113" s="2" t="str">
        <f>IF($I113="","",INDEX(CHOOSE($J$3,'فحص-حاسب-بكالوريوس'!$L$5:$L$208,'فحص-بيانات-بكالوريوس'!$L$5:$L$208,'فحص-بيانات-ماجستير'!$L$5:$L$230),$I113)&amp;"")</f>
        <v/>
      </c>
      <c r="G113" s="2" t="str">
        <f>IF($I113="","",INDEX(CHOOSE($J$3,'فحص-حاسب-بكالوريوس'!$M$5:$M$208,'فحص-بيانات-بكالوريوس'!$M$5:$M$208,'فحص-بيانات-ماجستير'!$M$5:$M$230),$I113)&amp;"")</f>
        <v/>
      </c>
      <c r="I113" s="2" t="str">
        <f>IFERROR(MATCH($E$3&amp;"#"&amp;108,CHOOSE($J$3,'فحص-حاسب-بكالوريوس'!$R$5:$R$208,'فحص-بيانات-بكالوريوس'!$R$5:$R$208,'فحص-بيانات-ماجستير'!$R$5:$R$230),0),"")</f>
        <v/>
      </c>
    </row>
    <row r="114" spans="1:9" x14ac:dyDescent="0.2">
      <c r="A114" s="1" t="str">
        <f>IF($I114="","",109)</f>
        <v/>
      </c>
      <c r="B114" s="2" t="str">
        <f>IF($I114="","",INDEX(CHOOSE($J$3,'فحص-حاسب-بكالوريوس'!$A$5:$A$208,'فحص-بيانات-بكالوريوس'!$A$5:$A$208,'فحص-بيانات-ماجستير'!$A$5:$A$230),$I114)&amp;"")</f>
        <v/>
      </c>
      <c r="C114" s="2" t="str">
        <f>IF($I114="","",INDEX(CHOOSE($J$3,'فحص-حاسب-بكالوريوس'!$F$5:$F$208,'فحص-بيانات-بكالوريوس'!$F$5:$F$208,'فحص-بيانات-ماجستير'!$F$5:$F$230),$I114)&amp;"")</f>
        <v/>
      </c>
      <c r="D114" s="2" t="str">
        <f>IF($I114="","",INDEX(CHOOSE($J$3,'فحص-حاسب-بكالوريوس'!$H$5:$H$208,'فحص-بيانات-بكالوريوس'!$H$5:$H$208,'فحص-بيانات-ماجستير'!$H$5:$H$230),$I114)&amp;"")</f>
        <v/>
      </c>
      <c r="E114" s="2" t="str">
        <f>IF($I114="","",INDEX(CHOOSE($J$3,'فحص-حاسب-بكالوريوس'!$J$5:$J$208,'فحص-بيانات-بكالوريوس'!$J$5:$J$208,'فحص-بيانات-ماجستير'!$J$5:$J$230),$I114)&amp;"")</f>
        <v/>
      </c>
      <c r="F114" s="2" t="str">
        <f>IF($I114="","",INDEX(CHOOSE($J$3,'فحص-حاسب-بكالوريوس'!$L$5:$L$208,'فحص-بيانات-بكالوريوس'!$L$5:$L$208,'فحص-بيانات-ماجستير'!$L$5:$L$230),$I114)&amp;"")</f>
        <v/>
      </c>
      <c r="G114" s="2" t="str">
        <f>IF($I114="","",INDEX(CHOOSE($J$3,'فحص-حاسب-بكالوريوس'!$M$5:$M$208,'فحص-بيانات-بكالوريوس'!$M$5:$M$208,'فحص-بيانات-ماجستير'!$M$5:$M$230),$I114)&amp;"")</f>
        <v/>
      </c>
      <c r="I114" s="2" t="str">
        <f>IFERROR(MATCH($E$3&amp;"#"&amp;109,CHOOSE($J$3,'فحص-حاسب-بكالوريوس'!$R$5:$R$208,'فحص-بيانات-بكالوريوس'!$R$5:$R$208,'فحص-بيانات-ماجستير'!$R$5:$R$230),0),"")</f>
        <v/>
      </c>
    </row>
    <row r="115" spans="1:9" x14ac:dyDescent="0.2">
      <c r="A115" s="1" t="str">
        <f>IF($I115="","",110)</f>
        <v/>
      </c>
      <c r="B115" s="2" t="str">
        <f>IF($I115="","",INDEX(CHOOSE($J$3,'فحص-حاسب-بكالوريوس'!$A$5:$A$208,'فحص-بيانات-بكالوريوس'!$A$5:$A$208,'فحص-بيانات-ماجستير'!$A$5:$A$230),$I115)&amp;"")</f>
        <v/>
      </c>
      <c r="C115" s="2" t="str">
        <f>IF($I115="","",INDEX(CHOOSE($J$3,'فحص-حاسب-بكالوريوس'!$F$5:$F$208,'فحص-بيانات-بكالوريوس'!$F$5:$F$208,'فحص-بيانات-ماجستير'!$F$5:$F$230),$I115)&amp;"")</f>
        <v/>
      </c>
      <c r="D115" s="2" t="str">
        <f>IF($I115="","",INDEX(CHOOSE($J$3,'فحص-حاسب-بكالوريوس'!$H$5:$H$208,'فحص-بيانات-بكالوريوس'!$H$5:$H$208,'فحص-بيانات-ماجستير'!$H$5:$H$230),$I115)&amp;"")</f>
        <v/>
      </c>
      <c r="E115" s="2" t="str">
        <f>IF($I115="","",INDEX(CHOOSE($J$3,'فحص-حاسب-بكالوريوس'!$J$5:$J$208,'فحص-بيانات-بكالوريوس'!$J$5:$J$208,'فحص-بيانات-ماجستير'!$J$5:$J$230),$I115)&amp;"")</f>
        <v/>
      </c>
      <c r="F115" s="2" t="str">
        <f>IF($I115="","",INDEX(CHOOSE($J$3,'فحص-حاسب-بكالوريوس'!$L$5:$L$208,'فحص-بيانات-بكالوريوس'!$L$5:$L$208,'فحص-بيانات-ماجستير'!$L$5:$L$230),$I115)&amp;"")</f>
        <v/>
      </c>
      <c r="G115" s="2" t="str">
        <f>IF($I115="","",INDEX(CHOOSE($J$3,'فحص-حاسب-بكالوريوس'!$M$5:$M$208,'فحص-بيانات-بكالوريوس'!$M$5:$M$208,'فحص-بيانات-ماجستير'!$M$5:$M$230),$I115)&amp;"")</f>
        <v/>
      </c>
      <c r="I115" s="2" t="str">
        <f>IFERROR(MATCH($E$3&amp;"#"&amp;110,CHOOSE($J$3,'فحص-حاسب-بكالوريوس'!$R$5:$R$208,'فحص-بيانات-بكالوريوس'!$R$5:$R$208,'فحص-بيانات-ماجستير'!$R$5:$R$230),0),"")</f>
        <v/>
      </c>
    </row>
    <row r="116" spans="1:9" x14ac:dyDescent="0.2">
      <c r="A116" s="1" t="str">
        <f>IF($I116="","",111)</f>
        <v/>
      </c>
      <c r="B116" s="2" t="str">
        <f>IF($I116="","",INDEX(CHOOSE($J$3,'فحص-حاسب-بكالوريوس'!$A$5:$A$208,'فحص-بيانات-بكالوريوس'!$A$5:$A$208,'فحص-بيانات-ماجستير'!$A$5:$A$230),$I116)&amp;"")</f>
        <v/>
      </c>
      <c r="C116" s="2" t="str">
        <f>IF($I116="","",INDEX(CHOOSE($J$3,'فحص-حاسب-بكالوريوس'!$F$5:$F$208,'فحص-بيانات-بكالوريوس'!$F$5:$F$208,'فحص-بيانات-ماجستير'!$F$5:$F$230),$I116)&amp;"")</f>
        <v/>
      </c>
      <c r="D116" s="2" t="str">
        <f>IF($I116="","",INDEX(CHOOSE($J$3,'فحص-حاسب-بكالوريوس'!$H$5:$H$208,'فحص-بيانات-بكالوريوس'!$H$5:$H$208,'فحص-بيانات-ماجستير'!$H$5:$H$230),$I116)&amp;"")</f>
        <v/>
      </c>
      <c r="E116" s="2" t="str">
        <f>IF($I116="","",INDEX(CHOOSE($J$3,'فحص-حاسب-بكالوريوس'!$J$5:$J$208,'فحص-بيانات-بكالوريوس'!$J$5:$J$208,'فحص-بيانات-ماجستير'!$J$5:$J$230),$I116)&amp;"")</f>
        <v/>
      </c>
      <c r="F116" s="2" t="str">
        <f>IF($I116="","",INDEX(CHOOSE($J$3,'فحص-حاسب-بكالوريوس'!$L$5:$L$208,'فحص-بيانات-بكالوريوس'!$L$5:$L$208,'فحص-بيانات-ماجستير'!$L$5:$L$230),$I116)&amp;"")</f>
        <v/>
      </c>
      <c r="G116" s="2" t="str">
        <f>IF($I116="","",INDEX(CHOOSE($J$3,'فحص-حاسب-بكالوريوس'!$M$5:$M$208,'فحص-بيانات-بكالوريوس'!$M$5:$M$208,'فحص-بيانات-ماجستير'!$M$5:$M$230),$I116)&amp;"")</f>
        <v/>
      </c>
      <c r="I116" s="2" t="str">
        <f>IFERROR(MATCH($E$3&amp;"#"&amp;111,CHOOSE($J$3,'فحص-حاسب-بكالوريوس'!$R$5:$R$208,'فحص-بيانات-بكالوريوس'!$R$5:$R$208,'فحص-بيانات-ماجستير'!$R$5:$R$230),0),"")</f>
        <v/>
      </c>
    </row>
    <row r="117" spans="1:9" x14ac:dyDescent="0.2">
      <c r="A117" s="1" t="str">
        <f>IF($I117="","",112)</f>
        <v/>
      </c>
      <c r="B117" s="2" t="str">
        <f>IF($I117="","",INDEX(CHOOSE($J$3,'فحص-حاسب-بكالوريوس'!$A$5:$A$208,'فحص-بيانات-بكالوريوس'!$A$5:$A$208,'فحص-بيانات-ماجستير'!$A$5:$A$230),$I117)&amp;"")</f>
        <v/>
      </c>
      <c r="C117" s="2" t="str">
        <f>IF($I117="","",INDEX(CHOOSE($J$3,'فحص-حاسب-بكالوريوس'!$F$5:$F$208,'فحص-بيانات-بكالوريوس'!$F$5:$F$208,'فحص-بيانات-ماجستير'!$F$5:$F$230),$I117)&amp;"")</f>
        <v/>
      </c>
      <c r="D117" s="2" t="str">
        <f>IF($I117="","",INDEX(CHOOSE($J$3,'فحص-حاسب-بكالوريوس'!$H$5:$H$208,'فحص-بيانات-بكالوريوس'!$H$5:$H$208,'فحص-بيانات-ماجستير'!$H$5:$H$230),$I117)&amp;"")</f>
        <v/>
      </c>
      <c r="E117" s="2" t="str">
        <f>IF($I117="","",INDEX(CHOOSE($J$3,'فحص-حاسب-بكالوريوس'!$J$5:$J$208,'فحص-بيانات-بكالوريوس'!$J$5:$J$208,'فحص-بيانات-ماجستير'!$J$5:$J$230),$I117)&amp;"")</f>
        <v/>
      </c>
      <c r="F117" s="2" t="str">
        <f>IF($I117="","",INDEX(CHOOSE($J$3,'فحص-حاسب-بكالوريوس'!$L$5:$L$208,'فحص-بيانات-بكالوريوس'!$L$5:$L$208,'فحص-بيانات-ماجستير'!$L$5:$L$230),$I117)&amp;"")</f>
        <v/>
      </c>
      <c r="G117" s="2" t="str">
        <f>IF($I117="","",INDEX(CHOOSE($J$3,'فحص-حاسب-بكالوريوس'!$M$5:$M$208,'فحص-بيانات-بكالوريوس'!$M$5:$M$208,'فحص-بيانات-ماجستير'!$M$5:$M$230),$I117)&amp;"")</f>
        <v/>
      </c>
      <c r="I117" s="2" t="str">
        <f>IFERROR(MATCH($E$3&amp;"#"&amp;112,CHOOSE($J$3,'فحص-حاسب-بكالوريوس'!$R$5:$R$208,'فحص-بيانات-بكالوريوس'!$R$5:$R$208,'فحص-بيانات-ماجستير'!$R$5:$R$230),0),"")</f>
        <v/>
      </c>
    </row>
    <row r="118" spans="1:9" x14ac:dyDescent="0.2">
      <c r="A118" s="1" t="str">
        <f>IF($I118="","",113)</f>
        <v/>
      </c>
      <c r="B118" s="2" t="str">
        <f>IF($I118="","",INDEX(CHOOSE($J$3,'فحص-حاسب-بكالوريوس'!$A$5:$A$208,'فحص-بيانات-بكالوريوس'!$A$5:$A$208,'فحص-بيانات-ماجستير'!$A$5:$A$230),$I118)&amp;"")</f>
        <v/>
      </c>
      <c r="C118" s="2" t="str">
        <f>IF($I118="","",INDEX(CHOOSE($J$3,'فحص-حاسب-بكالوريوس'!$F$5:$F$208,'فحص-بيانات-بكالوريوس'!$F$5:$F$208,'فحص-بيانات-ماجستير'!$F$5:$F$230),$I118)&amp;"")</f>
        <v/>
      </c>
      <c r="D118" s="2" t="str">
        <f>IF($I118="","",INDEX(CHOOSE($J$3,'فحص-حاسب-بكالوريوس'!$H$5:$H$208,'فحص-بيانات-بكالوريوس'!$H$5:$H$208,'فحص-بيانات-ماجستير'!$H$5:$H$230),$I118)&amp;"")</f>
        <v/>
      </c>
      <c r="E118" s="2" t="str">
        <f>IF($I118="","",INDEX(CHOOSE($J$3,'فحص-حاسب-بكالوريوس'!$J$5:$J$208,'فحص-بيانات-بكالوريوس'!$J$5:$J$208,'فحص-بيانات-ماجستير'!$J$5:$J$230),$I118)&amp;"")</f>
        <v/>
      </c>
      <c r="F118" s="2" t="str">
        <f>IF($I118="","",INDEX(CHOOSE($J$3,'فحص-حاسب-بكالوريوس'!$L$5:$L$208,'فحص-بيانات-بكالوريوس'!$L$5:$L$208,'فحص-بيانات-ماجستير'!$L$5:$L$230),$I118)&amp;"")</f>
        <v/>
      </c>
      <c r="G118" s="2" t="str">
        <f>IF($I118="","",INDEX(CHOOSE($J$3,'فحص-حاسب-بكالوريوس'!$M$5:$M$208,'فحص-بيانات-بكالوريوس'!$M$5:$M$208,'فحص-بيانات-ماجستير'!$M$5:$M$230),$I118)&amp;"")</f>
        <v/>
      </c>
      <c r="I118" s="2" t="str">
        <f>IFERROR(MATCH($E$3&amp;"#"&amp;113,CHOOSE($J$3,'فحص-حاسب-بكالوريوس'!$R$5:$R$208,'فحص-بيانات-بكالوريوس'!$R$5:$R$208,'فحص-بيانات-ماجستير'!$R$5:$R$230),0),"")</f>
        <v/>
      </c>
    </row>
    <row r="119" spans="1:9" x14ac:dyDescent="0.2">
      <c r="A119" s="1" t="str">
        <f>IF($I119="","",114)</f>
        <v/>
      </c>
      <c r="B119" s="2" t="str">
        <f>IF($I119="","",INDEX(CHOOSE($J$3,'فحص-حاسب-بكالوريوس'!$A$5:$A$208,'فحص-بيانات-بكالوريوس'!$A$5:$A$208,'فحص-بيانات-ماجستير'!$A$5:$A$230),$I119)&amp;"")</f>
        <v/>
      </c>
      <c r="C119" s="2" t="str">
        <f>IF($I119="","",INDEX(CHOOSE($J$3,'فحص-حاسب-بكالوريوس'!$F$5:$F$208,'فحص-بيانات-بكالوريوس'!$F$5:$F$208,'فحص-بيانات-ماجستير'!$F$5:$F$230),$I119)&amp;"")</f>
        <v/>
      </c>
      <c r="D119" s="2" t="str">
        <f>IF($I119="","",INDEX(CHOOSE($J$3,'فحص-حاسب-بكالوريوس'!$H$5:$H$208,'فحص-بيانات-بكالوريوس'!$H$5:$H$208,'فحص-بيانات-ماجستير'!$H$5:$H$230),$I119)&amp;"")</f>
        <v/>
      </c>
      <c r="E119" s="2" t="str">
        <f>IF($I119="","",INDEX(CHOOSE($J$3,'فحص-حاسب-بكالوريوس'!$J$5:$J$208,'فحص-بيانات-بكالوريوس'!$J$5:$J$208,'فحص-بيانات-ماجستير'!$J$5:$J$230),$I119)&amp;"")</f>
        <v/>
      </c>
      <c r="F119" s="2" t="str">
        <f>IF($I119="","",INDEX(CHOOSE($J$3,'فحص-حاسب-بكالوريوس'!$L$5:$L$208,'فحص-بيانات-بكالوريوس'!$L$5:$L$208,'فحص-بيانات-ماجستير'!$L$5:$L$230),$I119)&amp;"")</f>
        <v/>
      </c>
      <c r="G119" s="2" t="str">
        <f>IF($I119="","",INDEX(CHOOSE($J$3,'فحص-حاسب-بكالوريوس'!$M$5:$M$208,'فحص-بيانات-بكالوريوس'!$M$5:$M$208,'فحص-بيانات-ماجستير'!$M$5:$M$230),$I119)&amp;"")</f>
        <v/>
      </c>
      <c r="I119" s="2" t="str">
        <f>IFERROR(MATCH($E$3&amp;"#"&amp;114,CHOOSE($J$3,'فحص-حاسب-بكالوريوس'!$R$5:$R$208,'فحص-بيانات-بكالوريوس'!$R$5:$R$208,'فحص-بيانات-ماجستير'!$R$5:$R$230),0),"")</f>
        <v/>
      </c>
    </row>
    <row r="120" spans="1:9" x14ac:dyDescent="0.2">
      <c r="A120" s="1" t="str">
        <f>IF($I120="","",115)</f>
        <v/>
      </c>
      <c r="B120" s="2" t="str">
        <f>IF($I120="","",INDEX(CHOOSE($J$3,'فحص-حاسب-بكالوريوس'!$A$5:$A$208,'فحص-بيانات-بكالوريوس'!$A$5:$A$208,'فحص-بيانات-ماجستير'!$A$5:$A$230),$I120)&amp;"")</f>
        <v/>
      </c>
      <c r="C120" s="2" t="str">
        <f>IF($I120="","",INDEX(CHOOSE($J$3,'فحص-حاسب-بكالوريوس'!$F$5:$F$208,'فحص-بيانات-بكالوريوس'!$F$5:$F$208,'فحص-بيانات-ماجستير'!$F$5:$F$230),$I120)&amp;"")</f>
        <v/>
      </c>
      <c r="D120" s="2" t="str">
        <f>IF($I120="","",INDEX(CHOOSE($J$3,'فحص-حاسب-بكالوريوس'!$H$5:$H$208,'فحص-بيانات-بكالوريوس'!$H$5:$H$208,'فحص-بيانات-ماجستير'!$H$5:$H$230),$I120)&amp;"")</f>
        <v/>
      </c>
      <c r="E120" s="2" t="str">
        <f>IF($I120="","",INDEX(CHOOSE($J$3,'فحص-حاسب-بكالوريوس'!$J$5:$J$208,'فحص-بيانات-بكالوريوس'!$J$5:$J$208,'فحص-بيانات-ماجستير'!$J$5:$J$230),$I120)&amp;"")</f>
        <v/>
      </c>
      <c r="F120" s="2" t="str">
        <f>IF($I120="","",INDEX(CHOOSE($J$3,'فحص-حاسب-بكالوريوس'!$L$5:$L$208,'فحص-بيانات-بكالوريوس'!$L$5:$L$208,'فحص-بيانات-ماجستير'!$L$5:$L$230),$I120)&amp;"")</f>
        <v/>
      </c>
      <c r="G120" s="2" t="str">
        <f>IF($I120="","",INDEX(CHOOSE($J$3,'فحص-حاسب-بكالوريوس'!$M$5:$M$208,'فحص-بيانات-بكالوريوس'!$M$5:$M$208,'فحص-بيانات-ماجستير'!$M$5:$M$230),$I120)&amp;"")</f>
        <v/>
      </c>
      <c r="I120" s="2" t="str">
        <f>IFERROR(MATCH($E$3&amp;"#"&amp;115,CHOOSE($J$3,'فحص-حاسب-بكالوريوس'!$R$5:$R$208,'فحص-بيانات-بكالوريوس'!$R$5:$R$208,'فحص-بيانات-ماجستير'!$R$5:$R$230),0),"")</f>
        <v/>
      </c>
    </row>
    <row r="121" spans="1:9" x14ac:dyDescent="0.2">
      <c r="A121" s="1" t="str">
        <f>IF($I121="","",116)</f>
        <v/>
      </c>
      <c r="B121" s="2" t="str">
        <f>IF($I121="","",INDEX(CHOOSE($J$3,'فحص-حاسب-بكالوريوس'!$A$5:$A$208,'فحص-بيانات-بكالوريوس'!$A$5:$A$208,'فحص-بيانات-ماجستير'!$A$5:$A$230),$I121)&amp;"")</f>
        <v/>
      </c>
      <c r="C121" s="2" t="str">
        <f>IF($I121="","",INDEX(CHOOSE($J$3,'فحص-حاسب-بكالوريوس'!$F$5:$F$208,'فحص-بيانات-بكالوريوس'!$F$5:$F$208,'فحص-بيانات-ماجستير'!$F$5:$F$230),$I121)&amp;"")</f>
        <v/>
      </c>
      <c r="D121" s="2" t="str">
        <f>IF($I121="","",INDEX(CHOOSE($J$3,'فحص-حاسب-بكالوريوس'!$H$5:$H$208,'فحص-بيانات-بكالوريوس'!$H$5:$H$208,'فحص-بيانات-ماجستير'!$H$5:$H$230),$I121)&amp;"")</f>
        <v/>
      </c>
      <c r="E121" s="2" t="str">
        <f>IF($I121="","",INDEX(CHOOSE($J$3,'فحص-حاسب-بكالوريوس'!$J$5:$J$208,'فحص-بيانات-بكالوريوس'!$J$5:$J$208,'فحص-بيانات-ماجستير'!$J$5:$J$230),$I121)&amp;"")</f>
        <v/>
      </c>
      <c r="F121" s="2" t="str">
        <f>IF($I121="","",INDEX(CHOOSE($J$3,'فحص-حاسب-بكالوريوس'!$L$5:$L$208,'فحص-بيانات-بكالوريوس'!$L$5:$L$208,'فحص-بيانات-ماجستير'!$L$5:$L$230),$I121)&amp;"")</f>
        <v/>
      </c>
      <c r="G121" s="2" t="str">
        <f>IF($I121="","",INDEX(CHOOSE($J$3,'فحص-حاسب-بكالوريوس'!$M$5:$M$208,'فحص-بيانات-بكالوريوس'!$M$5:$M$208,'فحص-بيانات-ماجستير'!$M$5:$M$230),$I121)&amp;"")</f>
        <v/>
      </c>
      <c r="I121" s="2" t="str">
        <f>IFERROR(MATCH($E$3&amp;"#"&amp;116,CHOOSE($J$3,'فحص-حاسب-بكالوريوس'!$R$5:$R$208,'فحص-بيانات-بكالوريوس'!$R$5:$R$208,'فحص-بيانات-ماجستير'!$R$5:$R$230),0),"")</f>
        <v/>
      </c>
    </row>
    <row r="122" spans="1:9" x14ac:dyDescent="0.2">
      <c r="A122" s="1" t="str">
        <f>IF($I122="","",117)</f>
        <v/>
      </c>
      <c r="B122" s="2" t="str">
        <f>IF($I122="","",INDEX(CHOOSE($J$3,'فحص-حاسب-بكالوريوس'!$A$5:$A$208,'فحص-بيانات-بكالوريوس'!$A$5:$A$208,'فحص-بيانات-ماجستير'!$A$5:$A$230),$I122)&amp;"")</f>
        <v/>
      </c>
      <c r="C122" s="2" t="str">
        <f>IF($I122="","",INDEX(CHOOSE($J$3,'فحص-حاسب-بكالوريوس'!$F$5:$F$208,'فحص-بيانات-بكالوريوس'!$F$5:$F$208,'فحص-بيانات-ماجستير'!$F$5:$F$230),$I122)&amp;"")</f>
        <v/>
      </c>
      <c r="D122" s="2" t="str">
        <f>IF($I122="","",INDEX(CHOOSE($J$3,'فحص-حاسب-بكالوريوس'!$H$5:$H$208,'فحص-بيانات-بكالوريوس'!$H$5:$H$208,'فحص-بيانات-ماجستير'!$H$5:$H$230),$I122)&amp;"")</f>
        <v/>
      </c>
      <c r="E122" s="2" t="str">
        <f>IF($I122="","",INDEX(CHOOSE($J$3,'فحص-حاسب-بكالوريوس'!$J$5:$J$208,'فحص-بيانات-بكالوريوس'!$J$5:$J$208,'فحص-بيانات-ماجستير'!$J$5:$J$230),$I122)&amp;"")</f>
        <v/>
      </c>
      <c r="F122" s="2" t="str">
        <f>IF($I122="","",INDEX(CHOOSE($J$3,'فحص-حاسب-بكالوريوس'!$L$5:$L$208,'فحص-بيانات-بكالوريوس'!$L$5:$L$208,'فحص-بيانات-ماجستير'!$L$5:$L$230),$I122)&amp;"")</f>
        <v/>
      </c>
      <c r="G122" s="2" t="str">
        <f>IF($I122="","",INDEX(CHOOSE($J$3,'فحص-حاسب-بكالوريوس'!$M$5:$M$208,'فحص-بيانات-بكالوريوس'!$M$5:$M$208,'فحص-بيانات-ماجستير'!$M$5:$M$230),$I122)&amp;"")</f>
        <v/>
      </c>
      <c r="I122" s="2" t="str">
        <f>IFERROR(MATCH($E$3&amp;"#"&amp;117,CHOOSE($J$3,'فحص-حاسب-بكالوريوس'!$R$5:$R$208,'فحص-بيانات-بكالوريوس'!$R$5:$R$208,'فحص-بيانات-ماجستير'!$R$5:$R$230),0),"")</f>
        <v/>
      </c>
    </row>
    <row r="123" spans="1:9" x14ac:dyDescent="0.2">
      <c r="A123" s="1" t="str">
        <f>IF($I123="","",118)</f>
        <v/>
      </c>
      <c r="B123" s="2" t="str">
        <f>IF($I123="","",INDEX(CHOOSE($J$3,'فحص-حاسب-بكالوريوس'!$A$5:$A$208,'فحص-بيانات-بكالوريوس'!$A$5:$A$208,'فحص-بيانات-ماجستير'!$A$5:$A$230),$I123)&amp;"")</f>
        <v/>
      </c>
      <c r="C123" s="2" t="str">
        <f>IF($I123="","",INDEX(CHOOSE($J$3,'فحص-حاسب-بكالوريوس'!$F$5:$F$208,'فحص-بيانات-بكالوريوس'!$F$5:$F$208,'فحص-بيانات-ماجستير'!$F$5:$F$230),$I123)&amp;"")</f>
        <v/>
      </c>
      <c r="D123" s="2" t="str">
        <f>IF($I123="","",INDEX(CHOOSE($J$3,'فحص-حاسب-بكالوريوس'!$H$5:$H$208,'فحص-بيانات-بكالوريوس'!$H$5:$H$208,'فحص-بيانات-ماجستير'!$H$5:$H$230),$I123)&amp;"")</f>
        <v/>
      </c>
      <c r="E123" s="2" t="str">
        <f>IF($I123="","",INDEX(CHOOSE($J$3,'فحص-حاسب-بكالوريوس'!$J$5:$J$208,'فحص-بيانات-بكالوريوس'!$J$5:$J$208,'فحص-بيانات-ماجستير'!$J$5:$J$230),$I123)&amp;"")</f>
        <v/>
      </c>
      <c r="F123" s="2" t="str">
        <f>IF($I123="","",INDEX(CHOOSE($J$3,'فحص-حاسب-بكالوريوس'!$L$5:$L$208,'فحص-بيانات-بكالوريوس'!$L$5:$L$208,'فحص-بيانات-ماجستير'!$L$5:$L$230),$I123)&amp;"")</f>
        <v/>
      </c>
      <c r="G123" s="2" t="str">
        <f>IF($I123="","",INDEX(CHOOSE($J$3,'فحص-حاسب-بكالوريوس'!$M$5:$M$208,'فحص-بيانات-بكالوريوس'!$M$5:$M$208,'فحص-بيانات-ماجستير'!$M$5:$M$230),$I123)&amp;"")</f>
        <v/>
      </c>
      <c r="I123" s="2" t="str">
        <f>IFERROR(MATCH($E$3&amp;"#"&amp;118,CHOOSE($J$3,'فحص-حاسب-بكالوريوس'!$R$5:$R$208,'فحص-بيانات-بكالوريوس'!$R$5:$R$208,'فحص-بيانات-ماجستير'!$R$5:$R$230),0),"")</f>
        <v/>
      </c>
    </row>
    <row r="124" spans="1:9" x14ac:dyDescent="0.2">
      <c r="A124" s="1" t="str">
        <f>IF($I124="","",119)</f>
        <v/>
      </c>
      <c r="B124" s="2" t="str">
        <f>IF($I124="","",INDEX(CHOOSE($J$3,'فحص-حاسب-بكالوريوس'!$A$5:$A$208,'فحص-بيانات-بكالوريوس'!$A$5:$A$208,'فحص-بيانات-ماجستير'!$A$5:$A$230),$I124)&amp;"")</f>
        <v/>
      </c>
      <c r="C124" s="2" t="str">
        <f>IF($I124="","",INDEX(CHOOSE($J$3,'فحص-حاسب-بكالوريوس'!$F$5:$F$208,'فحص-بيانات-بكالوريوس'!$F$5:$F$208,'فحص-بيانات-ماجستير'!$F$5:$F$230),$I124)&amp;"")</f>
        <v/>
      </c>
      <c r="D124" s="2" t="str">
        <f>IF($I124="","",INDEX(CHOOSE($J$3,'فحص-حاسب-بكالوريوس'!$H$5:$H$208,'فحص-بيانات-بكالوريوس'!$H$5:$H$208,'فحص-بيانات-ماجستير'!$H$5:$H$230),$I124)&amp;"")</f>
        <v/>
      </c>
      <c r="E124" s="2" t="str">
        <f>IF($I124="","",INDEX(CHOOSE($J$3,'فحص-حاسب-بكالوريوس'!$J$5:$J$208,'فحص-بيانات-بكالوريوس'!$J$5:$J$208,'فحص-بيانات-ماجستير'!$J$5:$J$230),$I124)&amp;"")</f>
        <v/>
      </c>
      <c r="F124" s="2" t="str">
        <f>IF($I124="","",INDEX(CHOOSE($J$3,'فحص-حاسب-بكالوريوس'!$L$5:$L$208,'فحص-بيانات-بكالوريوس'!$L$5:$L$208,'فحص-بيانات-ماجستير'!$L$5:$L$230),$I124)&amp;"")</f>
        <v/>
      </c>
      <c r="G124" s="2" t="str">
        <f>IF($I124="","",INDEX(CHOOSE($J$3,'فحص-حاسب-بكالوريوس'!$M$5:$M$208,'فحص-بيانات-بكالوريوس'!$M$5:$M$208,'فحص-بيانات-ماجستير'!$M$5:$M$230),$I124)&amp;"")</f>
        <v/>
      </c>
      <c r="I124" s="2" t="str">
        <f>IFERROR(MATCH($E$3&amp;"#"&amp;119,CHOOSE($J$3,'فحص-حاسب-بكالوريوس'!$R$5:$R$208,'فحص-بيانات-بكالوريوس'!$R$5:$R$208,'فحص-بيانات-ماجستير'!$R$5:$R$230),0),"")</f>
        <v/>
      </c>
    </row>
    <row r="125" spans="1:9" x14ac:dyDescent="0.2">
      <c r="A125" s="1" t="str">
        <f>IF($I125="","",120)</f>
        <v/>
      </c>
      <c r="B125" s="2" t="str">
        <f>IF($I125="","",INDEX(CHOOSE($J$3,'فحص-حاسب-بكالوريوس'!$A$5:$A$208,'فحص-بيانات-بكالوريوس'!$A$5:$A$208,'فحص-بيانات-ماجستير'!$A$5:$A$230),$I125)&amp;"")</f>
        <v/>
      </c>
      <c r="C125" s="2" t="str">
        <f>IF($I125="","",INDEX(CHOOSE($J$3,'فحص-حاسب-بكالوريوس'!$F$5:$F$208,'فحص-بيانات-بكالوريوس'!$F$5:$F$208,'فحص-بيانات-ماجستير'!$F$5:$F$230),$I125)&amp;"")</f>
        <v/>
      </c>
      <c r="D125" s="2" t="str">
        <f>IF($I125="","",INDEX(CHOOSE($J$3,'فحص-حاسب-بكالوريوس'!$H$5:$H$208,'فحص-بيانات-بكالوريوس'!$H$5:$H$208,'فحص-بيانات-ماجستير'!$H$5:$H$230),$I125)&amp;"")</f>
        <v/>
      </c>
      <c r="E125" s="2" t="str">
        <f>IF($I125="","",INDEX(CHOOSE($J$3,'فحص-حاسب-بكالوريوس'!$J$5:$J$208,'فحص-بيانات-بكالوريوس'!$J$5:$J$208,'فحص-بيانات-ماجستير'!$J$5:$J$230),$I125)&amp;"")</f>
        <v/>
      </c>
      <c r="F125" s="2" t="str">
        <f>IF($I125="","",INDEX(CHOOSE($J$3,'فحص-حاسب-بكالوريوس'!$L$5:$L$208,'فحص-بيانات-بكالوريوس'!$L$5:$L$208,'فحص-بيانات-ماجستير'!$L$5:$L$230),$I125)&amp;"")</f>
        <v/>
      </c>
      <c r="G125" s="2" t="str">
        <f>IF($I125="","",INDEX(CHOOSE($J$3,'فحص-حاسب-بكالوريوس'!$M$5:$M$208,'فحص-بيانات-بكالوريوس'!$M$5:$M$208,'فحص-بيانات-ماجستير'!$M$5:$M$230),$I125)&amp;"")</f>
        <v/>
      </c>
      <c r="I125" s="2" t="str">
        <f>IFERROR(MATCH($E$3&amp;"#"&amp;120,CHOOSE($J$3,'فحص-حاسب-بكالوريوس'!$R$5:$R$208,'فحص-بيانات-بكالوريوس'!$R$5:$R$208,'فحص-بيانات-ماجستير'!$R$5:$R$230),0),"")</f>
        <v/>
      </c>
    </row>
    <row r="126" spans="1:9" x14ac:dyDescent="0.2">
      <c r="A126" s="1" t="str">
        <f>IF($I126="","",121)</f>
        <v/>
      </c>
      <c r="B126" s="2" t="str">
        <f>IF($I126="","",INDEX(CHOOSE($J$3,'فحص-حاسب-بكالوريوس'!$A$5:$A$208,'فحص-بيانات-بكالوريوس'!$A$5:$A$208,'فحص-بيانات-ماجستير'!$A$5:$A$230),$I126)&amp;"")</f>
        <v/>
      </c>
      <c r="C126" s="2" t="str">
        <f>IF($I126="","",INDEX(CHOOSE($J$3,'فحص-حاسب-بكالوريوس'!$F$5:$F$208,'فحص-بيانات-بكالوريوس'!$F$5:$F$208,'فحص-بيانات-ماجستير'!$F$5:$F$230),$I126)&amp;"")</f>
        <v/>
      </c>
      <c r="D126" s="2" t="str">
        <f>IF($I126="","",INDEX(CHOOSE($J$3,'فحص-حاسب-بكالوريوس'!$H$5:$H$208,'فحص-بيانات-بكالوريوس'!$H$5:$H$208,'فحص-بيانات-ماجستير'!$H$5:$H$230),$I126)&amp;"")</f>
        <v/>
      </c>
      <c r="E126" s="2" t="str">
        <f>IF($I126="","",INDEX(CHOOSE($J$3,'فحص-حاسب-بكالوريوس'!$J$5:$J$208,'فحص-بيانات-بكالوريوس'!$J$5:$J$208,'فحص-بيانات-ماجستير'!$J$5:$J$230),$I126)&amp;"")</f>
        <v/>
      </c>
      <c r="F126" s="2" t="str">
        <f>IF($I126="","",INDEX(CHOOSE($J$3,'فحص-حاسب-بكالوريوس'!$L$5:$L$208,'فحص-بيانات-بكالوريوس'!$L$5:$L$208,'فحص-بيانات-ماجستير'!$L$5:$L$230),$I126)&amp;"")</f>
        <v/>
      </c>
      <c r="G126" s="2" t="str">
        <f>IF($I126="","",INDEX(CHOOSE($J$3,'فحص-حاسب-بكالوريوس'!$M$5:$M$208,'فحص-بيانات-بكالوريوس'!$M$5:$M$208,'فحص-بيانات-ماجستير'!$M$5:$M$230),$I126)&amp;"")</f>
        <v/>
      </c>
      <c r="I126" s="2" t="str">
        <f>IFERROR(MATCH($E$3&amp;"#"&amp;121,CHOOSE($J$3,'فحص-حاسب-بكالوريوس'!$R$5:$R$208,'فحص-بيانات-بكالوريوس'!$R$5:$R$208,'فحص-بيانات-ماجستير'!$R$5:$R$230),0),"")</f>
        <v/>
      </c>
    </row>
    <row r="127" spans="1:9" x14ac:dyDescent="0.2">
      <c r="A127" s="1" t="str">
        <f>IF($I127="","",122)</f>
        <v/>
      </c>
      <c r="B127" s="2" t="str">
        <f>IF($I127="","",INDEX(CHOOSE($J$3,'فحص-حاسب-بكالوريوس'!$A$5:$A$208,'فحص-بيانات-بكالوريوس'!$A$5:$A$208,'فحص-بيانات-ماجستير'!$A$5:$A$230),$I127)&amp;"")</f>
        <v/>
      </c>
      <c r="C127" s="2" t="str">
        <f>IF($I127="","",INDEX(CHOOSE($J$3,'فحص-حاسب-بكالوريوس'!$F$5:$F$208,'فحص-بيانات-بكالوريوس'!$F$5:$F$208,'فحص-بيانات-ماجستير'!$F$5:$F$230),$I127)&amp;"")</f>
        <v/>
      </c>
      <c r="D127" s="2" t="str">
        <f>IF($I127="","",INDEX(CHOOSE($J$3,'فحص-حاسب-بكالوريوس'!$H$5:$H$208,'فحص-بيانات-بكالوريوس'!$H$5:$H$208,'فحص-بيانات-ماجستير'!$H$5:$H$230),$I127)&amp;"")</f>
        <v/>
      </c>
      <c r="E127" s="2" t="str">
        <f>IF($I127="","",INDEX(CHOOSE($J$3,'فحص-حاسب-بكالوريوس'!$J$5:$J$208,'فحص-بيانات-بكالوريوس'!$J$5:$J$208,'فحص-بيانات-ماجستير'!$J$5:$J$230),$I127)&amp;"")</f>
        <v/>
      </c>
      <c r="F127" s="2" t="str">
        <f>IF($I127="","",INDEX(CHOOSE($J$3,'فحص-حاسب-بكالوريوس'!$L$5:$L$208,'فحص-بيانات-بكالوريوس'!$L$5:$L$208,'فحص-بيانات-ماجستير'!$L$5:$L$230),$I127)&amp;"")</f>
        <v/>
      </c>
      <c r="G127" s="2" t="str">
        <f>IF($I127="","",INDEX(CHOOSE($J$3,'فحص-حاسب-بكالوريوس'!$M$5:$M$208,'فحص-بيانات-بكالوريوس'!$M$5:$M$208,'فحص-بيانات-ماجستير'!$M$5:$M$230),$I127)&amp;"")</f>
        <v/>
      </c>
      <c r="I127" s="2" t="str">
        <f>IFERROR(MATCH($E$3&amp;"#"&amp;122,CHOOSE($J$3,'فحص-حاسب-بكالوريوس'!$R$5:$R$208,'فحص-بيانات-بكالوريوس'!$R$5:$R$208,'فحص-بيانات-ماجستير'!$R$5:$R$230),0),"")</f>
        <v/>
      </c>
    </row>
    <row r="128" spans="1:9" x14ac:dyDescent="0.2">
      <c r="A128" s="1" t="str">
        <f>IF($I128="","",123)</f>
        <v/>
      </c>
      <c r="B128" s="2" t="str">
        <f>IF($I128="","",INDEX(CHOOSE($J$3,'فحص-حاسب-بكالوريوس'!$A$5:$A$208,'فحص-بيانات-بكالوريوس'!$A$5:$A$208,'فحص-بيانات-ماجستير'!$A$5:$A$230),$I128)&amp;"")</f>
        <v/>
      </c>
      <c r="C128" s="2" t="str">
        <f>IF($I128="","",INDEX(CHOOSE($J$3,'فحص-حاسب-بكالوريوس'!$F$5:$F$208,'فحص-بيانات-بكالوريوس'!$F$5:$F$208,'فحص-بيانات-ماجستير'!$F$5:$F$230),$I128)&amp;"")</f>
        <v/>
      </c>
      <c r="D128" s="2" t="str">
        <f>IF($I128="","",INDEX(CHOOSE($J$3,'فحص-حاسب-بكالوريوس'!$H$5:$H$208,'فحص-بيانات-بكالوريوس'!$H$5:$H$208,'فحص-بيانات-ماجستير'!$H$5:$H$230),$I128)&amp;"")</f>
        <v/>
      </c>
      <c r="E128" s="2" t="str">
        <f>IF($I128="","",INDEX(CHOOSE($J$3,'فحص-حاسب-بكالوريوس'!$J$5:$J$208,'فحص-بيانات-بكالوريوس'!$J$5:$J$208,'فحص-بيانات-ماجستير'!$J$5:$J$230),$I128)&amp;"")</f>
        <v/>
      </c>
      <c r="F128" s="2" t="str">
        <f>IF($I128="","",INDEX(CHOOSE($J$3,'فحص-حاسب-بكالوريوس'!$L$5:$L$208,'فحص-بيانات-بكالوريوس'!$L$5:$L$208,'فحص-بيانات-ماجستير'!$L$5:$L$230),$I128)&amp;"")</f>
        <v/>
      </c>
      <c r="G128" s="2" t="str">
        <f>IF($I128="","",INDEX(CHOOSE($J$3,'فحص-حاسب-بكالوريوس'!$M$5:$M$208,'فحص-بيانات-بكالوريوس'!$M$5:$M$208,'فحص-بيانات-ماجستير'!$M$5:$M$230),$I128)&amp;"")</f>
        <v/>
      </c>
      <c r="I128" s="2" t="str">
        <f>IFERROR(MATCH($E$3&amp;"#"&amp;123,CHOOSE($J$3,'فحص-حاسب-بكالوريوس'!$R$5:$R$208,'فحص-بيانات-بكالوريوس'!$R$5:$R$208,'فحص-بيانات-ماجستير'!$R$5:$R$230),0),"")</f>
        <v/>
      </c>
    </row>
    <row r="129" spans="1:9" x14ac:dyDescent="0.2">
      <c r="A129" s="1" t="str">
        <f>IF($I129="","",124)</f>
        <v/>
      </c>
      <c r="B129" s="2" t="str">
        <f>IF($I129="","",INDEX(CHOOSE($J$3,'فحص-حاسب-بكالوريوس'!$A$5:$A$208,'فحص-بيانات-بكالوريوس'!$A$5:$A$208,'فحص-بيانات-ماجستير'!$A$5:$A$230),$I129)&amp;"")</f>
        <v/>
      </c>
      <c r="C129" s="2" t="str">
        <f>IF($I129="","",INDEX(CHOOSE($J$3,'فحص-حاسب-بكالوريوس'!$F$5:$F$208,'فحص-بيانات-بكالوريوس'!$F$5:$F$208,'فحص-بيانات-ماجستير'!$F$5:$F$230),$I129)&amp;"")</f>
        <v/>
      </c>
      <c r="D129" s="2" t="str">
        <f>IF($I129="","",INDEX(CHOOSE($J$3,'فحص-حاسب-بكالوريوس'!$H$5:$H$208,'فحص-بيانات-بكالوريوس'!$H$5:$H$208,'فحص-بيانات-ماجستير'!$H$5:$H$230),$I129)&amp;"")</f>
        <v/>
      </c>
      <c r="E129" s="2" t="str">
        <f>IF($I129="","",INDEX(CHOOSE($J$3,'فحص-حاسب-بكالوريوس'!$J$5:$J$208,'فحص-بيانات-بكالوريوس'!$J$5:$J$208,'فحص-بيانات-ماجستير'!$J$5:$J$230),$I129)&amp;"")</f>
        <v/>
      </c>
      <c r="F129" s="2" t="str">
        <f>IF($I129="","",INDEX(CHOOSE($J$3,'فحص-حاسب-بكالوريوس'!$L$5:$L$208,'فحص-بيانات-بكالوريوس'!$L$5:$L$208,'فحص-بيانات-ماجستير'!$L$5:$L$230),$I129)&amp;"")</f>
        <v/>
      </c>
      <c r="G129" s="2" t="str">
        <f>IF($I129="","",INDEX(CHOOSE($J$3,'فحص-حاسب-بكالوريوس'!$M$5:$M$208,'فحص-بيانات-بكالوريوس'!$M$5:$M$208,'فحص-بيانات-ماجستير'!$M$5:$M$230),$I129)&amp;"")</f>
        <v/>
      </c>
      <c r="I129" s="2" t="str">
        <f>IFERROR(MATCH($E$3&amp;"#"&amp;124,CHOOSE($J$3,'فحص-حاسب-بكالوريوس'!$R$5:$R$208,'فحص-بيانات-بكالوريوس'!$R$5:$R$208,'فحص-بيانات-ماجستير'!$R$5:$R$230),0),"")</f>
        <v/>
      </c>
    </row>
    <row r="130" spans="1:9" x14ac:dyDescent="0.2">
      <c r="A130" s="1" t="str">
        <f>IF($I130="","",125)</f>
        <v/>
      </c>
      <c r="B130" s="2" t="str">
        <f>IF($I130="","",INDEX(CHOOSE($J$3,'فحص-حاسب-بكالوريوس'!$A$5:$A$208,'فحص-بيانات-بكالوريوس'!$A$5:$A$208,'فحص-بيانات-ماجستير'!$A$5:$A$230),$I130)&amp;"")</f>
        <v/>
      </c>
      <c r="C130" s="2" t="str">
        <f>IF($I130="","",INDEX(CHOOSE($J$3,'فحص-حاسب-بكالوريوس'!$F$5:$F$208,'فحص-بيانات-بكالوريوس'!$F$5:$F$208,'فحص-بيانات-ماجستير'!$F$5:$F$230),$I130)&amp;"")</f>
        <v/>
      </c>
      <c r="D130" s="2" t="str">
        <f>IF($I130="","",INDEX(CHOOSE($J$3,'فحص-حاسب-بكالوريوس'!$H$5:$H$208,'فحص-بيانات-بكالوريوس'!$H$5:$H$208,'فحص-بيانات-ماجستير'!$H$5:$H$230),$I130)&amp;"")</f>
        <v/>
      </c>
      <c r="E130" s="2" t="str">
        <f>IF($I130="","",INDEX(CHOOSE($J$3,'فحص-حاسب-بكالوريوس'!$J$5:$J$208,'فحص-بيانات-بكالوريوس'!$J$5:$J$208,'فحص-بيانات-ماجستير'!$J$5:$J$230),$I130)&amp;"")</f>
        <v/>
      </c>
      <c r="F130" s="2" t="str">
        <f>IF($I130="","",INDEX(CHOOSE($J$3,'فحص-حاسب-بكالوريوس'!$L$5:$L$208,'فحص-بيانات-بكالوريوس'!$L$5:$L$208,'فحص-بيانات-ماجستير'!$L$5:$L$230),$I130)&amp;"")</f>
        <v/>
      </c>
      <c r="G130" s="2" t="str">
        <f>IF($I130="","",INDEX(CHOOSE($J$3,'فحص-حاسب-بكالوريوس'!$M$5:$M$208,'فحص-بيانات-بكالوريوس'!$M$5:$M$208,'فحص-بيانات-ماجستير'!$M$5:$M$230),$I130)&amp;"")</f>
        <v/>
      </c>
      <c r="I130" s="2" t="str">
        <f>IFERROR(MATCH($E$3&amp;"#"&amp;125,CHOOSE($J$3,'فحص-حاسب-بكالوريوس'!$R$5:$R$208,'فحص-بيانات-بكالوريوس'!$R$5:$R$208,'فحص-بيانات-ماجستير'!$R$5:$R$230),0),"")</f>
        <v/>
      </c>
    </row>
    <row r="131" spans="1:9" x14ac:dyDescent="0.2">
      <c r="A131" s="1" t="str">
        <f>IF($I131="","",126)</f>
        <v/>
      </c>
      <c r="B131" s="2" t="str">
        <f>IF($I131="","",INDEX(CHOOSE($J$3,'فحص-حاسب-بكالوريوس'!$A$5:$A$208,'فحص-بيانات-بكالوريوس'!$A$5:$A$208,'فحص-بيانات-ماجستير'!$A$5:$A$230),$I131)&amp;"")</f>
        <v/>
      </c>
      <c r="C131" s="2" t="str">
        <f>IF($I131="","",INDEX(CHOOSE($J$3,'فحص-حاسب-بكالوريوس'!$F$5:$F$208,'فحص-بيانات-بكالوريوس'!$F$5:$F$208,'فحص-بيانات-ماجستير'!$F$5:$F$230),$I131)&amp;"")</f>
        <v/>
      </c>
      <c r="D131" s="2" t="str">
        <f>IF($I131="","",INDEX(CHOOSE($J$3,'فحص-حاسب-بكالوريوس'!$H$5:$H$208,'فحص-بيانات-بكالوريوس'!$H$5:$H$208,'فحص-بيانات-ماجستير'!$H$5:$H$230),$I131)&amp;"")</f>
        <v/>
      </c>
      <c r="E131" s="2" t="str">
        <f>IF($I131="","",INDEX(CHOOSE($J$3,'فحص-حاسب-بكالوريوس'!$J$5:$J$208,'فحص-بيانات-بكالوريوس'!$J$5:$J$208,'فحص-بيانات-ماجستير'!$J$5:$J$230),$I131)&amp;"")</f>
        <v/>
      </c>
      <c r="F131" s="2" t="str">
        <f>IF($I131="","",INDEX(CHOOSE($J$3,'فحص-حاسب-بكالوريوس'!$L$5:$L$208,'فحص-بيانات-بكالوريوس'!$L$5:$L$208,'فحص-بيانات-ماجستير'!$L$5:$L$230),$I131)&amp;"")</f>
        <v/>
      </c>
      <c r="G131" s="2" t="str">
        <f>IF($I131="","",INDEX(CHOOSE($J$3,'فحص-حاسب-بكالوريوس'!$M$5:$M$208,'فحص-بيانات-بكالوريوس'!$M$5:$M$208,'فحص-بيانات-ماجستير'!$M$5:$M$230),$I131)&amp;"")</f>
        <v/>
      </c>
      <c r="I131" s="2" t="str">
        <f>IFERROR(MATCH($E$3&amp;"#"&amp;126,CHOOSE($J$3,'فحص-حاسب-بكالوريوس'!$R$5:$R$208,'فحص-بيانات-بكالوريوس'!$R$5:$R$208,'فحص-بيانات-ماجستير'!$R$5:$R$230),0),"")</f>
        <v/>
      </c>
    </row>
    <row r="132" spans="1:9" x14ac:dyDescent="0.2">
      <c r="A132" s="1" t="str">
        <f>IF($I132="","",127)</f>
        <v/>
      </c>
      <c r="B132" s="2" t="str">
        <f>IF($I132="","",INDEX(CHOOSE($J$3,'فحص-حاسب-بكالوريوس'!$A$5:$A$208,'فحص-بيانات-بكالوريوس'!$A$5:$A$208,'فحص-بيانات-ماجستير'!$A$5:$A$230),$I132)&amp;"")</f>
        <v/>
      </c>
      <c r="C132" s="2" t="str">
        <f>IF($I132="","",INDEX(CHOOSE($J$3,'فحص-حاسب-بكالوريوس'!$F$5:$F$208,'فحص-بيانات-بكالوريوس'!$F$5:$F$208,'فحص-بيانات-ماجستير'!$F$5:$F$230),$I132)&amp;"")</f>
        <v/>
      </c>
      <c r="D132" s="2" t="str">
        <f>IF($I132="","",INDEX(CHOOSE($J$3,'فحص-حاسب-بكالوريوس'!$H$5:$H$208,'فحص-بيانات-بكالوريوس'!$H$5:$H$208,'فحص-بيانات-ماجستير'!$H$5:$H$230),$I132)&amp;"")</f>
        <v/>
      </c>
      <c r="E132" s="2" t="str">
        <f>IF($I132="","",INDEX(CHOOSE($J$3,'فحص-حاسب-بكالوريوس'!$J$5:$J$208,'فحص-بيانات-بكالوريوس'!$J$5:$J$208,'فحص-بيانات-ماجستير'!$J$5:$J$230),$I132)&amp;"")</f>
        <v/>
      </c>
      <c r="F132" s="2" t="str">
        <f>IF($I132="","",INDEX(CHOOSE($J$3,'فحص-حاسب-بكالوريوس'!$L$5:$L$208,'فحص-بيانات-بكالوريوس'!$L$5:$L$208,'فحص-بيانات-ماجستير'!$L$5:$L$230),$I132)&amp;"")</f>
        <v/>
      </c>
      <c r="G132" s="2" t="str">
        <f>IF($I132="","",INDEX(CHOOSE($J$3,'فحص-حاسب-بكالوريوس'!$M$5:$M$208,'فحص-بيانات-بكالوريوس'!$M$5:$M$208,'فحص-بيانات-ماجستير'!$M$5:$M$230),$I132)&amp;"")</f>
        <v/>
      </c>
      <c r="I132" s="2" t="str">
        <f>IFERROR(MATCH($E$3&amp;"#"&amp;127,CHOOSE($J$3,'فحص-حاسب-بكالوريوس'!$R$5:$R$208,'فحص-بيانات-بكالوريوس'!$R$5:$R$208,'فحص-بيانات-ماجستير'!$R$5:$R$230),0),"")</f>
        <v/>
      </c>
    </row>
    <row r="133" spans="1:9" x14ac:dyDescent="0.2">
      <c r="A133" s="1" t="str">
        <f>IF($I133="","",128)</f>
        <v/>
      </c>
      <c r="B133" s="2" t="str">
        <f>IF($I133="","",INDEX(CHOOSE($J$3,'فحص-حاسب-بكالوريوس'!$A$5:$A$208,'فحص-بيانات-بكالوريوس'!$A$5:$A$208,'فحص-بيانات-ماجستير'!$A$5:$A$230),$I133)&amp;"")</f>
        <v/>
      </c>
      <c r="C133" s="2" t="str">
        <f>IF($I133="","",INDEX(CHOOSE($J$3,'فحص-حاسب-بكالوريوس'!$F$5:$F$208,'فحص-بيانات-بكالوريوس'!$F$5:$F$208,'فحص-بيانات-ماجستير'!$F$5:$F$230),$I133)&amp;"")</f>
        <v/>
      </c>
      <c r="D133" s="2" t="str">
        <f>IF($I133="","",INDEX(CHOOSE($J$3,'فحص-حاسب-بكالوريوس'!$H$5:$H$208,'فحص-بيانات-بكالوريوس'!$H$5:$H$208,'فحص-بيانات-ماجستير'!$H$5:$H$230),$I133)&amp;"")</f>
        <v/>
      </c>
      <c r="E133" s="2" t="str">
        <f>IF($I133="","",INDEX(CHOOSE($J$3,'فحص-حاسب-بكالوريوس'!$J$5:$J$208,'فحص-بيانات-بكالوريوس'!$J$5:$J$208,'فحص-بيانات-ماجستير'!$J$5:$J$230),$I133)&amp;"")</f>
        <v/>
      </c>
      <c r="F133" s="2" t="str">
        <f>IF($I133="","",INDEX(CHOOSE($J$3,'فحص-حاسب-بكالوريوس'!$L$5:$L$208,'فحص-بيانات-بكالوريوس'!$L$5:$L$208,'فحص-بيانات-ماجستير'!$L$5:$L$230),$I133)&amp;"")</f>
        <v/>
      </c>
      <c r="G133" s="2" t="str">
        <f>IF($I133="","",INDEX(CHOOSE($J$3,'فحص-حاسب-بكالوريوس'!$M$5:$M$208,'فحص-بيانات-بكالوريوس'!$M$5:$M$208,'فحص-بيانات-ماجستير'!$M$5:$M$230),$I133)&amp;"")</f>
        <v/>
      </c>
      <c r="I133" s="2" t="str">
        <f>IFERROR(MATCH($E$3&amp;"#"&amp;128,CHOOSE($J$3,'فحص-حاسب-بكالوريوس'!$R$5:$R$208,'فحص-بيانات-بكالوريوس'!$R$5:$R$208,'فحص-بيانات-ماجستير'!$R$5:$R$230),0),"")</f>
        <v/>
      </c>
    </row>
    <row r="134" spans="1:9" x14ac:dyDescent="0.2">
      <c r="A134" s="1" t="str">
        <f>IF($I134="","",129)</f>
        <v/>
      </c>
      <c r="B134" s="2" t="str">
        <f>IF($I134="","",INDEX(CHOOSE($J$3,'فحص-حاسب-بكالوريوس'!$A$5:$A$208,'فحص-بيانات-بكالوريوس'!$A$5:$A$208,'فحص-بيانات-ماجستير'!$A$5:$A$230),$I134)&amp;"")</f>
        <v/>
      </c>
      <c r="C134" s="2" t="str">
        <f>IF($I134="","",INDEX(CHOOSE($J$3,'فحص-حاسب-بكالوريوس'!$F$5:$F$208,'فحص-بيانات-بكالوريوس'!$F$5:$F$208,'فحص-بيانات-ماجستير'!$F$5:$F$230),$I134)&amp;"")</f>
        <v/>
      </c>
      <c r="D134" s="2" t="str">
        <f>IF($I134="","",INDEX(CHOOSE($J$3,'فحص-حاسب-بكالوريوس'!$H$5:$H$208,'فحص-بيانات-بكالوريوس'!$H$5:$H$208,'فحص-بيانات-ماجستير'!$H$5:$H$230),$I134)&amp;"")</f>
        <v/>
      </c>
      <c r="E134" s="2" t="str">
        <f>IF($I134="","",INDEX(CHOOSE($J$3,'فحص-حاسب-بكالوريوس'!$J$5:$J$208,'فحص-بيانات-بكالوريوس'!$J$5:$J$208,'فحص-بيانات-ماجستير'!$J$5:$J$230),$I134)&amp;"")</f>
        <v/>
      </c>
      <c r="F134" s="2" t="str">
        <f>IF($I134="","",INDEX(CHOOSE($J$3,'فحص-حاسب-بكالوريوس'!$L$5:$L$208,'فحص-بيانات-بكالوريوس'!$L$5:$L$208,'فحص-بيانات-ماجستير'!$L$5:$L$230),$I134)&amp;"")</f>
        <v/>
      </c>
      <c r="G134" s="2" t="str">
        <f>IF($I134="","",INDEX(CHOOSE($J$3,'فحص-حاسب-بكالوريوس'!$M$5:$M$208,'فحص-بيانات-بكالوريوس'!$M$5:$M$208,'فحص-بيانات-ماجستير'!$M$5:$M$230),$I134)&amp;"")</f>
        <v/>
      </c>
      <c r="I134" s="2" t="str">
        <f>IFERROR(MATCH($E$3&amp;"#"&amp;129,CHOOSE($J$3,'فحص-حاسب-بكالوريوس'!$R$5:$R$208,'فحص-بيانات-بكالوريوس'!$R$5:$R$208,'فحص-بيانات-ماجستير'!$R$5:$R$230),0),"")</f>
        <v/>
      </c>
    </row>
    <row r="135" spans="1:9" x14ac:dyDescent="0.2">
      <c r="A135" s="1" t="str">
        <f>IF($I135="","",130)</f>
        <v/>
      </c>
      <c r="B135" s="2" t="str">
        <f>IF($I135="","",INDEX(CHOOSE($J$3,'فحص-حاسب-بكالوريوس'!$A$5:$A$208,'فحص-بيانات-بكالوريوس'!$A$5:$A$208,'فحص-بيانات-ماجستير'!$A$5:$A$230),$I135)&amp;"")</f>
        <v/>
      </c>
      <c r="C135" s="2" t="str">
        <f>IF($I135="","",INDEX(CHOOSE($J$3,'فحص-حاسب-بكالوريوس'!$F$5:$F$208,'فحص-بيانات-بكالوريوس'!$F$5:$F$208,'فحص-بيانات-ماجستير'!$F$5:$F$230),$I135)&amp;"")</f>
        <v/>
      </c>
      <c r="D135" s="2" t="str">
        <f>IF($I135="","",INDEX(CHOOSE($J$3,'فحص-حاسب-بكالوريوس'!$H$5:$H$208,'فحص-بيانات-بكالوريوس'!$H$5:$H$208,'فحص-بيانات-ماجستير'!$H$5:$H$230),$I135)&amp;"")</f>
        <v/>
      </c>
      <c r="E135" s="2" t="str">
        <f>IF($I135="","",INDEX(CHOOSE($J$3,'فحص-حاسب-بكالوريوس'!$J$5:$J$208,'فحص-بيانات-بكالوريوس'!$J$5:$J$208,'فحص-بيانات-ماجستير'!$J$5:$J$230),$I135)&amp;"")</f>
        <v/>
      </c>
      <c r="F135" s="2" t="str">
        <f>IF($I135="","",INDEX(CHOOSE($J$3,'فحص-حاسب-بكالوريوس'!$L$5:$L$208,'فحص-بيانات-بكالوريوس'!$L$5:$L$208,'فحص-بيانات-ماجستير'!$L$5:$L$230),$I135)&amp;"")</f>
        <v/>
      </c>
      <c r="G135" s="2" t="str">
        <f>IF($I135="","",INDEX(CHOOSE($J$3,'فحص-حاسب-بكالوريوس'!$M$5:$M$208,'فحص-بيانات-بكالوريوس'!$M$5:$M$208,'فحص-بيانات-ماجستير'!$M$5:$M$230),$I135)&amp;"")</f>
        <v/>
      </c>
      <c r="I135" s="2" t="str">
        <f>IFERROR(MATCH($E$3&amp;"#"&amp;130,CHOOSE($J$3,'فحص-حاسب-بكالوريوس'!$R$5:$R$208,'فحص-بيانات-بكالوريوس'!$R$5:$R$208,'فحص-بيانات-ماجستير'!$R$5:$R$230),0),"")</f>
        <v/>
      </c>
    </row>
    <row r="136" spans="1:9" x14ac:dyDescent="0.2">
      <c r="A136" s="1" t="str">
        <f>IF($I136="","",131)</f>
        <v/>
      </c>
      <c r="B136" s="2" t="str">
        <f>IF($I136="","",INDEX(CHOOSE($J$3,'فحص-حاسب-بكالوريوس'!$A$5:$A$208,'فحص-بيانات-بكالوريوس'!$A$5:$A$208,'فحص-بيانات-ماجستير'!$A$5:$A$230),$I136)&amp;"")</f>
        <v/>
      </c>
      <c r="C136" s="2" t="str">
        <f>IF($I136="","",INDEX(CHOOSE($J$3,'فحص-حاسب-بكالوريوس'!$F$5:$F$208,'فحص-بيانات-بكالوريوس'!$F$5:$F$208,'فحص-بيانات-ماجستير'!$F$5:$F$230),$I136)&amp;"")</f>
        <v/>
      </c>
      <c r="D136" s="2" t="str">
        <f>IF($I136="","",INDEX(CHOOSE($J$3,'فحص-حاسب-بكالوريوس'!$H$5:$H$208,'فحص-بيانات-بكالوريوس'!$H$5:$H$208,'فحص-بيانات-ماجستير'!$H$5:$H$230),$I136)&amp;"")</f>
        <v/>
      </c>
      <c r="E136" s="2" t="str">
        <f>IF($I136="","",INDEX(CHOOSE($J$3,'فحص-حاسب-بكالوريوس'!$J$5:$J$208,'فحص-بيانات-بكالوريوس'!$J$5:$J$208,'فحص-بيانات-ماجستير'!$J$5:$J$230),$I136)&amp;"")</f>
        <v/>
      </c>
      <c r="F136" s="2" t="str">
        <f>IF($I136="","",INDEX(CHOOSE($J$3,'فحص-حاسب-بكالوريوس'!$L$5:$L$208,'فحص-بيانات-بكالوريوس'!$L$5:$L$208,'فحص-بيانات-ماجستير'!$L$5:$L$230),$I136)&amp;"")</f>
        <v/>
      </c>
      <c r="G136" s="2" t="str">
        <f>IF($I136="","",INDEX(CHOOSE($J$3,'فحص-حاسب-بكالوريوس'!$M$5:$M$208,'فحص-بيانات-بكالوريوس'!$M$5:$M$208,'فحص-بيانات-ماجستير'!$M$5:$M$230),$I136)&amp;"")</f>
        <v/>
      </c>
      <c r="I136" s="2" t="str">
        <f>IFERROR(MATCH($E$3&amp;"#"&amp;131,CHOOSE($J$3,'فحص-حاسب-بكالوريوس'!$R$5:$R$208,'فحص-بيانات-بكالوريوس'!$R$5:$R$208,'فحص-بيانات-ماجستير'!$R$5:$R$230),0),"")</f>
        <v/>
      </c>
    </row>
    <row r="137" spans="1:9" x14ac:dyDescent="0.2">
      <c r="A137" s="1" t="str">
        <f>IF($I137="","",132)</f>
        <v/>
      </c>
      <c r="B137" s="2" t="str">
        <f>IF($I137="","",INDEX(CHOOSE($J$3,'فحص-حاسب-بكالوريوس'!$A$5:$A$208,'فحص-بيانات-بكالوريوس'!$A$5:$A$208,'فحص-بيانات-ماجستير'!$A$5:$A$230),$I137)&amp;"")</f>
        <v/>
      </c>
      <c r="C137" s="2" t="str">
        <f>IF($I137="","",INDEX(CHOOSE($J$3,'فحص-حاسب-بكالوريوس'!$F$5:$F$208,'فحص-بيانات-بكالوريوس'!$F$5:$F$208,'فحص-بيانات-ماجستير'!$F$5:$F$230),$I137)&amp;"")</f>
        <v/>
      </c>
      <c r="D137" s="2" t="str">
        <f>IF($I137="","",INDEX(CHOOSE($J$3,'فحص-حاسب-بكالوريوس'!$H$5:$H$208,'فحص-بيانات-بكالوريوس'!$H$5:$H$208,'فحص-بيانات-ماجستير'!$H$5:$H$230),$I137)&amp;"")</f>
        <v/>
      </c>
      <c r="E137" s="2" t="str">
        <f>IF($I137="","",INDEX(CHOOSE($J$3,'فحص-حاسب-بكالوريوس'!$J$5:$J$208,'فحص-بيانات-بكالوريوس'!$J$5:$J$208,'فحص-بيانات-ماجستير'!$J$5:$J$230),$I137)&amp;"")</f>
        <v/>
      </c>
      <c r="F137" s="2" t="str">
        <f>IF($I137="","",INDEX(CHOOSE($J$3,'فحص-حاسب-بكالوريوس'!$L$5:$L$208,'فحص-بيانات-بكالوريوس'!$L$5:$L$208,'فحص-بيانات-ماجستير'!$L$5:$L$230),$I137)&amp;"")</f>
        <v/>
      </c>
      <c r="G137" s="2" t="str">
        <f>IF($I137="","",INDEX(CHOOSE($J$3,'فحص-حاسب-بكالوريوس'!$M$5:$M$208,'فحص-بيانات-بكالوريوس'!$M$5:$M$208,'فحص-بيانات-ماجستير'!$M$5:$M$230),$I137)&amp;"")</f>
        <v/>
      </c>
      <c r="I137" s="2" t="str">
        <f>IFERROR(MATCH($E$3&amp;"#"&amp;132,CHOOSE($J$3,'فحص-حاسب-بكالوريوس'!$R$5:$R$208,'فحص-بيانات-بكالوريوس'!$R$5:$R$208,'فحص-بيانات-ماجستير'!$R$5:$R$230),0),"")</f>
        <v/>
      </c>
    </row>
    <row r="138" spans="1:9" x14ac:dyDescent="0.2">
      <c r="A138" s="1" t="str">
        <f>IF($I138="","",133)</f>
        <v/>
      </c>
      <c r="B138" s="2" t="str">
        <f>IF($I138="","",INDEX(CHOOSE($J$3,'فحص-حاسب-بكالوريوس'!$A$5:$A$208,'فحص-بيانات-بكالوريوس'!$A$5:$A$208,'فحص-بيانات-ماجستير'!$A$5:$A$230),$I138)&amp;"")</f>
        <v/>
      </c>
      <c r="C138" s="2" t="str">
        <f>IF($I138="","",INDEX(CHOOSE($J$3,'فحص-حاسب-بكالوريوس'!$F$5:$F$208,'فحص-بيانات-بكالوريوس'!$F$5:$F$208,'فحص-بيانات-ماجستير'!$F$5:$F$230),$I138)&amp;"")</f>
        <v/>
      </c>
      <c r="D138" s="2" t="str">
        <f>IF($I138="","",INDEX(CHOOSE($J$3,'فحص-حاسب-بكالوريوس'!$H$5:$H$208,'فحص-بيانات-بكالوريوس'!$H$5:$H$208,'فحص-بيانات-ماجستير'!$H$5:$H$230),$I138)&amp;"")</f>
        <v/>
      </c>
      <c r="E138" s="2" t="str">
        <f>IF($I138="","",INDEX(CHOOSE($J$3,'فحص-حاسب-بكالوريوس'!$J$5:$J$208,'فحص-بيانات-بكالوريوس'!$J$5:$J$208,'فحص-بيانات-ماجستير'!$J$5:$J$230),$I138)&amp;"")</f>
        <v/>
      </c>
      <c r="F138" s="2" t="str">
        <f>IF($I138="","",INDEX(CHOOSE($J$3,'فحص-حاسب-بكالوريوس'!$L$5:$L$208,'فحص-بيانات-بكالوريوس'!$L$5:$L$208,'فحص-بيانات-ماجستير'!$L$5:$L$230),$I138)&amp;"")</f>
        <v/>
      </c>
      <c r="G138" s="2" t="str">
        <f>IF($I138="","",INDEX(CHOOSE($J$3,'فحص-حاسب-بكالوريوس'!$M$5:$M$208,'فحص-بيانات-بكالوريوس'!$M$5:$M$208,'فحص-بيانات-ماجستير'!$M$5:$M$230),$I138)&amp;"")</f>
        <v/>
      </c>
      <c r="I138" s="2" t="str">
        <f>IFERROR(MATCH($E$3&amp;"#"&amp;133,CHOOSE($J$3,'فحص-حاسب-بكالوريوس'!$R$5:$R$208,'فحص-بيانات-بكالوريوس'!$R$5:$R$208,'فحص-بيانات-ماجستير'!$R$5:$R$230),0),"")</f>
        <v/>
      </c>
    </row>
    <row r="139" spans="1:9" x14ac:dyDescent="0.2">
      <c r="A139" s="1" t="str">
        <f>IF($I139="","",134)</f>
        <v/>
      </c>
      <c r="B139" s="2" t="str">
        <f>IF($I139="","",INDEX(CHOOSE($J$3,'فحص-حاسب-بكالوريوس'!$A$5:$A$208,'فحص-بيانات-بكالوريوس'!$A$5:$A$208,'فحص-بيانات-ماجستير'!$A$5:$A$230),$I139)&amp;"")</f>
        <v/>
      </c>
      <c r="C139" s="2" t="str">
        <f>IF($I139="","",INDEX(CHOOSE($J$3,'فحص-حاسب-بكالوريوس'!$F$5:$F$208,'فحص-بيانات-بكالوريوس'!$F$5:$F$208,'فحص-بيانات-ماجستير'!$F$5:$F$230),$I139)&amp;"")</f>
        <v/>
      </c>
      <c r="D139" s="2" t="str">
        <f>IF($I139="","",INDEX(CHOOSE($J$3,'فحص-حاسب-بكالوريوس'!$H$5:$H$208,'فحص-بيانات-بكالوريوس'!$H$5:$H$208,'فحص-بيانات-ماجستير'!$H$5:$H$230),$I139)&amp;"")</f>
        <v/>
      </c>
      <c r="E139" s="2" t="str">
        <f>IF($I139="","",INDEX(CHOOSE($J$3,'فحص-حاسب-بكالوريوس'!$J$5:$J$208,'فحص-بيانات-بكالوريوس'!$J$5:$J$208,'فحص-بيانات-ماجستير'!$J$5:$J$230),$I139)&amp;"")</f>
        <v/>
      </c>
      <c r="F139" s="2" t="str">
        <f>IF($I139="","",INDEX(CHOOSE($J$3,'فحص-حاسب-بكالوريوس'!$L$5:$L$208,'فحص-بيانات-بكالوريوس'!$L$5:$L$208,'فحص-بيانات-ماجستير'!$L$5:$L$230),$I139)&amp;"")</f>
        <v/>
      </c>
      <c r="G139" s="2" t="str">
        <f>IF($I139="","",INDEX(CHOOSE($J$3,'فحص-حاسب-بكالوريوس'!$M$5:$M$208,'فحص-بيانات-بكالوريوس'!$M$5:$M$208,'فحص-بيانات-ماجستير'!$M$5:$M$230),$I139)&amp;"")</f>
        <v/>
      </c>
      <c r="I139" s="2" t="str">
        <f>IFERROR(MATCH($E$3&amp;"#"&amp;134,CHOOSE($J$3,'فحص-حاسب-بكالوريوس'!$R$5:$R$208,'فحص-بيانات-بكالوريوس'!$R$5:$R$208,'فحص-بيانات-ماجستير'!$R$5:$R$230),0),"")</f>
        <v/>
      </c>
    </row>
    <row r="140" spans="1:9" x14ac:dyDescent="0.2">
      <c r="A140" s="1" t="str">
        <f>IF($I140="","",135)</f>
        <v/>
      </c>
      <c r="B140" s="2" t="str">
        <f>IF($I140="","",INDEX(CHOOSE($J$3,'فحص-حاسب-بكالوريوس'!$A$5:$A$208,'فحص-بيانات-بكالوريوس'!$A$5:$A$208,'فحص-بيانات-ماجستير'!$A$5:$A$230),$I140)&amp;"")</f>
        <v/>
      </c>
      <c r="C140" s="2" t="str">
        <f>IF($I140="","",INDEX(CHOOSE($J$3,'فحص-حاسب-بكالوريوس'!$F$5:$F$208,'فحص-بيانات-بكالوريوس'!$F$5:$F$208,'فحص-بيانات-ماجستير'!$F$5:$F$230),$I140)&amp;"")</f>
        <v/>
      </c>
      <c r="D140" s="2" t="str">
        <f>IF($I140="","",INDEX(CHOOSE($J$3,'فحص-حاسب-بكالوريوس'!$H$5:$H$208,'فحص-بيانات-بكالوريوس'!$H$5:$H$208,'فحص-بيانات-ماجستير'!$H$5:$H$230),$I140)&amp;"")</f>
        <v/>
      </c>
      <c r="E140" s="2" t="str">
        <f>IF($I140="","",INDEX(CHOOSE($J$3,'فحص-حاسب-بكالوريوس'!$J$5:$J$208,'فحص-بيانات-بكالوريوس'!$J$5:$J$208,'فحص-بيانات-ماجستير'!$J$5:$J$230),$I140)&amp;"")</f>
        <v/>
      </c>
      <c r="F140" s="2" t="str">
        <f>IF($I140="","",INDEX(CHOOSE($J$3,'فحص-حاسب-بكالوريوس'!$L$5:$L$208,'فحص-بيانات-بكالوريوس'!$L$5:$L$208,'فحص-بيانات-ماجستير'!$L$5:$L$230),$I140)&amp;"")</f>
        <v/>
      </c>
      <c r="G140" s="2" t="str">
        <f>IF($I140="","",INDEX(CHOOSE($J$3,'فحص-حاسب-بكالوريوس'!$M$5:$M$208,'فحص-بيانات-بكالوريوس'!$M$5:$M$208,'فحص-بيانات-ماجستير'!$M$5:$M$230),$I140)&amp;"")</f>
        <v/>
      </c>
      <c r="I140" s="2" t="str">
        <f>IFERROR(MATCH($E$3&amp;"#"&amp;135,CHOOSE($J$3,'فحص-حاسب-بكالوريوس'!$R$5:$R$208,'فحص-بيانات-بكالوريوس'!$R$5:$R$208,'فحص-بيانات-ماجستير'!$R$5:$R$230),0),"")</f>
        <v/>
      </c>
    </row>
    <row r="141" spans="1:9" x14ac:dyDescent="0.2">
      <c r="A141" s="1" t="str">
        <f>IF($I141="","",136)</f>
        <v/>
      </c>
      <c r="B141" s="2" t="str">
        <f>IF($I141="","",INDEX(CHOOSE($J$3,'فحص-حاسب-بكالوريوس'!$A$5:$A$208,'فحص-بيانات-بكالوريوس'!$A$5:$A$208,'فحص-بيانات-ماجستير'!$A$5:$A$230),$I141)&amp;"")</f>
        <v/>
      </c>
      <c r="C141" s="2" t="str">
        <f>IF($I141="","",INDEX(CHOOSE($J$3,'فحص-حاسب-بكالوريوس'!$F$5:$F$208,'فحص-بيانات-بكالوريوس'!$F$5:$F$208,'فحص-بيانات-ماجستير'!$F$5:$F$230),$I141)&amp;"")</f>
        <v/>
      </c>
      <c r="D141" s="2" t="str">
        <f>IF($I141="","",INDEX(CHOOSE($J$3,'فحص-حاسب-بكالوريوس'!$H$5:$H$208,'فحص-بيانات-بكالوريوس'!$H$5:$H$208,'فحص-بيانات-ماجستير'!$H$5:$H$230),$I141)&amp;"")</f>
        <v/>
      </c>
      <c r="E141" s="2" t="str">
        <f>IF($I141="","",INDEX(CHOOSE($J$3,'فحص-حاسب-بكالوريوس'!$J$5:$J$208,'فحص-بيانات-بكالوريوس'!$J$5:$J$208,'فحص-بيانات-ماجستير'!$J$5:$J$230),$I141)&amp;"")</f>
        <v/>
      </c>
      <c r="F141" s="2" t="str">
        <f>IF($I141="","",INDEX(CHOOSE($J$3,'فحص-حاسب-بكالوريوس'!$L$5:$L$208,'فحص-بيانات-بكالوريوس'!$L$5:$L$208,'فحص-بيانات-ماجستير'!$L$5:$L$230),$I141)&amp;"")</f>
        <v/>
      </c>
      <c r="G141" s="2" t="str">
        <f>IF($I141="","",INDEX(CHOOSE($J$3,'فحص-حاسب-بكالوريوس'!$M$5:$M$208,'فحص-بيانات-بكالوريوس'!$M$5:$M$208,'فحص-بيانات-ماجستير'!$M$5:$M$230),$I141)&amp;"")</f>
        <v/>
      </c>
      <c r="I141" s="2" t="str">
        <f>IFERROR(MATCH($E$3&amp;"#"&amp;136,CHOOSE($J$3,'فحص-حاسب-بكالوريوس'!$R$5:$R$208,'فحص-بيانات-بكالوريوس'!$R$5:$R$208,'فحص-بيانات-ماجستير'!$R$5:$R$230),0),"")</f>
        <v/>
      </c>
    </row>
    <row r="142" spans="1:9" x14ac:dyDescent="0.2">
      <c r="A142" s="1" t="str">
        <f>IF($I142="","",137)</f>
        <v/>
      </c>
      <c r="B142" s="2" t="str">
        <f>IF($I142="","",INDEX(CHOOSE($J$3,'فحص-حاسب-بكالوريوس'!$A$5:$A$208,'فحص-بيانات-بكالوريوس'!$A$5:$A$208,'فحص-بيانات-ماجستير'!$A$5:$A$230),$I142)&amp;"")</f>
        <v/>
      </c>
      <c r="C142" s="2" t="str">
        <f>IF($I142="","",INDEX(CHOOSE($J$3,'فحص-حاسب-بكالوريوس'!$F$5:$F$208,'فحص-بيانات-بكالوريوس'!$F$5:$F$208,'فحص-بيانات-ماجستير'!$F$5:$F$230),$I142)&amp;"")</f>
        <v/>
      </c>
      <c r="D142" s="2" t="str">
        <f>IF($I142="","",INDEX(CHOOSE($J$3,'فحص-حاسب-بكالوريوس'!$H$5:$H$208,'فحص-بيانات-بكالوريوس'!$H$5:$H$208,'فحص-بيانات-ماجستير'!$H$5:$H$230),$I142)&amp;"")</f>
        <v/>
      </c>
      <c r="E142" s="2" t="str">
        <f>IF($I142="","",INDEX(CHOOSE($J$3,'فحص-حاسب-بكالوريوس'!$J$5:$J$208,'فحص-بيانات-بكالوريوس'!$J$5:$J$208,'فحص-بيانات-ماجستير'!$J$5:$J$230),$I142)&amp;"")</f>
        <v/>
      </c>
      <c r="F142" s="2" t="str">
        <f>IF($I142="","",INDEX(CHOOSE($J$3,'فحص-حاسب-بكالوريوس'!$L$5:$L$208,'فحص-بيانات-بكالوريوس'!$L$5:$L$208,'فحص-بيانات-ماجستير'!$L$5:$L$230),$I142)&amp;"")</f>
        <v/>
      </c>
      <c r="G142" s="2" t="str">
        <f>IF($I142="","",INDEX(CHOOSE($J$3,'فحص-حاسب-بكالوريوس'!$M$5:$M$208,'فحص-بيانات-بكالوريوس'!$M$5:$M$208,'فحص-بيانات-ماجستير'!$M$5:$M$230),$I142)&amp;"")</f>
        <v/>
      </c>
      <c r="I142" s="2" t="str">
        <f>IFERROR(MATCH($E$3&amp;"#"&amp;137,CHOOSE($J$3,'فحص-حاسب-بكالوريوس'!$R$5:$R$208,'فحص-بيانات-بكالوريوس'!$R$5:$R$208,'فحص-بيانات-ماجستير'!$R$5:$R$230),0),"")</f>
        <v/>
      </c>
    </row>
    <row r="143" spans="1:9" x14ac:dyDescent="0.2">
      <c r="A143" s="1" t="str">
        <f>IF($I143="","",138)</f>
        <v/>
      </c>
      <c r="B143" s="2" t="str">
        <f>IF($I143="","",INDEX(CHOOSE($J$3,'فحص-حاسب-بكالوريوس'!$A$5:$A$208,'فحص-بيانات-بكالوريوس'!$A$5:$A$208,'فحص-بيانات-ماجستير'!$A$5:$A$230),$I143)&amp;"")</f>
        <v/>
      </c>
      <c r="C143" s="2" t="str">
        <f>IF($I143="","",INDEX(CHOOSE($J$3,'فحص-حاسب-بكالوريوس'!$F$5:$F$208,'فحص-بيانات-بكالوريوس'!$F$5:$F$208,'فحص-بيانات-ماجستير'!$F$5:$F$230),$I143)&amp;"")</f>
        <v/>
      </c>
      <c r="D143" s="2" t="str">
        <f>IF($I143="","",INDEX(CHOOSE($J$3,'فحص-حاسب-بكالوريوس'!$H$5:$H$208,'فحص-بيانات-بكالوريوس'!$H$5:$H$208,'فحص-بيانات-ماجستير'!$H$5:$H$230),$I143)&amp;"")</f>
        <v/>
      </c>
      <c r="E143" s="2" t="str">
        <f>IF($I143="","",INDEX(CHOOSE($J$3,'فحص-حاسب-بكالوريوس'!$J$5:$J$208,'فحص-بيانات-بكالوريوس'!$J$5:$J$208,'فحص-بيانات-ماجستير'!$J$5:$J$230),$I143)&amp;"")</f>
        <v/>
      </c>
      <c r="F143" s="2" t="str">
        <f>IF($I143="","",INDEX(CHOOSE($J$3,'فحص-حاسب-بكالوريوس'!$L$5:$L$208,'فحص-بيانات-بكالوريوس'!$L$5:$L$208,'فحص-بيانات-ماجستير'!$L$5:$L$230),$I143)&amp;"")</f>
        <v/>
      </c>
      <c r="G143" s="2" t="str">
        <f>IF($I143="","",INDEX(CHOOSE($J$3,'فحص-حاسب-بكالوريوس'!$M$5:$M$208,'فحص-بيانات-بكالوريوس'!$M$5:$M$208,'فحص-بيانات-ماجستير'!$M$5:$M$230),$I143)&amp;"")</f>
        <v/>
      </c>
      <c r="I143" s="2" t="str">
        <f>IFERROR(MATCH($E$3&amp;"#"&amp;138,CHOOSE($J$3,'فحص-حاسب-بكالوريوس'!$R$5:$R$208,'فحص-بيانات-بكالوريوس'!$R$5:$R$208,'فحص-بيانات-ماجستير'!$R$5:$R$230),0),"")</f>
        <v/>
      </c>
    </row>
    <row r="144" spans="1:9" x14ac:dyDescent="0.2">
      <c r="A144" s="1" t="str">
        <f>IF($I144="","",139)</f>
        <v/>
      </c>
      <c r="B144" s="2" t="str">
        <f>IF($I144="","",INDEX(CHOOSE($J$3,'فحص-حاسب-بكالوريوس'!$A$5:$A$208,'فحص-بيانات-بكالوريوس'!$A$5:$A$208,'فحص-بيانات-ماجستير'!$A$5:$A$230),$I144)&amp;"")</f>
        <v/>
      </c>
      <c r="C144" s="2" t="str">
        <f>IF($I144="","",INDEX(CHOOSE($J$3,'فحص-حاسب-بكالوريوس'!$F$5:$F$208,'فحص-بيانات-بكالوريوس'!$F$5:$F$208,'فحص-بيانات-ماجستير'!$F$5:$F$230),$I144)&amp;"")</f>
        <v/>
      </c>
      <c r="D144" s="2" t="str">
        <f>IF($I144="","",INDEX(CHOOSE($J$3,'فحص-حاسب-بكالوريوس'!$H$5:$H$208,'فحص-بيانات-بكالوريوس'!$H$5:$H$208,'فحص-بيانات-ماجستير'!$H$5:$H$230),$I144)&amp;"")</f>
        <v/>
      </c>
      <c r="E144" s="2" t="str">
        <f>IF($I144="","",INDEX(CHOOSE($J$3,'فحص-حاسب-بكالوريوس'!$J$5:$J$208,'فحص-بيانات-بكالوريوس'!$J$5:$J$208,'فحص-بيانات-ماجستير'!$J$5:$J$230),$I144)&amp;"")</f>
        <v/>
      </c>
      <c r="F144" s="2" t="str">
        <f>IF($I144="","",INDEX(CHOOSE($J$3,'فحص-حاسب-بكالوريوس'!$L$5:$L$208,'فحص-بيانات-بكالوريوس'!$L$5:$L$208,'فحص-بيانات-ماجستير'!$L$5:$L$230),$I144)&amp;"")</f>
        <v/>
      </c>
      <c r="G144" s="2" t="str">
        <f>IF($I144="","",INDEX(CHOOSE($J$3,'فحص-حاسب-بكالوريوس'!$M$5:$M$208,'فحص-بيانات-بكالوريوس'!$M$5:$M$208,'فحص-بيانات-ماجستير'!$M$5:$M$230),$I144)&amp;"")</f>
        <v/>
      </c>
      <c r="I144" s="2" t="str">
        <f>IFERROR(MATCH($E$3&amp;"#"&amp;139,CHOOSE($J$3,'فحص-حاسب-بكالوريوس'!$R$5:$R$208,'فحص-بيانات-بكالوريوس'!$R$5:$R$208,'فحص-بيانات-ماجستير'!$R$5:$R$230),0),"")</f>
        <v/>
      </c>
    </row>
    <row r="145" spans="1:9" x14ac:dyDescent="0.2">
      <c r="A145" s="1" t="str">
        <f>IF($I145="","",140)</f>
        <v/>
      </c>
      <c r="B145" s="2" t="str">
        <f>IF($I145="","",INDEX(CHOOSE($J$3,'فحص-حاسب-بكالوريوس'!$A$5:$A$208,'فحص-بيانات-بكالوريوس'!$A$5:$A$208,'فحص-بيانات-ماجستير'!$A$5:$A$230),$I145)&amp;"")</f>
        <v/>
      </c>
      <c r="C145" s="2" t="str">
        <f>IF($I145="","",INDEX(CHOOSE($J$3,'فحص-حاسب-بكالوريوس'!$F$5:$F$208,'فحص-بيانات-بكالوريوس'!$F$5:$F$208,'فحص-بيانات-ماجستير'!$F$5:$F$230),$I145)&amp;"")</f>
        <v/>
      </c>
      <c r="D145" s="2" t="str">
        <f>IF($I145="","",INDEX(CHOOSE($J$3,'فحص-حاسب-بكالوريوس'!$H$5:$H$208,'فحص-بيانات-بكالوريوس'!$H$5:$H$208,'فحص-بيانات-ماجستير'!$H$5:$H$230),$I145)&amp;"")</f>
        <v/>
      </c>
      <c r="E145" s="2" t="str">
        <f>IF($I145="","",INDEX(CHOOSE($J$3,'فحص-حاسب-بكالوريوس'!$J$5:$J$208,'فحص-بيانات-بكالوريوس'!$J$5:$J$208,'فحص-بيانات-ماجستير'!$J$5:$J$230),$I145)&amp;"")</f>
        <v/>
      </c>
      <c r="F145" s="2" t="str">
        <f>IF($I145="","",INDEX(CHOOSE($J$3,'فحص-حاسب-بكالوريوس'!$L$5:$L$208,'فحص-بيانات-بكالوريوس'!$L$5:$L$208,'فحص-بيانات-ماجستير'!$L$5:$L$230),$I145)&amp;"")</f>
        <v/>
      </c>
      <c r="G145" s="2" t="str">
        <f>IF($I145="","",INDEX(CHOOSE($J$3,'فحص-حاسب-بكالوريوس'!$M$5:$M$208,'فحص-بيانات-بكالوريوس'!$M$5:$M$208,'فحص-بيانات-ماجستير'!$M$5:$M$230),$I145)&amp;"")</f>
        <v/>
      </c>
      <c r="I145" s="2" t="str">
        <f>IFERROR(MATCH($E$3&amp;"#"&amp;140,CHOOSE($J$3,'فحص-حاسب-بكالوريوس'!$R$5:$R$208,'فحص-بيانات-بكالوريوس'!$R$5:$R$208,'فحص-بيانات-ماجستير'!$R$5:$R$230),0),"")</f>
        <v/>
      </c>
    </row>
    <row r="146" spans="1:9" x14ac:dyDescent="0.2">
      <c r="A146" s="1" t="str">
        <f>IF($I146="","",141)</f>
        <v/>
      </c>
      <c r="B146" s="2" t="str">
        <f>IF($I146="","",INDEX(CHOOSE($J$3,'فحص-حاسب-بكالوريوس'!$A$5:$A$208,'فحص-بيانات-بكالوريوس'!$A$5:$A$208,'فحص-بيانات-ماجستير'!$A$5:$A$230),$I146)&amp;"")</f>
        <v/>
      </c>
      <c r="C146" s="2" t="str">
        <f>IF($I146="","",INDEX(CHOOSE($J$3,'فحص-حاسب-بكالوريوس'!$F$5:$F$208,'فحص-بيانات-بكالوريوس'!$F$5:$F$208,'فحص-بيانات-ماجستير'!$F$5:$F$230),$I146)&amp;"")</f>
        <v/>
      </c>
      <c r="D146" s="2" t="str">
        <f>IF($I146="","",INDEX(CHOOSE($J$3,'فحص-حاسب-بكالوريوس'!$H$5:$H$208,'فحص-بيانات-بكالوريوس'!$H$5:$H$208,'فحص-بيانات-ماجستير'!$H$5:$H$230),$I146)&amp;"")</f>
        <v/>
      </c>
      <c r="E146" s="2" t="str">
        <f>IF($I146="","",INDEX(CHOOSE($J$3,'فحص-حاسب-بكالوريوس'!$J$5:$J$208,'فحص-بيانات-بكالوريوس'!$J$5:$J$208,'فحص-بيانات-ماجستير'!$J$5:$J$230),$I146)&amp;"")</f>
        <v/>
      </c>
      <c r="F146" s="2" t="str">
        <f>IF($I146="","",INDEX(CHOOSE($J$3,'فحص-حاسب-بكالوريوس'!$L$5:$L$208,'فحص-بيانات-بكالوريوس'!$L$5:$L$208,'فحص-بيانات-ماجستير'!$L$5:$L$230),$I146)&amp;"")</f>
        <v/>
      </c>
      <c r="G146" s="2" t="str">
        <f>IF($I146="","",INDEX(CHOOSE($J$3,'فحص-حاسب-بكالوريوس'!$M$5:$M$208,'فحص-بيانات-بكالوريوس'!$M$5:$M$208,'فحص-بيانات-ماجستير'!$M$5:$M$230),$I146)&amp;"")</f>
        <v/>
      </c>
      <c r="I146" s="2" t="str">
        <f>IFERROR(MATCH($E$3&amp;"#"&amp;141,CHOOSE($J$3,'فحص-حاسب-بكالوريوس'!$R$5:$R$208,'فحص-بيانات-بكالوريوس'!$R$5:$R$208,'فحص-بيانات-ماجستير'!$R$5:$R$230),0),"")</f>
        <v/>
      </c>
    </row>
    <row r="147" spans="1:9" x14ac:dyDescent="0.2">
      <c r="A147" s="1" t="str">
        <f>IF($I147="","",142)</f>
        <v/>
      </c>
      <c r="B147" s="2" t="str">
        <f>IF($I147="","",INDEX(CHOOSE($J$3,'فحص-حاسب-بكالوريوس'!$A$5:$A$208,'فحص-بيانات-بكالوريوس'!$A$5:$A$208,'فحص-بيانات-ماجستير'!$A$5:$A$230),$I147)&amp;"")</f>
        <v/>
      </c>
      <c r="C147" s="2" t="str">
        <f>IF($I147="","",INDEX(CHOOSE($J$3,'فحص-حاسب-بكالوريوس'!$F$5:$F$208,'فحص-بيانات-بكالوريوس'!$F$5:$F$208,'فحص-بيانات-ماجستير'!$F$5:$F$230),$I147)&amp;"")</f>
        <v/>
      </c>
      <c r="D147" s="2" t="str">
        <f>IF($I147="","",INDEX(CHOOSE($J$3,'فحص-حاسب-بكالوريوس'!$H$5:$H$208,'فحص-بيانات-بكالوريوس'!$H$5:$H$208,'فحص-بيانات-ماجستير'!$H$5:$H$230),$I147)&amp;"")</f>
        <v/>
      </c>
      <c r="E147" s="2" t="str">
        <f>IF($I147="","",INDEX(CHOOSE($J$3,'فحص-حاسب-بكالوريوس'!$J$5:$J$208,'فحص-بيانات-بكالوريوس'!$J$5:$J$208,'فحص-بيانات-ماجستير'!$J$5:$J$230),$I147)&amp;"")</f>
        <v/>
      </c>
      <c r="F147" s="2" t="str">
        <f>IF($I147="","",INDEX(CHOOSE($J$3,'فحص-حاسب-بكالوريوس'!$L$5:$L$208,'فحص-بيانات-بكالوريوس'!$L$5:$L$208,'فحص-بيانات-ماجستير'!$L$5:$L$230),$I147)&amp;"")</f>
        <v/>
      </c>
      <c r="G147" s="2" t="str">
        <f>IF($I147="","",INDEX(CHOOSE($J$3,'فحص-حاسب-بكالوريوس'!$M$5:$M$208,'فحص-بيانات-بكالوريوس'!$M$5:$M$208,'فحص-بيانات-ماجستير'!$M$5:$M$230),$I147)&amp;"")</f>
        <v/>
      </c>
      <c r="I147" s="2" t="str">
        <f>IFERROR(MATCH($E$3&amp;"#"&amp;142,CHOOSE($J$3,'فحص-حاسب-بكالوريوس'!$R$5:$R$208,'فحص-بيانات-بكالوريوس'!$R$5:$R$208,'فحص-بيانات-ماجستير'!$R$5:$R$230),0),"")</f>
        <v/>
      </c>
    </row>
    <row r="148" spans="1:9" x14ac:dyDescent="0.2">
      <c r="A148" s="1" t="str">
        <f>IF($I148="","",143)</f>
        <v/>
      </c>
      <c r="B148" s="2" t="str">
        <f>IF($I148="","",INDEX(CHOOSE($J$3,'فحص-حاسب-بكالوريوس'!$A$5:$A$208,'فحص-بيانات-بكالوريوس'!$A$5:$A$208,'فحص-بيانات-ماجستير'!$A$5:$A$230),$I148)&amp;"")</f>
        <v/>
      </c>
      <c r="C148" s="2" t="str">
        <f>IF($I148="","",INDEX(CHOOSE($J$3,'فحص-حاسب-بكالوريوس'!$F$5:$F$208,'فحص-بيانات-بكالوريوس'!$F$5:$F$208,'فحص-بيانات-ماجستير'!$F$5:$F$230),$I148)&amp;"")</f>
        <v/>
      </c>
      <c r="D148" s="2" t="str">
        <f>IF($I148="","",INDEX(CHOOSE($J$3,'فحص-حاسب-بكالوريوس'!$H$5:$H$208,'فحص-بيانات-بكالوريوس'!$H$5:$H$208,'فحص-بيانات-ماجستير'!$H$5:$H$230),$I148)&amp;"")</f>
        <v/>
      </c>
      <c r="E148" s="2" t="str">
        <f>IF($I148="","",INDEX(CHOOSE($J$3,'فحص-حاسب-بكالوريوس'!$J$5:$J$208,'فحص-بيانات-بكالوريوس'!$J$5:$J$208,'فحص-بيانات-ماجستير'!$J$5:$J$230),$I148)&amp;"")</f>
        <v/>
      </c>
      <c r="F148" s="2" t="str">
        <f>IF($I148="","",INDEX(CHOOSE($J$3,'فحص-حاسب-بكالوريوس'!$L$5:$L$208,'فحص-بيانات-بكالوريوس'!$L$5:$L$208,'فحص-بيانات-ماجستير'!$L$5:$L$230),$I148)&amp;"")</f>
        <v/>
      </c>
      <c r="G148" s="2" t="str">
        <f>IF($I148="","",INDEX(CHOOSE($J$3,'فحص-حاسب-بكالوريوس'!$M$5:$M$208,'فحص-بيانات-بكالوريوس'!$M$5:$M$208,'فحص-بيانات-ماجستير'!$M$5:$M$230),$I148)&amp;"")</f>
        <v/>
      </c>
      <c r="I148" s="2" t="str">
        <f>IFERROR(MATCH($E$3&amp;"#"&amp;143,CHOOSE($J$3,'فحص-حاسب-بكالوريوس'!$R$5:$R$208,'فحص-بيانات-بكالوريوس'!$R$5:$R$208,'فحص-بيانات-ماجستير'!$R$5:$R$230),0),"")</f>
        <v/>
      </c>
    </row>
    <row r="149" spans="1:9" x14ac:dyDescent="0.2">
      <c r="A149" s="1" t="str">
        <f>IF($I149="","",144)</f>
        <v/>
      </c>
      <c r="B149" s="2" t="str">
        <f>IF($I149="","",INDEX(CHOOSE($J$3,'فحص-حاسب-بكالوريوس'!$A$5:$A$208,'فحص-بيانات-بكالوريوس'!$A$5:$A$208,'فحص-بيانات-ماجستير'!$A$5:$A$230),$I149)&amp;"")</f>
        <v/>
      </c>
      <c r="C149" s="2" t="str">
        <f>IF($I149="","",INDEX(CHOOSE($J$3,'فحص-حاسب-بكالوريوس'!$F$5:$F$208,'فحص-بيانات-بكالوريوس'!$F$5:$F$208,'فحص-بيانات-ماجستير'!$F$5:$F$230),$I149)&amp;"")</f>
        <v/>
      </c>
      <c r="D149" s="2" t="str">
        <f>IF($I149="","",INDEX(CHOOSE($J$3,'فحص-حاسب-بكالوريوس'!$H$5:$H$208,'فحص-بيانات-بكالوريوس'!$H$5:$H$208,'فحص-بيانات-ماجستير'!$H$5:$H$230),$I149)&amp;"")</f>
        <v/>
      </c>
      <c r="E149" s="2" t="str">
        <f>IF($I149="","",INDEX(CHOOSE($J$3,'فحص-حاسب-بكالوريوس'!$J$5:$J$208,'فحص-بيانات-بكالوريوس'!$J$5:$J$208,'فحص-بيانات-ماجستير'!$J$5:$J$230),$I149)&amp;"")</f>
        <v/>
      </c>
      <c r="F149" s="2" t="str">
        <f>IF($I149="","",INDEX(CHOOSE($J$3,'فحص-حاسب-بكالوريوس'!$L$5:$L$208,'فحص-بيانات-بكالوريوس'!$L$5:$L$208,'فحص-بيانات-ماجستير'!$L$5:$L$230),$I149)&amp;"")</f>
        <v/>
      </c>
      <c r="G149" s="2" t="str">
        <f>IF($I149="","",INDEX(CHOOSE($J$3,'فحص-حاسب-بكالوريوس'!$M$5:$M$208,'فحص-بيانات-بكالوريوس'!$M$5:$M$208,'فحص-بيانات-ماجستير'!$M$5:$M$230),$I149)&amp;"")</f>
        <v/>
      </c>
      <c r="I149" s="2" t="str">
        <f>IFERROR(MATCH($E$3&amp;"#"&amp;144,CHOOSE($J$3,'فحص-حاسب-بكالوريوس'!$R$5:$R$208,'فحص-بيانات-بكالوريوس'!$R$5:$R$208,'فحص-بيانات-ماجستير'!$R$5:$R$230),0),"")</f>
        <v/>
      </c>
    </row>
    <row r="150" spans="1:9" x14ac:dyDescent="0.2">
      <c r="A150" s="1" t="str">
        <f>IF($I150="","",145)</f>
        <v/>
      </c>
      <c r="B150" s="2" t="str">
        <f>IF($I150="","",INDEX(CHOOSE($J$3,'فحص-حاسب-بكالوريوس'!$A$5:$A$208,'فحص-بيانات-بكالوريوس'!$A$5:$A$208,'فحص-بيانات-ماجستير'!$A$5:$A$230),$I150)&amp;"")</f>
        <v/>
      </c>
      <c r="C150" s="2" t="str">
        <f>IF($I150="","",INDEX(CHOOSE($J$3,'فحص-حاسب-بكالوريوس'!$F$5:$F$208,'فحص-بيانات-بكالوريوس'!$F$5:$F$208,'فحص-بيانات-ماجستير'!$F$5:$F$230),$I150)&amp;"")</f>
        <v/>
      </c>
      <c r="D150" s="2" t="str">
        <f>IF($I150="","",INDEX(CHOOSE($J$3,'فحص-حاسب-بكالوريوس'!$H$5:$H$208,'فحص-بيانات-بكالوريوس'!$H$5:$H$208,'فحص-بيانات-ماجستير'!$H$5:$H$230),$I150)&amp;"")</f>
        <v/>
      </c>
      <c r="E150" s="2" t="str">
        <f>IF($I150="","",INDEX(CHOOSE($J$3,'فحص-حاسب-بكالوريوس'!$J$5:$J$208,'فحص-بيانات-بكالوريوس'!$J$5:$J$208,'فحص-بيانات-ماجستير'!$J$5:$J$230),$I150)&amp;"")</f>
        <v/>
      </c>
      <c r="F150" s="2" t="str">
        <f>IF($I150="","",INDEX(CHOOSE($J$3,'فحص-حاسب-بكالوريوس'!$L$5:$L$208,'فحص-بيانات-بكالوريوس'!$L$5:$L$208,'فحص-بيانات-ماجستير'!$L$5:$L$230),$I150)&amp;"")</f>
        <v/>
      </c>
      <c r="G150" s="2" t="str">
        <f>IF($I150="","",INDEX(CHOOSE($J$3,'فحص-حاسب-بكالوريوس'!$M$5:$M$208,'فحص-بيانات-بكالوريوس'!$M$5:$M$208,'فحص-بيانات-ماجستير'!$M$5:$M$230),$I150)&amp;"")</f>
        <v/>
      </c>
      <c r="I150" s="2" t="str">
        <f>IFERROR(MATCH($E$3&amp;"#"&amp;145,CHOOSE($J$3,'فحص-حاسب-بكالوريوس'!$R$5:$R$208,'فحص-بيانات-بكالوريوس'!$R$5:$R$208,'فحص-بيانات-ماجستير'!$R$5:$R$230),0),"")</f>
        <v/>
      </c>
    </row>
    <row r="151" spans="1:9" x14ac:dyDescent="0.2">
      <c r="A151" s="1" t="str">
        <f>IF($I151="","",146)</f>
        <v/>
      </c>
      <c r="B151" s="2" t="str">
        <f>IF($I151="","",INDEX(CHOOSE($J$3,'فحص-حاسب-بكالوريوس'!$A$5:$A$208,'فحص-بيانات-بكالوريوس'!$A$5:$A$208,'فحص-بيانات-ماجستير'!$A$5:$A$230),$I151)&amp;"")</f>
        <v/>
      </c>
      <c r="C151" s="2" t="str">
        <f>IF($I151="","",INDEX(CHOOSE($J$3,'فحص-حاسب-بكالوريوس'!$F$5:$F$208,'فحص-بيانات-بكالوريوس'!$F$5:$F$208,'فحص-بيانات-ماجستير'!$F$5:$F$230),$I151)&amp;"")</f>
        <v/>
      </c>
      <c r="D151" s="2" t="str">
        <f>IF($I151="","",INDEX(CHOOSE($J$3,'فحص-حاسب-بكالوريوس'!$H$5:$H$208,'فحص-بيانات-بكالوريوس'!$H$5:$H$208,'فحص-بيانات-ماجستير'!$H$5:$H$230),$I151)&amp;"")</f>
        <v/>
      </c>
      <c r="E151" s="2" t="str">
        <f>IF($I151="","",INDEX(CHOOSE($J$3,'فحص-حاسب-بكالوريوس'!$J$5:$J$208,'فحص-بيانات-بكالوريوس'!$J$5:$J$208,'فحص-بيانات-ماجستير'!$J$5:$J$230),$I151)&amp;"")</f>
        <v/>
      </c>
      <c r="F151" s="2" t="str">
        <f>IF($I151="","",INDEX(CHOOSE($J$3,'فحص-حاسب-بكالوريوس'!$L$5:$L$208,'فحص-بيانات-بكالوريوس'!$L$5:$L$208,'فحص-بيانات-ماجستير'!$L$5:$L$230),$I151)&amp;"")</f>
        <v/>
      </c>
      <c r="G151" s="2" t="str">
        <f>IF($I151="","",INDEX(CHOOSE($J$3,'فحص-حاسب-بكالوريوس'!$M$5:$M$208,'فحص-بيانات-بكالوريوس'!$M$5:$M$208,'فحص-بيانات-ماجستير'!$M$5:$M$230),$I151)&amp;"")</f>
        <v/>
      </c>
      <c r="I151" s="2" t="str">
        <f>IFERROR(MATCH($E$3&amp;"#"&amp;146,CHOOSE($J$3,'فحص-حاسب-بكالوريوس'!$R$5:$R$208,'فحص-بيانات-بكالوريوس'!$R$5:$R$208,'فحص-بيانات-ماجستير'!$R$5:$R$230),0),"")</f>
        <v/>
      </c>
    </row>
    <row r="152" spans="1:9" x14ac:dyDescent="0.2">
      <c r="A152" s="1" t="str">
        <f>IF($I152="","",147)</f>
        <v/>
      </c>
      <c r="B152" s="2" t="str">
        <f>IF($I152="","",INDEX(CHOOSE($J$3,'فحص-حاسب-بكالوريوس'!$A$5:$A$208,'فحص-بيانات-بكالوريوس'!$A$5:$A$208,'فحص-بيانات-ماجستير'!$A$5:$A$230),$I152)&amp;"")</f>
        <v/>
      </c>
      <c r="C152" s="2" t="str">
        <f>IF($I152="","",INDEX(CHOOSE($J$3,'فحص-حاسب-بكالوريوس'!$F$5:$F$208,'فحص-بيانات-بكالوريوس'!$F$5:$F$208,'فحص-بيانات-ماجستير'!$F$5:$F$230),$I152)&amp;"")</f>
        <v/>
      </c>
      <c r="D152" s="2" t="str">
        <f>IF($I152="","",INDEX(CHOOSE($J$3,'فحص-حاسب-بكالوريوس'!$H$5:$H$208,'فحص-بيانات-بكالوريوس'!$H$5:$H$208,'فحص-بيانات-ماجستير'!$H$5:$H$230),$I152)&amp;"")</f>
        <v/>
      </c>
      <c r="E152" s="2" t="str">
        <f>IF($I152="","",INDEX(CHOOSE($J$3,'فحص-حاسب-بكالوريوس'!$J$5:$J$208,'فحص-بيانات-بكالوريوس'!$J$5:$J$208,'فحص-بيانات-ماجستير'!$J$5:$J$230),$I152)&amp;"")</f>
        <v/>
      </c>
      <c r="F152" s="2" t="str">
        <f>IF($I152="","",INDEX(CHOOSE($J$3,'فحص-حاسب-بكالوريوس'!$L$5:$L$208,'فحص-بيانات-بكالوريوس'!$L$5:$L$208,'فحص-بيانات-ماجستير'!$L$5:$L$230),$I152)&amp;"")</f>
        <v/>
      </c>
      <c r="G152" s="2" t="str">
        <f>IF($I152="","",INDEX(CHOOSE($J$3,'فحص-حاسب-بكالوريوس'!$M$5:$M$208,'فحص-بيانات-بكالوريوس'!$M$5:$M$208,'فحص-بيانات-ماجستير'!$M$5:$M$230),$I152)&amp;"")</f>
        <v/>
      </c>
      <c r="I152" s="2" t="str">
        <f>IFERROR(MATCH($E$3&amp;"#"&amp;147,CHOOSE($J$3,'فحص-حاسب-بكالوريوس'!$R$5:$R$208,'فحص-بيانات-بكالوريوس'!$R$5:$R$208,'فحص-بيانات-ماجستير'!$R$5:$R$230),0),"")</f>
        <v/>
      </c>
    </row>
    <row r="153" spans="1:9" x14ac:dyDescent="0.2">
      <c r="A153" s="1" t="str">
        <f>IF($I153="","",148)</f>
        <v/>
      </c>
      <c r="B153" s="2" t="str">
        <f>IF($I153="","",INDEX(CHOOSE($J$3,'فحص-حاسب-بكالوريوس'!$A$5:$A$208,'فحص-بيانات-بكالوريوس'!$A$5:$A$208,'فحص-بيانات-ماجستير'!$A$5:$A$230),$I153)&amp;"")</f>
        <v/>
      </c>
      <c r="C153" s="2" t="str">
        <f>IF($I153="","",INDEX(CHOOSE($J$3,'فحص-حاسب-بكالوريوس'!$F$5:$F$208,'فحص-بيانات-بكالوريوس'!$F$5:$F$208,'فحص-بيانات-ماجستير'!$F$5:$F$230),$I153)&amp;"")</f>
        <v/>
      </c>
      <c r="D153" s="2" t="str">
        <f>IF($I153="","",INDEX(CHOOSE($J$3,'فحص-حاسب-بكالوريوس'!$H$5:$H$208,'فحص-بيانات-بكالوريوس'!$H$5:$H$208,'فحص-بيانات-ماجستير'!$H$5:$H$230),$I153)&amp;"")</f>
        <v/>
      </c>
      <c r="E153" s="2" t="str">
        <f>IF($I153="","",INDEX(CHOOSE($J$3,'فحص-حاسب-بكالوريوس'!$J$5:$J$208,'فحص-بيانات-بكالوريوس'!$J$5:$J$208,'فحص-بيانات-ماجستير'!$J$5:$J$230),$I153)&amp;"")</f>
        <v/>
      </c>
      <c r="F153" s="2" t="str">
        <f>IF($I153="","",INDEX(CHOOSE($J$3,'فحص-حاسب-بكالوريوس'!$L$5:$L$208,'فحص-بيانات-بكالوريوس'!$L$5:$L$208,'فحص-بيانات-ماجستير'!$L$5:$L$230),$I153)&amp;"")</f>
        <v/>
      </c>
      <c r="G153" s="2" t="str">
        <f>IF($I153="","",INDEX(CHOOSE($J$3,'فحص-حاسب-بكالوريوس'!$M$5:$M$208,'فحص-بيانات-بكالوريوس'!$M$5:$M$208,'فحص-بيانات-ماجستير'!$M$5:$M$230),$I153)&amp;"")</f>
        <v/>
      </c>
      <c r="I153" s="2" t="str">
        <f>IFERROR(MATCH($E$3&amp;"#"&amp;148,CHOOSE($J$3,'فحص-حاسب-بكالوريوس'!$R$5:$R$208,'فحص-بيانات-بكالوريوس'!$R$5:$R$208,'فحص-بيانات-ماجستير'!$R$5:$R$230),0),"")</f>
        <v/>
      </c>
    </row>
    <row r="154" spans="1:9" x14ac:dyDescent="0.2">
      <c r="A154" s="1" t="str">
        <f>IF($I154="","",149)</f>
        <v/>
      </c>
      <c r="B154" s="2" t="str">
        <f>IF($I154="","",INDEX(CHOOSE($J$3,'فحص-حاسب-بكالوريوس'!$A$5:$A$208,'فحص-بيانات-بكالوريوس'!$A$5:$A$208,'فحص-بيانات-ماجستير'!$A$5:$A$230),$I154)&amp;"")</f>
        <v/>
      </c>
      <c r="C154" s="2" t="str">
        <f>IF($I154="","",INDEX(CHOOSE($J$3,'فحص-حاسب-بكالوريوس'!$F$5:$F$208,'فحص-بيانات-بكالوريوس'!$F$5:$F$208,'فحص-بيانات-ماجستير'!$F$5:$F$230),$I154)&amp;"")</f>
        <v/>
      </c>
      <c r="D154" s="2" t="str">
        <f>IF($I154="","",INDEX(CHOOSE($J$3,'فحص-حاسب-بكالوريوس'!$H$5:$H$208,'فحص-بيانات-بكالوريوس'!$H$5:$H$208,'فحص-بيانات-ماجستير'!$H$5:$H$230),$I154)&amp;"")</f>
        <v/>
      </c>
      <c r="E154" s="2" t="str">
        <f>IF($I154="","",INDEX(CHOOSE($J$3,'فحص-حاسب-بكالوريوس'!$J$5:$J$208,'فحص-بيانات-بكالوريوس'!$J$5:$J$208,'فحص-بيانات-ماجستير'!$J$5:$J$230),$I154)&amp;"")</f>
        <v/>
      </c>
      <c r="F154" s="2" t="str">
        <f>IF($I154="","",INDEX(CHOOSE($J$3,'فحص-حاسب-بكالوريوس'!$L$5:$L$208,'فحص-بيانات-بكالوريوس'!$L$5:$L$208,'فحص-بيانات-ماجستير'!$L$5:$L$230),$I154)&amp;"")</f>
        <v/>
      </c>
      <c r="G154" s="2" t="str">
        <f>IF($I154="","",INDEX(CHOOSE($J$3,'فحص-حاسب-بكالوريوس'!$M$5:$M$208,'فحص-بيانات-بكالوريوس'!$M$5:$M$208,'فحص-بيانات-ماجستير'!$M$5:$M$230),$I154)&amp;"")</f>
        <v/>
      </c>
      <c r="I154" s="2" t="str">
        <f>IFERROR(MATCH($E$3&amp;"#"&amp;149,CHOOSE($J$3,'فحص-حاسب-بكالوريوس'!$R$5:$R$208,'فحص-بيانات-بكالوريوس'!$R$5:$R$208,'فحص-بيانات-ماجستير'!$R$5:$R$230),0),"")</f>
        <v/>
      </c>
    </row>
    <row r="155" spans="1:9" x14ac:dyDescent="0.2">
      <c r="A155" s="1" t="str">
        <f>IF($I155="","",150)</f>
        <v/>
      </c>
      <c r="B155" s="2" t="str">
        <f>IF($I155="","",INDEX(CHOOSE($J$3,'فحص-حاسب-بكالوريوس'!$A$5:$A$208,'فحص-بيانات-بكالوريوس'!$A$5:$A$208,'فحص-بيانات-ماجستير'!$A$5:$A$230),$I155)&amp;"")</f>
        <v/>
      </c>
      <c r="C155" s="2" t="str">
        <f>IF($I155="","",INDEX(CHOOSE($J$3,'فحص-حاسب-بكالوريوس'!$F$5:$F$208,'فحص-بيانات-بكالوريوس'!$F$5:$F$208,'فحص-بيانات-ماجستير'!$F$5:$F$230),$I155)&amp;"")</f>
        <v/>
      </c>
      <c r="D155" s="2" t="str">
        <f>IF($I155="","",INDEX(CHOOSE($J$3,'فحص-حاسب-بكالوريوس'!$H$5:$H$208,'فحص-بيانات-بكالوريوس'!$H$5:$H$208,'فحص-بيانات-ماجستير'!$H$5:$H$230),$I155)&amp;"")</f>
        <v/>
      </c>
      <c r="E155" s="2" t="str">
        <f>IF($I155="","",INDEX(CHOOSE($J$3,'فحص-حاسب-بكالوريوس'!$J$5:$J$208,'فحص-بيانات-بكالوريوس'!$J$5:$J$208,'فحص-بيانات-ماجستير'!$J$5:$J$230),$I155)&amp;"")</f>
        <v/>
      </c>
      <c r="F155" s="2" t="str">
        <f>IF($I155="","",INDEX(CHOOSE($J$3,'فحص-حاسب-بكالوريوس'!$L$5:$L$208,'فحص-بيانات-بكالوريوس'!$L$5:$L$208,'فحص-بيانات-ماجستير'!$L$5:$L$230),$I155)&amp;"")</f>
        <v/>
      </c>
      <c r="G155" s="2" t="str">
        <f>IF($I155="","",INDEX(CHOOSE($J$3,'فحص-حاسب-بكالوريوس'!$M$5:$M$208,'فحص-بيانات-بكالوريوس'!$M$5:$M$208,'فحص-بيانات-ماجستير'!$M$5:$M$230),$I155)&amp;"")</f>
        <v/>
      </c>
      <c r="I155" s="2" t="str">
        <f>IFERROR(MATCH($E$3&amp;"#"&amp;150,CHOOSE($J$3,'فحص-حاسب-بكالوريوس'!$R$5:$R$208,'فحص-بيانات-بكالوريوس'!$R$5:$R$208,'فحص-بيانات-ماجستير'!$R$5:$R$230),0),"")</f>
        <v/>
      </c>
    </row>
    <row r="156" spans="1:9" x14ac:dyDescent="0.2">
      <c r="A156" s="1" t="str">
        <f>IF($I156="","",151)</f>
        <v/>
      </c>
      <c r="B156" s="2" t="str">
        <f>IF($I156="","",INDEX(CHOOSE($J$3,'فحص-حاسب-بكالوريوس'!$A$5:$A$208,'فحص-بيانات-بكالوريوس'!$A$5:$A$208,'فحص-بيانات-ماجستير'!$A$5:$A$230),$I156)&amp;"")</f>
        <v/>
      </c>
      <c r="C156" s="2" t="str">
        <f>IF($I156="","",INDEX(CHOOSE($J$3,'فحص-حاسب-بكالوريوس'!$F$5:$F$208,'فحص-بيانات-بكالوريوس'!$F$5:$F$208,'فحص-بيانات-ماجستير'!$F$5:$F$230),$I156)&amp;"")</f>
        <v/>
      </c>
      <c r="D156" s="2" t="str">
        <f>IF($I156="","",INDEX(CHOOSE($J$3,'فحص-حاسب-بكالوريوس'!$H$5:$H$208,'فحص-بيانات-بكالوريوس'!$H$5:$H$208,'فحص-بيانات-ماجستير'!$H$5:$H$230),$I156)&amp;"")</f>
        <v/>
      </c>
      <c r="E156" s="2" t="str">
        <f>IF($I156="","",INDEX(CHOOSE($J$3,'فحص-حاسب-بكالوريوس'!$J$5:$J$208,'فحص-بيانات-بكالوريوس'!$J$5:$J$208,'فحص-بيانات-ماجستير'!$J$5:$J$230),$I156)&amp;"")</f>
        <v/>
      </c>
      <c r="F156" s="2" t="str">
        <f>IF($I156="","",INDEX(CHOOSE($J$3,'فحص-حاسب-بكالوريوس'!$L$5:$L$208,'فحص-بيانات-بكالوريوس'!$L$5:$L$208,'فحص-بيانات-ماجستير'!$L$5:$L$230),$I156)&amp;"")</f>
        <v/>
      </c>
      <c r="G156" s="2" t="str">
        <f>IF($I156="","",INDEX(CHOOSE($J$3,'فحص-حاسب-بكالوريوس'!$M$5:$M$208,'فحص-بيانات-بكالوريوس'!$M$5:$M$208,'فحص-بيانات-ماجستير'!$M$5:$M$230),$I156)&amp;"")</f>
        <v/>
      </c>
      <c r="I156" s="2" t="str">
        <f>IFERROR(MATCH($E$3&amp;"#"&amp;151,CHOOSE($J$3,'فحص-حاسب-بكالوريوس'!$R$5:$R$208,'فحص-بيانات-بكالوريوس'!$R$5:$R$208,'فحص-بيانات-ماجستير'!$R$5:$R$230),0),"")</f>
        <v/>
      </c>
    </row>
    <row r="157" spans="1:9" x14ac:dyDescent="0.2">
      <c r="A157" s="1" t="str">
        <f>IF($I157="","",152)</f>
        <v/>
      </c>
      <c r="B157" s="2" t="str">
        <f>IF($I157="","",INDEX(CHOOSE($J$3,'فحص-حاسب-بكالوريوس'!$A$5:$A$208,'فحص-بيانات-بكالوريوس'!$A$5:$A$208,'فحص-بيانات-ماجستير'!$A$5:$A$230),$I157)&amp;"")</f>
        <v/>
      </c>
      <c r="C157" s="2" t="str">
        <f>IF($I157="","",INDEX(CHOOSE($J$3,'فحص-حاسب-بكالوريوس'!$F$5:$F$208,'فحص-بيانات-بكالوريوس'!$F$5:$F$208,'فحص-بيانات-ماجستير'!$F$5:$F$230),$I157)&amp;"")</f>
        <v/>
      </c>
      <c r="D157" s="2" t="str">
        <f>IF($I157="","",INDEX(CHOOSE($J$3,'فحص-حاسب-بكالوريوس'!$H$5:$H$208,'فحص-بيانات-بكالوريوس'!$H$5:$H$208,'فحص-بيانات-ماجستير'!$H$5:$H$230),$I157)&amp;"")</f>
        <v/>
      </c>
      <c r="E157" s="2" t="str">
        <f>IF($I157="","",INDEX(CHOOSE($J$3,'فحص-حاسب-بكالوريوس'!$J$5:$J$208,'فحص-بيانات-بكالوريوس'!$J$5:$J$208,'فحص-بيانات-ماجستير'!$J$5:$J$230),$I157)&amp;"")</f>
        <v/>
      </c>
      <c r="F157" s="2" t="str">
        <f>IF($I157="","",INDEX(CHOOSE($J$3,'فحص-حاسب-بكالوريوس'!$L$5:$L$208,'فحص-بيانات-بكالوريوس'!$L$5:$L$208,'فحص-بيانات-ماجستير'!$L$5:$L$230),$I157)&amp;"")</f>
        <v/>
      </c>
      <c r="G157" s="2" t="str">
        <f>IF($I157="","",INDEX(CHOOSE($J$3,'فحص-حاسب-بكالوريوس'!$M$5:$M$208,'فحص-بيانات-بكالوريوس'!$M$5:$M$208,'فحص-بيانات-ماجستير'!$M$5:$M$230),$I157)&amp;"")</f>
        <v/>
      </c>
      <c r="I157" s="2" t="str">
        <f>IFERROR(MATCH($E$3&amp;"#"&amp;152,CHOOSE($J$3,'فحص-حاسب-بكالوريوس'!$R$5:$R$208,'فحص-بيانات-بكالوريوس'!$R$5:$R$208,'فحص-بيانات-ماجستير'!$R$5:$R$230),0),"")</f>
        <v/>
      </c>
    </row>
    <row r="158" spans="1:9" x14ac:dyDescent="0.2">
      <c r="A158" s="1" t="str">
        <f>IF($I158="","",153)</f>
        <v/>
      </c>
      <c r="B158" s="2" t="str">
        <f>IF($I158="","",INDEX(CHOOSE($J$3,'فحص-حاسب-بكالوريوس'!$A$5:$A$208,'فحص-بيانات-بكالوريوس'!$A$5:$A$208,'فحص-بيانات-ماجستير'!$A$5:$A$230),$I158)&amp;"")</f>
        <v/>
      </c>
      <c r="C158" s="2" t="str">
        <f>IF($I158="","",INDEX(CHOOSE($J$3,'فحص-حاسب-بكالوريوس'!$F$5:$F$208,'فحص-بيانات-بكالوريوس'!$F$5:$F$208,'فحص-بيانات-ماجستير'!$F$5:$F$230),$I158)&amp;"")</f>
        <v/>
      </c>
      <c r="D158" s="2" t="str">
        <f>IF($I158="","",INDEX(CHOOSE($J$3,'فحص-حاسب-بكالوريوس'!$H$5:$H$208,'فحص-بيانات-بكالوريوس'!$H$5:$H$208,'فحص-بيانات-ماجستير'!$H$5:$H$230),$I158)&amp;"")</f>
        <v/>
      </c>
      <c r="E158" s="2" t="str">
        <f>IF($I158="","",INDEX(CHOOSE($J$3,'فحص-حاسب-بكالوريوس'!$J$5:$J$208,'فحص-بيانات-بكالوريوس'!$J$5:$J$208,'فحص-بيانات-ماجستير'!$J$5:$J$230),$I158)&amp;"")</f>
        <v/>
      </c>
      <c r="F158" s="2" t="str">
        <f>IF($I158="","",INDEX(CHOOSE($J$3,'فحص-حاسب-بكالوريوس'!$L$5:$L$208,'فحص-بيانات-بكالوريوس'!$L$5:$L$208,'فحص-بيانات-ماجستير'!$L$5:$L$230),$I158)&amp;"")</f>
        <v/>
      </c>
      <c r="G158" s="2" t="str">
        <f>IF($I158="","",INDEX(CHOOSE($J$3,'فحص-حاسب-بكالوريوس'!$M$5:$M$208,'فحص-بيانات-بكالوريوس'!$M$5:$M$208,'فحص-بيانات-ماجستير'!$M$5:$M$230),$I158)&amp;"")</f>
        <v/>
      </c>
      <c r="I158" s="2" t="str">
        <f>IFERROR(MATCH($E$3&amp;"#"&amp;153,CHOOSE($J$3,'فحص-حاسب-بكالوريوس'!$R$5:$R$208,'فحص-بيانات-بكالوريوس'!$R$5:$R$208,'فحص-بيانات-ماجستير'!$R$5:$R$230),0),"")</f>
        <v/>
      </c>
    </row>
    <row r="159" spans="1:9" x14ac:dyDescent="0.2">
      <c r="A159" s="1" t="str">
        <f>IF($I159="","",154)</f>
        <v/>
      </c>
      <c r="B159" s="2" t="str">
        <f>IF($I159="","",INDEX(CHOOSE($J$3,'فحص-حاسب-بكالوريوس'!$A$5:$A$208,'فحص-بيانات-بكالوريوس'!$A$5:$A$208,'فحص-بيانات-ماجستير'!$A$5:$A$230),$I159)&amp;"")</f>
        <v/>
      </c>
      <c r="C159" s="2" t="str">
        <f>IF($I159="","",INDEX(CHOOSE($J$3,'فحص-حاسب-بكالوريوس'!$F$5:$F$208,'فحص-بيانات-بكالوريوس'!$F$5:$F$208,'فحص-بيانات-ماجستير'!$F$5:$F$230),$I159)&amp;"")</f>
        <v/>
      </c>
      <c r="D159" s="2" t="str">
        <f>IF($I159="","",INDEX(CHOOSE($J$3,'فحص-حاسب-بكالوريوس'!$H$5:$H$208,'فحص-بيانات-بكالوريوس'!$H$5:$H$208,'فحص-بيانات-ماجستير'!$H$5:$H$230),$I159)&amp;"")</f>
        <v/>
      </c>
      <c r="E159" s="2" t="str">
        <f>IF($I159="","",INDEX(CHOOSE($J$3,'فحص-حاسب-بكالوريوس'!$J$5:$J$208,'فحص-بيانات-بكالوريوس'!$J$5:$J$208,'فحص-بيانات-ماجستير'!$J$5:$J$230),$I159)&amp;"")</f>
        <v/>
      </c>
      <c r="F159" s="2" t="str">
        <f>IF($I159="","",INDEX(CHOOSE($J$3,'فحص-حاسب-بكالوريوس'!$L$5:$L$208,'فحص-بيانات-بكالوريوس'!$L$5:$L$208,'فحص-بيانات-ماجستير'!$L$5:$L$230),$I159)&amp;"")</f>
        <v/>
      </c>
      <c r="G159" s="2" t="str">
        <f>IF($I159="","",INDEX(CHOOSE($J$3,'فحص-حاسب-بكالوريوس'!$M$5:$M$208,'فحص-بيانات-بكالوريوس'!$M$5:$M$208,'فحص-بيانات-ماجستير'!$M$5:$M$230),$I159)&amp;"")</f>
        <v/>
      </c>
      <c r="I159" s="2" t="str">
        <f>IFERROR(MATCH($E$3&amp;"#"&amp;154,CHOOSE($J$3,'فحص-حاسب-بكالوريوس'!$R$5:$R$208,'فحص-بيانات-بكالوريوس'!$R$5:$R$208,'فحص-بيانات-ماجستير'!$R$5:$R$230),0),"")</f>
        <v/>
      </c>
    </row>
    <row r="160" spans="1:9" x14ac:dyDescent="0.2">
      <c r="A160" s="1" t="str">
        <f>IF($I160="","",155)</f>
        <v/>
      </c>
      <c r="B160" s="2" t="str">
        <f>IF($I160="","",INDEX(CHOOSE($J$3,'فحص-حاسب-بكالوريوس'!$A$5:$A$208,'فحص-بيانات-بكالوريوس'!$A$5:$A$208,'فحص-بيانات-ماجستير'!$A$5:$A$230),$I160)&amp;"")</f>
        <v/>
      </c>
      <c r="C160" s="2" t="str">
        <f>IF($I160="","",INDEX(CHOOSE($J$3,'فحص-حاسب-بكالوريوس'!$F$5:$F$208,'فحص-بيانات-بكالوريوس'!$F$5:$F$208,'فحص-بيانات-ماجستير'!$F$5:$F$230),$I160)&amp;"")</f>
        <v/>
      </c>
      <c r="D160" s="2" t="str">
        <f>IF($I160="","",INDEX(CHOOSE($J$3,'فحص-حاسب-بكالوريوس'!$H$5:$H$208,'فحص-بيانات-بكالوريوس'!$H$5:$H$208,'فحص-بيانات-ماجستير'!$H$5:$H$230),$I160)&amp;"")</f>
        <v/>
      </c>
      <c r="E160" s="2" t="str">
        <f>IF($I160="","",INDEX(CHOOSE($J$3,'فحص-حاسب-بكالوريوس'!$J$5:$J$208,'فحص-بيانات-بكالوريوس'!$J$5:$J$208,'فحص-بيانات-ماجستير'!$J$5:$J$230),$I160)&amp;"")</f>
        <v/>
      </c>
      <c r="F160" s="2" t="str">
        <f>IF($I160="","",INDEX(CHOOSE($J$3,'فحص-حاسب-بكالوريوس'!$L$5:$L$208,'فحص-بيانات-بكالوريوس'!$L$5:$L$208,'فحص-بيانات-ماجستير'!$L$5:$L$230),$I160)&amp;"")</f>
        <v/>
      </c>
      <c r="G160" s="2" t="str">
        <f>IF($I160="","",INDEX(CHOOSE($J$3,'فحص-حاسب-بكالوريوس'!$M$5:$M$208,'فحص-بيانات-بكالوريوس'!$M$5:$M$208,'فحص-بيانات-ماجستير'!$M$5:$M$230),$I160)&amp;"")</f>
        <v/>
      </c>
      <c r="I160" s="2" t="str">
        <f>IFERROR(MATCH($E$3&amp;"#"&amp;155,CHOOSE($J$3,'فحص-حاسب-بكالوريوس'!$R$5:$R$208,'فحص-بيانات-بكالوريوس'!$R$5:$R$208,'فحص-بيانات-ماجستير'!$R$5:$R$230),0),"")</f>
        <v/>
      </c>
    </row>
    <row r="161" spans="1:9" x14ac:dyDescent="0.2">
      <c r="A161" s="1" t="str">
        <f>IF($I161="","",156)</f>
        <v/>
      </c>
      <c r="B161" s="2" t="str">
        <f>IF($I161="","",INDEX(CHOOSE($J$3,'فحص-حاسب-بكالوريوس'!$A$5:$A$208,'فحص-بيانات-بكالوريوس'!$A$5:$A$208,'فحص-بيانات-ماجستير'!$A$5:$A$230),$I161)&amp;"")</f>
        <v/>
      </c>
      <c r="C161" s="2" t="str">
        <f>IF($I161="","",INDEX(CHOOSE($J$3,'فحص-حاسب-بكالوريوس'!$F$5:$F$208,'فحص-بيانات-بكالوريوس'!$F$5:$F$208,'فحص-بيانات-ماجستير'!$F$5:$F$230),$I161)&amp;"")</f>
        <v/>
      </c>
      <c r="D161" s="2" t="str">
        <f>IF($I161="","",INDEX(CHOOSE($J$3,'فحص-حاسب-بكالوريوس'!$H$5:$H$208,'فحص-بيانات-بكالوريوس'!$H$5:$H$208,'فحص-بيانات-ماجستير'!$H$5:$H$230),$I161)&amp;"")</f>
        <v/>
      </c>
      <c r="E161" s="2" t="str">
        <f>IF($I161="","",INDEX(CHOOSE($J$3,'فحص-حاسب-بكالوريوس'!$J$5:$J$208,'فحص-بيانات-بكالوريوس'!$J$5:$J$208,'فحص-بيانات-ماجستير'!$J$5:$J$230),$I161)&amp;"")</f>
        <v/>
      </c>
      <c r="F161" s="2" t="str">
        <f>IF($I161="","",INDEX(CHOOSE($J$3,'فحص-حاسب-بكالوريوس'!$L$5:$L$208,'فحص-بيانات-بكالوريوس'!$L$5:$L$208,'فحص-بيانات-ماجستير'!$L$5:$L$230),$I161)&amp;"")</f>
        <v/>
      </c>
      <c r="G161" s="2" t="str">
        <f>IF($I161="","",INDEX(CHOOSE($J$3,'فحص-حاسب-بكالوريوس'!$M$5:$M$208,'فحص-بيانات-بكالوريوس'!$M$5:$M$208,'فحص-بيانات-ماجستير'!$M$5:$M$230),$I161)&amp;"")</f>
        <v/>
      </c>
      <c r="I161" s="2" t="str">
        <f>IFERROR(MATCH($E$3&amp;"#"&amp;156,CHOOSE($J$3,'فحص-حاسب-بكالوريوس'!$R$5:$R$208,'فحص-بيانات-بكالوريوس'!$R$5:$R$208,'فحص-بيانات-ماجستير'!$R$5:$R$230),0),"")</f>
        <v/>
      </c>
    </row>
    <row r="162" spans="1:9" x14ac:dyDescent="0.2">
      <c r="A162" s="1" t="str">
        <f>IF($I162="","",157)</f>
        <v/>
      </c>
      <c r="B162" s="2" t="str">
        <f>IF($I162="","",INDEX(CHOOSE($J$3,'فحص-حاسب-بكالوريوس'!$A$5:$A$208,'فحص-بيانات-بكالوريوس'!$A$5:$A$208,'فحص-بيانات-ماجستير'!$A$5:$A$230),$I162)&amp;"")</f>
        <v/>
      </c>
      <c r="C162" s="2" t="str">
        <f>IF($I162="","",INDEX(CHOOSE($J$3,'فحص-حاسب-بكالوريوس'!$F$5:$F$208,'فحص-بيانات-بكالوريوس'!$F$5:$F$208,'فحص-بيانات-ماجستير'!$F$5:$F$230),$I162)&amp;"")</f>
        <v/>
      </c>
      <c r="D162" s="2" t="str">
        <f>IF($I162="","",INDEX(CHOOSE($J$3,'فحص-حاسب-بكالوريوس'!$H$5:$H$208,'فحص-بيانات-بكالوريوس'!$H$5:$H$208,'فحص-بيانات-ماجستير'!$H$5:$H$230),$I162)&amp;"")</f>
        <v/>
      </c>
      <c r="E162" s="2" t="str">
        <f>IF($I162="","",INDEX(CHOOSE($J$3,'فحص-حاسب-بكالوريوس'!$J$5:$J$208,'فحص-بيانات-بكالوريوس'!$J$5:$J$208,'فحص-بيانات-ماجستير'!$J$5:$J$230),$I162)&amp;"")</f>
        <v/>
      </c>
      <c r="F162" s="2" t="str">
        <f>IF($I162="","",INDEX(CHOOSE($J$3,'فحص-حاسب-بكالوريوس'!$L$5:$L$208,'فحص-بيانات-بكالوريوس'!$L$5:$L$208,'فحص-بيانات-ماجستير'!$L$5:$L$230),$I162)&amp;"")</f>
        <v/>
      </c>
      <c r="G162" s="2" t="str">
        <f>IF($I162="","",INDEX(CHOOSE($J$3,'فحص-حاسب-بكالوريوس'!$M$5:$M$208,'فحص-بيانات-بكالوريوس'!$M$5:$M$208,'فحص-بيانات-ماجستير'!$M$5:$M$230),$I162)&amp;"")</f>
        <v/>
      </c>
      <c r="I162" s="2" t="str">
        <f>IFERROR(MATCH($E$3&amp;"#"&amp;157,CHOOSE($J$3,'فحص-حاسب-بكالوريوس'!$R$5:$R$208,'فحص-بيانات-بكالوريوس'!$R$5:$R$208,'فحص-بيانات-ماجستير'!$R$5:$R$230),0),"")</f>
        <v/>
      </c>
    </row>
    <row r="163" spans="1:9" x14ac:dyDescent="0.2">
      <c r="A163" s="1" t="str">
        <f>IF($I163="","",158)</f>
        <v/>
      </c>
      <c r="B163" s="2" t="str">
        <f>IF($I163="","",INDEX(CHOOSE($J$3,'فحص-حاسب-بكالوريوس'!$A$5:$A$208,'فحص-بيانات-بكالوريوس'!$A$5:$A$208,'فحص-بيانات-ماجستير'!$A$5:$A$230),$I163)&amp;"")</f>
        <v/>
      </c>
      <c r="C163" s="2" t="str">
        <f>IF($I163="","",INDEX(CHOOSE($J$3,'فحص-حاسب-بكالوريوس'!$F$5:$F$208,'فحص-بيانات-بكالوريوس'!$F$5:$F$208,'فحص-بيانات-ماجستير'!$F$5:$F$230),$I163)&amp;"")</f>
        <v/>
      </c>
      <c r="D163" s="2" t="str">
        <f>IF($I163="","",INDEX(CHOOSE($J$3,'فحص-حاسب-بكالوريوس'!$H$5:$H$208,'فحص-بيانات-بكالوريوس'!$H$5:$H$208,'فحص-بيانات-ماجستير'!$H$5:$H$230),$I163)&amp;"")</f>
        <v/>
      </c>
      <c r="E163" s="2" t="str">
        <f>IF($I163="","",INDEX(CHOOSE($J$3,'فحص-حاسب-بكالوريوس'!$J$5:$J$208,'فحص-بيانات-بكالوريوس'!$J$5:$J$208,'فحص-بيانات-ماجستير'!$J$5:$J$230),$I163)&amp;"")</f>
        <v/>
      </c>
      <c r="F163" s="2" t="str">
        <f>IF($I163="","",INDEX(CHOOSE($J$3,'فحص-حاسب-بكالوريوس'!$L$5:$L$208,'فحص-بيانات-بكالوريوس'!$L$5:$L$208,'فحص-بيانات-ماجستير'!$L$5:$L$230),$I163)&amp;"")</f>
        <v/>
      </c>
      <c r="G163" s="2" t="str">
        <f>IF($I163="","",INDEX(CHOOSE($J$3,'فحص-حاسب-بكالوريوس'!$M$5:$M$208,'فحص-بيانات-بكالوريوس'!$M$5:$M$208,'فحص-بيانات-ماجستير'!$M$5:$M$230),$I163)&amp;"")</f>
        <v/>
      </c>
      <c r="I163" s="2" t="str">
        <f>IFERROR(MATCH($E$3&amp;"#"&amp;158,CHOOSE($J$3,'فحص-حاسب-بكالوريوس'!$R$5:$R$208,'فحص-بيانات-بكالوريوس'!$R$5:$R$208,'فحص-بيانات-ماجستير'!$R$5:$R$230),0),"")</f>
        <v/>
      </c>
    </row>
    <row r="164" spans="1:9" x14ac:dyDescent="0.2">
      <c r="A164" s="1" t="str">
        <f>IF($I164="","",159)</f>
        <v/>
      </c>
      <c r="B164" s="2" t="str">
        <f>IF($I164="","",INDEX(CHOOSE($J$3,'فحص-حاسب-بكالوريوس'!$A$5:$A$208,'فحص-بيانات-بكالوريوس'!$A$5:$A$208,'فحص-بيانات-ماجستير'!$A$5:$A$230),$I164)&amp;"")</f>
        <v/>
      </c>
      <c r="C164" s="2" t="str">
        <f>IF($I164="","",INDEX(CHOOSE($J$3,'فحص-حاسب-بكالوريوس'!$F$5:$F$208,'فحص-بيانات-بكالوريوس'!$F$5:$F$208,'فحص-بيانات-ماجستير'!$F$5:$F$230),$I164)&amp;"")</f>
        <v/>
      </c>
      <c r="D164" s="2" t="str">
        <f>IF($I164="","",INDEX(CHOOSE($J$3,'فحص-حاسب-بكالوريوس'!$H$5:$H$208,'فحص-بيانات-بكالوريوس'!$H$5:$H$208,'فحص-بيانات-ماجستير'!$H$5:$H$230),$I164)&amp;"")</f>
        <v/>
      </c>
      <c r="E164" s="2" t="str">
        <f>IF($I164="","",INDEX(CHOOSE($J$3,'فحص-حاسب-بكالوريوس'!$J$5:$J$208,'فحص-بيانات-بكالوريوس'!$J$5:$J$208,'فحص-بيانات-ماجستير'!$J$5:$J$230),$I164)&amp;"")</f>
        <v/>
      </c>
      <c r="F164" s="2" t="str">
        <f>IF($I164="","",INDEX(CHOOSE($J$3,'فحص-حاسب-بكالوريوس'!$L$5:$L$208,'فحص-بيانات-بكالوريوس'!$L$5:$L$208,'فحص-بيانات-ماجستير'!$L$5:$L$230),$I164)&amp;"")</f>
        <v/>
      </c>
      <c r="G164" s="2" t="str">
        <f>IF($I164="","",INDEX(CHOOSE($J$3,'فحص-حاسب-بكالوريوس'!$M$5:$M$208,'فحص-بيانات-بكالوريوس'!$M$5:$M$208,'فحص-بيانات-ماجستير'!$M$5:$M$230),$I164)&amp;"")</f>
        <v/>
      </c>
      <c r="I164" s="2" t="str">
        <f>IFERROR(MATCH($E$3&amp;"#"&amp;159,CHOOSE($J$3,'فحص-حاسب-بكالوريوس'!$R$5:$R$208,'فحص-بيانات-بكالوريوس'!$R$5:$R$208,'فحص-بيانات-ماجستير'!$R$5:$R$230),0),"")</f>
        <v/>
      </c>
    </row>
    <row r="165" spans="1:9" x14ac:dyDescent="0.2">
      <c r="A165" s="1" t="str">
        <f>IF($I165="","",160)</f>
        <v/>
      </c>
      <c r="B165" s="2" t="str">
        <f>IF($I165="","",INDEX(CHOOSE($J$3,'فحص-حاسب-بكالوريوس'!$A$5:$A$208,'فحص-بيانات-بكالوريوس'!$A$5:$A$208,'فحص-بيانات-ماجستير'!$A$5:$A$230),$I165)&amp;"")</f>
        <v/>
      </c>
      <c r="C165" s="2" t="str">
        <f>IF($I165="","",INDEX(CHOOSE($J$3,'فحص-حاسب-بكالوريوس'!$F$5:$F$208,'فحص-بيانات-بكالوريوس'!$F$5:$F$208,'فحص-بيانات-ماجستير'!$F$5:$F$230),$I165)&amp;"")</f>
        <v/>
      </c>
      <c r="D165" s="2" t="str">
        <f>IF($I165="","",INDEX(CHOOSE($J$3,'فحص-حاسب-بكالوريوس'!$H$5:$H$208,'فحص-بيانات-بكالوريوس'!$H$5:$H$208,'فحص-بيانات-ماجستير'!$H$5:$H$230),$I165)&amp;"")</f>
        <v/>
      </c>
      <c r="E165" s="2" t="str">
        <f>IF($I165="","",INDEX(CHOOSE($J$3,'فحص-حاسب-بكالوريوس'!$J$5:$J$208,'فحص-بيانات-بكالوريوس'!$J$5:$J$208,'فحص-بيانات-ماجستير'!$J$5:$J$230),$I165)&amp;"")</f>
        <v/>
      </c>
      <c r="F165" s="2" t="str">
        <f>IF($I165="","",INDEX(CHOOSE($J$3,'فحص-حاسب-بكالوريوس'!$L$5:$L$208,'فحص-بيانات-بكالوريوس'!$L$5:$L$208,'فحص-بيانات-ماجستير'!$L$5:$L$230),$I165)&amp;"")</f>
        <v/>
      </c>
      <c r="G165" s="2" t="str">
        <f>IF($I165="","",INDEX(CHOOSE($J$3,'فحص-حاسب-بكالوريوس'!$M$5:$M$208,'فحص-بيانات-بكالوريوس'!$M$5:$M$208,'فحص-بيانات-ماجستير'!$M$5:$M$230),$I165)&amp;"")</f>
        <v/>
      </c>
      <c r="I165" s="2" t="str">
        <f>IFERROR(MATCH($E$3&amp;"#"&amp;160,CHOOSE($J$3,'فحص-حاسب-بكالوريوس'!$R$5:$R$208,'فحص-بيانات-بكالوريوس'!$R$5:$R$208,'فحص-بيانات-ماجستير'!$R$5:$R$230),0),"")</f>
        <v/>
      </c>
    </row>
    <row r="166" spans="1:9" x14ac:dyDescent="0.2">
      <c r="A166" s="1" t="str">
        <f>IF($I166="","",161)</f>
        <v/>
      </c>
      <c r="B166" s="2" t="str">
        <f>IF($I166="","",INDEX(CHOOSE($J$3,'فحص-حاسب-بكالوريوس'!$A$5:$A$208,'فحص-بيانات-بكالوريوس'!$A$5:$A$208,'فحص-بيانات-ماجستير'!$A$5:$A$230),$I166)&amp;"")</f>
        <v/>
      </c>
      <c r="C166" s="2" t="str">
        <f>IF($I166="","",INDEX(CHOOSE($J$3,'فحص-حاسب-بكالوريوس'!$F$5:$F$208,'فحص-بيانات-بكالوريوس'!$F$5:$F$208,'فحص-بيانات-ماجستير'!$F$5:$F$230),$I166)&amp;"")</f>
        <v/>
      </c>
      <c r="D166" s="2" t="str">
        <f>IF($I166="","",INDEX(CHOOSE($J$3,'فحص-حاسب-بكالوريوس'!$H$5:$H$208,'فحص-بيانات-بكالوريوس'!$H$5:$H$208,'فحص-بيانات-ماجستير'!$H$5:$H$230),$I166)&amp;"")</f>
        <v/>
      </c>
      <c r="E166" s="2" t="str">
        <f>IF($I166="","",INDEX(CHOOSE($J$3,'فحص-حاسب-بكالوريوس'!$J$5:$J$208,'فحص-بيانات-بكالوريوس'!$J$5:$J$208,'فحص-بيانات-ماجستير'!$J$5:$J$230),$I166)&amp;"")</f>
        <v/>
      </c>
      <c r="F166" s="2" t="str">
        <f>IF($I166="","",INDEX(CHOOSE($J$3,'فحص-حاسب-بكالوريوس'!$L$5:$L$208,'فحص-بيانات-بكالوريوس'!$L$5:$L$208,'فحص-بيانات-ماجستير'!$L$5:$L$230),$I166)&amp;"")</f>
        <v/>
      </c>
      <c r="G166" s="2" t="str">
        <f>IF($I166="","",INDEX(CHOOSE($J$3,'فحص-حاسب-بكالوريوس'!$M$5:$M$208,'فحص-بيانات-بكالوريوس'!$M$5:$M$208,'فحص-بيانات-ماجستير'!$M$5:$M$230),$I166)&amp;"")</f>
        <v/>
      </c>
      <c r="I166" s="2" t="str">
        <f>IFERROR(MATCH($E$3&amp;"#"&amp;161,CHOOSE($J$3,'فحص-حاسب-بكالوريوس'!$R$5:$R$208,'فحص-بيانات-بكالوريوس'!$R$5:$R$208,'فحص-بيانات-ماجستير'!$R$5:$R$230),0),"")</f>
        <v/>
      </c>
    </row>
    <row r="167" spans="1:9" x14ac:dyDescent="0.2">
      <c r="A167" s="1" t="str">
        <f>IF($I167="","",162)</f>
        <v/>
      </c>
      <c r="B167" s="2" t="str">
        <f>IF($I167="","",INDEX(CHOOSE($J$3,'فحص-حاسب-بكالوريوس'!$A$5:$A$208,'فحص-بيانات-بكالوريوس'!$A$5:$A$208,'فحص-بيانات-ماجستير'!$A$5:$A$230),$I167)&amp;"")</f>
        <v/>
      </c>
      <c r="C167" s="2" t="str">
        <f>IF($I167="","",INDEX(CHOOSE($J$3,'فحص-حاسب-بكالوريوس'!$F$5:$F$208,'فحص-بيانات-بكالوريوس'!$F$5:$F$208,'فحص-بيانات-ماجستير'!$F$5:$F$230),$I167)&amp;"")</f>
        <v/>
      </c>
      <c r="D167" s="2" t="str">
        <f>IF($I167="","",INDEX(CHOOSE($J$3,'فحص-حاسب-بكالوريوس'!$H$5:$H$208,'فحص-بيانات-بكالوريوس'!$H$5:$H$208,'فحص-بيانات-ماجستير'!$H$5:$H$230),$I167)&amp;"")</f>
        <v/>
      </c>
      <c r="E167" s="2" t="str">
        <f>IF($I167="","",INDEX(CHOOSE($J$3,'فحص-حاسب-بكالوريوس'!$J$5:$J$208,'فحص-بيانات-بكالوريوس'!$J$5:$J$208,'فحص-بيانات-ماجستير'!$J$5:$J$230),$I167)&amp;"")</f>
        <v/>
      </c>
      <c r="F167" s="2" t="str">
        <f>IF($I167="","",INDEX(CHOOSE($J$3,'فحص-حاسب-بكالوريوس'!$L$5:$L$208,'فحص-بيانات-بكالوريوس'!$L$5:$L$208,'فحص-بيانات-ماجستير'!$L$5:$L$230),$I167)&amp;"")</f>
        <v/>
      </c>
      <c r="G167" s="2" t="str">
        <f>IF($I167="","",INDEX(CHOOSE($J$3,'فحص-حاسب-بكالوريوس'!$M$5:$M$208,'فحص-بيانات-بكالوريوس'!$M$5:$M$208,'فحص-بيانات-ماجستير'!$M$5:$M$230),$I167)&amp;"")</f>
        <v/>
      </c>
      <c r="I167" s="2" t="str">
        <f>IFERROR(MATCH($E$3&amp;"#"&amp;162,CHOOSE($J$3,'فحص-حاسب-بكالوريوس'!$R$5:$R$208,'فحص-بيانات-بكالوريوس'!$R$5:$R$208,'فحص-بيانات-ماجستير'!$R$5:$R$230),0),"")</f>
        <v/>
      </c>
    </row>
    <row r="168" spans="1:9" x14ac:dyDescent="0.2">
      <c r="A168" s="1" t="str">
        <f>IF($I168="","",163)</f>
        <v/>
      </c>
      <c r="B168" s="2" t="str">
        <f>IF($I168="","",INDEX(CHOOSE($J$3,'فحص-حاسب-بكالوريوس'!$A$5:$A$208,'فحص-بيانات-بكالوريوس'!$A$5:$A$208,'فحص-بيانات-ماجستير'!$A$5:$A$230),$I168)&amp;"")</f>
        <v/>
      </c>
      <c r="C168" s="2" t="str">
        <f>IF($I168="","",INDEX(CHOOSE($J$3,'فحص-حاسب-بكالوريوس'!$F$5:$F$208,'فحص-بيانات-بكالوريوس'!$F$5:$F$208,'فحص-بيانات-ماجستير'!$F$5:$F$230),$I168)&amp;"")</f>
        <v/>
      </c>
      <c r="D168" s="2" t="str">
        <f>IF($I168="","",INDEX(CHOOSE($J$3,'فحص-حاسب-بكالوريوس'!$H$5:$H$208,'فحص-بيانات-بكالوريوس'!$H$5:$H$208,'فحص-بيانات-ماجستير'!$H$5:$H$230),$I168)&amp;"")</f>
        <v/>
      </c>
      <c r="E168" s="2" t="str">
        <f>IF($I168="","",INDEX(CHOOSE($J$3,'فحص-حاسب-بكالوريوس'!$J$5:$J$208,'فحص-بيانات-بكالوريوس'!$J$5:$J$208,'فحص-بيانات-ماجستير'!$J$5:$J$230),$I168)&amp;"")</f>
        <v/>
      </c>
      <c r="F168" s="2" t="str">
        <f>IF($I168="","",INDEX(CHOOSE($J$3,'فحص-حاسب-بكالوريوس'!$L$5:$L$208,'فحص-بيانات-بكالوريوس'!$L$5:$L$208,'فحص-بيانات-ماجستير'!$L$5:$L$230),$I168)&amp;"")</f>
        <v/>
      </c>
      <c r="G168" s="2" t="str">
        <f>IF($I168="","",INDEX(CHOOSE($J$3,'فحص-حاسب-بكالوريوس'!$M$5:$M$208,'فحص-بيانات-بكالوريوس'!$M$5:$M$208,'فحص-بيانات-ماجستير'!$M$5:$M$230),$I168)&amp;"")</f>
        <v/>
      </c>
      <c r="I168" s="2" t="str">
        <f>IFERROR(MATCH($E$3&amp;"#"&amp;163,CHOOSE($J$3,'فحص-حاسب-بكالوريوس'!$R$5:$R$208,'فحص-بيانات-بكالوريوس'!$R$5:$R$208,'فحص-بيانات-ماجستير'!$R$5:$R$230),0),"")</f>
        <v/>
      </c>
    </row>
    <row r="169" spans="1:9" x14ac:dyDescent="0.2">
      <c r="A169" s="1" t="str">
        <f>IF($I169="","",164)</f>
        <v/>
      </c>
      <c r="B169" s="2" t="str">
        <f>IF($I169="","",INDEX(CHOOSE($J$3,'فحص-حاسب-بكالوريوس'!$A$5:$A$208,'فحص-بيانات-بكالوريوس'!$A$5:$A$208,'فحص-بيانات-ماجستير'!$A$5:$A$230),$I169)&amp;"")</f>
        <v/>
      </c>
      <c r="C169" s="2" t="str">
        <f>IF($I169="","",INDEX(CHOOSE($J$3,'فحص-حاسب-بكالوريوس'!$F$5:$F$208,'فحص-بيانات-بكالوريوس'!$F$5:$F$208,'فحص-بيانات-ماجستير'!$F$5:$F$230),$I169)&amp;"")</f>
        <v/>
      </c>
      <c r="D169" s="2" t="str">
        <f>IF($I169="","",INDEX(CHOOSE($J$3,'فحص-حاسب-بكالوريوس'!$H$5:$H$208,'فحص-بيانات-بكالوريوس'!$H$5:$H$208,'فحص-بيانات-ماجستير'!$H$5:$H$230),$I169)&amp;"")</f>
        <v/>
      </c>
      <c r="E169" s="2" t="str">
        <f>IF($I169="","",INDEX(CHOOSE($J$3,'فحص-حاسب-بكالوريوس'!$J$5:$J$208,'فحص-بيانات-بكالوريوس'!$J$5:$J$208,'فحص-بيانات-ماجستير'!$J$5:$J$230),$I169)&amp;"")</f>
        <v/>
      </c>
      <c r="F169" s="2" t="str">
        <f>IF($I169="","",INDEX(CHOOSE($J$3,'فحص-حاسب-بكالوريوس'!$L$5:$L$208,'فحص-بيانات-بكالوريوس'!$L$5:$L$208,'فحص-بيانات-ماجستير'!$L$5:$L$230),$I169)&amp;"")</f>
        <v/>
      </c>
      <c r="G169" s="2" t="str">
        <f>IF($I169="","",INDEX(CHOOSE($J$3,'فحص-حاسب-بكالوريوس'!$M$5:$M$208,'فحص-بيانات-بكالوريوس'!$M$5:$M$208,'فحص-بيانات-ماجستير'!$M$5:$M$230),$I169)&amp;"")</f>
        <v/>
      </c>
      <c r="I169" s="2" t="str">
        <f>IFERROR(MATCH($E$3&amp;"#"&amp;164,CHOOSE($J$3,'فحص-حاسب-بكالوريوس'!$R$5:$R$208,'فحص-بيانات-بكالوريوس'!$R$5:$R$208,'فحص-بيانات-ماجستير'!$R$5:$R$230),0),"")</f>
        <v/>
      </c>
    </row>
    <row r="170" spans="1:9" x14ac:dyDescent="0.2">
      <c r="A170" s="1" t="str">
        <f>IF($I170="","",165)</f>
        <v/>
      </c>
      <c r="B170" s="2" t="str">
        <f>IF($I170="","",INDEX(CHOOSE($J$3,'فحص-حاسب-بكالوريوس'!$A$5:$A$208,'فحص-بيانات-بكالوريوس'!$A$5:$A$208,'فحص-بيانات-ماجستير'!$A$5:$A$230),$I170)&amp;"")</f>
        <v/>
      </c>
      <c r="C170" s="2" t="str">
        <f>IF($I170="","",INDEX(CHOOSE($J$3,'فحص-حاسب-بكالوريوس'!$F$5:$F$208,'فحص-بيانات-بكالوريوس'!$F$5:$F$208,'فحص-بيانات-ماجستير'!$F$5:$F$230),$I170)&amp;"")</f>
        <v/>
      </c>
      <c r="D170" s="2" t="str">
        <f>IF($I170="","",INDEX(CHOOSE($J$3,'فحص-حاسب-بكالوريوس'!$H$5:$H$208,'فحص-بيانات-بكالوريوس'!$H$5:$H$208,'فحص-بيانات-ماجستير'!$H$5:$H$230),$I170)&amp;"")</f>
        <v/>
      </c>
      <c r="E170" s="2" t="str">
        <f>IF($I170="","",INDEX(CHOOSE($J$3,'فحص-حاسب-بكالوريوس'!$J$5:$J$208,'فحص-بيانات-بكالوريوس'!$J$5:$J$208,'فحص-بيانات-ماجستير'!$J$5:$J$230),$I170)&amp;"")</f>
        <v/>
      </c>
      <c r="F170" s="2" t="str">
        <f>IF($I170="","",INDEX(CHOOSE($J$3,'فحص-حاسب-بكالوريوس'!$L$5:$L$208,'فحص-بيانات-بكالوريوس'!$L$5:$L$208,'فحص-بيانات-ماجستير'!$L$5:$L$230),$I170)&amp;"")</f>
        <v/>
      </c>
      <c r="G170" s="2" t="str">
        <f>IF($I170="","",INDEX(CHOOSE($J$3,'فحص-حاسب-بكالوريوس'!$M$5:$M$208,'فحص-بيانات-بكالوريوس'!$M$5:$M$208,'فحص-بيانات-ماجستير'!$M$5:$M$230),$I170)&amp;"")</f>
        <v/>
      </c>
      <c r="I170" s="2" t="str">
        <f>IFERROR(MATCH($E$3&amp;"#"&amp;165,CHOOSE($J$3,'فحص-حاسب-بكالوريوس'!$R$5:$R$208,'فحص-بيانات-بكالوريوس'!$R$5:$R$208,'فحص-بيانات-ماجستير'!$R$5:$R$230),0),"")</f>
        <v/>
      </c>
    </row>
    <row r="171" spans="1:9" x14ac:dyDescent="0.2">
      <c r="A171" s="1" t="str">
        <f>IF($I171="","",166)</f>
        <v/>
      </c>
      <c r="B171" s="2" t="str">
        <f>IF($I171="","",INDEX(CHOOSE($J$3,'فحص-حاسب-بكالوريوس'!$A$5:$A$208,'فحص-بيانات-بكالوريوس'!$A$5:$A$208,'فحص-بيانات-ماجستير'!$A$5:$A$230),$I171)&amp;"")</f>
        <v/>
      </c>
      <c r="C171" s="2" t="str">
        <f>IF($I171="","",INDEX(CHOOSE($J$3,'فحص-حاسب-بكالوريوس'!$F$5:$F$208,'فحص-بيانات-بكالوريوس'!$F$5:$F$208,'فحص-بيانات-ماجستير'!$F$5:$F$230),$I171)&amp;"")</f>
        <v/>
      </c>
      <c r="D171" s="2" t="str">
        <f>IF($I171="","",INDEX(CHOOSE($J$3,'فحص-حاسب-بكالوريوس'!$H$5:$H$208,'فحص-بيانات-بكالوريوس'!$H$5:$H$208,'فحص-بيانات-ماجستير'!$H$5:$H$230),$I171)&amp;"")</f>
        <v/>
      </c>
      <c r="E171" s="2" t="str">
        <f>IF($I171="","",INDEX(CHOOSE($J$3,'فحص-حاسب-بكالوريوس'!$J$5:$J$208,'فحص-بيانات-بكالوريوس'!$J$5:$J$208,'فحص-بيانات-ماجستير'!$J$5:$J$230),$I171)&amp;"")</f>
        <v/>
      </c>
      <c r="F171" s="2" t="str">
        <f>IF($I171="","",INDEX(CHOOSE($J$3,'فحص-حاسب-بكالوريوس'!$L$5:$L$208,'فحص-بيانات-بكالوريوس'!$L$5:$L$208,'فحص-بيانات-ماجستير'!$L$5:$L$230),$I171)&amp;"")</f>
        <v/>
      </c>
      <c r="G171" s="2" t="str">
        <f>IF($I171="","",INDEX(CHOOSE($J$3,'فحص-حاسب-بكالوريوس'!$M$5:$M$208,'فحص-بيانات-بكالوريوس'!$M$5:$M$208,'فحص-بيانات-ماجستير'!$M$5:$M$230),$I171)&amp;"")</f>
        <v/>
      </c>
      <c r="I171" s="2" t="str">
        <f>IFERROR(MATCH($E$3&amp;"#"&amp;166,CHOOSE($J$3,'فحص-حاسب-بكالوريوس'!$R$5:$R$208,'فحص-بيانات-بكالوريوس'!$R$5:$R$208,'فحص-بيانات-ماجستير'!$R$5:$R$230),0),"")</f>
        <v/>
      </c>
    </row>
    <row r="172" spans="1:9" x14ac:dyDescent="0.2">
      <c r="A172" s="1" t="str">
        <f>IF($I172="","",167)</f>
        <v/>
      </c>
      <c r="B172" s="2" t="str">
        <f>IF($I172="","",INDEX(CHOOSE($J$3,'فحص-حاسب-بكالوريوس'!$A$5:$A$208,'فحص-بيانات-بكالوريوس'!$A$5:$A$208,'فحص-بيانات-ماجستير'!$A$5:$A$230),$I172)&amp;"")</f>
        <v/>
      </c>
      <c r="C172" s="2" t="str">
        <f>IF($I172="","",INDEX(CHOOSE($J$3,'فحص-حاسب-بكالوريوس'!$F$5:$F$208,'فحص-بيانات-بكالوريوس'!$F$5:$F$208,'فحص-بيانات-ماجستير'!$F$5:$F$230),$I172)&amp;"")</f>
        <v/>
      </c>
      <c r="D172" s="2" t="str">
        <f>IF($I172="","",INDEX(CHOOSE($J$3,'فحص-حاسب-بكالوريوس'!$H$5:$H$208,'فحص-بيانات-بكالوريوس'!$H$5:$H$208,'فحص-بيانات-ماجستير'!$H$5:$H$230),$I172)&amp;"")</f>
        <v/>
      </c>
      <c r="E172" s="2" t="str">
        <f>IF($I172="","",INDEX(CHOOSE($J$3,'فحص-حاسب-بكالوريوس'!$J$5:$J$208,'فحص-بيانات-بكالوريوس'!$J$5:$J$208,'فحص-بيانات-ماجستير'!$J$5:$J$230),$I172)&amp;"")</f>
        <v/>
      </c>
      <c r="F172" s="2" t="str">
        <f>IF($I172="","",INDEX(CHOOSE($J$3,'فحص-حاسب-بكالوريوس'!$L$5:$L$208,'فحص-بيانات-بكالوريوس'!$L$5:$L$208,'فحص-بيانات-ماجستير'!$L$5:$L$230),$I172)&amp;"")</f>
        <v/>
      </c>
      <c r="G172" s="2" t="str">
        <f>IF($I172="","",INDEX(CHOOSE($J$3,'فحص-حاسب-بكالوريوس'!$M$5:$M$208,'فحص-بيانات-بكالوريوس'!$M$5:$M$208,'فحص-بيانات-ماجستير'!$M$5:$M$230),$I172)&amp;"")</f>
        <v/>
      </c>
      <c r="I172" s="2" t="str">
        <f>IFERROR(MATCH($E$3&amp;"#"&amp;167,CHOOSE($J$3,'فحص-حاسب-بكالوريوس'!$R$5:$R$208,'فحص-بيانات-بكالوريوس'!$R$5:$R$208,'فحص-بيانات-ماجستير'!$R$5:$R$230),0),"")</f>
        <v/>
      </c>
    </row>
    <row r="173" spans="1:9" x14ac:dyDescent="0.2">
      <c r="A173" s="1" t="str">
        <f>IF($I173="","",168)</f>
        <v/>
      </c>
      <c r="B173" s="2" t="str">
        <f>IF($I173="","",INDEX(CHOOSE($J$3,'فحص-حاسب-بكالوريوس'!$A$5:$A$208,'فحص-بيانات-بكالوريوس'!$A$5:$A$208,'فحص-بيانات-ماجستير'!$A$5:$A$230),$I173)&amp;"")</f>
        <v/>
      </c>
      <c r="C173" s="2" t="str">
        <f>IF($I173="","",INDEX(CHOOSE($J$3,'فحص-حاسب-بكالوريوس'!$F$5:$F$208,'فحص-بيانات-بكالوريوس'!$F$5:$F$208,'فحص-بيانات-ماجستير'!$F$5:$F$230),$I173)&amp;"")</f>
        <v/>
      </c>
      <c r="D173" s="2" t="str">
        <f>IF($I173="","",INDEX(CHOOSE($J$3,'فحص-حاسب-بكالوريوس'!$H$5:$H$208,'فحص-بيانات-بكالوريوس'!$H$5:$H$208,'فحص-بيانات-ماجستير'!$H$5:$H$230),$I173)&amp;"")</f>
        <v/>
      </c>
      <c r="E173" s="2" t="str">
        <f>IF($I173="","",INDEX(CHOOSE($J$3,'فحص-حاسب-بكالوريوس'!$J$5:$J$208,'فحص-بيانات-بكالوريوس'!$J$5:$J$208,'فحص-بيانات-ماجستير'!$J$5:$J$230),$I173)&amp;"")</f>
        <v/>
      </c>
      <c r="F173" s="2" t="str">
        <f>IF($I173="","",INDEX(CHOOSE($J$3,'فحص-حاسب-بكالوريوس'!$L$5:$L$208,'فحص-بيانات-بكالوريوس'!$L$5:$L$208,'فحص-بيانات-ماجستير'!$L$5:$L$230),$I173)&amp;"")</f>
        <v/>
      </c>
      <c r="G173" s="2" t="str">
        <f>IF($I173="","",INDEX(CHOOSE($J$3,'فحص-حاسب-بكالوريوس'!$M$5:$M$208,'فحص-بيانات-بكالوريوس'!$M$5:$M$208,'فحص-بيانات-ماجستير'!$M$5:$M$230),$I173)&amp;"")</f>
        <v/>
      </c>
      <c r="I173" s="2" t="str">
        <f>IFERROR(MATCH($E$3&amp;"#"&amp;168,CHOOSE($J$3,'فحص-حاسب-بكالوريوس'!$R$5:$R$208,'فحص-بيانات-بكالوريوس'!$R$5:$R$208,'فحص-بيانات-ماجستير'!$R$5:$R$230),0),"")</f>
        <v/>
      </c>
    </row>
    <row r="174" spans="1:9" x14ac:dyDescent="0.2">
      <c r="A174" s="1" t="str">
        <f>IF($I174="","",169)</f>
        <v/>
      </c>
      <c r="B174" s="2" t="str">
        <f>IF($I174="","",INDEX(CHOOSE($J$3,'فحص-حاسب-بكالوريوس'!$A$5:$A$208,'فحص-بيانات-بكالوريوس'!$A$5:$A$208,'فحص-بيانات-ماجستير'!$A$5:$A$230),$I174)&amp;"")</f>
        <v/>
      </c>
      <c r="C174" s="2" t="str">
        <f>IF($I174="","",INDEX(CHOOSE($J$3,'فحص-حاسب-بكالوريوس'!$F$5:$F$208,'فحص-بيانات-بكالوريوس'!$F$5:$F$208,'فحص-بيانات-ماجستير'!$F$5:$F$230),$I174)&amp;"")</f>
        <v/>
      </c>
      <c r="D174" s="2" t="str">
        <f>IF($I174="","",INDEX(CHOOSE($J$3,'فحص-حاسب-بكالوريوس'!$H$5:$H$208,'فحص-بيانات-بكالوريوس'!$H$5:$H$208,'فحص-بيانات-ماجستير'!$H$5:$H$230),$I174)&amp;"")</f>
        <v/>
      </c>
      <c r="E174" s="2" t="str">
        <f>IF($I174="","",INDEX(CHOOSE($J$3,'فحص-حاسب-بكالوريوس'!$J$5:$J$208,'فحص-بيانات-بكالوريوس'!$J$5:$J$208,'فحص-بيانات-ماجستير'!$J$5:$J$230),$I174)&amp;"")</f>
        <v/>
      </c>
      <c r="F174" s="2" t="str">
        <f>IF($I174="","",INDEX(CHOOSE($J$3,'فحص-حاسب-بكالوريوس'!$L$5:$L$208,'فحص-بيانات-بكالوريوس'!$L$5:$L$208,'فحص-بيانات-ماجستير'!$L$5:$L$230),$I174)&amp;"")</f>
        <v/>
      </c>
      <c r="G174" s="2" t="str">
        <f>IF($I174="","",INDEX(CHOOSE($J$3,'فحص-حاسب-بكالوريوس'!$M$5:$M$208,'فحص-بيانات-بكالوريوس'!$M$5:$M$208,'فحص-بيانات-ماجستير'!$M$5:$M$230),$I174)&amp;"")</f>
        <v/>
      </c>
      <c r="I174" s="2" t="str">
        <f>IFERROR(MATCH($E$3&amp;"#"&amp;169,CHOOSE($J$3,'فحص-حاسب-بكالوريوس'!$R$5:$R$208,'فحص-بيانات-بكالوريوس'!$R$5:$R$208,'فحص-بيانات-ماجستير'!$R$5:$R$230),0),"")</f>
        <v/>
      </c>
    </row>
    <row r="175" spans="1:9" x14ac:dyDescent="0.2">
      <c r="A175" s="1" t="str">
        <f>IF($I175="","",170)</f>
        <v/>
      </c>
      <c r="B175" s="2" t="str">
        <f>IF($I175="","",INDEX(CHOOSE($J$3,'فحص-حاسب-بكالوريوس'!$A$5:$A$208,'فحص-بيانات-بكالوريوس'!$A$5:$A$208,'فحص-بيانات-ماجستير'!$A$5:$A$230),$I175)&amp;"")</f>
        <v/>
      </c>
      <c r="C175" s="2" t="str">
        <f>IF($I175="","",INDEX(CHOOSE($J$3,'فحص-حاسب-بكالوريوس'!$F$5:$F$208,'فحص-بيانات-بكالوريوس'!$F$5:$F$208,'فحص-بيانات-ماجستير'!$F$5:$F$230),$I175)&amp;"")</f>
        <v/>
      </c>
      <c r="D175" s="2" t="str">
        <f>IF($I175="","",INDEX(CHOOSE($J$3,'فحص-حاسب-بكالوريوس'!$H$5:$H$208,'فحص-بيانات-بكالوريوس'!$H$5:$H$208,'فحص-بيانات-ماجستير'!$H$5:$H$230),$I175)&amp;"")</f>
        <v/>
      </c>
      <c r="E175" s="2" t="str">
        <f>IF($I175="","",INDEX(CHOOSE($J$3,'فحص-حاسب-بكالوريوس'!$J$5:$J$208,'فحص-بيانات-بكالوريوس'!$J$5:$J$208,'فحص-بيانات-ماجستير'!$J$5:$J$230),$I175)&amp;"")</f>
        <v/>
      </c>
      <c r="F175" s="2" t="str">
        <f>IF($I175="","",INDEX(CHOOSE($J$3,'فحص-حاسب-بكالوريوس'!$L$5:$L$208,'فحص-بيانات-بكالوريوس'!$L$5:$L$208,'فحص-بيانات-ماجستير'!$L$5:$L$230),$I175)&amp;"")</f>
        <v/>
      </c>
      <c r="G175" s="2" t="str">
        <f>IF($I175="","",INDEX(CHOOSE($J$3,'فحص-حاسب-بكالوريوس'!$M$5:$M$208,'فحص-بيانات-بكالوريوس'!$M$5:$M$208,'فحص-بيانات-ماجستير'!$M$5:$M$230),$I175)&amp;"")</f>
        <v/>
      </c>
      <c r="I175" s="2" t="str">
        <f>IFERROR(MATCH($E$3&amp;"#"&amp;170,CHOOSE($J$3,'فحص-حاسب-بكالوريوس'!$R$5:$R$208,'فحص-بيانات-بكالوريوس'!$R$5:$R$208,'فحص-بيانات-ماجستير'!$R$5:$R$230),0),"")</f>
        <v/>
      </c>
    </row>
    <row r="176" spans="1:9" x14ac:dyDescent="0.2">
      <c r="A176" s="1" t="str">
        <f>IF($I176="","",171)</f>
        <v/>
      </c>
      <c r="B176" s="2" t="str">
        <f>IF($I176="","",INDEX(CHOOSE($J$3,'فحص-حاسب-بكالوريوس'!$A$5:$A$208,'فحص-بيانات-بكالوريوس'!$A$5:$A$208,'فحص-بيانات-ماجستير'!$A$5:$A$230),$I176)&amp;"")</f>
        <v/>
      </c>
      <c r="C176" s="2" t="str">
        <f>IF($I176="","",INDEX(CHOOSE($J$3,'فحص-حاسب-بكالوريوس'!$F$5:$F$208,'فحص-بيانات-بكالوريوس'!$F$5:$F$208,'فحص-بيانات-ماجستير'!$F$5:$F$230),$I176)&amp;"")</f>
        <v/>
      </c>
      <c r="D176" s="2" t="str">
        <f>IF($I176="","",INDEX(CHOOSE($J$3,'فحص-حاسب-بكالوريوس'!$H$5:$H$208,'فحص-بيانات-بكالوريوس'!$H$5:$H$208,'فحص-بيانات-ماجستير'!$H$5:$H$230),$I176)&amp;"")</f>
        <v/>
      </c>
      <c r="E176" s="2" t="str">
        <f>IF($I176="","",INDEX(CHOOSE($J$3,'فحص-حاسب-بكالوريوس'!$J$5:$J$208,'فحص-بيانات-بكالوريوس'!$J$5:$J$208,'فحص-بيانات-ماجستير'!$J$5:$J$230),$I176)&amp;"")</f>
        <v/>
      </c>
      <c r="F176" s="2" t="str">
        <f>IF($I176="","",INDEX(CHOOSE($J$3,'فحص-حاسب-بكالوريوس'!$L$5:$L$208,'فحص-بيانات-بكالوريوس'!$L$5:$L$208,'فحص-بيانات-ماجستير'!$L$5:$L$230),$I176)&amp;"")</f>
        <v/>
      </c>
      <c r="G176" s="2" t="str">
        <f>IF($I176="","",INDEX(CHOOSE($J$3,'فحص-حاسب-بكالوريوس'!$M$5:$M$208,'فحص-بيانات-بكالوريوس'!$M$5:$M$208,'فحص-بيانات-ماجستير'!$M$5:$M$230),$I176)&amp;"")</f>
        <v/>
      </c>
      <c r="I176" s="2" t="str">
        <f>IFERROR(MATCH($E$3&amp;"#"&amp;171,CHOOSE($J$3,'فحص-حاسب-بكالوريوس'!$R$5:$R$208,'فحص-بيانات-بكالوريوس'!$R$5:$R$208,'فحص-بيانات-ماجستير'!$R$5:$R$230),0),"")</f>
        <v/>
      </c>
    </row>
    <row r="177" spans="1:9" x14ac:dyDescent="0.2">
      <c r="A177" s="1" t="str">
        <f>IF($I177="","",172)</f>
        <v/>
      </c>
      <c r="B177" s="2" t="str">
        <f>IF($I177="","",INDEX(CHOOSE($J$3,'فحص-حاسب-بكالوريوس'!$A$5:$A$208,'فحص-بيانات-بكالوريوس'!$A$5:$A$208,'فحص-بيانات-ماجستير'!$A$5:$A$230),$I177)&amp;"")</f>
        <v/>
      </c>
      <c r="C177" s="2" t="str">
        <f>IF($I177="","",INDEX(CHOOSE($J$3,'فحص-حاسب-بكالوريوس'!$F$5:$F$208,'فحص-بيانات-بكالوريوس'!$F$5:$F$208,'فحص-بيانات-ماجستير'!$F$5:$F$230),$I177)&amp;"")</f>
        <v/>
      </c>
      <c r="D177" s="2" t="str">
        <f>IF($I177="","",INDEX(CHOOSE($J$3,'فحص-حاسب-بكالوريوس'!$H$5:$H$208,'فحص-بيانات-بكالوريوس'!$H$5:$H$208,'فحص-بيانات-ماجستير'!$H$5:$H$230),$I177)&amp;"")</f>
        <v/>
      </c>
      <c r="E177" s="2" t="str">
        <f>IF($I177="","",INDEX(CHOOSE($J$3,'فحص-حاسب-بكالوريوس'!$J$5:$J$208,'فحص-بيانات-بكالوريوس'!$J$5:$J$208,'فحص-بيانات-ماجستير'!$J$5:$J$230),$I177)&amp;"")</f>
        <v/>
      </c>
      <c r="F177" s="2" t="str">
        <f>IF($I177="","",INDEX(CHOOSE($J$3,'فحص-حاسب-بكالوريوس'!$L$5:$L$208,'فحص-بيانات-بكالوريوس'!$L$5:$L$208,'فحص-بيانات-ماجستير'!$L$5:$L$230),$I177)&amp;"")</f>
        <v/>
      </c>
      <c r="G177" s="2" t="str">
        <f>IF($I177="","",INDEX(CHOOSE($J$3,'فحص-حاسب-بكالوريوس'!$M$5:$M$208,'فحص-بيانات-بكالوريوس'!$M$5:$M$208,'فحص-بيانات-ماجستير'!$M$5:$M$230),$I177)&amp;"")</f>
        <v/>
      </c>
      <c r="I177" s="2" t="str">
        <f>IFERROR(MATCH($E$3&amp;"#"&amp;172,CHOOSE($J$3,'فحص-حاسب-بكالوريوس'!$R$5:$R$208,'فحص-بيانات-بكالوريوس'!$R$5:$R$208,'فحص-بيانات-ماجستير'!$R$5:$R$230),0),"")</f>
        <v/>
      </c>
    </row>
    <row r="178" spans="1:9" x14ac:dyDescent="0.2">
      <c r="A178" s="1" t="str">
        <f>IF($I178="","",173)</f>
        <v/>
      </c>
      <c r="B178" s="2" t="str">
        <f>IF($I178="","",INDEX(CHOOSE($J$3,'فحص-حاسب-بكالوريوس'!$A$5:$A$208,'فحص-بيانات-بكالوريوس'!$A$5:$A$208,'فحص-بيانات-ماجستير'!$A$5:$A$230),$I178)&amp;"")</f>
        <v/>
      </c>
      <c r="C178" s="2" t="str">
        <f>IF($I178="","",INDEX(CHOOSE($J$3,'فحص-حاسب-بكالوريوس'!$F$5:$F$208,'فحص-بيانات-بكالوريوس'!$F$5:$F$208,'فحص-بيانات-ماجستير'!$F$5:$F$230),$I178)&amp;"")</f>
        <v/>
      </c>
      <c r="D178" s="2" t="str">
        <f>IF($I178="","",INDEX(CHOOSE($J$3,'فحص-حاسب-بكالوريوس'!$H$5:$H$208,'فحص-بيانات-بكالوريوس'!$H$5:$H$208,'فحص-بيانات-ماجستير'!$H$5:$H$230),$I178)&amp;"")</f>
        <v/>
      </c>
      <c r="E178" s="2" t="str">
        <f>IF($I178="","",INDEX(CHOOSE($J$3,'فحص-حاسب-بكالوريوس'!$J$5:$J$208,'فحص-بيانات-بكالوريوس'!$J$5:$J$208,'فحص-بيانات-ماجستير'!$J$5:$J$230),$I178)&amp;"")</f>
        <v/>
      </c>
      <c r="F178" s="2" t="str">
        <f>IF($I178="","",INDEX(CHOOSE($J$3,'فحص-حاسب-بكالوريوس'!$L$5:$L$208,'فحص-بيانات-بكالوريوس'!$L$5:$L$208,'فحص-بيانات-ماجستير'!$L$5:$L$230),$I178)&amp;"")</f>
        <v/>
      </c>
      <c r="G178" s="2" t="str">
        <f>IF($I178="","",INDEX(CHOOSE($J$3,'فحص-حاسب-بكالوريوس'!$M$5:$M$208,'فحص-بيانات-بكالوريوس'!$M$5:$M$208,'فحص-بيانات-ماجستير'!$M$5:$M$230),$I178)&amp;"")</f>
        <v/>
      </c>
      <c r="I178" s="2" t="str">
        <f>IFERROR(MATCH($E$3&amp;"#"&amp;173,CHOOSE($J$3,'فحص-حاسب-بكالوريوس'!$R$5:$R$208,'فحص-بيانات-بكالوريوس'!$R$5:$R$208,'فحص-بيانات-ماجستير'!$R$5:$R$230),0),"")</f>
        <v/>
      </c>
    </row>
    <row r="179" spans="1:9" x14ac:dyDescent="0.2">
      <c r="A179" s="1" t="str">
        <f>IF($I179="","",174)</f>
        <v/>
      </c>
      <c r="B179" s="2" t="str">
        <f>IF($I179="","",INDEX(CHOOSE($J$3,'فحص-حاسب-بكالوريوس'!$A$5:$A$208,'فحص-بيانات-بكالوريوس'!$A$5:$A$208,'فحص-بيانات-ماجستير'!$A$5:$A$230),$I179)&amp;"")</f>
        <v/>
      </c>
      <c r="C179" s="2" t="str">
        <f>IF($I179="","",INDEX(CHOOSE($J$3,'فحص-حاسب-بكالوريوس'!$F$5:$F$208,'فحص-بيانات-بكالوريوس'!$F$5:$F$208,'فحص-بيانات-ماجستير'!$F$5:$F$230),$I179)&amp;"")</f>
        <v/>
      </c>
      <c r="D179" s="2" t="str">
        <f>IF($I179="","",INDEX(CHOOSE($J$3,'فحص-حاسب-بكالوريوس'!$H$5:$H$208,'فحص-بيانات-بكالوريوس'!$H$5:$H$208,'فحص-بيانات-ماجستير'!$H$5:$H$230),$I179)&amp;"")</f>
        <v/>
      </c>
      <c r="E179" s="2" t="str">
        <f>IF($I179="","",INDEX(CHOOSE($J$3,'فحص-حاسب-بكالوريوس'!$J$5:$J$208,'فحص-بيانات-بكالوريوس'!$J$5:$J$208,'فحص-بيانات-ماجستير'!$J$5:$J$230),$I179)&amp;"")</f>
        <v/>
      </c>
      <c r="F179" s="2" t="str">
        <f>IF($I179="","",INDEX(CHOOSE($J$3,'فحص-حاسب-بكالوريوس'!$L$5:$L$208,'فحص-بيانات-بكالوريوس'!$L$5:$L$208,'فحص-بيانات-ماجستير'!$L$5:$L$230),$I179)&amp;"")</f>
        <v/>
      </c>
      <c r="G179" s="2" t="str">
        <f>IF($I179="","",INDEX(CHOOSE($J$3,'فحص-حاسب-بكالوريوس'!$M$5:$M$208,'فحص-بيانات-بكالوريوس'!$M$5:$M$208,'فحص-بيانات-ماجستير'!$M$5:$M$230),$I179)&amp;"")</f>
        <v/>
      </c>
      <c r="I179" s="2" t="str">
        <f>IFERROR(MATCH($E$3&amp;"#"&amp;174,CHOOSE($J$3,'فحص-حاسب-بكالوريوس'!$R$5:$R$208,'فحص-بيانات-بكالوريوس'!$R$5:$R$208,'فحص-بيانات-ماجستير'!$R$5:$R$230),0),"")</f>
        <v/>
      </c>
    </row>
    <row r="180" spans="1:9" x14ac:dyDescent="0.2">
      <c r="A180" s="1" t="str">
        <f>IF($I180="","",175)</f>
        <v/>
      </c>
      <c r="B180" s="2" t="str">
        <f>IF($I180="","",INDEX(CHOOSE($J$3,'فحص-حاسب-بكالوريوس'!$A$5:$A$208,'فحص-بيانات-بكالوريوس'!$A$5:$A$208,'فحص-بيانات-ماجستير'!$A$5:$A$230),$I180)&amp;"")</f>
        <v/>
      </c>
      <c r="C180" s="2" t="str">
        <f>IF($I180="","",INDEX(CHOOSE($J$3,'فحص-حاسب-بكالوريوس'!$F$5:$F$208,'فحص-بيانات-بكالوريوس'!$F$5:$F$208,'فحص-بيانات-ماجستير'!$F$5:$F$230),$I180)&amp;"")</f>
        <v/>
      </c>
      <c r="D180" s="2" t="str">
        <f>IF($I180="","",INDEX(CHOOSE($J$3,'فحص-حاسب-بكالوريوس'!$H$5:$H$208,'فحص-بيانات-بكالوريوس'!$H$5:$H$208,'فحص-بيانات-ماجستير'!$H$5:$H$230),$I180)&amp;"")</f>
        <v/>
      </c>
      <c r="E180" s="2" t="str">
        <f>IF($I180="","",INDEX(CHOOSE($J$3,'فحص-حاسب-بكالوريوس'!$J$5:$J$208,'فحص-بيانات-بكالوريوس'!$J$5:$J$208,'فحص-بيانات-ماجستير'!$J$5:$J$230),$I180)&amp;"")</f>
        <v/>
      </c>
      <c r="F180" s="2" t="str">
        <f>IF($I180="","",INDEX(CHOOSE($J$3,'فحص-حاسب-بكالوريوس'!$L$5:$L$208,'فحص-بيانات-بكالوريوس'!$L$5:$L$208,'فحص-بيانات-ماجستير'!$L$5:$L$230),$I180)&amp;"")</f>
        <v/>
      </c>
      <c r="G180" s="2" t="str">
        <f>IF($I180="","",INDEX(CHOOSE($J$3,'فحص-حاسب-بكالوريوس'!$M$5:$M$208,'فحص-بيانات-بكالوريوس'!$M$5:$M$208,'فحص-بيانات-ماجستير'!$M$5:$M$230),$I180)&amp;"")</f>
        <v/>
      </c>
      <c r="I180" s="2" t="str">
        <f>IFERROR(MATCH($E$3&amp;"#"&amp;175,CHOOSE($J$3,'فحص-حاسب-بكالوريوس'!$R$5:$R$208,'فحص-بيانات-بكالوريوس'!$R$5:$R$208,'فحص-بيانات-ماجستير'!$R$5:$R$230),0),"")</f>
        <v/>
      </c>
    </row>
    <row r="181" spans="1:9" x14ac:dyDescent="0.2">
      <c r="A181" s="1" t="str">
        <f>IF($I181="","",176)</f>
        <v/>
      </c>
      <c r="B181" s="2" t="str">
        <f>IF($I181="","",INDEX(CHOOSE($J$3,'فحص-حاسب-بكالوريوس'!$A$5:$A$208,'فحص-بيانات-بكالوريوس'!$A$5:$A$208,'فحص-بيانات-ماجستير'!$A$5:$A$230),$I181)&amp;"")</f>
        <v/>
      </c>
      <c r="C181" s="2" t="str">
        <f>IF($I181="","",INDEX(CHOOSE($J$3,'فحص-حاسب-بكالوريوس'!$F$5:$F$208,'فحص-بيانات-بكالوريوس'!$F$5:$F$208,'فحص-بيانات-ماجستير'!$F$5:$F$230),$I181)&amp;"")</f>
        <v/>
      </c>
      <c r="D181" s="2" t="str">
        <f>IF($I181="","",INDEX(CHOOSE($J$3,'فحص-حاسب-بكالوريوس'!$H$5:$H$208,'فحص-بيانات-بكالوريوس'!$H$5:$H$208,'فحص-بيانات-ماجستير'!$H$5:$H$230),$I181)&amp;"")</f>
        <v/>
      </c>
      <c r="E181" s="2" t="str">
        <f>IF($I181="","",INDEX(CHOOSE($J$3,'فحص-حاسب-بكالوريوس'!$J$5:$J$208,'فحص-بيانات-بكالوريوس'!$J$5:$J$208,'فحص-بيانات-ماجستير'!$J$5:$J$230),$I181)&amp;"")</f>
        <v/>
      </c>
      <c r="F181" s="2" t="str">
        <f>IF($I181="","",INDEX(CHOOSE($J$3,'فحص-حاسب-بكالوريوس'!$L$5:$L$208,'فحص-بيانات-بكالوريوس'!$L$5:$L$208,'فحص-بيانات-ماجستير'!$L$5:$L$230),$I181)&amp;"")</f>
        <v/>
      </c>
      <c r="G181" s="2" t="str">
        <f>IF($I181="","",INDEX(CHOOSE($J$3,'فحص-حاسب-بكالوريوس'!$M$5:$M$208,'فحص-بيانات-بكالوريوس'!$M$5:$M$208,'فحص-بيانات-ماجستير'!$M$5:$M$230),$I181)&amp;"")</f>
        <v/>
      </c>
      <c r="I181" s="2" t="str">
        <f>IFERROR(MATCH($E$3&amp;"#"&amp;176,CHOOSE($J$3,'فحص-حاسب-بكالوريوس'!$R$5:$R$208,'فحص-بيانات-بكالوريوس'!$R$5:$R$208,'فحص-بيانات-ماجستير'!$R$5:$R$230),0),"")</f>
        <v/>
      </c>
    </row>
    <row r="182" spans="1:9" x14ac:dyDescent="0.2">
      <c r="A182" s="1" t="str">
        <f>IF($I182="","",177)</f>
        <v/>
      </c>
      <c r="B182" s="2" t="str">
        <f>IF($I182="","",INDEX(CHOOSE($J$3,'فحص-حاسب-بكالوريوس'!$A$5:$A$208,'فحص-بيانات-بكالوريوس'!$A$5:$A$208,'فحص-بيانات-ماجستير'!$A$5:$A$230),$I182)&amp;"")</f>
        <v/>
      </c>
      <c r="C182" s="2" t="str">
        <f>IF($I182="","",INDEX(CHOOSE($J$3,'فحص-حاسب-بكالوريوس'!$F$5:$F$208,'فحص-بيانات-بكالوريوس'!$F$5:$F$208,'فحص-بيانات-ماجستير'!$F$5:$F$230),$I182)&amp;"")</f>
        <v/>
      </c>
      <c r="D182" s="2" t="str">
        <f>IF($I182="","",INDEX(CHOOSE($J$3,'فحص-حاسب-بكالوريوس'!$H$5:$H$208,'فحص-بيانات-بكالوريوس'!$H$5:$H$208,'فحص-بيانات-ماجستير'!$H$5:$H$230),$I182)&amp;"")</f>
        <v/>
      </c>
      <c r="E182" s="2" t="str">
        <f>IF($I182="","",INDEX(CHOOSE($J$3,'فحص-حاسب-بكالوريوس'!$J$5:$J$208,'فحص-بيانات-بكالوريوس'!$J$5:$J$208,'فحص-بيانات-ماجستير'!$J$5:$J$230),$I182)&amp;"")</f>
        <v/>
      </c>
      <c r="F182" s="2" t="str">
        <f>IF($I182="","",INDEX(CHOOSE($J$3,'فحص-حاسب-بكالوريوس'!$L$5:$L$208,'فحص-بيانات-بكالوريوس'!$L$5:$L$208,'فحص-بيانات-ماجستير'!$L$5:$L$230),$I182)&amp;"")</f>
        <v/>
      </c>
      <c r="G182" s="2" t="str">
        <f>IF($I182="","",INDEX(CHOOSE($J$3,'فحص-حاسب-بكالوريوس'!$M$5:$M$208,'فحص-بيانات-بكالوريوس'!$M$5:$M$208,'فحص-بيانات-ماجستير'!$M$5:$M$230),$I182)&amp;"")</f>
        <v/>
      </c>
      <c r="I182" s="2" t="str">
        <f>IFERROR(MATCH($E$3&amp;"#"&amp;177,CHOOSE($J$3,'فحص-حاسب-بكالوريوس'!$R$5:$R$208,'فحص-بيانات-بكالوريوس'!$R$5:$R$208,'فحص-بيانات-ماجستير'!$R$5:$R$230),0),"")</f>
        <v/>
      </c>
    </row>
    <row r="183" spans="1:9" x14ac:dyDescent="0.2">
      <c r="A183" s="1" t="str">
        <f>IF($I183="","",178)</f>
        <v/>
      </c>
      <c r="B183" s="2" t="str">
        <f>IF($I183="","",INDEX(CHOOSE($J$3,'فحص-حاسب-بكالوريوس'!$A$5:$A$208,'فحص-بيانات-بكالوريوس'!$A$5:$A$208,'فحص-بيانات-ماجستير'!$A$5:$A$230),$I183)&amp;"")</f>
        <v/>
      </c>
      <c r="C183" s="2" t="str">
        <f>IF($I183="","",INDEX(CHOOSE($J$3,'فحص-حاسب-بكالوريوس'!$F$5:$F$208,'فحص-بيانات-بكالوريوس'!$F$5:$F$208,'فحص-بيانات-ماجستير'!$F$5:$F$230),$I183)&amp;"")</f>
        <v/>
      </c>
      <c r="D183" s="2" t="str">
        <f>IF($I183="","",INDEX(CHOOSE($J$3,'فحص-حاسب-بكالوريوس'!$H$5:$H$208,'فحص-بيانات-بكالوريوس'!$H$5:$H$208,'فحص-بيانات-ماجستير'!$H$5:$H$230),$I183)&amp;"")</f>
        <v/>
      </c>
      <c r="E183" s="2" t="str">
        <f>IF($I183="","",INDEX(CHOOSE($J$3,'فحص-حاسب-بكالوريوس'!$J$5:$J$208,'فحص-بيانات-بكالوريوس'!$J$5:$J$208,'فحص-بيانات-ماجستير'!$J$5:$J$230),$I183)&amp;"")</f>
        <v/>
      </c>
      <c r="F183" s="2" t="str">
        <f>IF($I183="","",INDEX(CHOOSE($J$3,'فحص-حاسب-بكالوريوس'!$L$5:$L$208,'فحص-بيانات-بكالوريوس'!$L$5:$L$208,'فحص-بيانات-ماجستير'!$L$5:$L$230),$I183)&amp;"")</f>
        <v/>
      </c>
      <c r="G183" s="2" t="str">
        <f>IF($I183="","",INDEX(CHOOSE($J$3,'فحص-حاسب-بكالوريوس'!$M$5:$M$208,'فحص-بيانات-بكالوريوس'!$M$5:$M$208,'فحص-بيانات-ماجستير'!$M$5:$M$230),$I183)&amp;"")</f>
        <v/>
      </c>
      <c r="I183" s="2" t="str">
        <f>IFERROR(MATCH($E$3&amp;"#"&amp;178,CHOOSE($J$3,'فحص-حاسب-بكالوريوس'!$R$5:$R$208,'فحص-بيانات-بكالوريوس'!$R$5:$R$208,'فحص-بيانات-ماجستير'!$R$5:$R$230),0),"")</f>
        <v/>
      </c>
    </row>
    <row r="184" spans="1:9" x14ac:dyDescent="0.2">
      <c r="A184" s="1" t="str">
        <f>IF($I184="","",179)</f>
        <v/>
      </c>
      <c r="B184" s="2" t="str">
        <f>IF($I184="","",INDEX(CHOOSE($J$3,'فحص-حاسب-بكالوريوس'!$A$5:$A$208,'فحص-بيانات-بكالوريوس'!$A$5:$A$208,'فحص-بيانات-ماجستير'!$A$5:$A$230),$I184)&amp;"")</f>
        <v/>
      </c>
      <c r="C184" s="2" t="str">
        <f>IF($I184="","",INDEX(CHOOSE($J$3,'فحص-حاسب-بكالوريوس'!$F$5:$F$208,'فحص-بيانات-بكالوريوس'!$F$5:$F$208,'فحص-بيانات-ماجستير'!$F$5:$F$230),$I184)&amp;"")</f>
        <v/>
      </c>
      <c r="D184" s="2" t="str">
        <f>IF($I184="","",INDEX(CHOOSE($J$3,'فحص-حاسب-بكالوريوس'!$H$5:$H$208,'فحص-بيانات-بكالوريوس'!$H$5:$H$208,'فحص-بيانات-ماجستير'!$H$5:$H$230),$I184)&amp;"")</f>
        <v/>
      </c>
      <c r="E184" s="2" t="str">
        <f>IF($I184="","",INDEX(CHOOSE($J$3,'فحص-حاسب-بكالوريوس'!$J$5:$J$208,'فحص-بيانات-بكالوريوس'!$J$5:$J$208,'فحص-بيانات-ماجستير'!$J$5:$J$230),$I184)&amp;"")</f>
        <v/>
      </c>
      <c r="F184" s="2" t="str">
        <f>IF($I184="","",INDEX(CHOOSE($J$3,'فحص-حاسب-بكالوريوس'!$L$5:$L$208,'فحص-بيانات-بكالوريوس'!$L$5:$L$208,'فحص-بيانات-ماجستير'!$L$5:$L$230),$I184)&amp;"")</f>
        <v/>
      </c>
      <c r="G184" s="2" t="str">
        <f>IF($I184="","",INDEX(CHOOSE($J$3,'فحص-حاسب-بكالوريوس'!$M$5:$M$208,'فحص-بيانات-بكالوريوس'!$M$5:$M$208,'فحص-بيانات-ماجستير'!$M$5:$M$230),$I184)&amp;"")</f>
        <v/>
      </c>
      <c r="I184" s="2" t="str">
        <f>IFERROR(MATCH($E$3&amp;"#"&amp;179,CHOOSE($J$3,'فحص-حاسب-بكالوريوس'!$R$5:$R$208,'فحص-بيانات-بكالوريوس'!$R$5:$R$208,'فحص-بيانات-ماجستير'!$R$5:$R$230),0),"")</f>
        <v/>
      </c>
    </row>
    <row r="185" spans="1:9" x14ac:dyDescent="0.2">
      <c r="A185" s="1" t="str">
        <f>IF($I185="","",180)</f>
        <v/>
      </c>
      <c r="B185" s="2" t="str">
        <f>IF($I185="","",INDEX(CHOOSE($J$3,'فحص-حاسب-بكالوريوس'!$A$5:$A$208,'فحص-بيانات-بكالوريوس'!$A$5:$A$208,'فحص-بيانات-ماجستير'!$A$5:$A$230),$I185)&amp;"")</f>
        <v/>
      </c>
      <c r="C185" s="2" t="str">
        <f>IF($I185="","",INDEX(CHOOSE($J$3,'فحص-حاسب-بكالوريوس'!$F$5:$F$208,'فحص-بيانات-بكالوريوس'!$F$5:$F$208,'فحص-بيانات-ماجستير'!$F$5:$F$230),$I185)&amp;"")</f>
        <v/>
      </c>
      <c r="D185" s="2" t="str">
        <f>IF($I185="","",INDEX(CHOOSE($J$3,'فحص-حاسب-بكالوريوس'!$H$5:$H$208,'فحص-بيانات-بكالوريوس'!$H$5:$H$208,'فحص-بيانات-ماجستير'!$H$5:$H$230),$I185)&amp;"")</f>
        <v/>
      </c>
      <c r="E185" s="2" t="str">
        <f>IF($I185="","",INDEX(CHOOSE($J$3,'فحص-حاسب-بكالوريوس'!$J$5:$J$208,'فحص-بيانات-بكالوريوس'!$J$5:$J$208,'فحص-بيانات-ماجستير'!$J$5:$J$230),$I185)&amp;"")</f>
        <v/>
      </c>
      <c r="F185" s="2" t="str">
        <f>IF($I185="","",INDEX(CHOOSE($J$3,'فحص-حاسب-بكالوريوس'!$L$5:$L$208,'فحص-بيانات-بكالوريوس'!$L$5:$L$208,'فحص-بيانات-ماجستير'!$L$5:$L$230),$I185)&amp;"")</f>
        <v/>
      </c>
      <c r="G185" s="2" t="str">
        <f>IF($I185="","",INDEX(CHOOSE($J$3,'فحص-حاسب-بكالوريوس'!$M$5:$M$208,'فحص-بيانات-بكالوريوس'!$M$5:$M$208,'فحص-بيانات-ماجستير'!$M$5:$M$230),$I185)&amp;"")</f>
        <v/>
      </c>
      <c r="I185" s="2" t="str">
        <f>IFERROR(MATCH($E$3&amp;"#"&amp;180,CHOOSE($J$3,'فحص-حاسب-بكالوريوس'!$R$5:$R$208,'فحص-بيانات-بكالوريوس'!$R$5:$R$208,'فحص-بيانات-ماجستير'!$R$5:$R$230),0),"")</f>
        <v/>
      </c>
    </row>
    <row r="186" spans="1:9" x14ac:dyDescent="0.2">
      <c r="A186" s="1" t="str">
        <f>IF($I186="","",181)</f>
        <v/>
      </c>
      <c r="B186" s="2" t="str">
        <f>IF($I186="","",INDEX(CHOOSE($J$3,'فحص-حاسب-بكالوريوس'!$A$5:$A$208,'فحص-بيانات-بكالوريوس'!$A$5:$A$208,'فحص-بيانات-ماجستير'!$A$5:$A$230),$I186)&amp;"")</f>
        <v/>
      </c>
      <c r="C186" s="2" t="str">
        <f>IF($I186="","",INDEX(CHOOSE($J$3,'فحص-حاسب-بكالوريوس'!$F$5:$F$208,'فحص-بيانات-بكالوريوس'!$F$5:$F$208,'فحص-بيانات-ماجستير'!$F$5:$F$230),$I186)&amp;"")</f>
        <v/>
      </c>
      <c r="D186" s="2" t="str">
        <f>IF($I186="","",INDEX(CHOOSE($J$3,'فحص-حاسب-بكالوريوس'!$H$5:$H$208,'فحص-بيانات-بكالوريوس'!$H$5:$H$208,'فحص-بيانات-ماجستير'!$H$5:$H$230),$I186)&amp;"")</f>
        <v/>
      </c>
      <c r="E186" s="2" t="str">
        <f>IF($I186="","",INDEX(CHOOSE($J$3,'فحص-حاسب-بكالوريوس'!$J$5:$J$208,'فحص-بيانات-بكالوريوس'!$J$5:$J$208,'فحص-بيانات-ماجستير'!$J$5:$J$230),$I186)&amp;"")</f>
        <v/>
      </c>
      <c r="F186" s="2" t="str">
        <f>IF($I186="","",INDEX(CHOOSE($J$3,'فحص-حاسب-بكالوريوس'!$L$5:$L$208,'فحص-بيانات-بكالوريوس'!$L$5:$L$208,'فحص-بيانات-ماجستير'!$L$5:$L$230),$I186)&amp;"")</f>
        <v/>
      </c>
      <c r="G186" s="2" t="str">
        <f>IF($I186="","",INDEX(CHOOSE($J$3,'فحص-حاسب-بكالوريوس'!$M$5:$M$208,'فحص-بيانات-بكالوريوس'!$M$5:$M$208,'فحص-بيانات-ماجستير'!$M$5:$M$230),$I186)&amp;"")</f>
        <v/>
      </c>
      <c r="I186" s="2" t="str">
        <f>IFERROR(MATCH($E$3&amp;"#"&amp;181,CHOOSE($J$3,'فحص-حاسب-بكالوريوس'!$R$5:$R$208,'فحص-بيانات-بكالوريوس'!$R$5:$R$208,'فحص-بيانات-ماجستير'!$R$5:$R$230),0),"")</f>
        <v/>
      </c>
    </row>
    <row r="187" spans="1:9" x14ac:dyDescent="0.2">
      <c r="A187" s="1" t="str">
        <f>IF($I187="","",182)</f>
        <v/>
      </c>
      <c r="B187" s="2" t="str">
        <f>IF($I187="","",INDEX(CHOOSE($J$3,'فحص-حاسب-بكالوريوس'!$A$5:$A$208,'فحص-بيانات-بكالوريوس'!$A$5:$A$208,'فحص-بيانات-ماجستير'!$A$5:$A$230),$I187)&amp;"")</f>
        <v/>
      </c>
      <c r="C187" s="2" t="str">
        <f>IF($I187="","",INDEX(CHOOSE($J$3,'فحص-حاسب-بكالوريوس'!$F$5:$F$208,'فحص-بيانات-بكالوريوس'!$F$5:$F$208,'فحص-بيانات-ماجستير'!$F$5:$F$230),$I187)&amp;"")</f>
        <v/>
      </c>
      <c r="D187" s="2" t="str">
        <f>IF($I187="","",INDEX(CHOOSE($J$3,'فحص-حاسب-بكالوريوس'!$H$5:$H$208,'فحص-بيانات-بكالوريوس'!$H$5:$H$208,'فحص-بيانات-ماجستير'!$H$5:$H$230),$I187)&amp;"")</f>
        <v/>
      </c>
      <c r="E187" s="2" t="str">
        <f>IF($I187="","",INDEX(CHOOSE($J$3,'فحص-حاسب-بكالوريوس'!$J$5:$J$208,'فحص-بيانات-بكالوريوس'!$J$5:$J$208,'فحص-بيانات-ماجستير'!$J$5:$J$230),$I187)&amp;"")</f>
        <v/>
      </c>
      <c r="F187" s="2" t="str">
        <f>IF($I187="","",INDEX(CHOOSE($J$3,'فحص-حاسب-بكالوريوس'!$L$5:$L$208,'فحص-بيانات-بكالوريوس'!$L$5:$L$208,'فحص-بيانات-ماجستير'!$L$5:$L$230),$I187)&amp;"")</f>
        <v/>
      </c>
      <c r="G187" s="2" t="str">
        <f>IF($I187="","",INDEX(CHOOSE($J$3,'فحص-حاسب-بكالوريوس'!$M$5:$M$208,'فحص-بيانات-بكالوريوس'!$M$5:$M$208,'فحص-بيانات-ماجستير'!$M$5:$M$230),$I187)&amp;"")</f>
        <v/>
      </c>
      <c r="I187" s="2" t="str">
        <f>IFERROR(MATCH($E$3&amp;"#"&amp;182,CHOOSE($J$3,'فحص-حاسب-بكالوريوس'!$R$5:$R$208,'فحص-بيانات-بكالوريوس'!$R$5:$R$208,'فحص-بيانات-ماجستير'!$R$5:$R$230),0),"")</f>
        <v/>
      </c>
    </row>
    <row r="188" spans="1:9" x14ac:dyDescent="0.2">
      <c r="A188" s="1" t="str">
        <f>IF($I188="","",183)</f>
        <v/>
      </c>
      <c r="B188" s="2" t="str">
        <f>IF($I188="","",INDEX(CHOOSE($J$3,'فحص-حاسب-بكالوريوس'!$A$5:$A$208,'فحص-بيانات-بكالوريوس'!$A$5:$A$208,'فحص-بيانات-ماجستير'!$A$5:$A$230),$I188)&amp;"")</f>
        <v/>
      </c>
      <c r="C188" s="2" t="str">
        <f>IF($I188="","",INDEX(CHOOSE($J$3,'فحص-حاسب-بكالوريوس'!$F$5:$F$208,'فحص-بيانات-بكالوريوس'!$F$5:$F$208,'فحص-بيانات-ماجستير'!$F$5:$F$230),$I188)&amp;"")</f>
        <v/>
      </c>
      <c r="D188" s="2" t="str">
        <f>IF($I188="","",INDEX(CHOOSE($J$3,'فحص-حاسب-بكالوريوس'!$H$5:$H$208,'فحص-بيانات-بكالوريوس'!$H$5:$H$208,'فحص-بيانات-ماجستير'!$H$5:$H$230),$I188)&amp;"")</f>
        <v/>
      </c>
      <c r="E188" s="2" t="str">
        <f>IF($I188="","",INDEX(CHOOSE($J$3,'فحص-حاسب-بكالوريوس'!$J$5:$J$208,'فحص-بيانات-بكالوريوس'!$J$5:$J$208,'فحص-بيانات-ماجستير'!$J$5:$J$230),$I188)&amp;"")</f>
        <v/>
      </c>
      <c r="F188" s="2" t="str">
        <f>IF($I188="","",INDEX(CHOOSE($J$3,'فحص-حاسب-بكالوريوس'!$L$5:$L$208,'فحص-بيانات-بكالوريوس'!$L$5:$L$208,'فحص-بيانات-ماجستير'!$L$5:$L$230),$I188)&amp;"")</f>
        <v/>
      </c>
      <c r="G188" s="2" t="str">
        <f>IF($I188="","",INDEX(CHOOSE($J$3,'فحص-حاسب-بكالوريوس'!$M$5:$M$208,'فحص-بيانات-بكالوريوس'!$M$5:$M$208,'فحص-بيانات-ماجستير'!$M$5:$M$230),$I188)&amp;"")</f>
        <v/>
      </c>
      <c r="I188" s="2" t="str">
        <f>IFERROR(MATCH($E$3&amp;"#"&amp;183,CHOOSE($J$3,'فحص-حاسب-بكالوريوس'!$R$5:$R$208,'فحص-بيانات-بكالوريوس'!$R$5:$R$208,'فحص-بيانات-ماجستير'!$R$5:$R$230),0),"")</f>
        <v/>
      </c>
    </row>
    <row r="189" spans="1:9" x14ac:dyDescent="0.2">
      <c r="A189" s="1" t="str">
        <f>IF($I189="","",184)</f>
        <v/>
      </c>
      <c r="B189" s="2" t="str">
        <f>IF($I189="","",INDEX(CHOOSE($J$3,'فحص-حاسب-بكالوريوس'!$A$5:$A$208,'فحص-بيانات-بكالوريوس'!$A$5:$A$208,'فحص-بيانات-ماجستير'!$A$5:$A$230),$I189)&amp;"")</f>
        <v/>
      </c>
      <c r="C189" s="2" t="str">
        <f>IF($I189="","",INDEX(CHOOSE($J$3,'فحص-حاسب-بكالوريوس'!$F$5:$F$208,'فحص-بيانات-بكالوريوس'!$F$5:$F$208,'فحص-بيانات-ماجستير'!$F$5:$F$230),$I189)&amp;"")</f>
        <v/>
      </c>
      <c r="D189" s="2" t="str">
        <f>IF($I189="","",INDEX(CHOOSE($J$3,'فحص-حاسب-بكالوريوس'!$H$5:$H$208,'فحص-بيانات-بكالوريوس'!$H$5:$H$208,'فحص-بيانات-ماجستير'!$H$5:$H$230),$I189)&amp;"")</f>
        <v/>
      </c>
      <c r="E189" s="2" t="str">
        <f>IF($I189="","",INDEX(CHOOSE($J$3,'فحص-حاسب-بكالوريوس'!$J$5:$J$208,'فحص-بيانات-بكالوريوس'!$J$5:$J$208,'فحص-بيانات-ماجستير'!$J$5:$J$230),$I189)&amp;"")</f>
        <v/>
      </c>
      <c r="F189" s="2" t="str">
        <f>IF($I189="","",INDEX(CHOOSE($J$3,'فحص-حاسب-بكالوريوس'!$L$5:$L$208,'فحص-بيانات-بكالوريوس'!$L$5:$L$208,'فحص-بيانات-ماجستير'!$L$5:$L$230),$I189)&amp;"")</f>
        <v/>
      </c>
      <c r="G189" s="2" t="str">
        <f>IF($I189="","",INDEX(CHOOSE($J$3,'فحص-حاسب-بكالوريوس'!$M$5:$M$208,'فحص-بيانات-بكالوريوس'!$M$5:$M$208,'فحص-بيانات-ماجستير'!$M$5:$M$230),$I189)&amp;"")</f>
        <v/>
      </c>
      <c r="I189" s="2" t="str">
        <f>IFERROR(MATCH($E$3&amp;"#"&amp;184,CHOOSE($J$3,'فحص-حاسب-بكالوريوس'!$R$5:$R$208,'فحص-بيانات-بكالوريوس'!$R$5:$R$208,'فحص-بيانات-ماجستير'!$R$5:$R$230),0),"")</f>
        <v/>
      </c>
    </row>
    <row r="190" spans="1:9" x14ac:dyDescent="0.2">
      <c r="A190" s="1" t="str">
        <f>IF($I190="","",185)</f>
        <v/>
      </c>
      <c r="B190" s="2" t="str">
        <f>IF($I190="","",INDEX(CHOOSE($J$3,'فحص-حاسب-بكالوريوس'!$A$5:$A$208,'فحص-بيانات-بكالوريوس'!$A$5:$A$208,'فحص-بيانات-ماجستير'!$A$5:$A$230),$I190)&amp;"")</f>
        <v/>
      </c>
      <c r="C190" s="2" t="str">
        <f>IF($I190="","",INDEX(CHOOSE($J$3,'فحص-حاسب-بكالوريوس'!$F$5:$F$208,'فحص-بيانات-بكالوريوس'!$F$5:$F$208,'فحص-بيانات-ماجستير'!$F$5:$F$230),$I190)&amp;"")</f>
        <v/>
      </c>
      <c r="D190" s="2" t="str">
        <f>IF($I190="","",INDEX(CHOOSE($J$3,'فحص-حاسب-بكالوريوس'!$H$5:$H$208,'فحص-بيانات-بكالوريوس'!$H$5:$H$208,'فحص-بيانات-ماجستير'!$H$5:$H$230),$I190)&amp;"")</f>
        <v/>
      </c>
      <c r="E190" s="2" t="str">
        <f>IF($I190="","",INDEX(CHOOSE($J$3,'فحص-حاسب-بكالوريوس'!$J$5:$J$208,'فحص-بيانات-بكالوريوس'!$J$5:$J$208,'فحص-بيانات-ماجستير'!$J$5:$J$230),$I190)&amp;"")</f>
        <v/>
      </c>
      <c r="F190" s="2" t="str">
        <f>IF($I190="","",INDEX(CHOOSE($J$3,'فحص-حاسب-بكالوريوس'!$L$5:$L$208,'فحص-بيانات-بكالوريوس'!$L$5:$L$208,'فحص-بيانات-ماجستير'!$L$5:$L$230),$I190)&amp;"")</f>
        <v/>
      </c>
      <c r="G190" s="2" t="str">
        <f>IF($I190="","",INDEX(CHOOSE($J$3,'فحص-حاسب-بكالوريوس'!$M$5:$M$208,'فحص-بيانات-بكالوريوس'!$M$5:$M$208,'فحص-بيانات-ماجستير'!$M$5:$M$230),$I190)&amp;"")</f>
        <v/>
      </c>
      <c r="I190" s="2" t="str">
        <f>IFERROR(MATCH($E$3&amp;"#"&amp;185,CHOOSE($J$3,'فحص-حاسب-بكالوريوس'!$R$5:$R$208,'فحص-بيانات-بكالوريوس'!$R$5:$R$208,'فحص-بيانات-ماجستير'!$R$5:$R$230),0),"")</f>
        <v/>
      </c>
    </row>
    <row r="191" spans="1:9" x14ac:dyDescent="0.2">
      <c r="A191" s="1" t="str">
        <f>IF($I191="","",186)</f>
        <v/>
      </c>
      <c r="B191" s="2" t="str">
        <f>IF($I191="","",INDEX(CHOOSE($J$3,'فحص-حاسب-بكالوريوس'!$A$5:$A$208,'فحص-بيانات-بكالوريوس'!$A$5:$A$208,'فحص-بيانات-ماجستير'!$A$5:$A$230),$I191)&amp;"")</f>
        <v/>
      </c>
      <c r="C191" s="2" t="str">
        <f>IF($I191="","",INDEX(CHOOSE($J$3,'فحص-حاسب-بكالوريوس'!$F$5:$F$208,'فحص-بيانات-بكالوريوس'!$F$5:$F$208,'فحص-بيانات-ماجستير'!$F$5:$F$230),$I191)&amp;"")</f>
        <v/>
      </c>
      <c r="D191" s="2" t="str">
        <f>IF($I191="","",INDEX(CHOOSE($J$3,'فحص-حاسب-بكالوريوس'!$H$5:$H$208,'فحص-بيانات-بكالوريوس'!$H$5:$H$208,'فحص-بيانات-ماجستير'!$H$5:$H$230),$I191)&amp;"")</f>
        <v/>
      </c>
      <c r="E191" s="2" t="str">
        <f>IF($I191="","",INDEX(CHOOSE($J$3,'فحص-حاسب-بكالوريوس'!$J$5:$J$208,'فحص-بيانات-بكالوريوس'!$J$5:$J$208,'فحص-بيانات-ماجستير'!$J$5:$J$230),$I191)&amp;"")</f>
        <v/>
      </c>
      <c r="F191" s="2" t="str">
        <f>IF($I191="","",INDEX(CHOOSE($J$3,'فحص-حاسب-بكالوريوس'!$L$5:$L$208,'فحص-بيانات-بكالوريوس'!$L$5:$L$208,'فحص-بيانات-ماجستير'!$L$5:$L$230),$I191)&amp;"")</f>
        <v/>
      </c>
      <c r="G191" s="2" t="str">
        <f>IF($I191="","",INDEX(CHOOSE($J$3,'فحص-حاسب-بكالوريوس'!$M$5:$M$208,'فحص-بيانات-بكالوريوس'!$M$5:$M$208,'فحص-بيانات-ماجستير'!$M$5:$M$230),$I191)&amp;"")</f>
        <v/>
      </c>
      <c r="I191" s="2" t="str">
        <f>IFERROR(MATCH($E$3&amp;"#"&amp;186,CHOOSE($J$3,'فحص-حاسب-بكالوريوس'!$R$5:$R$208,'فحص-بيانات-بكالوريوس'!$R$5:$R$208,'فحص-بيانات-ماجستير'!$R$5:$R$230),0),"")</f>
        <v/>
      </c>
    </row>
    <row r="192" spans="1:9" x14ac:dyDescent="0.2">
      <c r="A192" s="1" t="str">
        <f>IF($I192="","",187)</f>
        <v/>
      </c>
      <c r="B192" s="2" t="str">
        <f>IF($I192="","",INDEX(CHOOSE($J$3,'فحص-حاسب-بكالوريوس'!$A$5:$A$208,'فحص-بيانات-بكالوريوس'!$A$5:$A$208,'فحص-بيانات-ماجستير'!$A$5:$A$230),$I192)&amp;"")</f>
        <v/>
      </c>
      <c r="C192" s="2" t="str">
        <f>IF($I192="","",INDEX(CHOOSE($J$3,'فحص-حاسب-بكالوريوس'!$F$5:$F$208,'فحص-بيانات-بكالوريوس'!$F$5:$F$208,'فحص-بيانات-ماجستير'!$F$5:$F$230),$I192)&amp;"")</f>
        <v/>
      </c>
      <c r="D192" s="2" t="str">
        <f>IF($I192="","",INDEX(CHOOSE($J$3,'فحص-حاسب-بكالوريوس'!$H$5:$H$208,'فحص-بيانات-بكالوريوس'!$H$5:$H$208,'فحص-بيانات-ماجستير'!$H$5:$H$230),$I192)&amp;"")</f>
        <v/>
      </c>
      <c r="E192" s="2" t="str">
        <f>IF($I192="","",INDEX(CHOOSE($J$3,'فحص-حاسب-بكالوريوس'!$J$5:$J$208,'فحص-بيانات-بكالوريوس'!$J$5:$J$208,'فحص-بيانات-ماجستير'!$J$5:$J$230),$I192)&amp;"")</f>
        <v/>
      </c>
      <c r="F192" s="2" t="str">
        <f>IF($I192="","",INDEX(CHOOSE($J$3,'فحص-حاسب-بكالوريوس'!$L$5:$L$208,'فحص-بيانات-بكالوريوس'!$L$5:$L$208,'فحص-بيانات-ماجستير'!$L$5:$L$230),$I192)&amp;"")</f>
        <v/>
      </c>
      <c r="G192" s="2" t="str">
        <f>IF($I192="","",INDEX(CHOOSE($J$3,'فحص-حاسب-بكالوريوس'!$M$5:$M$208,'فحص-بيانات-بكالوريوس'!$M$5:$M$208,'فحص-بيانات-ماجستير'!$M$5:$M$230),$I192)&amp;"")</f>
        <v/>
      </c>
      <c r="I192" s="2" t="str">
        <f>IFERROR(MATCH($E$3&amp;"#"&amp;187,CHOOSE($J$3,'فحص-حاسب-بكالوريوس'!$R$5:$R$208,'فحص-بيانات-بكالوريوس'!$R$5:$R$208,'فحص-بيانات-ماجستير'!$R$5:$R$230),0),"")</f>
        <v/>
      </c>
    </row>
    <row r="193" spans="1:9" x14ac:dyDescent="0.2">
      <c r="A193" s="1" t="str">
        <f>IF($I193="","",188)</f>
        <v/>
      </c>
      <c r="B193" s="2" t="str">
        <f>IF($I193="","",INDEX(CHOOSE($J$3,'فحص-حاسب-بكالوريوس'!$A$5:$A$208,'فحص-بيانات-بكالوريوس'!$A$5:$A$208,'فحص-بيانات-ماجستير'!$A$5:$A$230),$I193)&amp;"")</f>
        <v/>
      </c>
      <c r="C193" s="2" t="str">
        <f>IF($I193="","",INDEX(CHOOSE($J$3,'فحص-حاسب-بكالوريوس'!$F$5:$F$208,'فحص-بيانات-بكالوريوس'!$F$5:$F$208,'فحص-بيانات-ماجستير'!$F$5:$F$230),$I193)&amp;"")</f>
        <v/>
      </c>
      <c r="D193" s="2" t="str">
        <f>IF($I193="","",INDEX(CHOOSE($J$3,'فحص-حاسب-بكالوريوس'!$H$5:$H$208,'فحص-بيانات-بكالوريوس'!$H$5:$H$208,'فحص-بيانات-ماجستير'!$H$5:$H$230),$I193)&amp;"")</f>
        <v/>
      </c>
      <c r="E193" s="2" t="str">
        <f>IF($I193="","",INDEX(CHOOSE($J$3,'فحص-حاسب-بكالوريوس'!$J$5:$J$208,'فحص-بيانات-بكالوريوس'!$J$5:$J$208,'فحص-بيانات-ماجستير'!$J$5:$J$230),$I193)&amp;"")</f>
        <v/>
      </c>
      <c r="F193" s="2" t="str">
        <f>IF($I193="","",INDEX(CHOOSE($J$3,'فحص-حاسب-بكالوريوس'!$L$5:$L$208,'فحص-بيانات-بكالوريوس'!$L$5:$L$208,'فحص-بيانات-ماجستير'!$L$5:$L$230),$I193)&amp;"")</f>
        <v/>
      </c>
      <c r="G193" s="2" t="str">
        <f>IF($I193="","",INDEX(CHOOSE($J$3,'فحص-حاسب-بكالوريوس'!$M$5:$M$208,'فحص-بيانات-بكالوريوس'!$M$5:$M$208,'فحص-بيانات-ماجستير'!$M$5:$M$230),$I193)&amp;"")</f>
        <v/>
      </c>
      <c r="I193" s="2" t="str">
        <f>IFERROR(MATCH($E$3&amp;"#"&amp;188,CHOOSE($J$3,'فحص-حاسب-بكالوريوس'!$R$5:$R$208,'فحص-بيانات-بكالوريوس'!$R$5:$R$208,'فحص-بيانات-ماجستير'!$R$5:$R$230),0),"")</f>
        <v/>
      </c>
    </row>
    <row r="194" spans="1:9" x14ac:dyDescent="0.2">
      <c r="A194" s="1" t="str">
        <f>IF($I194="","",189)</f>
        <v/>
      </c>
      <c r="B194" s="2" t="str">
        <f>IF($I194="","",INDEX(CHOOSE($J$3,'فحص-حاسب-بكالوريوس'!$A$5:$A$208,'فحص-بيانات-بكالوريوس'!$A$5:$A$208,'فحص-بيانات-ماجستير'!$A$5:$A$230),$I194)&amp;"")</f>
        <v/>
      </c>
      <c r="C194" s="2" t="str">
        <f>IF($I194="","",INDEX(CHOOSE($J$3,'فحص-حاسب-بكالوريوس'!$F$5:$F$208,'فحص-بيانات-بكالوريوس'!$F$5:$F$208,'فحص-بيانات-ماجستير'!$F$5:$F$230),$I194)&amp;"")</f>
        <v/>
      </c>
      <c r="D194" s="2" t="str">
        <f>IF($I194="","",INDEX(CHOOSE($J$3,'فحص-حاسب-بكالوريوس'!$H$5:$H$208,'فحص-بيانات-بكالوريوس'!$H$5:$H$208,'فحص-بيانات-ماجستير'!$H$5:$H$230),$I194)&amp;"")</f>
        <v/>
      </c>
      <c r="E194" s="2" t="str">
        <f>IF($I194="","",INDEX(CHOOSE($J$3,'فحص-حاسب-بكالوريوس'!$J$5:$J$208,'فحص-بيانات-بكالوريوس'!$J$5:$J$208,'فحص-بيانات-ماجستير'!$J$5:$J$230),$I194)&amp;"")</f>
        <v/>
      </c>
      <c r="F194" s="2" t="str">
        <f>IF($I194="","",INDEX(CHOOSE($J$3,'فحص-حاسب-بكالوريوس'!$L$5:$L$208,'فحص-بيانات-بكالوريوس'!$L$5:$L$208,'فحص-بيانات-ماجستير'!$L$5:$L$230),$I194)&amp;"")</f>
        <v/>
      </c>
      <c r="G194" s="2" t="str">
        <f>IF($I194="","",INDEX(CHOOSE($J$3,'فحص-حاسب-بكالوريوس'!$M$5:$M$208,'فحص-بيانات-بكالوريوس'!$M$5:$M$208,'فحص-بيانات-ماجستير'!$M$5:$M$230),$I194)&amp;"")</f>
        <v/>
      </c>
      <c r="I194" s="2" t="str">
        <f>IFERROR(MATCH($E$3&amp;"#"&amp;189,CHOOSE($J$3,'فحص-حاسب-بكالوريوس'!$R$5:$R$208,'فحص-بيانات-بكالوريوس'!$R$5:$R$208,'فحص-بيانات-ماجستير'!$R$5:$R$230),0),"")</f>
        <v/>
      </c>
    </row>
    <row r="195" spans="1:9" x14ac:dyDescent="0.2">
      <c r="A195" s="1" t="str">
        <f>IF($I195="","",190)</f>
        <v/>
      </c>
      <c r="B195" s="2" t="str">
        <f>IF($I195="","",INDEX(CHOOSE($J$3,'فحص-حاسب-بكالوريوس'!$A$5:$A$208,'فحص-بيانات-بكالوريوس'!$A$5:$A$208,'فحص-بيانات-ماجستير'!$A$5:$A$230),$I195)&amp;"")</f>
        <v/>
      </c>
      <c r="C195" s="2" t="str">
        <f>IF($I195="","",INDEX(CHOOSE($J$3,'فحص-حاسب-بكالوريوس'!$F$5:$F$208,'فحص-بيانات-بكالوريوس'!$F$5:$F$208,'فحص-بيانات-ماجستير'!$F$5:$F$230),$I195)&amp;"")</f>
        <v/>
      </c>
      <c r="D195" s="2" t="str">
        <f>IF($I195="","",INDEX(CHOOSE($J$3,'فحص-حاسب-بكالوريوس'!$H$5:$H$208,'فحص-بيانات-بكالوريوس'!$H$5:$H$208,'فحص-بيانات-ماجستير'!$H$5:$H$230),$I195)&amp;"")</f>
        <v/>
      </c>
      <c r="E195" s="2" t="str">
        <f>IF($I195="","",INDEX(CHOOSE($J$3,'فحص-حاسب-بكالوريوس'!$J$5:$J$208,'فحص-بيانات-بكالوريوس'!$J$5:$J$208,'فحص-بيانات-ماجستير'!$J$5:$J$230),$I195)&amp;"")</f>
        <v/>
      </c>
      <c r="F195" s="2" t="str">
        <f>IF($I195="","",INDEX(CHOOSE($J$3,'فحص-حاسب-بكالوريوس'!$L$5:$L$208,'فحص-بيانات-بكالوريوس'!$L$5:$L$208,'فحص-بيانات-ماجستير'!$L$5:$L$230),$I195)&amp;"")</f>
        <v/>
      </c>
      <c r="G195" s="2" t="str">
        <f>IF($I195="","",INDEX(CHOOSE($J$3,'فحص-حاسب-بكالوريوس'!$M$5:$M$208,'فحص-بيانات-بكالوريوس'!$M$5:$M$208,'فحص-بيانات-ماجستير'!$M$5:$M$230),$I195)&amp;"")</f>
        <v/>
      </c>
      <c r="I195" s="2" t="str">
        <f>IFERROR(MATCH($E$3&amp;"#"&amp;190,CHOOSE($J$3,'فحص-حاسب-بكالوريوس'!$R$5:$R$208,'فحص-بيانات-بكالوريوس'!$R$5:$R$208,'فحص-بيانات-ماجستير'!$R$5:$R$230),0),"")</f>
        <v/>
      </c>
    </row>
    <row r="196" spans="1:9" x14ac:dyDescent="0.2">
      <c r="A196" s="1" t="str">
        <f>IF($I196="","",191)</f>
        <v/>
      </c>
      <c r="B196" s="2" t="str">
        <f>IF($I196="","",INDEX(CHOOSE($J$3,'فحص-حاسب-بكالوريوس'!$A$5:$A$208,'فحص-بيانات-بكالوريوس'!$A$5:$A$208,'فحص-بيانات-ماجستير'!$A$5:$A$230),$I196)&amp;"")</f>
        <v/>
      </c>
      <c r="C196" s="2" t="str">
        <f>IF($I196="","",INDEX(CHOOSE($J$3,'فحص-حاسب-بكالوريوس'!$F$5:$F$208,'فحص-بيانات-بكالوريوس'!$F$5:$F$208,'فحص-بيانات-ماجستير'!$F$5:$F$230),$I196)&amp;"")</f>
        <v/>
      </c>
      <c r="D196" s="2" t="str">
        <f>IF($I196="","",INDEX(CHOOSE($J$3,'فحص-حاسب-بكالوريوس'!$H$5:$H$208,'فحص-بيانات-بكالوريوس'!$H$5:$H$208,'فحص-بيانات-ماجستير'!$H$5:$H$230),$I196)&amp;"")</f>
        <v/>
      </c>
      <c r="E196" s="2" t="str">
        <f>IF($I196="","",INDEX(CHOOSE($J$3,'فحص-حاسب-بكالوريوس'!$J$5:$J$208,'فحص-بيانات-بكالوريوس'!$J$5:$J$208,'فحص-بيانات-ماجستير'!$J$5:$J$230),$I196)&amp;"")</f>
        <v/>
      </c>
      <c r="F196" s="2" t="str">
        <f>IF($I196="","",INDEX(CHOOSE($J$3,'فحص-حاسب-بكالوريوس'!$L$5:$L$208,'فحص-بيانات-بكالوريوس'!$L$5:$L$208,'فحص-بيانات-ماجستير'!$L$5:$L$230),$I196)&amp;"")</f>
        <v/>
      </c>
      <c r="G196" s="2" t="str">
        <f>IF($I196="","",INDEX(CHOOSE($J$3,'فحص-حاسب-بكالوريوس'!$M$5:$M$208,'فحص-بيانات-بكالوريوس'!$M$5:$M$208,'فحص-بيانات-ماجستير'!$M$5:$M$230),$I196)&amp;"")</f>
        <v/>
      </c>
      <c r="I196" s="2" t="str">
        <f>IFERROR(MATCH($E$3&amp;"#"&amp;191,CHOOSE($J$3,'فحص-حاسب-بكالوريوس'!$R$5:$R$208,'فحص-بيانات-بكالوريوس'!$R$5:$R$208,'فحص-بيانات-ماجستير'!$R$5:$R$230),0),"")</f>
        <v/>
      </c>
    </row>
    <row r="197" spans="1:9" x14ac:dyDescent="0.2">
      <c r="A197" s="1" t="str">
        <f>IF($I197="","",192)</f>
        <v/>
      </c>
      <c r="B197" s="2" t="str">
        <f>IF($I197="","",INDEX(CHOOSE($J$3,'فحص-حاسب-بكالوريوس'!$A$5:$A$208,'فحص-بيانات-بكالوريوس'!$A$5:$A$208,'فحص-بيانات-ماجستير'!$A$5:$A$230),$I197)&amp;"")</f>
        <v/>
      </c>
      <c r="C197" s="2" t="str">
        <f>IF($I197="","",INDEX(CHOOSE($J$3,'فحص-حاسب-بكالوريوس'!$F$5:$F$208,'فحص-بيانات-بكالوريوس'!$F$5:$F$208,'فحص-بيانات-ماجستير'!$F$5:$F$230),$I197)&amp;"")</f>
        <v/>
      </c>
      <c r="D197" s="2" t="str">
        <f>IF($I197="","",INDEX(CHOOSE($J$3,'فحص-حاسب-بكالوريوس'!$H$5:$H$208,'فحص-بيانات-بكالوريوس'!$H$5:$H$208,'فحص-بيانات-ماجستير'!$H$5:$H$230),$I197)&amp;"")</f>
        <v/>
      </c>
      <c r="E197" s="2" t="str">
        <f>IF($I197="","",INDEX(CHOOSE($J$3,'فحص-حاسب-بكالوريوس'!$J$5:$J$208,'فحص-بيانات-بكالوريوس'!$J$5:$J$208,'فحص-بيانات-ماجستير'!$J$5:$J$230),$I197)&amp;"")</f>
        <v/>
      </c>
      <c r="F197" s="2" t="str">
        <f>IF($I197="","",INDEX(CHOOSE($J$3,'فحص-حاسب-بكالوريوس'!$L$5:$L$208,'فحص-بيانات-بكالوريوس'!$L$5:$L$208,'فحص-بيانات-ماجستير'!$L$5:$L$230),$I197)&amp;"")</f>
        <v/>
      </c>
      <c r="G197" s="2" t="str">
        <f>IF($I197="","",INDEX(CHOOSE($J$3,'فحص-حاسب-بكالوريوس'!$M$5:$M$208,'فحص-بيانات-بكالوريوس'!$M$5:$M$208,'فحص-بيانات-ماجستير'!$M$5:$M$230),$I197)&amp;"")</f>
        <v/>
      </c>
      <c r="I197" s="2" t="str">
        <f>IFERROR(MATCH($E$3&amp;"#"&amp;192,CHOOSE($J$3,'فحص-حاسب-بكالوريوس'!$R$5:$R$208,'فحص-بيانات-بكالوريوس'!$R$5:$R$208,'فحص-بيانات-ماجستير'!$R$5:$R$230),0),"")</f>
        <v/>
      </c>
    </row>
    <row r="198" spans="1:9" x14ac:dyDescent="0.2">
      <c r="A198" s="1" t="str">
        <f>IF($I198="","",193)</f>
        <v/>
      </c>
      <c r="B198" s="2" t="str">
        <f>IF($I198="","",INDEX(CHOOSE($J$3,'فحص-حاسب-بكالوريوس'!$A$5:$A$208,'فحص-بيانات-بكالوريوس'!$A$5:$A$208,'فحص-بيانات-ماجستير'!$A$5:$A$230),$I198)&amp;"")</f>
        <v/>
      </c>
      <c r="C198" s="2" t="str">
        <f>IF($I198="","",INDEX(CHOOSE($J$3,'فحص-حاسب-بكالوريوس'!$F$5:$F$208,'فحص-بيانات-بكالوريوس'!$F$5:$F$208,'فحص-بيانات-ماجستير'!$F$5:$F$230),$I198)&amp;"")</f>
        <v/>
      </c>
      <c r="D198" s="2" t="str">
        <f>IF($I198="","",INDEX(CHOOSE($J$3,'فحص-حاسب-بكالوريوس'!$H$5:$H$208,'فحص-بيانات-بكالوريوس'!$H$5:$H$208,'فحص-بيانات-ماجستير'!$H$5:$H$230),$I198)&amp;"")</f>
        <v/>
      </c>
      <c r="E198" s="2" t="str">
        <f>IF($I198="","",INDEX(CHOOSE($J$3,'فحص-حاسب-بكالوريوس'!$J$5:$J$208,'فحص-بيانات-بكالوريوس'!$J$5:$J$208,'فحص-بيانات-ماجستير'!$J$5:$J$230),$I198)&amp;"")</f>
        <v/>
      </c>
      <c r="F198" s="2" t="str">
        <f>IF($I198="","",INDEX(CHOOSE($J$3,'فحص-حاسب-بكالوريوس'!$L$5:$L$208,'فحص-بيانات-بكالوريوس'!$L$5:$L$208,'فحص-بيانات-ماجستير'!$L$5:$L$230),$I198)&amp;"")</f>
        <v/>
      </c>
      <c r="G198" s="2" t="str">
        <f>IF($I198="","",INDEX(CHOOSE($J$3,'فحص-حاسب-بكالوريوس'!$M$5:$M$208,'فحص-بيانات-بكالوريوس'!$M$5:$M$208,'فحص-بيانات-ماجستير'!$M$5:$M$230),$I198)&amp;"")</f>
        <v/>
      </c>
      <c r="I198" s="2" t="str">
        <f>IFERROR(MATCH($E$3&amp;"#"&amp;193,CHOOSE($J$3,'فحص-حاسب-بكالوريوس'!$R$5:$R$208,'فحص-بيانات-بكالوريوس'!$R$5:$R$208,'فحص-بيانات-ماجستير'!$R$5:$R$230),0),"")</f>
        <v/>
      </c>
    </row>
    <row r="199" spans="1:9" x14ac:dyDescent="0.2">
      <c r="A199" s="1" t="str">
        <f>IF($I199="","",194)</f>
        <v/>
      </c>
      <c r="B199" s="2" t="str">
        <f>IF($I199="","",INDEX(CHOOSE($J$3,'فحص-حاسب-بكالوريوس'!$A$5:$A$208,'فحص-بيانات-بكالوريوس'!$A$5:$A$208,'فحص-بيانات-ماجستير'!$A$5:$A$230),$I199)&amp;"")</f>
        <v/>
      </c>
      <c r="C199" s="2" t="str">
        <f>IF($I199="","",INDEX(CHOOSE($J$3,'فحص-حاسب-بكالوريوس'!$F$5:$F$208,'فحص-بيانات-بكالوريوس'!$F$5:$F$208,'فحص-بيانات-ماجستير'!$F$5:$F$230),$I199)&amp;"")</f>
        <v/>
      </c>
      <c r="D199" s="2" t="str">
        <f>IF($I199="","",INDEX(CHOOSE($J$3,'فحص-حاسب-بكالوريوس'!$H$5:$H$208,'فحص-بيانات-بكالوريوس'!$H$5:$H$208,'فحص-بيانات-ماجستير'!$H$5:$H$230),$I199)&amp;"")</f>
        <v/>
      </c>
      <c r="E199" s="2" t="str">
        <f>IF($I199="","",INDEX(CHOOSE($J$3,'فحص-حاسب-بكالوريوس'!$J$5:$J$208,'فحص-بيانات-بكالوريوس'!$J$5:$J$208,'فحص-بيانات-ماجستير'!$J$5:$J$230),$I199)&amp;"")</f>
        <v/>
      </c>
      <c r="F199" s="2" t="str">
        <f>IF($I199="","",INDEX(CHOOSE($J$3,'فحص-حاسب-بكالوريوس'!$L$5:$L$208,'فحص-بيانات-بكالوريوس'!$L$5:$L$208,'فحص-بيانات-ماجستير'!$L$5:$L$230),$I199)&amp;"")</f>
        <v/>
      </c>
      <c r="G199" s="2" t="str">
        <f>IF($I199="","",INDEX(CHOOSE($J$3,'فحص-حاسب-بكالوريوس'!$M$5:$M$208,'فحص-بيانات-بكالوريوس'!$M$5:$M$208,'فحص-بيانات-ماجستير'!$M$5:$M$230),$I199)&amp;"")</f>
        <v/>
      </c>
      <c r="I199" s="2" t="str">
        <f>IFERROR(MATCH($E$3&amp;"#"&amp;194,CHOOSE($J$3,'فحص-حاسب-بكالوريوس'!$R$5:$R$208,'فحص-بيانات-بكالوريوس'!$R$5:$R$208,'فحص-بيانات-ماجستير'!$R$5:$R$230),0),"")</f>
        <v/>
      </c>
    </row>
    <row r="200" spans="1:9" x14ac:dyDescent="0.2">
      <c r="A200" s="1" t="str">
        <f>IF($I200="","",195)</f>
        <v/>
      </c>
      <c r="B200" s="2" t="str">
        <f>IF($I200="","",INDEX(CHOOSE($J$3,'فحص-حاسب-بكالوريوس'!$A$5:$A$208,'فحص-بيانات-بكالوريوس'!$A$5:$A$208,'فحص-بيانات-ماجستير'!$A$5:$A$230),$I200)&amp;"")</f>
        <v/>
      </c>
      <c r="C200" s="2" t="str">
        <f>IF($I200="","",INDEX(CHOOSE($J$3,'فحص-حاسب-بكالوريوس'!$F$5:$F$208,'فحص-بيانات-بكالوريوس'!$F$5:$F$208,'فحص-بيانات-ماجستير'!$F$5:$F$230),$I200)&amp;"")</f>
        <v/>
      </c>
      <c r="D200" s="2" t="str">
        <f>IF($I200="","",INDEX(CHOOSE($J$3,'فحص-حاسب-بكالوريوس'!$H$5:$H$208,'فحص-بيانات-بكالوريوس'!$H$5:$H$208,'فحص-بيانات-ماجستير'!$H$5:$H$230),$I200)&amp;"")</f>
        <v/>
      </c>
      <c r="E200" s="2" t="str">
        <f>IF($I200="","",INDEX(CHOOSE($J$3,'فحص-حاسب-بكالوريوس'!$J$5:$J$208,'فحص-بيانات-بكالوريوس'!$J$5:$J$208,'فحص-بيانات-ماجستير'!$J$5:$J$230),$I200)&amp;"")</f>
        <v/>
      </c>
      <c r="F200" s="2" t="str">
        <f>IF($I200="","",INDEX(CHOOSE($J$3,'فحص-حاسب-بكالوريوس'!$L$5:$L$208,'فحص-بيانات-بكالوريوس'!$L$5:$L$208,'فحص-بيانات-ماجستير'!$L$5:$L$230),$I200)&amp;"")</f>
        <v/>
      </c>
      <c r="G200" s="2" t="str">
        <f>IF($I200="","",INDEX(CHOOSE($J$3,'فحص-حاسب-بكالوريوس'!$M$5:$M$208,'فحص-بيانات-بكالوريوس'!$M$5:$M$208,'فحص-بيانات-ماجستير'!$M$5:$M$230),$I200)&amp;"")</f>
        <v/>
      </c>
      <c r="I200" s="2" t="str">
        <f>IFERROR(MATCH($E$3&amp;"#"&amp;195,CHOOSE($J$3,'فحص-حاسب-بكالوريوس'!$R$5:$R$208,'فحص-بيانات-بكالوريوس'!$R$5:$R$208,'فحص-بيانات-ماجستير'!$R$5:$R$230),0),"")</f>
        <v/>
      </c>
    </row>
    <row r="201" spans="1:9" x14ac:dyDescent="0.2">
      <c r="A201" s="1" t="str">
        <f>IF($I201="","",196)</f>
        <v/>
      </c>
      <c r="B201" s="2" t="str">
        <f>IF($I201="","",INDEX(CHOOSE($J$3,'فحص-حاسب-بكالوريوس'!$A$5:$A$208,'فحص-بيانات-بكالوريوس'!$A$5:$A$208,'فحص-بيانات-ماجستير'!$A$5:$A$230),$I201)&amp;"")</f>
        <v/>
      </c>
      <c r="C201" s="2" t="str">
        <f>IF($I201="","",INDEX(CHOOSE($J$3,'فحص-حاسب-بكالوريوس'!$F$5:$F$208,'فحص-بيانات-بكالوريوس'!$F$5:$F$208,'فحص-بيانات-ماجستير'!$F$5:$F$230),$I201)&amp;"")</f>
        <v/>
      </c>
      <c r="D201" s="2" t="str">
        <f>IF($I201="","",INDEX(CHOOSE($J$3,'فحص-حاسب-بكالوريوس'!$H$5:$H$208,'فحص-بيانات-بكالوريوس'!$H$5:$H$208,'فحص-بيانات-ماجستير'!$H$5:$H$230),$I201)&amp;"")</f>
        <v/>
      </c>
      <c r="E201" s="2" t="str">
        <f>IF($I201="","",INDEX(CHOOSE($J$3,'فحص-حاسب-بكالوريوس'!$J$5:$J$208,'فحص-بيانات-بكالوريوس'!$J$5:$J$208,'فحص-بيانات-ماجستير'!$J$5:$J$230),$I201)&amp;"")</f>
        <v/>
      </c>
      <c r="F201" s="2" t="str">
        <f>IF($I201="","",INDEX(CHOOSE($J$3,'فحص-حاسب-بكالوريوس'!$L$5:$L$208,'فحص-بيانات-بكالوريوس'!$L$5:$L$208,'فحص-بيانات-ماجستير'!$L$5:$L$230),$I201)&amp;"")</f>
        <v/>
      </c>
      <c r="G201" s="2" t="str">
        <f>IF($I201="","",INDEX(CHOOSE($J$3,'فحص-حاسب-بكالوريوس'!$M$5:$M$208,'فحص-بيانات-بكالوريوس'!$M$5:$M$208,'فحص-بيانات-ماجستير'!$M$5:$M$230),$I201)&amp;"")</f>
        <v/>
      </c>
      <c r="I201" s="2" t="str">
        <f>IFERROR(MATCH($E$3&amp;"#"&amp;196,CHOOSE($J$3,'فحص-حاسب-بكالوريوس'!$R$5:$R$208,'فحص-بيانات-بكالوريوس'!$R$5:$R$208,'فحص-بيانات-ماجستير'!$R$5:$R$230),0),"")</f>
        <v/>
      </c>
    </row>
    <row r="202" spans="1:9" x14ac:dyDescent="0.2">
      <c r="A202" s="1" t="str">
        <f>IF($I202="","",197)</f>
        <v/>
      </c>
      <c r="B202" s="2" t="str">
        <f>IF($I202="","",INDEX(CHOOSE($J$3,'فحص-حاسب-بكالوريوس'!$A$5:$A$208,'فحص-بيانات-بكالوريوس'!$A$5:$A$208,'فحص-بيانات-ماجستير'!$A$5:$A$230),$I202)&amp;"")</f>
        <v/>
      </c>
      <c r="C202" s="2" t="str">
        <f>IF($I202="","",INDEX(CHOOSE($J$3,'فحص-حاسب-بكالوريوس'!$F$5:$F$208,'فحص-بيانات-بكالوريوس'!$F$5:$F$208,'فحص-بيانات-ماجستير'!$F$5:$F$230),$I202)&amp;"")</f>
        <v/>
      </c>
      <c r="D202" s="2" t="str">
        <f>IF($I202="","",INDEX(CHOOSE($J$3,'فحص-حاسب-بكالوريوس'!$H$5:$H$208,'فحص-بيانات-بكالوريوس'!$H$5:$H$208,'فحص-بيانات-ماجستير'!$H$5:$H$230),$I202)&amp;"")</f>
        <v/>
      </c>
      <c r="E202" s="2" t="str">
        <f>IF($I202="","",INDEX(CHOOSE($J$3,'فحص-حاسب-بكالوريوس'!$J$5:$J$208,'فحص-بيانات-بكالوريوس'!$J$5:$J$208,'فحص-بيانات-ماجستير'!$J$5:$J$230),$I202)&amp;"")</f>
        <v/>
      </c>
      <c r="F202" s="2" t="str">
        <f>IF($I202="","",INDEX(CHOOSE($J$3,'فحص-حاسب-بكالوريوس'!$L$5:$L$208,'فحص-بيانات-بكالوريوس'!$L$5:$L$208,'فحص-بيانات-ماجستير'!$L$5:$L$230),$I202)&amp;"")</f>
        <v/>
      </c>
      <c r="G202" s="2" t="str">
        <f>IF($I202="","",INDEX(CHOOSE($J$3,'فحص-حاسب-بكالوريوس'!$M$5:$M$208,'فحص-بيانات-بكالوريوس'!$M$5:$M$208,'فحص-بيانات-ماجستير'!$M$5:$M$230),$I202)&amp;"")</f>
        <v/>
      </c>
      <c r="I202" s="2" t="str">
        <f>IFERROR(MATCH($E$3&amp;"#"&amp;197,CHOOSE($J$3,'فحص-حاسب-بكالوريوس'!$R$5:$R$208,'فحص-بيانات-بكالوريوس'!$R$5:$R$208,'فحص-بيانات-ماجستير'!$R$5:$R$230),0),"")</f>
        <v/>
      </c>
    </row>
    <row r="203" spans="1:9" x14ac:dyDescent="0.2">
      <c r="A203" s="1" t="str">
        <f>IF($I203="","",198)</f>
        <v/>
      </c>
      <c r="B203" s="2" t="str">
        <f>IF($I203="","",INDEX(CHOOSE($J$3,'فحص-حاسب-بكالوريوس'!$A$5:$A$208,'فحص-بيانات-بكالوريوس'!$A$5:$A$208,'فحص-بيانات-ماجستير'!$A$5:$A$230),$I203)&amp;"")</f>
        <v/>
      </c>
      <c r="C203" s="2" t="str">
        <f>IF($I203="","",INDEX(CHOOSE($J$3,'فحص-حاسب-بكالوريوس'!$F$5:$F$208,'فحص-بيانات-بكالوريوس'!$F$5:$F$208,'فحص-بيانات-ماجستير'!$F$5:$F$230),$I203)&amp;"")</f>
        <v/>
      </c>
      <c r="D203" s="2" t="str">
        <f>IF($I203="","",INDEX(CHOOSE($J$3,'فحص-حاسب-بكالوريوس'!$H$5:$H$208,'فحص-بيانات-بكالوريوس'!$H$5:$H$208,'فحص-بيانات-ماجستير'!$H$5:$H$230),$I203)&amp;"")</f>
        <v/>
      </c>
      <c r="E203" s="2" t="str">
        <f>IF($I203="","",INDEX(CHOOSE($J$3,'فحص-حاسب-بكالوريوس'!$J$5:$J$208,'فحص-بيانات-بكالوريوس'!$J$5:$J$208,'فحص-بيانات-ماجستير'!$J$5:$J$230),$I203)&amp;"")</f>
        <v/>
      </c>
      <c r="F203" s="2" t="str">
        <f>IF($I203="","",INDEX(CHOOSE($J$3,'فحص-حاسب-بكالوريوس'!$L$5:$L$208,'فحص-بيانات-بكالوريوس'!$L$5:$L$208,'فحص-بيانات-ماجستير'!$L$5:$L$230),$I203)&amp;"")</f>
        <v/>
      </c>
      <c r="G203" s="2" t="str">
        <f>IF($I203="","",INDEX(CHOOSE($J$3,'فحص-حاسب-بكالوريوس'!$M$5:$M$208,'فحص-بيانات-بكالوريوس'!$M$5:$M$208,'فحص-بيانات-ماجستير'!$M$5:$M$230),$I203)&amp;"")</f>
        <v/>
      </c>
      <c r="I203" s="2" t="str">
        <f>IFERROR(MATCH($E$3&amp;"#"&amp;198,CHOOSE($J$3,'فحص-حاسب-بكالوريوس'!$R$5:$R$208,'فحص-بيانات-بكالوريوس'!$R$5:$R$208,'فحص-بيانات-ماجستير'!$R$5:$R$230),0),"")</f>
        <v/>
      </c>
    </row>
    <row r="204" spans="1:9" x14ac:dyDescent="0.2">
      <c r="A204" s="1" t="str">
        <f>IF($I204="","",199)</f>
        <v/>
      </c>
      <c r="B204" s="2" t="str">
        <f>IF($I204="","",INDEX(CHOOSE($J$3,'فحص-حاسب-بكالوريوس'!$A$5:$A$208,'فحص-بيانات-بكالوريوس'!$A$5:$A$208,'فحص-بيانات-ماجستير'!$A$5:$A$230),$I204)&amp;"")</f>
        <v/>
      </c>
      <c r="C204" s="2" t="str">
        <f>IF($I204="","",INDEX(CHOOSE($J$3,'فحص-حاسب-بكالوريوس'!$F$5:$F$208,'فحص-بيانات-بكالوريوس'!$F$5:$F$208,'فحص-بيانات-ماجستير'!$F$5:$F$230),$I204)&amp;"")</f>
        <v/>
      </c>
      <c r="D204" s="2" t="str">
        <f>IF($I204="","",INDEX(CHOOSE($J$3,'فحص-حاسب-بكالوريوس'!$H$5:$H$208,'فحص-بيانات-بكالوريوس'!$H$5:$H$208,'فحص-بيانات-ماجستير'!$H$5:$H$230),$I204)&amp;"")</f>
        <v/>
      </c>
      <c r="E204" s="2" t="str">
        <f>IF($I204="","",INDEX(CHOOSE($J$3,'فحص-حاسب-بكالوريوس'!$J$5:$J$208,'فحص-بيانات-بكالوريوس'!$J$5:$J$208,'فحص-بيانات-ماجستير'!$J$5:$J$230),$I204)&amp;"")</f>
        <v/>
      </c>
      <c r="F204" s="2" t="str">
        <f>IF($I204="","",INDEX(CHOOSE($J$3,'فحص-حاسب-بكالوريوس'!$L$5:$L$208,'فحص-بيانات-بكالوريوس'!$L$5:$L$208,'فحص-بيانات-ماجستير'!$L$5:$L$230),$I204)&amp;"")</f>
        <v/>
      </c>
      <c r="G204" s="2" t="str">
        <f>IF($I204="","",INDEX(CHOOSE($J$3,'فحص-حاسب-بكالوريوس'!$M$5:$M$208,'فحص-بيانات-بكالوريوس'!$M$5:$M$208,'فحص-بيانات-ماجستير'!$M$5:$M$230),$I204)&amp;"")</f>
        <v/>
      </c>
      <c r="I204" s="2" t="str">
        <f>IFERROR(MATCH($E$3&amp;"#"&amp;199,CHOOSE($J$3,'فحص-حاسب-بكالوريوس'!$R$5:$R$208,'فحص-بيانات-بكالوريوس'!$R$5:$R$208,'فحص-بيانات-ماجستير'!$R$5:$R$230),0),"")</f>
        <v/>
      </c>
    </row>
    <row r="205" spans="1:9" x14ac:dyDescent="0.2">
      <c r="A205" s="1" t="str">
        <f>IF($I205="","",200)</f>
        <v/>
      </c>
      <c r="B205" s="2" t="str">
        <f>IF($I205="","",INDEX(CHOOSE($J$3,'فحص-حاسب-بكالوريوس'!$A$5:$A$208,'فحص-بيانات-بكالوريوس'!$A$5:$A$208,'فحص-بيانات-ماجستير'!$A$5:$A$230),$I205)&amp;"")</f>
        <v/>
      </c>
      <c r="C205" s="2" t="str">
        <f>IF($I205="","",INDEX(CHOOSE($J$3,'فحص-حاسب-بكالوريوس'!$F$5:$F$208,'فحص-بيانات-بكالوريوس'!$F$5:$F$208,'فحص-بيانات-ماجستير'!$F$5:$F$230),$I205)&amp;"")</f>
        <v/>
      </c>
      <c r="D205" s="2" t="str">
        <f>IF($I205="","",INDEX(CHOOSE($J$3,'فحص-حاسب-بكالوريوس'!$H$5:$H$208,'فحص-بيانات-بكالوريوس'!$H$5:$H$208,'فحص-بيانات-ماجستير'!$H$5:$H$230),$I205)&amp;"")</f>
        <v/>
      </c>
      <c r="E205" s="2" t="str">
        <f>IF($I205="","",INDEX(CHOOSE($J$3,'فحص-حاسب-بكالوريوس'!$J$5:$J$208,'فحص-بيانات-بكالوريوس'!$J$5:$J$208,'فحص-بيانات-ماجستير'!$J$5:$J$230),$I205)&amp;"")</f>
        <v/>
      </c>
      <c r="F205" s="2" t="str">
        <f>IF($I205="","",INDEX(CHOOSE($J$3,'فحص-حاسب-بكالوريوس'!$L$5:$L$208,'فحص-بيانات-بكالوريوس'!$L$5:$L$208,'فحص-بيانات-ماجستير'!$L$5:$L$230),$I205)&amp;"")</f>
        <v/>
      </c>
      <c r="G205" s="2" t="str">
        <f>IF($I205="","",INDEX(CHOOSE($J$3,'فحص-حاسب-بكالوريوس'!$M$5:$M$208,'فحص-بيانات-بكالوريوس'!$M$5:$M$208,'فحص-بيانات-ماجستير'!$M$5:$M$230),$I205)&amp;"")</f>
        <v/>
      </c>
      <c r="I205" s="2" t="str">
        <f>IFERROR(MATCH($E$3&amp;"#"&amp;200,CHOOSE($J$3,'فحص-حاسب-بكالوريوس'!$R$5:$R$208,'فحص-بيانات-بكالوريوس'!$R$5:$R$208,'فحص-بيانات-ماجستير'!$R$5:$R$230),0),"")</f>
        <v/>
      </c>
    </row>
    <row r="206" spans="1:9" x14ac:dyDescent="0.2">
      <c r="A206" s="1" t="str">
        <f>IF($I206="","",201)</f>
        <v/>
      </c>
      <c r="B206" s="2" t="str">
        <f>IF($I206="","",INDEX(CHOOSE($J$3,'فحص-حاسب-بكالوريوس'!$A$5:$A$208,'فحص-بيانات-بكالوريوس'!$A$5:$A$208,'فحص-بيانات-ماجستير'!$A$5:$A$230),$I206)&amp;"")</f>
        <v/>
      </c>
      <c r="C206" s="2" t="str">
        <f>IF($I206="","",INDEX(CHOOSE($J$3,'فحص-حاسب-بكالوريوس'!$F$5:$F$208,'فحص-بيانات-بكالوريوس'!$F$5:$F$208,'فحص-بيانات-ماجستير'!$F$5:$F$230),$I206)&amp;"")</f>
        <v/>
      </c>
      <c r="D206" s="2" t="str">
        <f>IF($I206="","",INDEX(CHOOSE($J$3,'فحص-حاسب-بكالوريوس'!$H$5:$H$208,'فحص-بيانات-بكالوريوس'!$H$5:$H$208,'فحص-بيانات-ماجستير'!$H$5:$H$230),$I206)&amp;"")</f>
        <v/>
      </c>
      <c r="E206" s="2" t="str">
        <f>IF($I206="","",INDEX(CHOOSE($J$3,'فحص-حاسب-بكالوريوس'!$J$5:$J$208,'فحص-بيانات-بكالوريوس'!$J$5:$J$208,'فحص-بيانات-ماجستير'!$J$5:$J$230),$I206)&amp;"")</f>
        <v/>
      </c>
      <c r="F206" s="2" t="str">
        <f>IF($I206="","",INDEX(CHOOSE($J$3,'فحص-حاسب-بكالوريوس'!$L$5:$L$208,'فحص-بيانات-بكالوريوس'!$L$5:$L$208,'فحص-بيانات-ماجستير'!$L$5:$L$230),$I206)&amp;"")</f>
        <v/>
      </c>
      <c r="G206" s="2" t="str">
        <f>IF($I206="","",INDEX(CHOOSE($J$3,'فحص-حاسب-بكالوريوس'!$M$5:$M$208,'فحص-بيانات-بكالوريوس'!$M$5:$M$208,'فحص-بيانات-ماجستير'!$M$5:$M$230),$I206)&amp;"")</f>
        <v/>
      </c>
      <c r="I206" s="2" t="str">
        <f>IFERROR(MATCH($E$3&amp;"#"&amp;201,CHOOSE($J$3,'فحص-حاسب-بكالوريوس'!$R$5:$R$208,'فحص-بيانات-بكالوريوس'!$R$5:$R$208,'فحص-بيانات-ماجستير'!$R$5:$R$230),0),"")</f>
        <v/>
      </c>
    </row>
    <row r="207" spans="1:9" x14ac:dyDescent="0.2">
      <c r="A207" s="1" t="str">
        <f>IF($I207="","",202)</f>
        <v/>
      </c>
      <c r="B207" s="2" t="str">
        <f>IF($I207="","",INDEX(CHOOSE($J$3,'فحص-حاسب-بكالوريوس'!$A$5:$A$208,'فحص-بيانات-بكالوريوس'!$A$5:$A$208,'فحص-بيانات-ماجستير'!$A$5:$A$230),$I207)&amp;"")</f>
        <v/>
      </c>
      <c r="C207" s="2" t="str">
        <f>IF($I207="","",INDEX(CHOOSE($J$3,'فحص-حاسب-بكالوريوس'!$F$5:$F$208,'فحص-بيانات-بكالوريوس'!$F$5:$F$208,'فحص-بيانات-ماجستير'!$F$5:$F$230),$I207)&amp;"")</f>
        <v/>
      </c>
      <c r="D207" s="2" t="str">
        <f>IF($I207="","",INDEX(CHOOSE($J$3,'فحص-حاسب-بكالوريوس'!$H$5:$H$208,'فحص-بيانات-بكالوريوس'!$H$5:$H$208,'فحص-بيانات-ماجستير'!$H$5:$H$230),$I207)&amp;"")</f>
        <v/>
      </c>
      <c r="E207" s="2" t="str">
        <f>IF($I207="","",INDEX(CHOOSE($J$3,'فحص-حاسب-بكالوريوس'!$J$5:$J$208,'فحص-بيانات-بكالوريوس'!$J$5:$J$208,'فحص-بيانات-ماجستير'!$J$5:$J$230),$I207)&amp;"")</f>
        <v/>
      </c>
      <c r="F207" s="2" t="str">
        <f>IF($I207="","",INDEX(CHOOSE($J$3,'فحص-حاسب-بكالوريوس'!$L$5:$L$208,'فحص-بيانات-بكالوريوس'!$L$5:$L$208,'فحص-بيانات-ماجستير'!$L$5:$L$230),$I207)&amp;"")</f>
        <v/>
      </c>
      <c r="G207" s="2" t="str">
        <f>IF($I207="","",INDEX(CHOOSE($J$3,'فحص-حاسب-بكالوريوس'!$M$5:$M$208,'فحص-بيانات-بكالوريوس'!$M$5:$M$208,'فحص-بيانات-ماجستير'!$M$5:$M$230),$I207)&amp;"")</f>
        <v/>
      </c>
      <c r="I207" s="2" t="str">
        <f>IFERROR(MATCH($E$3&amp;"#"&amp;202,CHOOSE($J$3,'فحص-حاسب-بكالوريوس'!$R$5:$R$208,'فحص-بيانات-بكالوريوس'!$R$5:$R$208,'فحص-بيانات-ماجستير'!$R$5:$R$230),0),"")</f>
        <v/>
      </c>
    </row>
    <row r="208" spans="1:9" x14ac:dyDescent="0.2">
      <c r="A208" s="1" t="str">
        <f>IF($I208="","",203)</f>
        <v/>
      </c>
      <c r="B208" s="2" t="str">
        <f>IF($I208="","",INDEX(CHOOSE($J$3,'فحص-حاسب-بكالوريوس'!$A$5:$A$208,'فحص-بيانات-بكالوريوس'!$A$5:$A$208,'فحص-بيانات-ماجستير'!$A$5:$A$230),$I208)&amp;"")</f>
        <v/>
      </c>
      <c r="C208" s="2" t="str">
        <f>IF($I208="","",INDEX(CHOOSE($J$3,'فحص-حاسب-بكالوريوس'!$F$5:$F$208,'فحص-بيانات-بكالوريوس'!$F$5:$F$208,'فحص-بيانات-ماجستير'!$F$5:$F$230),$I208)&amp;"")</f>
        <v/>
      </c>
      <c r="D208" s="2" t="str">
        <f>IF($I208="","",INDEX(CHOOSE($J$3,'فحص-حاسب-بكالوريوس'!$H$5:$H$208,'فحص-بيانات-بكالوريوس'!$H$5:$H$208,'فحص-بيانات-ماجستير'!$H$5:$H$230),$I208)&amp;"")</f>
        <v/>
      </c>
      <c r="E208" s="2" t="str">
        <f>IF($I208="","",INDEX(CHOOSE($J$3,'فحص-حاسب-بكالوريوس'!$J$5:$J$208,'فحص-بيانات-بكالوريوس'!$J$5:$J$208,'فحص-بيانات-ماجستير'!$J$5:$J$230),$I208)&amp;"")</f>
        <v/>
      </c>
      <c r="F208" s="2" t="str">
        <f>IF($I208="","",INDEX(CHOOSE($J$3,'فحص-حاسب-بكالوريوس'!$L$5:$L$208,'فحص-بيانات-بكالوريوس'!$L$5:$L$208,'فحص-بيانات-ماجستير'!$L$5:$L$230),$I208)&amp;"")</f>
        <v/>
      </c>
      <c r="G208" s="2" t="str">
        <f>IF($I208="","",INDEX(CHOOSE($J$3,'فحص-حاسب-بكالوريوس'!$M$5:$M$208,'فحص-بيانات-بكالوريوس'!$M$5:$M$208,'فحص-بيانات-ماجستير'!$M$5:$M$230),$I208)&amp;"")</f>
        <v/>
      </c>
      <c r="I208" s="2" t="str">
        <f>IFERROR(MATCH($E$3&amp;"#"&amp;203,CHOOSE($J$3,'فحص-حاسب-بكالوريوس'!$R$5:$R$208,'فحص-بيانات-بكالوريوس'!$R$5:$R$208,'فحص-بيانات-ماجستير'!$R$5:$R$230),0),"")</f>
        <v/>
      </c>
    </row>
    <row r="209" spans="1:9" x14ac:dyDescent="0.2">
      <c r="A209" s="1" t="str">
        <f>IF($I209="","",204)</f>
        <v/>
      </c>
      <c r="B209" s="2" t="str">
        <f>IF($I209="","",INDEX(CHOOSE($J$3,'فحص-حاسب-بكالوريوس'!$A$5:$A$208,'فحص-بيانات-بكالوريوس'!$A$5:$A$208,'فحص-بيانات-ماجستير'!$A$5:$A$230),$I209)&amp;"")</f>
        <v/>
      </c>
      <c r="C209" s="2" t="str">
        <f>IF($I209="","",INDEX(CHOOSE($J$3,'فحص-حاسب-بكالوريوس'!$F$5:$F$208,'فحص-بيانات-بكالوريوس'!$F$5:$F$208,'فحص-بيانات-ماجستير'!$F$5:$F$230),$I209)&amp;"")</f>
        <v/>
      </c>
      <c r="D209" s="2" t="str">
        <f>IF($I209="","",INDEX(CHOOSE($J$3,'فحص-حاسب-بكالوريوس'!$H$5:$H$208,'فحص-بيانات-بكالوريوس'!$H$5:$H$208,'فحص-بيانات-ماجستير'!$H$5:$H$230),$I209)&amp;"")</f>
        <v/>
      </c>
      <c r="E209" s="2" t="str">
        <f>IF($I209="","",INDEX(CHOOSE($J$3,'فحص-حاسب-بكالوريوس'!$J$5:$J$208,'فحص-بيانات-بكالوريوس'!$J$5:$J$208,'فحص-بيانات-ماجستير'!$J$5:$J$230),$I209)&amp;"")</f>
        <v/>
      </c>
      <c r="F209" s="2" t="str">
        <f>IF($I209="","",INDEX(CHOOSE($J$3,'فحص-حاسب-بكالوريوس'!$L$5:$L$208,'فحص-بيانات-بكالوريوس'!$L$5:$L$208,'فحص-بيانات-ماجستير'!$L$5:$L$230),$I209)&amp;"")</f>
        <v/>
      </c>
      <c r="G209" s="2" t="str">
        <f>IF($I209="","",INDEX(CHOOSE($J$3,'فحص-حاسب-بكالوريوس'!$M$5:$M$208,'فحص-بيانات-بكالوريوس'!$M$5:$M$208,'فحص-بيانات-ماجستير'!$M$5:$M$230),$I209)&amp;"")</f>
        <v/>
      </c>
      <c r="I209" s="2" t="str">
        <f>IFERROR(MATCH($E$3&amp;"#"&amp;204,CHOOSE($J$3,'فحص-حاسب-بكالوريوس'!$R$5:$R$208,'فحص-بيانات-بكالوريوس'!$R$5:$R$208,'فحص-بيانات-ماجستير'!$R$5:$R$230),0),"")</f>
        <v/>
      </c>
    </row>
    <row r="210" spans="1:9" x14ac:dyDescent="0.2">
      <c r="A210" s="1" t="str">
        <f>IF($I210="","",205)</f>
        <v/>
      </c>
      <c r="B210" s="2" t="str">
        <f>IF($I210="","",INDEX(CHOOSE($J$3,'فحص-حاسب-بكالوريوس'!$A$5:$A$208,'فحص-بيانات-بكالوريوس'!$A$5:$A$208,'فحص-بيانات-ماجستير'!$A$5:$A$230),$I210)&amp;"")</f>
        <v/>
      </c>
      <c r="C210" s="2" t="str">
        <f>IF($I210="","",INDEX(CHOOSE($J$3,'فحص-حاسب-بكالوريوس'!$F$5:$F$208,'فحص-بيانات-بكالوريوس'!$F$5:$F$208,'فحص-بيانات-ماجستير'!$F$5:$F$230),$I210)&amp;"")</f>
        <v/>
      </c>
      <c r="D210" s="2" t="str">
        <f>IF($I210="","",INDEX(CHOOSE($J$3,'فحص-حاسب-بكالوريوس'!$H$5:$H$208,'فحص-بيانات-بكالوريوس'!$H$5:$H$208,'فحص-بيانات-ماجستير'!$H$5:$H$230),$I210)&amp;"")</f>
        <v/>
      </c>
      <c r="E210" s="2" t="str">
        <f>IF($I210="","",INDEX(CHOOSE($J$3,'فحص-حاسب-بكالوريوس'!$J$5:$J$208,'فحص-بيانات-بكالوريوس'!$J$5:$J$208,'فحص-بيانات-ماجستير'!$J$5:$J$230),$I210)&amp;"")</f>
        <v/>
      </c>
      <c r="F210" s="2" t="str">
        <f>IF($I210="","",INDEX(CHOOSE($J$3,'فحص-حاسب-بكالوريوس'!$L$5:$L$208,'فحص-بيانات-بكالوريوس'!$L$5:$L$208,'فحص-بيانات-ماجستير'!$L$5:$L$230),$I210)&amp;"")</f>
        <v/>
      </c>
      <c r="G210" s="2" t="str">
        <f>IF($I210="","",INDEX(CHOOSE($J$3,'فحص-حاسب-بكالوريوس'!$M$5:$M$208,'فحص-بيانات-بكالوريوس'!$M$5:$M$208,'فحص-بيانات-ماجستير'!$M$5:$M$230),$I210)&amp;"")</f>
        <v/>
      </c>
      <c r="I210" s="2" t="str">
        <f>IFERROR(MATCH($E$3&amp;"#"&amp;205,CHOOSE($J$3,'فحص-حاسب-بكالوريوس'!$R$5:$R$208,'فحص-بيانات-بكالوريوس'!$R$5:$R$208,'فحص-بيانات-ماجستير'!$R$5:$R$230),0),"")</f>
        <v/>
      </c>
    </row>
    <row r="211" spans="1:9" x14ac:dyDescent="0.2">
      <c r="A211" s="1" t="str">
        <f>IF($I211="","",206)</f>
        <v/>
      </c>
      <c r="B211" s="2" t="str">
        <f>IF($I211="","",INDEX(CHOOSE($J$3,'فحص-حاسب-بكالوريوس'!$A$5:$A$208,'فحص-بيانات-بكالوريوس'!$A$5:$A$208,'فحص-بيانات-ماجستير'!$A$5:$A$230),$I211)&amp;"")</f>
        <v/>
      </c>
      <c r="C211" s="2" t="str">
        <f>IF($I211="","",INDEX(CHOOSE($J$3,'فحص-حاسب-بكالوريوس'!$F$5:$F$208,'فحص-بيانات-بكالوريوس'!$F$5:$F$208,'فحص-بيانات-ماجستير'!$F$5:$F$230),$I211)&amp;"")</f>
        <v/>
      </c>
      <c r="D211" s="2" t="str">
        <f>IF($I211="","",INDEX(CHOOSE($J$3,'فحص-حاسب-بكالوريوس'!$H$5:$H$208,'فحص-بيانات-بكالوريوس'!$H$5:$H$208,'فحص-بيانات-ماجستير'!$H$5:$H$230),$I211)&amp;"")</f>
        <v/>
      </c>
      <c r="E211" s="2" t="str">
        <f>IF($I211="","",INDEX(CHOOSE($J$3,'فحص-حاسب-بكالوريوس'!$J$5:$J$208,'فحص-بيانات-بكالوريوس'!$J$5:$J$208,'فحص-بيانات-ماجستير'!$J$5:$J$230),$I211)&amp;"")</f>
        <v/>
      </c>
      <c r="F211" s="2" t="str">
        <f>IF($I211="","",INDEX(CHOOSE($J$3,'فحص-حاسب-بكالوريوس'!$L$5:$L$208,'فحص-بيانات-بكالوريوس'!$L$5:$L$208,'فحص-بيانات-ماجستير'!$L$5:$L$230),$I211)&amp;"")</f>
        <v/>
      </c>
      <c r="G211" s="2" t="str">
        <f>IF($I211="","",INDEX(CHOOSE($J$3,'فحص-حاسب-بكالوريوس'!$M$5:$M$208,'فحص-بيانات-بكالوريوس'!$M$5:$M$208,'فحص-بيانات-ماجستير'!$M$5:$M$230),$I211)&amp;"")</f>
        <v/>
      </c>
      <c r="I211" s="2" t="str">
        <f>IFERROR(MATCH($E$3&amp;"#"&amp;206,CHOOSE($J$3,'فحص-حاسب-بكالوريوس'!$R$5:$R$208,'فحص-بيانات-بكالوريوس'!$R$5:$R$208,'فحص-بيانات-ماجستير'!$R$5:$R$230),0),"")</f>
        <v/>
      </c>
    </row>
    <row r="212" spans="1:9" x14ac:dyDescent="0.2">
      <c r="A212" s="1" t="str">
        <f>IF($I212="","",207)</f>
        <v/>
      </c>
      <c r="B212" s="2" t="str">
        <f>IF($I212="","",INDEX(CHOOSE($J$3,'فحص-حاسب-بكالوريوس'!$A$5:$A$208,'فحص-بيانات-بكالوريوس'!$A$5:$A$208,'فحص-بيانات-ماجستير'!$A$5:$A$230),$I212)&amp;"")</f>
        <v/>
      </c>
      <c r="C212" s="2" t="str">
        <f>IF($I212="","",INDEX(CHOOSE($J$3,'فحص-حاسب-بكالوريوس'!$F$5:$F$208,'فحص-بيانات-بكالوريوس'!$F$5:$F$208,'فحص-بيانات-ماجستير'!$F$5:$F$230),$I212)&amp;"")</f>
        <v/>
      </c>
      <c r="D212" s="2" t="str">
        <f>IF($I212="","",INDEX(CHOOSE($J$3,'فحص-حاسب-بكالوريوس'!$H$5:$H$208,'فحص-بيانات-بكالوريوس'!$H$5:$H$208,'فحص-بيانات-ماجستير'!$H$5:$H$230),$I212)&amp;"")</f>
        <v/>
      </c>
      <c r="E212" s="2" t="str">
        <f>IF($I212="","",INDEX(CHOOSE($J$3,'فحص-حاسب-بكالوريوس'!$J$5:$J$208,'فحص-بيانات-بكالوريوس'!$J$5:$J$208,'فحص-بيانات-ماجستير'!$J$5:$J$230),$I212)&amp;"")</f>
        <v/>
      </c>
      <c r="F212" s="2" t="str">
        <f>IF($I212="","",INDEX(CHOOSE($J$3,'فحص-حاسب-بكالوريوس'!$L$5:$L$208,'فحص-بيانات-بكالوريوس'!$L$5:$L$208,'فحص-بيانات-ماجستير'!$L$5:$L$230),$I212)&amp;"")</f>
        <v/>
      </c>
      <c r="G212" s="2" t="str">
        <f>IF($I212="","",INDEX(CHOOSE($J$3,'فحص-حاسب-بكالوريوس'!$M$5:$M$208,'فحص-بيانات-بكالوريوس'!$M$5:$M$208,'فحص-بيانات-ماجستير'!$M$5:$M$230),$I212)&amp;"")</f>
        <v/>
      </c>
      <c r="I212" s="2" t="str">
        <f>IFERROR(MATCH($E$3&amp;"#"&amp;207,CHOOSE($J$3,'فحص-حاسب-بكالوريوس'!$R$5:$R$208,'فحص-بيانات-بكالوريوس'!$R$5:$R$208,'فحص-بيانات-ماجستير'!$R$5:$R$230),0),"")</f>
        <v/>
      </c>
    </row>
    <row r="213" spans="1:9" x14ac:dyDescent="0.2">
      <c r="A213" s="1" t="str">
        <f>IF($I213="","",208)</f>
        <v/>
      </c>
      <c r="B213" s="2" t="str">
        <f>IF($I213="","",INDEX(CHOOSE($J$3,'فحص-حاسب-بكالوريوس'!$A$5:$A$208,'فحص-بيانات-بكالوريوس'!$A$5:$A$208,'فحص-بيانات-ماجستير'!$A$5:$A$230),$I213)&amp;"")</f>
        <v/>
      </c>
      <c r="C213" s="2" t="str">
        <f>IF($I213="","",INDEX(CHOOSE($J$3,'فحص-حاسب-بكالوريوس'!$F$5:$F$208,'فحص-بيانات-بكالوريوس'!$F$5:$F$208,'فحص-بيانات-ماجستير'!$F$5:$F$230),$I213)&amp;"")</f>
        <v/>
      </c>
      <c r="D213" s="2" t="str">
        <f>IF($I213="","",INDEX(CHOOSE($J$3,'فحص-حاسب-بكالوريوس'!$H$5:$H$208,'فحص-بيانات-بكالوريوس'!$H$5:$H$208,'فحص-بيانات-ماجستير'!$H$5:$H$230),$I213)&amp;"")</f>
        <v/>
      </c>
      <c r="E213" s="2" t="str">
        <f>IF($I213="","",INDEX(CHOOSE($J$3,'فحص-حاسب-بكالوريوس'!$J$5:$J$208,'فحص-بيانات-بكالوريوس'!$J$5:$J$208,'فحص-بيانات-ماجستير'!$J$5:$J$230),$I213)&amp;"")</f>
        <v/>
      </c>
      <c r="F213" s="2" t="str">
        <f>IF($I213="","",INDEX(CHOOSE($J$3,'فحص-حاسب-بكالوريوس'!$L$5:$L$208,'فحص-بيانات-بكالوريوس'!$L$5:$L$208,'فحص-بيانات-ماجستير'!$L$5:$L$230),$I213)&amp;"")</f>
        <v/>
      </c>
      <c r="G213" s="2" t="str">
        <f>IF($I213="","",INDEX(CHOOSE($J$3,'فحص-حاسب-بكالوريوس'!$M$5:$M$208,'فحص-بيانات-بكالوريوس'!$M$5:$M$208,'فحص-بيانات-ماجستير'!$M$5:$M$230),$I213)&amp;"")</f>
        <v/>
      </c>
      <c r="I213" s="2" t="str">
        <f>IFERROR(MATCH($E$3&amp;"#"&amp;208,CHOOSE($J$3,'فحص-حاسب-بكالوريوس'!$R$5:$R$208,'فحص-بيانات-بكالوريوس'!$R$5:$R$208,'فحص-بيانات-ماجستير'!$R$5:$R$230),0),"")</f>
        <v/>
      </c>
    </row>
    <row r="214" spans="1:9" x14ac:dyDescent="0.2">
      <c r="A214" s="1" t="str">
        <f>IF($I214="","",209)</f>
        <v/>
      </c>
      <c r="B214" s="2" t="str">
        <f>IF($I214="","",INDEX(CHOOSE($J$3,'فحص-حاسب-بكالوريوس'!$A$5:$A$208,'فحص-بيانات-بكالوريوس'!$A$5:$A$208,'فحص-بيانات-ماجستير'!$A$5:$A$230),$I214)&amp;"")</f>
        <v/>
      </c>
      <c r="C214" s="2" t="str">
        <f>IF($I214="","",INDEX(CHOOSE($J$3,'فحص-حاسب-بكالوريوس'!$F$5:$F$208,'فحص-بيانات-بكالوريوس'!$F$5:$F$208,'فحص-بيانات-ماجستير'!$F$5:$F$230),$I214)&amp;"")</f>
        <v/>
      </c>
      <c r="D214" s="2" t="str">
        <f>IF($I214="","",INDEX(CHOOSE($J$3,'فحص-حاسب-بكالوريوس'!$H$5:$H$208,'فحص-بيانات-بكالوريوس'!$H$5:$H$208,'فحص-بيانات-ماجستير'!$H$5:$H$230),$I214)&amp;"")</f>
        <v/>
      </c>
      <c r="E214" s="2" t="str">
        <f>IF($I214="","",INDEX(CHOOSE($J$3,'فحص-حاسب-بكالوريوس'!$J$5:$J$208,'فحص-بيانات-بكالوريوس'!$J$5:$J$208,'فحص-بيانات-ماجستير'!$J$5:$J$230),$I214)&amp;"")</f>
        <v/>
      </c>
      <c r="F214" s="2" t="str">
        <f>IF($I214="","",INDEX(CHOOSE($J$3,'فحص-حاسب-بكالوريوس'!$L$5:$L$208,'فحص-بيانات-بكالوريوس'!$L$5:$L$208,'فحص-بيانات-ماجستير'!$L$5:$L$230),$I214)&amp;"")</f>
        <v/>
      </c>
      <c r="G214" s="2" t="str">
        <f>IF($I214="","",INDEX(CHOOSE($J$3,'فحص-حاسب-بكالوريوس'!$M$5:$M$208,'فحص-بيانات-بكالوريوس'!$M$5:$M$208,'فحص-بيانات-ماجستير'!$M$5:$M$230),$I214)&amp;"")</f>
        <v/>
      </c>
      <c r="I214" s="2" t="str">
        <f>IFERROR(MATCH($E$3&amp;"#"&amp;209,CHOOSE($J$3,'فحص-حاسب-بكالوريوس'!$R$5:$R$208,'فحص-بيانات-بكالوريوس'!$R$5:$R$208,'فحص-بيانات-ماجستير'!$R$5:$R$230),0),"")</f>
        <v/>
      </c>
    </row>
    <row r="215" spans="1:9" x14ac:dyDescent="0.2">
      <c r="A215" s="1" t="str">
        <f>IF($I215="","",210)</f>
        <v/>
      </c>
      <c r="B215" s="2" t="str">
        <f>IF($I215="","",INDEX(CHOOSE($J$3,'فحص-حاسب-بكالوريوس'!$A$5:$A$208,'فحص-بيانات-بكالوريوس'!$A$5:$A$208,'فحص-بيانات-ماجستير'!$A$5:$A$230),$I215)&amp;"")</f>
        <v/>
      </c>
      <c r="C215" s="2" t="str">
        <f>IF($I215="","",INDEX(CHOOSE($J$3,'فحص-حاسب-بكالوريوس'!$F$5:$F$208,'فحص-بيانات-بكالوريوس'!$F$5:$F$208,'فحص-بيانات-ماجستير'!$F$5:$F$230),$I215)&amp;"")</f>
        <v/>
      </c>
      <c r="D215" s="2" t="str">
        <f>IF($I215="","",INDEX(CHOOSE($J$3,'فحص-حاسب-بكالوريوس'!$H$5:$H$208,'فحص-بيانات-بكالوريوس'!$H$5:$H$208,'فحص-بيانات-ماجستير'!$H$5:$H$230),$I215)&amp;"")</f>
        <v/>
      </c>
      <c r="E215" s="2" t="str">
        <f>IF($I215="","",INDEX(CHOOSE($J$3,'فحص-حاسب-بكالوريوس'!$J$5:$J$208,'فحص-بيانات-بكالوريوس'!$J$5:$J$208,'فحص-بيانات-ماجستير'!$J$5:$J$230),$I215)&amp;"")</f>
        <v/>
      </c>
      <c r="F215" s="2" t="str">
        <f>IF($I215="","",INDEX(CHOOSE($J$3,'فحص-حاسب-بكالوريوس'!$L$5:$L$208,'فحص-بيانات-بكالوريوس'!$L$5:$L$208,'فحص-بيانات-ماجستير'!$L$5:$L$230),$I215)&amp;"")</f>
        <v/>
      </c>
      <c r="G215" s="2" t="str">
        <f>IF($I215="","",INDEX(CHOOSE($J$3,'فحص-حاسب-بكالوريوس'!$M$5:$M$208,'فحص-بيانات-بكالوريوس'!$M$5:$M$208,'فحص-بيانات-ماجستير'!$M$5:$M$230),$I215)&amp;"")</f>
        <v/>
      </c>
      <c r="I215" s="2" t="str">
        <f>IFERROR(MATCH($E$3&amp;"#"&amp;210,CHOOSE($J$3,'فحص-حاسب-بكالوريوس'!$R$5:$R$208,'فحص-بيانات-بكالوريوس'!$R$5:$R$208,'فحص-بيانات-ماجستير'!$R$5:$R$230),0),"")</f>
        <v/>
      </c>
    </row>
    <row r="216" spans="1:9" x14ac:dyDescent="0.2">
      <c r="A216" s="1" t="str">
        <f>IF($I216="","",211)</f>
        <v/>
      </c>
      <c r="B216" s="2" t="str">
        <f>IF($I216="","",INDEX(CHOOSE($J$3,'فحص-حاسب-بكالوريوس'!$A$5:$A$208,'فحص-بيانات-بكالوريوس'!$A$5:$A$208,'فحص-بيانات-ماجستير'!$A$5:$A$230),$I216)&amp;"")</f>
        <v/>
      </c>
      <c r="C216" s="2" t="str">
        <f>IF($I216="","",INDEX(CHOOSE($J$3,'فحص-حاسب-بكالوريوس'!$F$5:$F$208,'فحص-بيانات-بكالوريوس'!$F$5:$F$208,'فحص-بيانات-ماجستير'!$F$5:$F$230),$I216)&amp;"")</f>
        <v/>
      </c>
      <c r="D216" s="2" t="str">
        <f>IF($I216="","",INDEX(CHOOSE($J$3,'فحص-حاسب-بكالوريوس'!$H$5:$H$208,'فحص-بيانات-بكالوريوس'!$H$5:$H$208,'فحص-بيانات-ماجستير'!$H$5:$H$230),$I216)&amp;"")</f>
        <v/>
      </c>
      <c r="E216" s="2" t="str">
        <f>IF($I216="","",INDEX(CHOOSE($J$3,'فحص-حاسب-بكالوريوس'!$J$5:$J$208,'فحص-بيانات-بكالوريوس'!$J$5:$J$208,'فحص-بيانات-ماجستير'!$J$5:$J$230),$I216)&amp;"")</f>
        <v/>
      </c>
      <c r="F216" s="2" t="str">
        <f>IF($I216="","",INDEX(CHOOSE($J$3,'فحص-حاسب-بكالوريوس'!$L$5:$L$208,'فحص-بيانات-بكالوريوس'!$L$5:$L$208,'فحص-بيانات-ماجستير'!$L$5:$L$230),$I216)&amp;"")</f>
        <v/>
      </c>
      <c r="G216" s="2" t="str">
        <f>IF($I216="","",INDEX(CHOOSE($J$3,'فحص-حاسب-بكالوريوس'!$M$5:$M$208,'فحص-بيانات-بكالوريوس'!$M$5:$M$208,'فحص-بيانات-ماجستير'!$M$5:$M$230),$I216)&amp;"")</f>
        <v/>
      </c>
      <c r="I216" s="2" t="str">
        <f>IFERROR(MATCH($E$3&amp;"#"&amp;211,CHOOSE($J$3,'فحص-حاسب-بكالوريوس'!$R$5:$R$208,'فحص-بيانات-بكالوريوس'!$R$5:$R$208,'فحص-بيانات-ماجستير'!$R$5:$R$230),0),"")</f>
        <v/>
      </c>
    </row>
    <row r="217" spans="1:9" x14ac:dyDescent="0.2">
      <c r="A217" s="1" t="str">
        <f>IF($I217="","",212)</f>
        <v/>
      </c>
      <c r="B217" s="2" t="str">
        <f>IF($I217="","",INDEX(CHOOSE($J$3,'فحص-حاسب-بكالوريوس'!$A$5:$A$208,'فحص-بيانات-بكالوريوس'!$A$5:$A$208,'فحص-بيانات-ماجستير'!$A$5:$A$230),$I217)&amp;"")</f>
        <v/>
      </c>
      <c r="C217" s="2" t="str">
        <f>IF($I217="","",INDEX(CHOOSE($J$3,'فحص-حاسب-بكالوريوس'!$F$5:$F$208,'فحص-بيانات-بكالوريوس'!$F$5:$F$208,'فحص-بيانات-ماجستير'!$F$5:$F$230),$I217)&amp;"")</f>
        <v/>
      </c>
      <c r="D217" s="2" t="str">
        <f>IF($I217="","",INDEX(CHOOSE($J$3,'فحص-حاسب-بكالوريوس'!$H$5:$H$208,'فحص-بيانات-بكالوريوس'!$H$5:$H$208,'فحص-بيانات-ماجستير'!$H$5:$H$230),$I217)&amp;"")</f>
        <v/>
      </c>
      <c r="E217" s="2" t="str">
        <f>IF($I217="","",INDEX(CHOOSE($J$3,'فحص-حاسب-بكالوريوس'!$J$5:$J$208,'فحص-بيانات-بكالوريوس'!$J$5:$J$208,'فحص-بيانات-ماجستير'!$J$5:$J$230),$I217)&amp;"")</f>
        <v/>
      </c>
      <c r="F217" s="2" t="str">
        <f>IF($I217="","",INDEX(CHOOSE($J$3,'فحص-حاسب-بكالوريوس'!$L$5:$L$208,'فحص-بيانات-بكالوريوس'!$L$5:$L$208,'فحص-بيانات-ماجستير'!$L$5:$L$230),$I217)&amp;"")</f>
        <v/>
      </c>
      <c r="G217" s="2" t="str">
        <f>IF($I217="","",INDEX(CHOOSE($J$3,'فحص-حاسب-بكالوريوس'!$M$5:$M$208,'فحص-بيانات-بكالوريوس'!$M$5:$M$208,'فحص-بيانات-ماجستير'!$M$5:$M$230),$I217)&amp;"")</f>
        <v/>
      </c>
      <c r="I217" s="2" t="str">
        <f>IFERROR(MATCH($E$3&amp;"#"&amp;212,CHOOSE($J$3,'فحص-حاسب-بكالوريوس'!$R$5:$R$208,'فحص-بيانات-بكالوريوس'!$R$5:$R$208,'فحص-بيانات-ماجستير'!$R$5:$R$230),0),"")</f>
        <v/>
      </c>
    </row>
    <row r="218" spans="1:9" x14ac:dyDescent="0.2">
      <c r="A218" s="1" t="str">
        <f>IF($I218="","",213)</f>
        <v/>
      </c>
      <c r="B218" s="2" t="str">
        <f>IF($I218="","",INDEX(CHOOSE($J$3,'فحص-حاسب-بكالوريوس'!$A$5:$A$208,'فحص-بيانات-بكالوريوس'!$A$5:$A$208,'فحص-بيانات-ماجستير'!$A$5:$A$230),$I218)&amp;"")</f>
        <v/>
      </c>
      <c r="C218" s="2" t="str">
        <f>IF($I218="","",INDEX(CHOOSE($J$3,'فحص-حاسب-بكالوريوس'!$F$5:$F$208,'فحص-بيانات-بكالوريوس'!$F$5:$F$208,'فحص-بيانات-ماجستير'!$F$5:$F$230),$I218)&amp;"")</f>
        <v/>
      </c>
      <c r="D218" s="2" t="str">
        <f>IF($I218="","",INDEX(CHOOSE($J$3,'فحص-حاسب-بكالوريوس'!$H$5:$H$208,'فحص-بيانات-بكالوريوس'!$H$5:$H$208,'فحص-بيانات-ماجستير'!$H$5:$H$230),$I218)&amp;"")</f>
        <v/>
      </c>
      <c r="E218" s="2" t="str">
        <f>IF($I218="","",INDEX(CHOOSE($J$3,'فحص-حاسب-بكالوريوس'!$J$5:$J$208,'فحص-بيانات-بكالوريوس'!$J$5:$J$208,'فحص-بيانات-ماجستير'!$J$5:$J$230),$I218)&amp;"")</f>
        <v/>
      </c>
      <c r="F218" s="2" t="str">
        <f>IF($I218="","",INDEX(CHOOSE($J$3,'فحص-حاسب-بكالوريوس'!$L$5:$L$208,'فحص-بيانات-بكالوريوس'!$L$5:$L$208,'فحص-بيانات-ماجستير'!$L$5:$L$230),$I218)&amp;"")</f>
        <v/>
      </c>
      <c r="G218" s="2" t="str">
        <f>IF($I218="","",INDEX(CHOOSE($J$3,'فحص-حاسب-بكالوريوس'!$M$5:$M$208,'فحص-بيانات-بكالوريوس'!$M$5:$M$208,'فحص-بيانات-ماجستير'!$M$5:$M$230),$I218)&amp;"")</f>
        <v/>
      </c>
      <c r="I218" s="2" t="str">
        <f>IFERROR(MATCH($E$3&amp;"#"&amp;213,CHOOSE($J$3,'فحص-حاسب-بكالوريوس'!$R$5:$R$208,'فحص-بيانات-بكالوريوس'!$R$5:$R$208,'فحص-بيانات-ماجستير'!$R$5:$R$230),0),"")</f>
        <v/>
      </c>
    </row>
    <row r="219" spans="1:9" x14ac:dyDescent="0.2">
      <c r="A219" s="1" t="str">
        <f>IF($I219="","",214)</f>
        <v/>
      </c>
      <c r="B219" s="2" t="str">
        <f>IF($I219="","",INDEX(CHOOSE($J$3,'فحص-حاسب-بكالوريوس'!$A$5:$A$208,'فحص-بيانات-بكالوريوس'!$A$5:$A$208,'فحص-بيانات-ماجستير'!$A$5:$A$230),$I219)&amp;"")</f>
        <v/>
      </c>
      <c r="C219" s="2" t="str">
        <f>IF($I219="","",INDEX(CHOOSE($J$3,'فحص-حاسب-بكالوريوس'!$F$5:$F$208,'فحص-بيانات-بكالوريوس'!$F$5:$F$208,'فحص-بيانات-ماجستير'!$F$5:$F$230),$I219)&amp;"")</f>
        <v/>
      </c>
      <c r="D219" s="2" t="str">
        <f>IF($I219="","",INDEX(CHOOSE($J$3,'فحص-حاسب-بكالوريوس'!$H$5:$H$208,'فحص-بيانات-بكالوريوس'!$H$5:$H$208,'فحص-بيانات-ماجستير'!$H$5:$H$230),$I219)&amp;"")</f>
        <v/>
      </c>
      <c r="E219" s="2" t="str">
        <f>IF($I219="","",INDEX(CHOOSE($J$3,'فحص-حاسب-بكالوريوس'!$J$5:$J$208,'فحص-بيانات-بكالوريوس'!$J$5:$J$208,'فحص-بيانات-ماجستير'!$J$5:$J$230),$I219)&amp;"")</f>
        <v/>
      </c>
      <c r="F219" s="2" t="str">
        <f>IF($I219="","",INDEX(CHOOSE($J$3,'فحص-حاسب-بكالوريوس'!$L$5:$L$208,'فحص-بيانات-بكالوريوس'!$L$5:$L$208,'فحص-بيانات-ماجستير'!$L$5:$L$230),$I219)&amp;"")</f>
        <v/>
      </c>
      <c r="G219" s="2" t="str">
        <f>IF($I219="","",INDEX(CHOOSE($J$3,'فحص-حاسب-بكالوريوس'!$M$5:$M$208,'فحص-بيانات-بكالوريوس'!$M$5:$M$208,'فحص-بيانات-ماجستير'!$M$5:$M$230),$I219)&amp;"")</f>
        <v/>
      </c>
      <c r="I219" s="2" t="str">
        <f>IFERROR(MATCH($E$3&amp;"#"&amp;214,CHOOSE($J$3,'فحص-حاسب-بكالوريوس'!$R$5:$R$208,'فحص-بيانات-بكالوريوس'!$R$5:$R$208,'فحص-بيانات-ماجستير'!$R$5:$R$230),0),"")</f>
        <v/>
      </c>
    </row>
    <row r="220" spans="1:9" x14ac:dyDescent="0.2">
      <c r="A220" s="1" t="str">
        <f>IF($I220="","",215)</f>
        <v/>
      </c>
      <c r="B220" s="2" t="str">
        <f>IF($I220="","",INDEX(CHOOSE($J$3,'فحص-حاسب-بكالوريوس'!$A$5:$A$208,'فحص-بيانات-بكالوريوس'!$A$5:$A$208,'فحص-بيانات-ماجستير'!$A$5:$A$230),$I220)&amp;"")</f>
        <v/>
      </c>
      <c r="C220" s="2" t="str">
        <f>IF($I220="","",INDEX(CHOOSE($J$3,'فحص-حاسب-بكالوريوس'!$F$5:$F$208,'فحص-بيانات-بكالوريوس'!$F$5:$F$208,'فحص-بيانات-ماجستير'!$F$5:$F$230),$I220)&amp;"")</f>
        <v/>
      </c>
      <c r="D220" s="2" t="str">
        <f>IF($I220="","",INDEX(CHOOSE($J$3,'فحص-حاسب-بكالوريوس'!$H$5:$H$208,'فحص-بيانات-بكالوريوس'!$H$5:$H$208,'فحص-بيانات-ماجستير'!$H$5:$H$230),$I220)&amp;"")</f>
        <v/>
      </c>
      <c r="E220" s="2" t="str">
        <f>IF($I220="","",INDEX(CHOOSE($J$3,'فحص-حاسب-بكالوريوس'!$J$5:$J$208,'فحص-بيانات-بكالوريوس'!$J$5:$J$208,'فحص-بيانات-ماجستير'!$J$5:$J$230),$I220)&amp;"")</f>
        <v/>
      </c>
      <c r="F220" s="2" t="str">
        <f>IF($I220="","",INDEX(CHOOSE($J$3,'فحص-حاسب-بكالوريوس'!$L$5:$L$208,'فحص-بيانات-بكالوريوس'!$L$5:$L$208,'فحص-بيانات-ماجستير'!$L$5:$L$230),$I220)&amp;"")</f>
        <v/>
      </c>
      <c r="G220" s="2" t="str">
        <f>IF($I220="","",INDEX(CHOOSE($J$3,'فحص-حاسب-بكالوريوس'!$M$5:$M$208,'فحص-بيانات-بكالوريوس'!$M$5:$M$208,'فحص-بيانات-ماجستير'!$M$5:$M$230),$I220)&amp;"")</f>
        <v/>
      </c>
      <c r="I220" s="2" t="str">
        <f>IFERROR(MATCH($E$3&amp;"#"&amp;215,CHOOSE($J$3,'فحص-حاسب-بكالوريوس'!$R$5:$R$208,'فحص-بيانات-بكالوريوس'!$R$5:$R$208,'فحص-بيانات-ماجستير'!$R$5:$R$230),0),"")</f>
        <v/>
      </c>
    </row>
    <row r="221" spans="1:9" x14ac:dyDescent="0.2">
      <c r="A221" s="1" t="str">
        <f>IF($I221="","",216)</f>
        <v/>
      </c>
      <c r="B221" s="2" t="str">
        <f>IF($I221="","",INDEX(CHOOSE($J$3,'فحص-حاسب-بكالوريوس'!$A$5:$A$208,'فحص-بيانات-بكالوريوس'!$A$5:$A$208,'فحص-بيانات-ماجستير'!$A$5:$A$230),$I221)&amp;"")</f>
        <v/>
      </c>
      <c r="C221" s="2" t="str">
        <f>IF($I221="","",INDEX(CHOOSE($J$3,'فحص-حاسب-بكالوريوس'!$F$5:$F$208,'فحص-بيانات-بكالوريوس'!$F$5:$F$208,'فحص-بيانات-ماجستير'!$F$5:$F$230),$I221)&amp;"")</f>
        <v/>
      </c>
      <c r="D221" s="2" t="str">
        <f>IF($I221="","",INDEX(CHOOSE($J$3,'فحص-حاسب-بكالوريوس'!$H$5:$H$208,'فحص-بيانات-بكالوريوس'!$H$5:$H$208,'فحص-بيانات-ماجستير'!$H$5:$H$230),$I221)&amp;"")</f>
        <v/>
      </c>
      <c r="E221" s="2" t="str">
        <f>IF($I221="","",INDEX(CHOOSE($J$3,'فحص-حاسب-بكالوريوس'!$J$5:$J$208,'فحص-بيانات-بكالوريوس'!$J$5:$J$208,'فحص-بيانات-ماجستير'!$J$5:$J$230),$I221)&amp;"")</f>
        <v/>
      </c>
      <c r="F221" s="2" t="str">
        <f>IF($I221="","",INDEX(CHOOSE($J$3,'فحص-حاسب-بكالوريوس'!$L$5:$L$208,'فحص-بيانات-بكالوريوس'!$L$5:$L$208,'فحص-بيانات-ماجستير'!$L$5:$L$230),$I221)&amp;"")</f>
        <v/>
      </c>
      <c r="G221" s="2" t="str">
        <f>IF($I221="","",INDEX(CHOOSE($J$3,'فحص-حاسب-بكالوريوس'!$M$5:$M$208,'فحص-بيانات-بكالوريوس'!$M$5:$M$208,'فحص-بيانات-ماجستير'!$M$5:$M$230),$I221)&amp;"")</f>
        <v/>
      </c>
      <c r="I221" s="2" t="str">
        <f>IFERROR(MATCH($E$3&amp;"#"&amp;216,CHOOSE($J$3,'فحص-حاسب-بكالوريوس'!$R$5:$R$208,'فحص-بيانات-بكالوريوس'!$R$5:$R$208,'فحص-بيانات-ماجستير'!$R$5:$R$230),0),"")</f>
        <v/>
      </c>
    </row>
    <row r="222" spans="1:9" x14ac:dyDescent="0.2">
      <c r="A222" s="1" t="str">
        <f>IF($I222="","",217)</f>
        <v/>
      </c>
      <c r="B222" s="2" t="str">
        <f>IF($I222="","",INDEX(CHOOSE($J$3,'فحص-حاسب-بكالوريوس'!$A$5:$A$208,'فحص-بيانات-بكالوريوس'!$A$5:$A$208,'فحص-بيانات-ماجستير'!$A$5:$A$230),$I222)&amp;"")</f>
        <v/>
      </c>
      <c r="C222" s="2" t="str">
        <f>IF($I222="","",INDEX(CHOOSE($J$3,'فحص-حاسب-بكالوريوس'!$F$5:$F$208,'فحص-بيانات-بكالوريوس'!$F$5:$F$208,'فحص-بيانات-ماجستير'!$F$5:$F$230),$I222)&amp;"")</f>
        <v/>
      </c>
      <c r="D222" s="2" t="str">
        <f>IF($I222="","",INDEX(CHOOSE($J$3,'فحص-حاسب-بكالوريوس'!$H$5:$H$208,'فحص-بيانات-بكالوريوس'!$H$5:$H$208,'فحص-بيانات-ماجستير'!$H$5:$H$230),$I222)&amp;"")</f>
        <v/>
      </c>
      <c r="E222" s="2" t="str">
        <f>IF($I222="","",INDEX(CHOOSE($J$3,'فحص-حاسب-بكالوريوس'!$J$5:$J$208,'فحص-بيانات-بكالوريوس'!$J$5:$J$208,'فحص-بيانات-ماجستير'!$J$5:$J$230),$I222)&amp;"")</f>
        <v/>
      </c>
      <c r="F222" s="2" t="str">
        <f>IF($I222="","",INDEX(CHOOSE($J$3,'فحص-حاسب-بكالوريوس'!$L$5:$L$208,'فحص-بيانات-بكالوريوس'!$L$5:$L$208,'فحص-بيانات-ماجستير'!$L$5:$L$230),$I222)&amp;"")</f>
        <v/>
      </c>
      <c r="G222" s="2" t="str">
        <f>IF($I222="","",INDEX(CHOOSE($J$3,'فحص-حاسب-بكالوريوس'!$M$5:$M$208,'فحص-بيانات-بكالوريوس'!$M$5:$M$208,'فحص-بيانات-ماجستير'!$M$5:$M$230),$I222)&amp;"")</f>
        <v/>
      </c>
      <c r="I222" s="2" t="str">
        <f>IFERROR(MATCH($E$3&amp;"#"&amp;217,CHOOSE($J$3,'فحص-حاسب-بكالوريوس'!$R$5:$R$208,'فحص-بيانات-بكالوريوس'!$R$5:$R$208,'فحص-بيانات-ماجستير'!$R$5:$R$230),0),"")</f>
        <v/>
      </c>
    </row>
    <row r="223" spans="1:9" x14ac:dyDescent="0.2">
      <c r="A223" s="1" t="str">
        <f>IF($I223="","",218)</f>
        <v/>
      </c>
      <c r="B223" s="2" t="str">
        <f>IF($I223="","",INDEX(CHOOSE($J$3,'فحص-حاسب-بكالوريوس'!$A$5:$A$208,'فحص-بيانات-بكالوريوس'!$A$5:$A$208,'فحص-بيانات-ماجستير'!$A$5:$A$230),$I223)&amp;"")</f>
        <v/>
      </c>
      <c r="C223" s="2" t="str">
        <f>IF($I223="","",INDEX(CHOOSE($J$3,'فحص-حاسب-بكالوريوس'!$F$5:$F$208,'فحص-بيانات-بكالوريوس'!$F$5:$F$208,'فحص-بيانات-ماجستير'!$F$5:$F$230),$I223)&amp;"")</f>
        <v/>
      </c>
      <c r="D223" s="2" t="str">
        <f>IF($I223="","",INDEX(CHOOSE($J$3,'فحص-حاسب-بكالوريوس'!$H$5:$H$208,'فحص-بيانات-بكالوريوس'!$H$5:$H$208,'فحص-بيانات-ماجستير'!$H$5:$H$230),$I223)&amp;"")</f>
        <v/>
      </c>
      <c r="E223" s="2" t="str">
        <f>IF($I223="","",INDEX(CHOOSE($J$3,'فحص-حاسب-بكالوريوس'!$J$5:$J$208,'فحص-بيانات-بكالوريوس'!$J$5:$J$208,'فحص-بيانات-ماجستير'!$J$5:$J$230),$I223)&amp;"")</f>
        <v/>
      </c>
      <c r="F223" s="2" t="str">
        <f>IF($I223="","",INDEX(CHOOSE($J$3,'فحص-حاسب-بكالوريوس'!$L$5:$L$208,'فحص-بيانات-بكالوريوس'!$L$5:$L$208,'فحص-بيانات-ماجستير'!$L$5:$L$230),$I223)&amp;"")</f>
        <v/>
      </c>
      <c r="G223" s="2" t="str">
        <f>IF($I223="","",INDEX(CHOOSE($J$3,'فحص-حاسب-بكالوريوس'!$M$5:$M$208,'فحص-بيانات-بكالوريوس'!$M$5:$M$208,'فحص-بيانات-ماجستير'!$M$5:$M$230),$I223)&amp;"")</f>
        <v/>
      </c>
      <c r="I223" s="2" t="str">
        <f>IFERROR(MATCH($E$3&amp;"#"&amp;218,CHOOSE($J$3,'فحص-حاسب-بكالوريوس'!$R$5:$R$208,'فحص-بيانات-بكالوريوس'!$R$5:$R$208,'فحص-بيانات-ماجستير'!$R$5:$R$230),0),"")</f>
        <v/>
      </c>
    </row>
    <row r="224" spans="1:9" x14ac:dyDescent="0.2">
      <c r="A224" s="1" t="str">
        <f>IF($I224="","",219)</f>
        <v/>
      </c>
      <c r="B224" s="2" t="str">
        <f>IF($I224="","",INDEX(CHOOSE($J$3,'فحص-حاسب-بكالوريوس'!$A$5:$A$208,'فحص-بيانات-بكالوريوس'!$A$5:$A$208,'فحص-بيانات-ماجستير'!$A$5:$A$230),$I224)&amp;"")</f>
        <v/>
      </c>
      <c r="C224" s="2" t="str">
        <f>IF($I224="","",INDEX(CHOOSE($J$3,'فحص-حاسب-بكالوريوس'!$F$5:$F$208,'فحص-بيانات-بكالوريوس'!$F$5:$F$208,'فحص-بيانات-ماجستير'!$F$5:$F$230),$I224)&amp;"")</f>
        <v/>
      </c>
      <c r="D224" s="2" t="str">
        <f>IF($I224="","",INDEX(CHOOSE($J$3,'فحص-حاسب-بكالوريوس'!$H$5:$H$208,'فحص-بيانات-بكالوريوس'!$H$5:$H$208,'فحص-بيانات-ماجستير'!$H$5:$H$230),$I224)&amp;"")</f>
        <v/>
      </c>
      <c r="E224" s="2" t="str">
        <f>IF($I224="","",INDEX(CHOOSE($J$3,'فحص-حاسب-بكالوريوس'!$J$5:$J$208,'فحص-بيانات-بكالوريوس'!$J$5:$J$208,'فحص-بيانات-ماجستير'!$J$5:$J$230),$I224)&amp;"")</f>
        <v/>
      </c>
      <c r="F224" s="2" t="str">
        <f>IF($I224="","",INDEX(CHOOSE($J$3,'فحص-حاسب-بكالوريوس'!$L$5:$L$208,'فحص-بيانات-بكالوريوس'!$L$5:$L$208,'فحص-بيانات-ماجستير'!$L$5:$L$230),$I224)&amp;"")</f>
        <v/>
      </c>
      <c r="G224" s="2" t="str">
        <f>IF($I224="","",INDEX(CHOOSE($J$3,'فحص-حاسب-بكالوريوس'!$M$5:$M$208,'فحص-بيانات-بكالوريوس'!$M$5:$M$208,'فحص-بيانات-ماجستير'!$M$5:$M$230),$I224)&amp;"")</f>
        <v/>
      </c>
      <c r="I224" s="2" t="str">
        <f>IFERROR(MATCH($E$3&amp;"#"&amp;219,CHOOSE($J$3,'فحص-حاسب-بكالوريوس'!$R$5:$R$208,'فحص-بيانات-بكالوريوس'!$R$5:$R$208,'فحص-بيانات-ماجستير'!$R$5:$R$230),0),"")</f>
        <v/>
      </c>
    </row>
    <row r="225" spans="1:9" x14ac:dyDescent="0.2">
      <c r="A225" s="1" t="str">
        <f>IF($I225="","",220)</f>
        <v/>
      </c>
      <c r="B225" s="2" t="str">
        <f>IF($I225="","",INDEX(CHOOSE($J$3,'فحص-حاسب-بكالوريوس'!$A$5:$A$208,'فحص-بيانات-بكالوريوس'!$A$5:$A$208,'فحص-بيانات-ماجستير'!$A$5:$A$230),$I225)&amp;"")</f>
        <v/>
      </c>
      <c r="C225" s="2" t="str">
        <f>IF($I225="","",INDEX(CHOOSE($J$3,'فحص-حاسب-بكالوريوس'!$F$5:$F$208,'فحص-بيانات-بكالوريوس'!$F$5:$F$208,'فحص-بيانات-ماجستير'!$F$5:$F$230),$I225)&amp;"")</f>
        <v/>
      </c>
      <c r="D225" s="2" t="str">
        <f>IF($I225="","",INDEX(CHOOSE($J$3,'فحص-حاسب-بكالوريوس'!$H$5:$H$208,'فحص-بيانات-بكالوريوس'!$H$5:$H$208,'فحص-بيانات-ماجستير'!$H$5:$H$230),$I225)&amp;"")</f>
        <v/>
      </c>
      <c r="E225" s="2" t="str">
        <f>IF($I225="","",INDEX(CHOOSE($J$3,'فحص-حاسب-بكالوريوس'!$J$5:$J$208,'فحص-بيانات-بكالوريوس'!$J$5:$J$208,'فحص-بيانات-ماجستير'!$J$5:$J$230),$I225)&amp;"")</f>
        <v/>
      </c>
      <c r="F225" s="2" t="str">
        <f>IF($I225="","",INDEX(CHOOSE($J$3,'فحص-حاسب-بكالوريوس'!$L$5:$L$208,'فحص-بيانات-بكالوريوس'!$L$5:$L$208,'فحص-بيانات-ماجستير'!$L$5:$L$230),$I225)&amp;"")</f>
        <v/>
      </c>
      <c r="G225" s="2" t="str">
        <f>IF($I225="","",INDEX(CHOOSE($J$3,'فحص-حاسب-بكالوريوس'!$M$5:$M$208,'فحص-بيانات-بكالوريوس'!$M$5:$M$208,'فحص-بيانات-ماجستير'!$M$5:$M$230),$I225)&amp;"")</f>
        <v/>
      </c>
      <c r="I225" s="2" t="str">
        <f>IFERROR(MATCH($E$3&amp;"#"&amp;220,CHOOSE($J$3,'فحص-حاسب-بكالوريوس'!$R$5:$R$208,'فحص-بيانات-بكالوريوس'!$R$5:$R$208,'فحص-بيانات-ماجستير'!$R$5:$R$230),0),"")</f>
        <v/>
      </c>
    </row>
    <row r="226" spans="1:9" x14ac:dyDescent="0.2">
      <c r="A226" s="1" t="str">
        <f>IF($I226="","",221)</f>
        <v/>
      </c>
      <c r="B226" s="2" t="str">
        <f>IF($I226="","",INDEX(CHOOSE($J$3,'فحص-حاسب-بكالوريوس'!$A$5:$A$208,'فحص-بيانات-بكالوريوس'!$A$5:$A$208,'فحص-بيانات-ماجستير'!$A$5:$A$230),$I226)&amp;"")</f>
        <v/>
      </c>
      <c r="C226" s="2" t="str">
        <f>IF($I226="","",INDEX(CHOOSE($J$3,'فحص-حاسب-بكالوريوس'!$F$5:$F$208,'فحص-بيانات-بكالوريوس'!$F$5:$F$208,'فحص-بيانات-ماجستير'!$F$5:$F$230),$I226)&amp;"")</f>
        <v/>
      </c>
      <c r="D226" s="2" t="str">
        <f>IF($I226="","",INDEX(CHOOSE($J$3,'فحص-حاسب-بكالوريوس'!$H$5:$H$208,'فحص-بيانات-بكالوريوس'!$H$5:$H$208,'فحص-بيانات-ماجستير'!$H$5:$H$230),$I226)&amp;"")</f>
        <v/>
      </c>
      <c r="E226" s="2" t="str">
        <f>IF($I226="","",INDEX(CHOOSE($J$3,'فحص-حاسب-بكالوريوس'!$J$5:$J$208,'فحص-بيانات-بكالوريوس'!$J$5:$J$208,'فحص-بيانات-ماجستير'!$J$5:$J$230),$I226)&amp;"")</f>
        <v/>
      </c>
      <c r="F226" s="2" t="str">
        <f>IF($I226="","",INDEX(CHOOSE($J$3,'فحص-حاسب-بكالوريوس'!$L$5:$L$208,'فحص-بيانات-بكالوريوس'!$L$5:$L$208,'فحص-بيانات-ماجستير'!$L$5:$L$230),$I226)&amp;"")</f>
        <v/>
      </c>
      <c r="G226" s="2" t="str">
        <f>IF($I226="","",INDEX(CHOOSE($J$3,'فحص-حاسب-بكالوريوس'!$M$5:$M$208,'فحص-بيانات-بكالوريوس'!$M$5:$M$208,'فحص-بيانات-ماجستير'!$M$5:$M$230),$I226)&amp;"")</f>
        <v/>
      </c>
      <c r="I226" s="2" t="str">
        <f>IFERROR(MATCH($E$3&amp;"#"&amp;221,CHOOSE($J$3,'فحص-حاسب-بكالوريوس'!$R$5:$R$208,'فحص-بيانات-بكالوريوس'!$R$5:$R$208,'فحص-بيانات-ماجستير'!$R$5:$R$230),0),"")</f>
        <v/>
      </c>
    </row>
    <row r="227" spans="1:9" x14ac:dyDescent="0.2">
      <c r="A227" s="1" t="str">
        <f>IF($I227="","",222)</f>
        <v/>
      </c>
      <c r="B227" s="2" t="str">
        <f>IF($I227="","",INDEX(CHOOSE($J$3,'فحص-حاسب-بكالوريوس'!$A$5:$A$208,'فحص-بيانات-بكالوريوس'!$A$5:$A$208,'فحص-بيانات-ماجستير'!$A$5:$A$230),$I227)&amp;"")</f>
        <v/>
      </c>
      <c r="C227" s="2" t="str">
        <f>IF($I227="","",INDEX(CHOOSE($J$3,'فحص-حاسب-بكالوريوس'!$F$5:$F$208,'فحص-بيانات-بكالوريوس'!$F$5:$F$208,'فحص-بيانات-ماجستير'!$F$5:$F$230),$I227)&amp;"")</f>
        <v/>
      </c>
      <c r="D227" s="2" t="str">
        <f>IF($I227="","",INDEX(CHOOSE($J$3,'فحص-حاسب-بكالوريوس'!$H$5:$H$208,'فحص-بيانات-بكالوريوس'!$H$5:$H$208,'فحص-بيانات-ماجستير'!$H$5:$H$230),$I227)&amp;"")</f>
        <v/>
      </c>
      <c r="E227" s="2" t="str">
        <f>IF($I227="","",INDEX(CHOOSE($J$3,'فحص-حاسب-بكالوريوس'!$J$5:$J$208,'فحص-بيانات-بكالوريوس'!$J$5:$J$208,'فحص-بيانات-ماجستير'!$J$5:$J$230),$I227)&amp;"")</f>
        <v/>
      </c>
      <c r="F227" s="2" t="str">
        <f>IF($I227="","",INDEX(CHOOSE($J$3,'فحص-حاسب-بكالوريوس'!$L$5:$L$208,'فحص-بيانات-بكالوريوس'!$L$5:$L$208,'فحص-بيانات-ماجستير'!$L$5:$L$230),$I227)&amp;"")</f>
        <v/>
      </c>
      <c r="G227" s="2" t="str">
        <f>IF($I227="","",INDEX(CHOOSE($J$3,'فحص-حاسب-بكالوريوس'!$M$5:$M$208,'فحص-بيانات-بكالوريوس'!$M$5:$M$208,'فحص-بيانات-ماجستير'!$M$5:$M$230),$I227)&amp;"")</f>
        <v/>
      </c>
      <c r="I227" s="2" t="str">
        <f>IFERROR(MATCH($E$3&amp;"#"&amp;222,CHOOSE($J$3,'فحص-حاسب-بكالوريوس'!$R$5:$R$208,'فحص-بيانات-بكالوريوس'!$R$5:$R$208,'فحص-بيانات-ماجستير'!$R$5:$R$230),0),"")</f>
        <v/>
      </c>
    </row>
    <row r="228" spans="1:9" x14ac:dyDescent="0.2">
      <c r="A228" s="1" t="str">
        <f>IF($I228="","",223)</f>
        <v/>
      </c>
      <c r="B228" s="2" t="str">
        <f>IF($I228="","",INDEX(CHOOSE($J$3,'فحص-حاسب-بكالوريوس'!$A$5:$A$208,'فحص-بيانات-بكالوريوس'!$A$5:$A$208,'فحص-بيانات-ماجستير'!$A$5:$A$230),$I228)&amp;"")</f>
        <v/>
      </c>
      <c r="C228" s="2" t="str">
        <f>IF($I228="","",INDEX(CHOOSE($J$3,'فحص-حاسب-بكالوريوس'!$F$5:$F$208,'فحص-بيانات-بكالوريوس'!$F$5:$F$208,'فحص-بيانات-ماجستير'!$F$5:$F$230),$I228)&amp;"")</f>
        <v/>
      </c>
      <c r="D228" s="2" t="str">
        <f>IF($I228="","",INDEX(CHOOSE($J$3,'فحص-حاسب-بكالوريوس'!$H$5:$H$208,'فحص-بيانات-بكالوريوس'!$H$5:$H$208,'فحص-بيانات-ماجستير'!$H$5:$H$230),$I228)&amp;"")</f>
        <v/>
      </c>
      <c r="E228" s="2" t="str">
        <f>IF($I228="","",INDEX(CHOOSE($J$3,'فحص-حاسب-بكالوريوس'!$J$5:$J$208,'فحص-بيانات-بكالوريوس'!$J$5:$J$208,'فحص-بيانات-ماجستير'!$J$5:$J$230),$I228)&amp;"")</f>
        <v/>
      </c>
      <c r="F228" s="2" t="str">
        <f>IF($I228="","",INDEX(CHOOSE($J$3,'فحص-حاسب-بكالوريوس'!$L$5:$L$208,'فحص-بيانات-بكالوريوس'!$L$5:$L$208,'فحص-بيانات-ماجستير'!$L$5:$L$230),$I228)&amp;"")</f>
        <v/>
      </c>
      <c r="G228" s="2" t="str">
        <f>IF($I228="","",INDEX(CHOOSE($J$3,'فحص-حاسب-بكالوريوس'!$M$5:$M$208,'فحص-بيانات-بكالوريوس'!$M$5:$M$208,'فحص-بيانات-ماجستير'!$M$5:$M$230),$I228)&amp;"")</f>
        <v/>
      </c>
      <c r="I228" s="2" t="str">
        <f>IFERROR(MATCH($E$3&amp;"#"&amp;223,CHOOSE($J$3,'فحص-حاسب-بكالوريوس'!$R$5:$R$208,'فحص-بيانات-بكالوريوس'!$R$5:$R$208,'فحص-بيانات-ماجستير'!$R$5:$R$230),0),"")</f>
        <v/>
      </c>
    </row>
    <row r="229" spans="1:9" x14ac:dyDescent="0.2">
      <c r="A229" s="1" t="str">
        <f>IF($I229="","",224)</f>
        <v/>
      </c>
      <c r="B229" s="2" t="str">
        <f>IF($I229="","",INDEX(CHOOSE($J$3,'فحص-حاسب-بكالوريوس'!$A$5:$A$208,'فحص-بيانات-بكالوريوس'!$A$5:$A$208,'فحص-بيانات-ماجستير'!$A$5:$A$230),$I229)&amp;"")</f>
        <v/>
      </c>
      <c r="C229" s="2" t="str">
        <f>IF($I229="","",INDEX(CHOOSE($J$3,'فحص-حاسب-بكالوريوس'!$F$5:$F$208,'فحص-بيانات-بكالوريوس'!$F$5:$F$208,'فحص-بيانات-ماجستير'!$F$5:$F$230),$I229)&amp;"")</f>
        <v/>
      </c>
      <c r="D229" s="2" t="str">
        <f>IF($I229="","",INDEX(CHOOSE($J$3,'فحص-حاسب-بكالوريوس'!$H$5:$H$208,'فحص-بيانات-بكالوريوس'!$H$5:$H$208,'فحص-بيانات-ماجستير'!$H$5:$H$230),$I229)&amp;"")</f>
        <v/>
      </c>
      <c r="E229" s="2" t="str">
        <f>IF($I229="","",INDEX(CHOOSE($J$3,'فحص-حاسب-بكالوريوس'!$J$5:$J$208,'فحص-بيانات-بكالوريوس'!$J$5:$J$208,'فحص-بيانات-ماجستير'!$J$5:$J$230),$I229)&amp;"")</f>
        <v/>
      </c>
      <c r="F229" s="2" t="str">
        <f>IF($I229="","",INDEX(CHOOSE($J$3,'فحص-حاسب-بكالوريوس'!$L$5:$L$208,'فحص-بيانات-بكالوريوس'!$L$5:$L$208,'فحص-بيانات-ماجستير'!$L$5:$L$230),$I229)&amp;"")</f>
        <v/>
      </c>
      <c r="G229" s="2" t="str">
        <f>IF($I229="","",INDEX(CHOOSE($J$3,'فحص-حاسب-بكالوريوس'!$M$5:$M$208,'فحص-بيانات-بكالوريوس'!$M$5:$M$208,'فحص-بيانات-ماجستير'!$M$5:$M$230),$I229)&amp;"")</f>
        <v/>
      </c>
      <c r="I229" s="2" t="str">
        <f>IFERROR(MATCH($E$3&amp;"#"&amp;224,CHOOSE($J$3,'فحص-حاسب-بكالوريوس'!$R$5:$R$208,'فحص-بيانات-بكالوريوس'!$R$5:$R$208,'فحص-بيانات-ماجستير'!$R$5:$R$230),0),"")</f>
        <v/>
      </c>
    </row>
    <row r="230" spans="1:9" x14ac:dyDescent="0.2">
      <c r="A230" s="1" t="str">
        <f>IF($I230="","",225)</f>
        <v/>
      </c>
      <c r="B230" s="2" t="str">
        <f>IF($I230="","",INDEX(CHOOSE($J$3,'فحص-حاسب-بكالوريوس'!$A$5:$A$208,'فحص-بيانات-بكالوريوس'!$A$5:$A$208,'فحص-بيانات-ماجستير'!$A$5:$A$230),$I230)&amp;"")</f>
        <v/>
      </c>
      <c r="C230" s="2" t="str">
        <f>IF($I230="","",INDEX(CHOOSE($J$3,'فحص-حاسب-بكالوريوس'!$F$5:$F$208,'فحص-بيانات-بكالوريوس'!$F$5:$F$208,'فحص-بيانات-ماجستير'!$F$5:$F$230),$I230)&amp;"")</f>
        <v/>
      </c>
      <c r="D230" s="2" t="str">
        <f>IF($I230="","",INDEX(CHOOSE($J$3,'فحص-حاسب-بكالوريوس'!$H$5:$H$208,'فحص-بيانات-بكالوريوس'!$H$5:$H$208,'فحص-بيانات-ماجستير'!$H$5:$H$230),$I230)&amp;"")</f>
        <v/>
      </c>
      <c r="E230" s="2" t="str">
        <f>IF($I230="","",INDEX(CHOOSE($J$3,'فحص-حاسب-بكالوريوس'!$J$5:$J$208,'فحص-بيانات-بكالوريوس'!$J$5:$J$208,'فحص-بيانات-ماجستير'!$J$5:$J$230),$I230)&amp;"")</f>
        <v/>
      </c>
      <c r="F230" s="2" t="str">
        <f>IF($I230="","",INDEX(CHOOSE($J$3,'فحص-حاسب-بكالوريوس'!$L$5:$L$208,'فحص-بيانات-بكالوريوس'!$L$5:$L$208,'فحص-بيانات-ماجستير'!$L$5:$L$230),$I230)&amp;"")</f>
        <v/>
      </c>
      <c r="G230" s="2" t="str">
        <f>IF($I230="","",INDEX(CHOOSE($J$3,'فحص-حاسب-بكالوريوس'!$M$5:$M$208,'فحص-بيانات-بكالوريوس'!$M$5:$M$208,'فحص-بيانات-ماجستير'!$M$5:$M$230),$I230)&amp;"")</f>
        <v/>
      </c>
      <c r="I230" s="2" t="str">
        <f>IFERROR(MATCH($E$3&amp;"#"&amp;225,CHOOSE($J$3,'فحص-حاسب-بكالوريوس'!$R$5:$R$208,'فحص-بيانات-بكالوريوس'!$R$5:$R$208,'فحص-بيانات-ماجستير'!$R$5:$R$230),0),"")</f>
        <v/>
      </c>
    </row>
    <row r="231" spans="1:9" x14ac:dyDescent="0.2">
      <c r="A231" s="1" t="str">
        <f>IF($I231="","",226)</f>
        <v/>
      </c>
      <c r="B231" s="2" t="str">
        <f>IF($I231="","",INDEX(CHOOSE($J$3,'فحص-حاسب-بكالوريوس'!$A$5:$A$208,'فحص-بيانات-بكالوريوس'!$A$5:$A$208,'فحص-بيانات-ماجستير'!$A$5:$A$230),$I231)&amp;"")</f>
        <v/>
      </c>
      <c r="C231" s="2" t="str">
        <f>IF($I231="","",INDEX(CHOOSE($J$3,'فحص-حاسب-بكالوريوس'!$F$5:$F$208,'فحص-بيانات-بكالوريوس'!$F$5:$F$208,'فحص-بيانات-ماجستير'!$F$5:$F$230),$I231)&amp;"")</f>
        <v/>
      </c>
      <c r="D231" s="2" t="str">
        <f>IF($I231="","",INDEX(CHOOSE($J$3,'فحص-حاسب-بكالوريوس'!$H$5:$H$208,'فحص-بيانات-بكالوريوس'!$H$5:$H$208,'فحص-بيانات-ماجستير'!$H$5:$H$230),$I231)&amp;"")</f>
        <v/>
      </c>
      <c r="E231" s="2" t="str">
        <f>IF($I231="","",INDEX(CHOOSE($J$3,'فحص-حاسب-بكالوريوس'!$J$5:$J$208,'فحص-بيانات-بكالوريوس'!$J$5:$J$208,'فحص-بيانات-ماجستير'!$J$5:$J$230),$I231)&amp;"")</f>
        <v/>
      </c>
      <c r="F231" s="2" t="str">
        <f>IF($I231="","",INDEX(CHOOSE($J$3,'فحص-حاسب-بكالوريوس'!$L$5:$L$208,'فحص-بيانات-بكالوريوس'!$L$5:$L$208,'فحص-بيانات-ماجستير'!$L$5:$L$230),$I231)&amp;"")</f>
        <v/>
      </c>
      <c r="G231" s="2" t="str">
        <f>IF($I231="","",INDEX(CHOOSE($J$3,'فحص-حاسب-بكالوريوس'!$M$5:$M$208,'فحص-بيانات-بكالوريوس'!$M$5:$M$208,'فحص-بيانات-ماجستير'!$M$5:$M$230),$I231)&amp;"")</f>
        <v/>
      </c>
      <c r="I231" s="2" t="str">
        <f>IFERROR(MATCH($E$3&amp;"#"&amp;226,CHOOSE($J$3,'فحص-حاسب-بكالوريوس'!$R$5:$R$208,'فحص-بيانات-بكالوريوس'!$R$5:$R$208,'فحص-بيانات-ماجستير'!$R$5:$R$230),0),"")</f>
        <v/>
      </c>
    </row>
    <row r="232" spans="1:9" x14ac:dyDescent="0.2">
      <c r="A232" s="1" t="str">
        <f>IF($I232="","",227)</f>
        <v/>
      </c>
      <c r="B232" s="2" t="str">
        <f>IF($I232="","",INDEX(CHOOSE($J$3,'فحص-حاسب-بكالوريوس'!$A$5:$A$208,'فحص-بيانات-بكالوريوس'!$A$5:$A$208,'فحص-بيانات-ماجستير'!$A$5:$A$230),$I232)&amp;"")</f>
        <v/>
      </c>
      <c r="C232" s="2" t="str">
        <f>IF($I232="","",INDEX(CHOOSE($J$3,'فحص-حاسب-بكالوريوس'!$F$5:$F$208,'فحص-بيانات-بكالوريوس'!$F$5:$F$208,'فحص-بيانات-ماجستير'!$F$5:$F$230),$I232)&amp;"")</f>
        <v/>
      </c>
      <c r="D232" s="2" t="str">
        <f>IF($I232="","",INDEX(CHOOSE($J$3,'فحص-حاسب-بكالوريوس'!$H$5:$H$208,'فحص-بيانات-بكالوريوس'!$H$5:$H$208,'فحص-بيانات-ماجستير'!$H$5:$H$230),$I232)&amp;"")</f>
        <v/>
      </c>
      <c r="E232" s="2" t="str">
        <f>IF($I232="","",INDEX(CHOOSE($J$3,'فحص-حاسب-بكالوريوس'!$J$5:$J$208,'فحص-بيانات-بكالوريوس'!$J$5:$J$208,'فحص-بيانات-ماجستير'!$J$5:$J$230),$I232)&amp;"")</f>
        <v/>
      </c>
      <c r="F232" s="2" t="str">
        <f>IF($I232="","",INDEX(CHOOSE($J$3,'فحص-حاسب-بكالوريوس'!$L$5:$L$208,'فحص-بيانات-بكالوريوس'!$L$5:$L$208,'فحص-بيانات-ماجستير'!$L$5:$L$230),$I232)&amp;"")</f>
        <v/>
      </c>
      <c r="G232" s="2" t="str">
        <f>IF($I232="","",INDEX(CHOOSE($J$3,'فحص-حاسب-بكالوريوس'!$M$5:$M$208,'فحص-بيانات-بكالوريوس'!$M$5:$M$208,'فحص-بيانات-ماجستير'!$M$5:$M$230),$I232)&amp;"")</f>
        <v/>
      </c>
      <c r="I232" s="2" t="str">
        <f>IFERROR(MATCH($E$3&amp;"#"&amp;227,CHOOSE($J$3,'فحص-حاسب-بكالوريوس'!$R$5:$R$208,'فحص-بيانات-بكالوريوس'!$R$5:$R$208,'فحص-بيانات-ماجستير'!$R$5:$R$230),0),"")</f>
        <v/>
      </c>
    </row>
    <row r="233" spans="1:9" x14ac:dyDescent="0.2">
      <c r="A233" s="1" t="str">
        <f>IF($I233="","",228)</f>
        <v/>
      </c>
      <c r="B233" s="2" t="str">
        <f>IF($I233="","",INDEX(CHOOSE($J$3,'فحص-حاسب-بكالوريوس'!$A$5:$A$208,'فحص-بيانات-بكالوريوس'!$A$5:$A$208,'فحص-بيانات-ماجستير'!$A$5:$A$230),$I233)&amp;"")</f>
        <v/>
      </c>
      <c r="C233" s="2" t="str">
        <f>IF($I233="","",INDEX(CHOOSE($J$3,'فحص-حاسب-بكالوريوس'!$F$5:$F$208,'فحص-بيانات-بكالوريوس'!$F$5:$F$208,'فحص-بيانات-ماجستير'!$F$5:$F$230),$I233)&amp;"")</f>
        <v/>
      </c>
      <c r="D233" s="2" t="str">
        <f>IF($I233="","",INDEX(CHOOSE($J$3,'فحص-حاسب-بكالوريوس'!$H$5:$H$208,'فحص-بيانات-بكالوريوس'!$H$5:$H$208,'فحص-بيانات-ماجستير'!$H$5:$H$230),$I233)&amp;"")</f>
        <v/>
      </c>
      <c r="E233" s="2" t="str">
        <f>IF($I233="","",INDEX(CHOOSE($J$3,'فحص-حاسب-بكالوريوس'!$J$5:$J$208,'فحص-بيانات-بكالوريوس'!$J$5:$J$208,'فحص-بيانات-ماجستير'!$J$5:$J$230),$I233)&amp;"")</f>
        <v/>
      </c>
      <c r="F233" s="2" t="str">
        <f>IF($I233="","",INDEX(CHOOSE($J$3,'فحص-حاسب-بكالوريوس'!$L$5:$L$208,'فحص-بيانات-بكالوريوس'!$L$5:$L$208,'فحص-بيانات-ماجستير'!$L$5:$L$230),$I233)&amp;"")</f>
        <v/>
      </c>
      <c r="G233" s="2" t="str">
        <f>IF($I233="","",INDEX(CHOOSE($J$3,'فحص-حاسب-بكالوريوس'!$M$5:$M$208,'فحص-بيانات-بكالوريوس'!$M$5:$M$208,'فحص-بيانات-ماجستير'!$M$5:$M$230),$I233)&amp;"")</f>
        <v/>
      </c>
      <c r="I233" s="2" t="str">
        <f>IFERROR(MATCH($E$3&amp;"#"&amp;228,CHOOSE($J$3,'فحص-حاسب-بكالوريوس'!$R$5:$R$208,'فحص-بيانات-بكالوريوس'!$R$5:$R$208,'فحص-بيانات-ماجستير'!$R$5:$R$230),0),"")</f>
        <v/>
      </c>
    </row>
    <row r="234" spans="1:9" x14ac:dyDescent="0.2">
      <c r="A234" s="1" t="str">
        <f>IF($I234="","",229)</f>
        <v/>
      </c>
      <c r="B234" s="2" t="str">
        <f>IF($I234="","",INDEX(CHOOSE($J$3,'فحص-حاسب-بكالوريوس'!$A$5:$A$208,'فحص-بيانات-بكالوريوس'!$A$5:$A$208,'فحص-بيانات-ماجستير'!$A$5:$A$230),$I234)&amp;"")</f>
        <v/>
      </c>
      <c r="C234" s="2" t="str">
        <f>IF($I234="","",INDEX(CHOOSE($J$3,'فحص-حاسب-بكالوريوس'!$F$5:$F$208,'فحص-بيانات-بكالوريوس'!$F$5:$F$208,'فحص-بيانات-ماجستير'!$F$5:$F$230),$I234)&amp;"")</f>
        <v/>
      </c>
      <c r="D234" s="2" t="str">
        <f>IF($I234="","",INDEX(CHOOSE($J$3,'فحص-حاسب-بكالوريوس'!$H$5:$H$208,'فحص-بيانات-بكالوريوس'!$H$5:$H$208,'فحص-بيانات-ماجستير'!$H$5:$H$230),$I234)&amp;"")</f>
        <v/>
      </c>
      <c r="E234" s="2" t="str">
        <f>IF($I234="","",INDEX(CHOOSE($J$3,'فحص-حاسب-بكالوريوس'!$J$5:$J$208,'فحص-بيانات-بكالوريوس'!$J$5:$J$208,'فحص-بيانات-ماجستير'!$J$5:$J$230),$I234)&amp;"")</f>
        <v/>
      </c>
      <c r="F234" s="2" t="str">
        <f>IF($I234="","",INDEX(CHOOSE($J$3,'فحص-حاسب-بكالوريوس'!$L$5:$L$208,'فحص-بيانات-بكالوريوس'!$L$5:$L$208,'فحص-بيانات-ماجستير'!$L$5:$L$230),$I234)&amp;"")</f>
        <v/>
      </c>
      <c r="G234" s="2" t="str">
        <f>IF($I234="","",INDEX(CHOOSE($J$3,'فحص-حاسب-بكالوريوس'!$M$5:$M$208,'فحص-بيانات-بكالوريوس'!$M$5:$M$208,'فحص-بيانات-ماجستير'!$M$5:$M$230),$I234)&amp;"")</f>
        <v/>
      </c>
      <c r="I234" s="2" t="str">
        <f>IFERROR(MATCH($E$3&amp;"#"&amp;229,CHOOSE($J$3,'فحص-حاسب-بكالوريوس'!$R$5:$R$208,'فحص-بيانات-بكالوريوس'!$R$5:$R$208,'فحص-بيانات-ماجستير'!$R$5:$R$230),0),"")</f>
        <v/>
      </c>
    </row>
    <row r="235" spans="1:9" x14ac:dyDescent="0.2">
      <c r="A235" s="1" t="str">
        <f>IF($I235="","",230)</f>
        <v/>
      </c>
      <c r="B235" s="2" t="str">
        <f>IF($I235="","",INDEX(CHOOSE($J$3,'فحص-حاسب-بكالوريوس'!$A$5:$A$208,'فحص-بيانات-بكالوريوس'!$A$5:$A$208,'فحص-بيانات-ماجستير'!$A$5:$A$230),$I235)&amp;"")</f>
        <v/>
      </c>
      <c r="C235" s="2" t="str">
        <f>IF($I235="","",INDEX(CHOOSE($J$3,'فحص-حاسب-بكالوريوس'!$F$5:$F$208,'فحص-بيانات-بكالوريوس'!$F$5:$F$208,'فحص-بيانات-ماجستير'!$F$5:$F$230),$I235)&amp;"")</f>
        <v/>
      </c>
      <c r="D235" s="2" t="str">
        <f>IF($I235="","",INDEX(CHOOSE($J$3,'فحص-حاسب-بكالوريوس'!$H$5:$H$208,'فحص-بيانات-بكالوريوس'!$H$5:$H$208,'فحص-بيانات-ماجستير'!$H$5:$H$230),$I235)&amp;"")</f>
        <v/>
      </c>
      <c r="E235" s="2" t="str">
        <f>IF($I235="","",INDEX(CHOOSE($J$3,'فحص-حاسب-بكالوريوس'!$J$5:$J$208,'فحص-بيانات-بكالوريوس'!$J$5:$J$208,'فحص-بيانات-ماجستير'!$J$5:$J$230),$I235)&amp;"")</f>
        <v/>
      </c>
      <c r="F235" s="2" t="str">
        <f>IF($I235="","",INDEX(CHOOSE($J$3,'فحص-حاسب-بكالوريوس'!$L$5:$L$208,'فحص-بيانات-بكالوريوس'!$L$5:$L$208,'فحص-بيانات-ماجستير'!$L$5:$L$230),$I235)&amp;"")</f>
        <v/>
      </c>
      <c r="G235" s="2" t="str">
        <f>IF($I235="","",INDEX(CHOOSE($J$3,'فحص-حاسب-بكالوريوس'!$M$5:$M$208,'فحص-بيانات-بكالوريوس'!$M$5:$M$208,'فحص-بيانات-ماجستير'!$M$5:$M$230),$I235)&amp;"")</f>
        <v/>
      </c>
      <c r="I235" s="2"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1">
    <dataValidation type="list" allowBlank="1" sqref="E3" xr:uid="{00000000-0002-0000-0300-000001000000}">
      <formula1>"متوفر ومكتمل,متوفر ويحتاج تحسين,غير متوفر"</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0000000-0002-0000-0300-000000000000}">
          <x14:formula1>
            <xm:f>'الإعدادات واللجنة'!$B$5:$B$7</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A06D6-773F-654A-9BE2-CBE5EFB0E9E0}">
  <sheetPr>
    <tabColor rgb="FFC00000"/>
  </sheetPr>
  <dimension ref="A1:F65"/>
  <sheetViews>
    <sheetView rightToLeft="1" tabSelected="1" topLeftCell="A5" workbookViewId="0">
      <selection activeCell="C13" sqref="C13"/>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98" t="s">
        <v>649</v>
      </c>
      <c r="B1" s="98"/>
      <c r="C1" s="98"/>
      <c r="D1" s="98"/>
      <c r="E1" s="98"/>
      <c r="F1" s="98"/>
    </row>
    <row r="2" spans="1:6" ht="53.25" customHeight="1" x14ac:dyDescent="0.2">
      <c r="A2" s="99" t="s">
        <v>140</v>
      </c>
      <c r="B2" s="99"/>
      <c r="C2" s="99"/>
      <c r="D2" s="99"/>
      <c r="E2" s="99"/>
      <c r="F2" s="99"/>
    </row>
    <row r="3" spans="1:6" ht="26" x14ac:dyDescent="0.55000000000000004">
      <c r="A3" s="26"/>
      <c r="B3" s="26"/>
      <c r="C3" s="26"/>
      <c r="D3" s="26"/>
      <c r="E3" s="26"/>
      <c r="F3" s="26"/>
    </row>
    <row r="4" spans="1:6" ht="26" x14ac:dyDescent="0.2">
      <c r="A4" s="29" t="s">
        <v>69</v>
      </c>
      <c r="B4" s="29" t="s">
        <v>141</v>
      </c>
      <c r="C4" s="29" t="s">
        <v>142</v>
      </c>
      <c r="D4" s="29" t="s">
        <v>143</v>
      </c>
      <c r="E4" s="29" t="s">
        <v>35</v>
      </c>
      <c r="F4" s="29" t="s">
        <v>144</v>
      </c>
    </row>
    <row r="5" spans="1:6" ht="26.75" customHeight="1" x14ac:dyDescent="0.2">
      <c r="A5" s="97" t="s">
        <v>145</v>
      </c>
      <c r="B5" s="97"/>
      <c r="C5" s="97"/>
      <c r="D5" s="97"/>
      <c r="E5" s="97"/>
      <c r="F5" s="97"/>
    </row>
    <row r="6" spans="1:6" ht="56" customHeight="1" x14ac:dyDescent="0.2">
      <c r="A6" s="30">
        <v>1</v>
      </c>
      <c r="B6" s="34" t="s">
        <v>146</v>
      </c>
      <c r="C6" s="31" t="s">
        <v>147</v>
      </c>
      <c r="D6" s="39" t="s">
        <v>148</v>
      </c>
      <c r="E6" s="30" t="str">
        <f>'الإعدادات واللجنة'!$B$12</f>
        <v>د. نهلة بنت سعد القثامي</v>
      </c>
      <c r="F6" s="31" t="s">
        <v>149</v>
      </c>
    </row>
    <row r="7" spans="1:6" ht="56" customHeight="1" x14ac:dyDescent="0.2">
      <c r="A7" s="30">
        <v>2</v>
      </c>
      <c r="B7" s="34" t="s">
        <v>150</v>
      </c>
      <c r="C7" s="31" t="s">
        <v>151</v>
      </c>
      <c r="D7" s="39" t="s">
        <v>152</v>
      </c>
      <c r="E7" s="30" t="s">
        <v>153</v>
      </c>
      <c r="F7" s="31" t="s">
        <v>154</v>
      </c>
    </row>
    <row r="8" spans="1:6" ht="26.75" customHeight="1" x14ac:dyDescent="0.2">
      <c r="A8" s="97" t="s">
        <v>155</v>
      </c>
      <c r="B8" s="97"/>
      <c r="C8" s="97"/>
      <c r="D8" s="97"/>
      <c r="E8" s="97"/>
      <c r="F8" s="97"/>
    </row>
    <row r="9" spans="1:6" ht="56" customHeight="1" x14ac:dyDescent="0.2">
      <c r="A9" s="30">
        <v>3</v>
      </c>
      <c r="B9" s="34" t="s">
        <v>156</v>
      </c>
      <c r="C9" s="31" t="s">
        <v>157</v>
      </c>
      <c r="D9" s="40" t="s">
        <v>158</v>
      </c>
      <c r="E9" s="30" t="str">
        <f>'الإعدادات واللجنة'!$B$13</f>
        <v>د. عبير بنت عبدالله راجحي</v>
      </c>
      <c r="F9" s="31" t="inlineStr">
        <is>
          <t>تُتابع في صفحة «وثائق الجودة»، وتُعرض في اجتماعي الأسبوعين 4 و7</t>
        </is>
      </c>
    </row>
    <row r="10" spans="1:6" ht="56" customHeight="1" x14ac:dyDescent="0.2">
      <c r="A10" s="30">
        <v>4</v>
      </c>
      <c r="B10" s="34" t="s">
        <v>160</v>
      </c>
      <c r="C10" s="31" t="s">
        <v>161</v>
      </c>
      <c r="D10" s="40" t="s">
        <v>158</v>
      </c>
      <c r="E10" s="30" t="str">
        <f>'الإعدادات واللجنة'!$B$13</f>
        <v>د. عبير بنت عبدالله راجحي</v>
      </c>
      <c r="F10" s="31" t="inlineStr">
        <is>
          <t>تُتابع في صفحة «وثائق الجودة»، وتُعرض في اجتماعي الأسبوعين 4 و7</t>
        </is>
      </c>
    </row>
    <row r="11" spans="1:6" ht="56" customHeight="1" x14ac:dyDescent="0.2">
      <c r="A11" s="30">
        <v>5</v>
      </c>
      <c r="B11" s="34" t="s">
        <v>163</v>
      </c>
      <c r="C11" s="31" t="s">
        <v>164</v>
      </c>
      <c r="D11" s="40" t="s">
        <v>158</v>
      </c>
      <c r="E11" s="30" t="str">
        <f>'الإعدادات واللجنة'!$B$13</f>
        <v>د. عبير بنت عبدالله راجحي</v>
      </c>
      <c r="F11" s="31" t="inlineStr">
        <is>
          <t>تُتابع في صفحة «وثائق الجودة»، وتُعرض في اجتماعي الأسبوعين 4 و7</t>
        </is>
      </c>
    </row>
    <row r="12" spans="1:6" ht="56" customHeight="1" x14ac:dyDescent="0.2">
      <c r="A12" s="30">
        <v>6</v>
      </c>
      <c r="B12" s="34" t="s">
        <v>101</v>
      </c>
      <c r="C12" s="31" t="s">
        <v>165</v>
      </c>
      <c r="D12" s="40" t="s">
        <v>158</v>
      </c>
      <c r="E12" s="30" t="str">
        <f>'الإعدادات واللجنة'!$B$13</f>
        <v>د. عبير بنت عبدالله راجحي</v>
      </c>
      <c r="F12" s="31" t="inlineStr">
        <is>
          <t>تُتابع في صفحة «وثائق الجودة»، وتُعرض في اجتماعي الأسبوعين 4 و7</t>
        </is>
      </c>
    </row>
    <row r="13" spans="1:6" ht="56" customHeight="1" x14ac:dyDescent="0.2">
      <c r="A13" s="30">
        <v>7</v>
      </c>
      <c r="B13" s="34" t="s">
        <v>166</v>
      </c>
      <c r="C13" s="31" t="s">
        <v>167</v>
      </c>
      <c r="D13" s="40" t="s">
        <v>158</v>
      </c>
      <c r="E13" s="30" t="str">
        <f>'الإعدادات واللجنة'!$B$13</f>
        <v>د. عبير بنت عبدالله راجحي</v>
      </c>
      <c r="F13" s="31" t="inlineStr">
        <is>
          <t>تُتابع في صفحة «وثائق الجودة»، وتُعرض في اجتماعي الأسبوعين 4 و7</t>
        </is>
      </c>
    </row>
    <row r="14" spans="1:6" ht="56" customHeight="1" x14ac:dyDescent="0.2">
      <c r="A14" s="30">
        <v>8</v>
      </c>
      <c r="B14" s="34" t="s">
        <v>168</v>
      </c>
      <c r="C14" s="31" t="s">
        <v>169</v>
      </c>
      <c r="D14" s="41" t="s">
        <v>24</v>
      </c>
      <c r="E14" s="30" t="s">
        <v>153</v>
      </c>
      <c r="F14" s="31" t="s">
        <v>170</v>
      </c>
    </row>
    <row r="15" spans="1:6" ht="26.75" customHeight="1" x14ac:dyDescent="0.2">
      <c r="A15" s="97" t="s">
        <v>171</v>
      </c>
      <c r="B15" s="97"/>
      <c r="C15" s="97"/>
      <c r="D15" s="97"/>
      <c r="E15" s="97"/>
      <c r="F15" s="97"/>
    </row>
    <row r="16" spans="1:6" ht="56" customHeight="1" x14ac:dyDescent="0.2">
      <c r="A16" s="30">
        <v>9</v>
      </c>
      <c r="B16" s="34" t="s">
        <v>172</v>
      </c>
      <c r="C16" s="31" t="s">
        <v>173</v>
      </c>
      <c r="D16" s="42" t="s">
        <v>174</v>
      </c>
      <c r="E16" s="30" t="s">
        <v>175</v>
      </c>
      <c r="F16" s="31" t="s">
        <v>176</v>
      </c>
    </row>
    <row r="17" spans="1:6" ht="56" customHeight="1" x14ac:dyDescent="0.2">
      <c r="A17" s="30">
        <v>10</v>
      </c>
      <c r="B17" s="34" t="s">
        <v>177</v>
      </c>
      <c r="C17" s="31" t="s">
        <v>178</v>
      </c>
      <c r="D17" s="42" t="s">
        <v>179</v>
      </c>
      <c r="E17" s="30" t="str">
        <f>'الإعدادات واللجنة'!$B$20</f>
        <v>د. حسن بن سعد القحطاني</v>
      </c>
      <c r="F17" s="31"/>
    </row>
    <row r="18" spans="1:6" ht="56" customHeight="1" x14ac:dyDescent="0.2">
      <c r="A18" s="30">
        <v>11</v>
      </c>
      <c r="B18" s="34" t="s">
        <v>180</v>
      </c>
      <c r="C18" s="31" t="s">
        <v>181</v>
      </c>
      <c r="D18" s="42" t="s">
        <v>182</v>
      </c>
      <c r="E18" s="30" t="str">
        <f>'الإعدادات واللجنة'!$B$15</f>
        <v>د. سلطان بن سعيد الشمراني</v>
      </c>
      <c r="F18" s="31"/>
    </row>
    <row r="19" spans="1:6" ht="56" customHeight="1" x14ac:dyDescent="0.2">
      <c r="A19" s="30">
        <v>12</v>
      </c>
      <c r="B19" s="34" t="s">
        <v>183</v>
      </c>
      <c r="C19" s="31" t="s">
        <v>184</v>
      </c>
      <c r="D19" s="39" t="s">
        <v>152</v>
      </c>
      <c r="E19" s="30" t="s">
        <v>153</v>
      </c>
      <c r="F19" s="31" t="s">
        <v>185</v>
      </c>
    </row>
    <row r="20" spans="1:6" ht="26" x14ac:dyDescent="0.55000000000000004">
      <c r="A20" s="26"/>
      <c r="B20" s="26"/>
      <c r="C20" s="26"/>
      <c r="D20" s="26"/>
      <c r="E20" s="26"/>
      <c r="F20" s="26"/>
    </row>
    <row r="21" spans="1:6" ht="26" x14ac:dyDescent="0.55000000000000004">
      <c r="A21" s="26"/>
      <c r="B21" s="26"/>
      <c r="C21" s="26"/>
      <c r="D21" s="26"/>
      <c r="E21" s="26"/>
      <c r="F21" s="26"/>
    </row>
    <row r="22" spans="1:6" ht="26" x14ac:dyDescent="0.55000000000000004">
      <c r="A22" s="26"/>
      <c r="B22" s="26"/>
      <c r="C22" s="26"/>
      <c r="D22" s="26"/>
      <c r="E22" s="26"/>
      <c r="F22" s="26"/>
    </row>
    <row r="23" spans="1:6" ht="26" x14ac:dyDescent="0.55000000000000004">
      <c r="A23" s="26"/>
      <c r="B23" s="26"/>
      <c r="C23" s="26"/>
      <c r="D23" s="26"/>
      <c r="E23" s="26"/>
      <c r="F23" s="26"/>
    </row>
    <row r="24" spans="1:6" ht="26" x14ac:dyDescent="0.55000000000000004">
      <c r="A24" s="26"/>
      <c r="B24" s="26"/>
      <c r="C24" s="26"/>
      <c r="D24" s="26"/>
      <c r="E24" s="26"/>
      <c r="F24" s="26"/>
    </row>
    <row r="25" spans="1:6" ht="26" x14ac:dyDescent="0.55000000000000004">
      <c r="A25" s="26"/>
      <c r="B25" s="26"/>
      <c r="C25" s="26"/>
      <c r="D25" s="26"/>
      <c r="E25" s="26"/>
      <c r="F25" s="26"/>
    </row>
    <row r="26" spans="1:6" ht="26" x14ac:dyDescent="0.55000000000000004">
      <c r="A26" s="26"/>
      <c r="B26" s="26"/>
      <c r="C26" s="26"/>
      <c r="D26" s="26"/>
      <c r="E26" s="26"/>
      <c r="F26" s="26"/>
    </row>
    <row r="27" spans="1:6" ht="26" x14ac:dyDescent="0.55000000000000004">
      <c r="A27" s="26"/>
      <c r="B27" s="26"/>
      <c r="C27" s="26"/>
      <c r="D27" s="26"/>
      <c r="E27" s="26"/>
      <c r="F27" s="26"/>
    </row>
    <row r="28" spans="1:6" ht="26" x14ac:dyDescent="0.55000000000000004">
      <c r="A28" s="26"/>
      <c r="B28" s="26"/>
      <c r="C28" s="26"/>
      <c r="D28" s="26"/>
      <c r="E28" s="26"/>
      <c r="F28" s="26"/>
    </row>
    <row r="29" spans="1:6" ht="26" x14ac:dyDescent="0.55000000000000004">
      <c r="A29" s="26"/>
      <c r="B29" s="26"/>
      <c r="C29" s="26"/>
      <c r="D29" s="26"/>
      <c r="E29" s="26"/>
      <c r="F29" s="26"/>
    </row>
    <row r="30" spans="1:6" ht="26" x14ac:dyDescent="0.55000000000000004">
      <c r="A30" s="26"/>
      <c r="B30" s="26"/>
      <c r="C30" s="26"/>
      <c r="D30" s="26"/>
      <c r="E30" s="26"/>
      <c r="F30" s="26"/>
    </row>
    <row r="31" spans="1:6" ht="26" x14ac:dyDescent="0.55000000000000004">
      <c r="A31" s="26"/>
      <c r="B31" s="26"/>
      <c r="C31" s="26"/>
      <c r="D31" s="26"/>
      <c r="E31" s="26"/>
      <c r="F31" s="26"/>
    </row>
    <row r="32" spans="1:6" ht="26" x14ac:dyDescent="0.55000000000000004">
      <c r="A32" s="26"/>
      <c r="B32" s="26"/>
      <c r="C32" s="26"/>
      <c r="D32" s="26"/>
      <c r="E32" s="26"/>
      <c r="F32" s="26"/>
    </row>
    <row r="33" spans="1:6" ht="26" x14ac:dyDescent="0.55000000000000004">
      <c r="A33" s="26"/>
      <c r="B33" s="26"/>
      <c r="C33" s="26"/>
      <c r="D33" s="26"/>
      <c r="E33" s="26"/>
      <c r="F33" s="26"/>
    </row>
    <row r="34" spans="1:6" ht="26" x14ac:dyDescent="0.55000000000000004">
      <c r="A34" s="26"/>
      <c r="B34" s="26"/>
      <c r="C34" s="26"/>
      <c r="D34" s="26"/>
      <c r="E34" s="26"/>
      <c r="F34" s="26"/>
    </row>
    <row r="35" spans="1:6" ht="26" x14ac:dyDescent="0.55000000000000004">
      <c r="A35" s="26"/>
      <c r="B35" s="26"/>
      <c r="C35" s="26"/>
      <c r="D35" s="26"/>
      <c r="E35" s="26"/>
      <c r="F35" s="26"/>
    </row>
    <row r="36" spans="1:6" ht="26" x14ac:dyDescent="0.55000000000000004">
      <c r="A36" s="26"/>
      <c r="B36" s="26"/>
      <c r="C36" s="26"/>
      <c r="D36" s="26"/>
      <c r="E36" s="26"/>
      <c r="F36" s="26"/>
    </row>
    <row r="37" spans="1:6" ht="26" x14ac:dyDescent="0.55000000000000004">
      <c r="A37" s="26"/>
      <c r="B37" s="26"/>
      <c r="C37" s="26"/>
      <c r="D37" s="26"/>
      <c r="E37" s="26"/>
      <c r="F37" s="26"/>
    </row>
    <row r="38" spans="1:6" ht="26" x14ac:dyDescent="0.55000000000000004">
      <c r="A38" s="26"/>
      <c r="B38" s="26"/>
      <c r="C38" s="26"/>
      <c r="D38" s="26"/>
      <c r="E38" s="26"/>
      <c r="F38" s="26"/>
    </row>
    <row r="39" spans="1:6" ht="26" x14ac:dyDescent="0.55000000000000004">
      <c r="A39" s="26"/>
      <c r="B39" s="26"/>
      <c r="C39" s="26"/>
      <c r="D39" s="26"/>
      <c r="E39" s="26"/>
      <c r="F39" s="26"/>
    </row>
    <row r="40" spans="1:6" ht="26" x14ac:dyDescent="0.55000000000000004">
      <c r="A40" s="26"/>
      <c r="B40" s="26"/>
      <c r="C40" s="26"/>
      <c r="D40" s="26"/>
      <c r="E40" s="26"/>
      <c r="F40" s="26"/>
    </row>
    <row r="41" spans="1:6" ht="26" x14ac:dyDescent="0.55000000000000004">
      <c r="A41" s="26"/>
      <c r="B41" s="26"/>
      <c r="C41" s="26"/>
      <c r="D41" s="26"/>
      <c r="E41" s="26"/>
      <c r="F41" s="26"/>
    </row>
    <row r="42" spans="1:6" ht="26" x14ac:dyDescent="0.55000000000000004">
      <c r="A42" s="26"/>
      <c r="B42" s="26"/>
      <c r="C42" s="26"/>
      <c r="D42" s="26"/>
      <c r="E42" s="26"/>
      <c r="F42" s="26"/>
    </row>
    <row r="43" spans="1:6" ht="26" x14ac:dyDescent="0.55000000000000004">
      <c r="A43" s="26"/>
      <c r="B43" s="26"/>
      <c r="C43" s="26"/>
      <c r="D43" s="26"/>
      <c r="E43" s="26"/>
      <c r="F43" s="26"/>
    </row>
    <row r="44" spans="1:6" ht="26" x14ac:dyDescent="0.55000000000000004">
      <c r="A44" s="26"/>
      <c r="B44" s="26"/>
      <c r="C44" s="26"/>
      <c r="D44" s="26"/>
      <c r="E44" s="26"/>
      <c r="F44" s="26"/>
    </row>
    <row r="45" spans="1:6" ht="26" x14ac:dyDescent="0.55000000000000004">
      <c r="A45" s="26"/>
      <c r="B45" s="26"/>
      <c r="C45" s="26"/>
      <c r="D45" s="26"/>
      <c r="E45" s="26"/>
      <c r="F45" s="26"/>
    </row>
    <row r="46" spans="1:6" ht="26" x14ac:dyDescent="0.55000000000000004">
      <c r="A46" s="26"/>
      <c r="B46" s="26"/>
      <c r="C46" s="26"/>
      <c r="D46" s="26"/>
      <c r="E46" s="26"/>
      <c r="F46" s="26"/>
    </row>
    <row r="47" spans="1:6" ht="26" x14ac:dyDescent="0.55000000000000004">
      <c r="A47" s="26"/>
      <c r="B47" s="26"/>
      <c r="C47" s="26"/>
      <c r="D47" s="26"/>
      <c r="E47" s="26"/>
      <c r="F47" s="26"/>
    </row>
    <row r="48" spans="1:6" ht="26" x14ac:dyDescent="0.55000000000000004">
      <c r="A48" s="26"/>
      <c r="B48" s="26"/>
      <c r="C48" s="26"/>
      <c r="D48" s="26"/>
      <c r="E48" s="26"/>
      <c r="F48" s="26"/>
    </row>
    <row r="49" spans="1:6" ht="26" x14ac:dyDescent="0.55000000000000004">
      <c r="A49" s="26"/>
      <c r="B49" s="26"/>
      <c r="C49" s="26"/>
      <c r="D49" s="26"/>
      <c r="E49" s="26"/>
      <c r="F49" s="26"/>
    </row>
    <row r="50" spans="1:6" ht="26" x14ac:dyDescent="0.55000000000000004">
      <c r="A50" s="26"/>
      <c r="B50" s="26"/>
      <c r="C50" s="26"/>
      <c r="D50" s="26"/>
      <c r="E50" s="26"/>
      <c r="F50" s="26"/>
    </row>
    <row r="51" spans="1:6" ht="26" x14ac:dyDescent="0.55000000000000004">
      <c r="A51" s="26"/>
      <c r="B51" s="26"/>
      <c r="C51" s="26"/>
      <c r="D51" s="26"/>
      <c r="E51" s="26"/>
      <c r="F51" s="26"/>
    </row>
    <row r="52" spans="1:6" ht="26" x14ac:dyDescent="0.55000000000000004">
      <c r="A52" s="26"/>
      <c r="B52" s="26"/>
      <c r="C52" s="26"/>
      <c r="D52" s="26"/>
      <c r="E52" s="26"/>
      <c r="F52" s="26"/>
    </row>
    <row r="53" spans="1:6" ht="26" x14ac:dyDescent="0.55000000000000004">
      <c r="A53" s="26"/>
      <c r="B53" s="26"/>
      <c r="C53" s="26"/>
      <c r="D53" s="26"/>
      <c r="E53" s="26"/>
      <c r="F53" s="26"/>
    </row>
    <row r="54" spans="1:6" ht="26" x14ac:dyDescent="0.55000000000000004">
      <c r="A54" s="26"/>
      <c r="B54" s="26"/>
      <c r="C54" s="26"/>
      <c r="D54" s="26"/>
      <c r="E54" s="26"/>
      <c r="F54" s="26"/>
    </row>
    <row r="55" spans="1:6" ht="26" x14ac:dyDescent="0.55000000000000004">
      <c r="A55" s="26"/>
      <c r="B55" s="26"/>
      <c r="C55" s="26"/>
      <c r="D55" s="26"/>
      <c r="E55" s="26"/>
      <c r="F55" s="26"/>
    </row>
    <row r="56" spans="1:6" ht="26" x14ac:dyDescent="0.55000000000000004">
      <c r="A56" s="26"/>
      <c r="B56" s="26"/>
      <c r="C56" s="26"/>
      <c r="D56" s="26"/>
      <c r="E56" s="26"/>
      <c r="F56" s="26"/>
    </row>
    <row r="57" spans="1:6" ht="26" x14ac:dyDescent="0.55000000000000004">
      <c r="A57" s="26"/>
      <c r="B57" s="26"/>
      <c r="C57" s="26"/>
      <c r="D57" s="26"/>
      <c r="E57" s="26"/>
      <c r="F57" s="26"/>
    </row>
    <row r="58" spans="1:6" ht="26" x14ac:dyDescent="0.55000000000000004">
      <c r="A58" s="26"/>
      <c r="B58" s="26"/>
      <c r="C58" s="26"/>
      <c r="D58" s="26"/>
      <c r="E58" s="26"/>
      <c r="F58" s="26"/>
    </row>
    <row r="59" spans="1:6" ht="26" x14ac:dyDescent="0.55000000000000004">
      <c r="A59" s="26"/>
      <c r="B59" s="26"/>
      <c r="C59" s="26"/>
      <c r="D59" s="26"/>
      <c r="E59" s="26"/>
      <c r="F59" s="26"/>
    </row>
    <row r="60" spans="1:6" ht="26" x14ac:dyDescent="0.55000000000000004">
      <c r="A60" s="26"/>
      <c r="B60" s="26"/>
      <c r="C60" s="26"/>
      <c r="D60" s="26"/>
      <c r="E60" s="26"/>
      <c r="F60" s="26"/>
    </row>
    <row r="61" spans="1:6" ht="26" x14ac:dyDescent="0.55000000000000004">
      <c r="A61" s="26"/>
      <c r="B61" s="26"/>
      <c r="C61" s="26"/>
      <c r="D61" s="26"/>
      <c r="E61" s="26"/>
      <c r="F61" s="26"/>
    </row>
    <row r="62" spans="1:6" ht="26" x14ac:dyDescent="0.55000000000000004">
      <c r="A62" s="26"/>
      <c r="B62" s="26"/>
      <c r="C62" s="26"/>
      <c r="D62" s="26"/>
      <c r="E62" s="26"/>
      <c r="F62" s="26"/>
    </row>
    <row r="63" spans="1:6" ht="26" x14ac:dyDescent="0.55000000000000004">
      <c r="A63" s="26"/>
      <c r="B63" s="26"/>
      <c r="C63" s="26"/>
      <c r="D63" s="26"/>
      <c r="E63" s="26"/>
      <c r="F63" s="26"/>
    </row>
    <row r="64" spans="1:6" ht="26" x14ac:dyDescent="0.55000000000000004">
      <c r="A64" s="26"/>
      <c r="B64" s="26"/>
      <c r="C64" s="26"/>
      <c r="D64" s="26"/>
      <c r="E64" s="26"/>
      <c r="F64" s="26"/>
    </row>
    <row r="65" spans="1:6" ht="26" x14ac:dyDescent="0.55000000000000004">
      <c r="A65" s="26"/>
      <c r="B65" s="26"/>
      <c r="C65" s="26"/>
      <c r="D65" s="26"/>
      <c r="E65" s="26"/>
      <c r="F65" s="26"/>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02BB4-BDFA-AD44-B227-471B689DE6C8}">
  <sheetPr>
    <tabColor rgb="FF548235"/>
  </sheetPr>
  <dimension ref="A1:H15"/>
  <sheetViews>
    <sheetView rightToLeft="1" workbookViewId="0">
      <selection sqref="A1:H1"/>
    </sheetView>
  </sheetViews>
  <sheetFormatPr baseColWidth="10" defaultColWidth="8.83203125" defaultRowHeight="15" x14ac:dyDescent="0.2"/>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x14ac:dyDescent="0.2">
      <c r="A1" s="104" t="s">
        <v>594</v>
      </c>
      <c r="B1" s="105"/>
      <c r="C1" s="105"/>
      <c r="D1" s="105"/>
      <c r="E1" s="105"/>
      <c r="F1" s="105"/>
      <c r="G1" s="105"/>
      <c r="H1" s="105"/>
    </row>
    <row r="2" spans="1:8" ht="46" customHeight="1" x14ac:dyDescent="0.2">
      <c r="A2" s="106" t="s">
        <v>595</v>
      </c>
      <c r="B2" s="105"/>
      <c r="C2" s="105"/>
      <c r="D2" s="105"/>
      <c r="E2" s="105"/>
      <c r="F2" s="105"/>
      <c r="G2" s="105"/>
      <c r="H2" s="105"/>
    </row>
    <row r="4" spans="1:8" ht="30" customHeight="1" x14ac:dyDescent="0.2">
      <c r="A4" s="5" t="s">
        <v>191</v>
      </c>
      <c r="B4" s="5" t="s">
        <v>596</v>
      </c>
      <c r="C4" s="5" t="s">
        <v>593</v>
      </c>
      <c r="D4" s="5" t="s">
        <v>597</v>
      </c>
      <c r="E4" s="5" t="s">
        <v>139</v>
      </c>
      <c r="F4" s="5" t="s">
        <v>193</v>
      </c>
      <c r="G4" s="5" t="s">
        <v>194</v>
      </c>
      <c r="H4" s="5" t="s">
        <v>192</v>
      </c>
    </row>
    <row r="5" spans="1:8" ht="48" customHeight="1" x14ac:dyDescent="0.2">
      <c r="A5" s="1" t="s">
        <v>598</v>
      </c>
      <c r="B5" s="2" t="s">
        <v>599</v>
      </c>
      <c r="C5" s="2" t="s">
        <v>600</v>
      </c>
      <c r="D5" s="2" t="s">
        <v>601</v>
      </c>
      <c r="E5" s="2" t="s">
        <v>153</v>
      </c>
      <c r="F5" s="2" t="s">
        <v>153</v>
      </c>
      <c r="G5" s="2" t="s">
        <v>153</v>
      </c>
      <c r="H5" s="2" t="s">
        <v>153</v>
      </c>
    </row>
    <row r="6" spans="1:8" ht="48" customHeight="1" x14ac:dyDescent="0.2">
      <c r="A6" s="1" t="s">
        <v>598</v>
      </c>
      <c r="B6" s="2" t="s">
        <v>602</v>
      </c>
      <c r="C6" s="2" t="s">
        <v>603</v>
      </c>
      <c r="D6" s="2" t="s">
        <v>604</v>
      </c>
      <c r="E6" s="2" t="s">
        <v>153</v>
      </c>
      <c r="F6" s="2" t="s">
        <v>153</v>
      </c>
      <c r="G6" s="2" t="s">
        <v>153</v>
      </c>
      <c r="H6" s="2" t="s">
        <v>153</v>
      </c>
    </row>
    <row r="7" spans="1:8" ht="48" customHeight="1" x14ac:dyDescent="0.2">
      <c r="A7" s="1" t="s">
        <v>605</v>
      </c>
      <c r="B7" s="2" t="s">
        <v>599</v>
      </c>
      <c r="C7" s="2" t="s">
        <v>606</v>
      </c>
      <c r="D7" s="2" t="s">
        <v>607</v>
      </c>
      <c r="E7" s="2" t="s">
        <v>588</v>
      </c>
      <c r="F7" s="2" t="s">
        <v>608</v>
      </c>
      <c r="G7" s="2" t="s">
        <v>609</v>
      </c>
      <c r="H7" s="2" t="s">
        <v>610</v>
      </c>
    </row>
    <row r="8" spans="1:8" ht="48" customHeight="1" x14ac:dyDescent="0.2">
      <c r="A8" s="1" t="s">
        <v>605</v>
      </c>
      <c r="B8" s="2" t="s">
        <v>611</v>
      </c>
      <c r="C8" s="2" t="s">
        <v>612</v>
      </c>
      <c r="D8" s="2" t="s">
        <v>613</v>
      </c>
      <c r="E8" s="2" t="s">
        <v>588</v>
      </c>
      <c r="F8" s="2" t="s">
        <v>614</v>
      </c>
      <c r="G8" s="2" t="s">
        <v>609</v>
      </c>
      <c r="H8" s="2" t="s">
        <v>610</v>
      </c>
    </row>
    <row r="9" spans="1:8" ht="48" customHeight="1" x14ac:dyDescent="0.2">
      <c r="A9" s="1" t="s">
        <v>605</v>
      </c>
      <c r="B9" s="2" t="s">
        <v>615</v>
      </c>
      <c r="C9" s="2" t="s">
        <v>616</v>
      </c>
      <c r="D9" s="2" t="s">
        <v>617</v>
      </c>
      <c r="E9" s="2" t="s">
        <v>589</v>
      </c>
      <c r="F9" s="2" t="s">
        <v>618</v>
      </c>
      <c r="G9" s="2" t="s">
        <v>619</v>
      </c>
      <c r="H9" s="2" t="s">
        <v>620</v>
      </c>
    </row>
    <row r="10" spans="1:8" ht="48" customHeight="1" x14ac:dyDescent="0.2">
      <c r="A10" s="1" t="s">
        <v>605</v>
      </c>
      <c r="B10" s="2" t="s">
        <v>621</v>
      </c>
      <c r="C10" s="2" t="s">
        <v>622</v>
      </c>
      <c r="D10" s="2" t="s">
        <v>623</v>
      </c>
      <c r="E10" s="2" t="s">
        <v>589</v>
      </c>
      <c r="F10" s="2" t="s">
        <v>624</v>
      </c>
      <c r="G10" s="2" t="s">
        <v>619</v>
      </c>
      <c r="H10" s="2" t="s">
        <v>620</v>
      </c>
    </row>
    <row r="11" spans="1:8" ht="48" customHeight="1" x14ac:dyDescent="0.2">
      <c r="A11" s="1" t="s">
        <v>120</v>
      </c>
      <c r="B11" s="2" t="s">
        <v>625</v>
      </c>
      <c r="C11" s="2" t="s">
        <v>626</v>
      </c>
      <c r="D11" s="2" t="s">
        <v>627</v>
      </c>
      <c r="E11" s="2" t="s">
        <v>588</v>
      </c>
      <c r="F11" s="2" t="s">
        <v>628</v>
      </c>
      <c r="G11" s="2" t="s">
        <v>609</v>
      </c>
      <c r="H11" s="2" t="s">
        <v>620</v>
      </c>
    </row>
    <row r="12" spans="1:8" ht="48" customHeight="1" x14ac:dyDescent="0.2">
      <c r="A12" s="1" t="s">
        <v>120</v>
      </c>
      <c r="B12" s="2" t="s">
        <v>629</v>
      </c>
      <c r="C12" s="2" t="s">
        <v>630</v>
      </c>
      <c r="D12" s="2" t="s">
        <v>631</v>
      </c>
      <c r="E12" s="2" t="s">
        <v>588</v>
      </c>
      <c r="F12" s="2" t="s">
        <v>632</v>
      </c>
      <c r="G12" s="2" t="s">
        <v>609</v>
      </c>
      <c r="H12" s="2" t="s">
        <v>620</v>
      </c>
    </row>
    <row r="13" spans="1:8" ht="48" customHeight="1" x14ac:dyDescent="0.2">
      <c r="A13" s="1" t="s">
        <v>120</v>
      </c>
      <c r="B13" s="2" t="s">
        <v>629</v>
      </c>
      <c r="C13" s="2" t="s">
        <v>633</v>
      </c>
      <c r="D13" s="2" t="s">
        <v>634</v>
      </c>
      <c r="E13" s="2" t="s">
        <v>589</v>
      </c>
      <c r="F13" s="2" t="s">
        <v>635</v>
      </c>
      <c r="G13" s="2" t="s">
        <v>619</v>
      </c>
      <c r="H13" s="2" t="s">
        <v>620</v>
      </c>
    </row>
    <row r="14" spans="1:8" ht="48" customHeight="1" x14ac:dyDescent="0.2">
      <c r="A14" s="1" t="s">
        <v>120</v>
      </c>
      <c r="B14" s="2" t="s">
        <v>636</v>
      </c>
      <c r="C14" s="2" t="s">
        <v>637</v>
      </c>
      <c r="D14" s="2" t="s">
        <v>638</v>
      </c>
      <c r="E14" s="2" t="s">
        <v>589</v>
      </c>
      <c r="F14" s="2" t="s">
        <v>639</v>
      </c>
      <c r="G14" s="2" t="s">
        <v>640</v>
      </c>
      <c r="H14" s="2" t="s">
        <v>620</v>
      </c>
    </row>
    <row r="15" spans="1:8" ht="48" customHeight="1" x14ac:dyDescent="0.2">
      <c r="A15" s="1" t="s">
        <v>641</v>
      </c>
      <c r="B15" s="2" t="s">
        <v>599</v>
      </c>
      <c r="C15" s="2" t="s">
        <v>642</v>
      </c>
      <c r="D15" s="2" t="s">
        <v>643</v>
      </c>
      <c r="E15" s="2" t="s">
        <v>153</v>
      </c>
      <c r="F15" s="2" t="s">
        <v>644</v>
      </c>
      <c r="G15" s="2" t="s">
        <v>153</v>
      </c>
      <c r="H15" s="2" t="s">
        <v>153</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EB1F6-92DE-B64A-9273-D3BCD9982A86}">
  <sheetPr>
    <tabColor rgb="FF8EA9DB"/>
  </sheetPr>
  <dimension ref="A1:R208"/>
  <sheetViews>
    <sheetView rightToLeft="1" workbookViewId="0">
      <pane xSplit="6" ySplit="4" topLeftCell="H5" activePane="bottomRight" state="frozen"/>
      <selection pane="topRight"/>
      <selection pane="bottomLeft"/>
      <selection pane="bottomRight" activeCell="A4" sqref="A4"/>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واللجنة'!$B$5</f>
        <v>فحص الأدلة – بكالوريوس علوم الحاسب</v>
      </c>
      <c r="B1" s="107"/>
      <c r="C1" s="107"/>
      <c r="D1" s="107"/>
      <c r="E1" s="107"/>
      <c r="F1" s="107"/>
      <c r="G1" s="107"/>
      <c r="H1" s="107"/>
    </row>
    <row r="2" spans="1:18" ht="15" customHeight="1" x14ac:dyDescent="0.2">
      <c r="A2" s="108"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29"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autoFilter ref="A4:R208" xr:uid="{75BEB1F6-92DE-B64A-9273-D3BCD9982A86}"/>
  <mergeCells count="2">
    <mergeCell ref="A1:H1"/>
    <mergeCell ref="A2:Q2"/>
  </mergeCells>
  <conditionalFormatting sqref="I5:I208">
    <cfRule type="cellIs" dxfId="26" priority="2" operator="equal">
      <formula>"متوفر ومكتمل"</formula>
    </cfRule>
    <cfRule type="cellIs" dxfId="25" priority="3" operator="equal">
      <formula>"متوفر ويحتاج تحسين"</formula>
    </cfRule>
    <cfRule type="cellIs" dxfId="24" priority="4" operator="equal">
      <formula>"غير متوفر"</formula>
    </cfRule>
  </conditionalFormatting>
  <conditionalFormatting sqref="J5:J208 L5:M208">
    <cfRule type="expression" dxfId="23" priority="101">
      <formula>AND($I5="متوفر ومكتمل",J5&lt;&gt;"")</formula>
    </cfRule>
    <cfRule type="expression" dxfId="22" priority="102">
      <formula>$I5="متوفر ومكتمل"</formula>
    </cfRule>
  </conditionalFormatting>
  <conditionalFormatting sqref="J5:J208">
    <cfRule type="expression" dxfId="21" priority="103">
      <formula>AND(OR($I5="متوفر ويحتاج تحسين",$I5="غير متوفر"),J5="")</formula>
    </cfRule>
  </conditionalFormatting>
  <conditionalFormatting sqref="K5:K208">
    <cfRule type="cellIs" dxfId="20" priority="5" operator="equal">
      <formula>"عالية"</formula>
    </cfRule>
  </conditionalFormatting>
  <conditionalFormatting sqref="P5:P208">
    <cfRule type="cellIs" dxfId="19" priority="6" operator="equal">
      <formula>"تمت"</formula>
    </cfRule>
    <cfRule type="cellIs" dxfId="18"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34FB-3D54-584D-B845-ECF832B068ED}">
  <sheetPr>
    <tabColor rgb="FF8EA9DB"/>
  </sheetPr>
  <dimension ref="A1:R208"/>
  <sheetViews>
    <sheetView rightToLeft="1" workbookViewId="0">
      <pane xSplit="6" ySplit="4" topLeftCell="G202" activePane="bottomRight" state="frozen"/>
      <selection pane="topRight"/>
      <selection pane="bottomLeft"/>
      <selection pane="bottomRight" activeCell="C217" sqref="C217"/>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واللجنة'!$B$6</f>
        <v>فحص الأدلة – بكالوريوس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J5:J208 L5:M208">
    <cfRule type="expression" dxfId="14" priority="101">
      <formula>AND($I5="متوفر ومكتمل",J5&lt;&gt;"")</formula>
    </cfRule>
    <cfRule type="expression" dxfId="13" priority="102">
      <formula>$I5="متوفر ومكتمل"</formula>
    </cfRule>
  </conditionalFormatting>
  <conditionalFormatting sqref="J5:J208">
    <cfRule type="expression" dxfId="12" priority="103">
      <formula>AND(OR($I5="متوفر ويحتاج تحسين",$I5="غير متوفر"),J5="")</formula>
    </cfRule>
  </conditionalFormatting>
  <conditionalFormatting sqref="K5:K208">
    <cfRule type="cellIs" dxfId="11" priority="5" operator="equal">
      <formula>"عالية"</formula>
    </cfRule>
  </conditionalFormatting>
  <conditionalFormatting sqref="P5:P208">
    <cfRule type="cellIs" dxfId="10" priority="6" operator="equal">
      <formula>"تمت"</formula>
    </cfRule>
    <cfRule type="cellIs" dxfId="9"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88E9-49AF-E34B-BDFB-A5304AAA586A}">
  <sheetPr>
    <tabColor rgb="FF8EA9DB"/>
  </sheetPr>
  <dimension ref="A1:R230"/>
  <sheetViews>
    <sheetView rightToLeft="1" workbookViewId="0">
      <pane xSplit="6" ySplit="4" topLeftCell="G5" activePane="bottomRight" state="frozen"/>
      <selection pane="topRight"/>
      <selection pane="bottomLeft"/>
      <selection pane="bottomRight" activeCell="B8" sqref="A1:Q8"/>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واللجنة'!$B$7</f>
        <v>فحص الأدلة – ماجستير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498</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498</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498</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498</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498</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498</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498</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498</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498</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498</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498</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498</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498</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498</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498</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498</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498</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498</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498</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498</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498</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498</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498</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498</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498</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498</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498</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498</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498</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498</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498</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498</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498</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498</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498</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498</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498</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498</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498</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498</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498</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498</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498</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498</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498</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498</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498</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498</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498</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498</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498</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498</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498</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498</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498</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498</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498</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498</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498</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498</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498</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498</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498</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498</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498</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498</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498</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498</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498</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498</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498</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498</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498</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498</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498</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498</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498</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498</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498</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498</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498</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498</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498</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498</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498</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498</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498</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331</v>
      </c>
      <c r="D92" s="62"/>
      <c r="E92" s="54">
        <v>1</v>
      </c>
      <c r="F92" s="61" t="s">
        <v>314</v>
      </c>
      <c r="G92" s="53" t="s">
        <v>498</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332</v>
      </c>
      <c r="G93" s="47" t="s">
        <v>498</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333</v>
      </c>
      <c r="G94" s="47" t="s">
        <v>498</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66" x14ac:dyDescent="0.55000000000000004">
      <c r="A95" s="46" t="s">
        <v>324</v>
      </c>
      <c r="B95" s="63" t="s">
        <v>126</v>
      </c>
      <c r="C95" s="44"/>
      <c r="D95" s="45"/>
      <c r="E95" s="46">
        <v>4</v>
      </c>
      <c r="F95" s="44" t="s">
        <v>334</v>
      </c>
      <c r="G95" s="47" t="s">
        <v>498</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66" x14ac:dyDescent="0.55000000000000004">
      <c r="A96" s="49" t="s">
        <v>330</v>
      </c>
      <c r="B96" s="64" t="s">
        <v>126</v>
      </c>
      <c r="C96" s="50" t="s">
        <v>345</v>
      </c>
      <c r="D96" s="51" t="s">
        <v>208</v>
      </c>
      <c r="E96" s="52">
        <v>1</v>
      </c>
      <c r="F96" s="50" t="s">
        <v>346</v>
      </c>
      <c r="G96" s="53" t="s">
        <v>498</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57" t="s">
        <v>330</v>
      </c>
      <c r="B97" s="65" t="s">
        <v>126</v>
      </c>
      <c r="C97" s="58"/>
      <c r="D97" s="59" t="s">
        <v>208</v>
      </c>
      <c r="E97" s="57">
        <v>2</v>
      </c>
      <c r="F97" s="58" t="s">
        <v>347</v>
      </c>
      <c r="G97" s="47" t="s">
        <v>498</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66" x14ac:dyDescent="0.55000000000000004">
      <c r="A98" s="49" t="s">
        <v>348</v>
      </c>
      <c r="B98" s="64" t="s">
        <v>126</v>
      </c>
      <c r="C98" s="50" t="s">
        <v>499</v>
      </c>
      <c r="D98" s="51" t="s">
        <v>208</v>
      </c>
      <c r="E98" s="52">
        <v>1</v>
      </c>
      <c r="F98" s="50" t="s">
        <v>350</v>
      </c>
      <c r="G98" s="53" t="s">
        <v>498</v>
      </c>
      <c r="H98" s="54" t="str">
        <f>IFERROR(INDEX('الإعدادات واللجنة'!$C$24:$C$32,MATCH(LEFT(A98,3),'الإعدادات واللجنة'!$A$24:$A$32,0)),"")</f>
        <v>د. يثرب بنت سعد القحطاني</v>
      </c>
      <c r="I98" s="55"/>
      <c r="J98" s="55"/>
      <c r="K98" s="54" t="str">
        <f t="shared" si="1"/>
        <v/>
      </c>
      <c r="L98" s="56"/>
      <c r="M98" s="55"/>
      <c r="N98" s="56"/>
      <c r="O98" s="56"/>
      <c r="P98" s="55"/>
      <c r="Q98" s="56"/>
      <c r="R98" s="26" t="str">
        <f>IF($I98="","",$I98&amp;"#"&amp;COUNTIF($I$5:$I98,$I98))</f>
        <v/>
      </c>
    </row>
    <row r="99" spans="1:18" ht="44" x14ac:dyDescent="0.55000000000000004">
      <c r="A99" s="57" t="s">
        <v>348</v>
      </c>
      <c r="B99" s="65" t="s">
        <v>126</v>
      </c>
      <c r="C99" s="58"/>
      <c r="D99" s="59" t="s">
        <v>208</v>
      </c>
      <c r="E99" s="57">
        <v>2</v>
      </c>
      <c r="F99" s="58" t="s">
        <v>351</v>
      </c>
      <c r="G99" s="47" t="s">
        <v>498</v>
      </c>
      <c r="H99" s="46" t="str">
        <f>IFERROR(INDEX('الإعدادات واللجنة'!$C$24:$C$32,MATCH(LEFT(A99,3),'الإعدادات واللجنة'!$A$24:$A$32,0)),"")</f>
        <v>د. يثرب بنت سعد القحطاني</v>
      </c>
      <c r="I99" s="38"/>
      <c r="J99" s="38"/>
      <c r="K99" s="46" t="str">
        <f t="shared" si="1"/>
        <v/>
      </c>
      <c r="L99" s="48"/>
      <c r="M99" s="38"/>
      <c r="N99" s="48"/>
      <c r="O99" s="48"/>
      <c r="P99" s="38"/>
      <c r="Q99" s="48"/>
      <c r="R99" s="26" t="str">
        <f>IF($I99="","",$I99&amp;"#"&amp;COUNTIF($I$5:$I99,$I99))</f>
        <v/>
      </c>
    </row>
    <row r="100" spans="1:18" ht="66" x14ac:dyDescent="0.55000000000000004">
      <c r="A100" s="57" t="s">
        <v>348</v>
      </c>
      <c r="B100" s="65" t="s">
        <v>126</v>
      </c>
      <c r="C100" s="58"/>
      <c r="D100" s="59" t="s">
        <v>208</v>
      </c>
      <c r="E100" s="57">
        <v>3</v>
      </c>
      <c r="F100" s="58" t="s">
        <v>352</v>
      </c>
      <c r="G100" s="47" t="s">
        <v>498</v>
      </c>
      <c r="H100" s="46" t="str">
        <f>IFERROR(INDEX('الإعدادات واللجنة'!$C$24:$C$32,MATCH(LEFT(A100,3),'الإعدادات واللجنة'!$A$24:$A$32,0)),"")</f>
        <v>د. يثرب بنت سعد القحطاني</v>
      </c>
      <c r="I100" s="38"/>
      <c r="J100" s="38"/>
      <c r="K100" s="46" t="str">
        <f t="shared" si="1"/>
        <v/>
      </c>
      <c r="L100" s="48"/>
      <c r="M100" s="38"/>
      <c r="N100" s="48"/>
      <c r="O100" s="48"/>
      <c r="P100" s="38"/>
      <c r="Q100" s="48"/>
      <c r="R100" s="26" t="str">
        <f>IF($I100="","",$I100&amp;"#"&amp;COUNTIF($I$5:$I100,$I100))</f>
        <v/>
      </c>
    </row>
    <row r="101" spans="1:18" ht="44" x14ac:dyDescent="0.55000000000000004">
      <c r="A101" s="57" t="s">
        <v>348</v>
      </c>
      <c r="B101" s="65" t="s">
        <v>126</v>
      </c>
      <c r="C101" s="58"/>
      <c r="D101" s="59" t="s">
        <v>208</v>
      </c>
      <c r="E101" s="57">
        <v>4</v>
      </c>
      <c r="F101" s="58" t="s">
        <v>353</v>
      </c>
      <c r="G101" s="47" t="s">
        <v>498</v>
      </c>
      <c r="H101" s="46" t="str">
        <f>IFERROR(INDEX('الإعدادات واللجنة'!$C$24:$C$32,MATCH(LEFT(A101,3),'الإعدادات واللجنة'!$A$24:$A$32,0)),"")</f>
        <v>د. يثرب بنت سعد القحطاني</v>
      </c>
      <c r="I101" s="38"/>
      <c r="J101" s="38"/>
      <c r="K101" s="46" t="str">
        <f t="shared" si="1"/>
        <v/>
      </c>
      <c r="L101" s="48"/>
      <c r="M101" s="38"/>
      <c r="N101" s="48"/>
      <c r="O101" s="48"/>
      <c r="P101" s="38"/>
      <c r="Q101" s="48"/>
      <c r="R101" s="26" t="str">
        <f>IF($I101="","",$I101&amp;"#"&amp;COUNTIF($I$5:$I101,$I101))</f>
        <v/>
      </c>
    </row>
    <row r="102" spans="1:18" ht="44" x14ac:dyDescent="0.55000000000000004">
      <c r="A102" s="57" t="s">
        <v>348</v>
      </c>
      <c r="B102" s="65" t="s">
        <v>126</v>
      </c>
      <c r="C102" s="58"/>
      <c r="D102" s="59" t="s">
        <v>208</v>
      </c>
      <c r="E102" s="57">
        <v>5</v>
      </c>
      <c r="F102" s="58" t="s">
        <v>354</v>
      </c>
      <c r="G102" s="47" t="s">
        <v>498</v>
      </c>
      <c r="H102" s="46" t="str">
        <f>IFERROR(INDEX('الإعدادات واللجنة'!$C$24:$C$32,MATCH(LEFT(A102,3),'الإعدادات واللجنة'!$A$24:$A$32,0)),"")</f>
        <v>د. يثرب بنت سعد القحطاني</v>
      </c>
      <c r="I102" s="38"/>
      <c r="J102" s="38"/>
      <c r="K102" s="46" t="str">
        <f t="shared" si="1"/>
        <v/>
      </c>
      <c r="L102" s="48"/>
      <c r="M102" s="38"/>
      <c r="N102" s="48"/>
      <c r="O102" s="48"/>
      <c r="P102" s="38"/>
      <c r="Q102" s="48"/>
      <c r="R102" s="26" t="str">
        <f>IF($I102="","",$I102&amp;"#"&amp;COUNTIF($I$5:$I102,$I102))</f>
        <v/>
      </c>
    </row>
    <row r="103" spans="1:18" ht="66" x14ac:dyDescent="0.55000000000000004">
      <c r="A103" s="60" t="s">
        <v>355</v>
      </c>
      <c r="B103" s="66" t="s">
        <v>126</v>
      </c>
      <c r="C103" s="61" t="s">
        <v>336</v>
      </c>
      <c r="D103" s="62"/>
      <c r="E103" s="54">
        <v>1</v>
      </c>
      <c r="F103" s="61" t="s">
        <v>337</v>
      </c>
      <c r="G103" s="53" t="s">
        <v>498</v>
      </c>
      <c r="H103" s="54" t="str">
        <f>IFERROR(INDEX('الإعدادات واللجنة'!$C$24:$C$32,MATCH(LEFT(A103,3),'الإعدادات واللجنة'!$A$24:$A$32,0)),"")</f>
        <v>د. يثرب بنت سعد القحطاني</v>
      </c>
      <c r="I103" s="55"/>
      <c r="J103" s="55"/>
      <c r="K103" s="54" t="str">
        <f t="shared" si="1"/>
        <v/>
      </c>
      <c r="L103" s="56"/>
      <c r="M103" s="55"/>
      <c r="N103" s="56"/>
      <c r="O103" s="56"/>
      <c r="P103" s="55"/>
      <c r="Q103" s="56"/>
      <c r="R103" s="26" t="str">
        <f>IF($I103="","",$I103&amp;"#"&amp;COUNTIF($I$5:$I103,$I103))</f>
        <v/>
      </c>
    </row>
    <row r="104" spans="1:18" ht="44" x14ac:dyDescent="0.55000000000000004">
      <c r="A104" s="46" t="s">
        <v>355</v>
      </c>
      <c r="B104" s="63" t="s">
        <v>126</v>
      </c>
      <c r="C104" s="44"/>
      <c r="D104" s="45"/>
      <c r="E104" s="46">
        <v>2</v>
      </c>
      <c r="F104" s="44" t="s">
        <v>338</v>
      </c>
      <c r="G104" s="47" t="s">
        <v>498</v>
      </c>
      <c r="H104" s="46" t="str">
        <f>IFERROR(INDEX('الإعدادات واللجنة'!$C$24:$C$32,MATCH(LEFT(A104,3),'الإعدادات واللجنة'!$A$24:$A$32,0)),"")</f>
        <v>د. يثرب بنت سعد القحطاني</v>
      </c>
      <c r="I104" s="38"/>
      <c r="J104" s="38"/>
      <c r="K104" s="46" t="str">
        <f t="shared" si="1"/>
        <v/>
      </c>
      <c r="L104" s="48"/>
      <c r="M104" s="38"/>
      <c r="N104" s="48"/>
      <c r="O104" s="48"/>
      <c r="P104" s="38"/>
      <c r="Q104" s="48"/>
      <c r="R104" s="26" t="str">
        <f>IF($I104="","",$I104&amp;"#"&amp;COUNTIF($I$5:$I104,$I104))</f>
        <v/>
      </c>
    </row>
    <row r="105" spans="1:18" ht="66" x14ac:dyDescent="0.55000000000000004">
      <c r="A105" s="60" t="s">
        <v>361</v>
      </c>
      <c r="B105" s="66" t="s">
        <v>126</v>
      </c>
      <c r="C105" s="61" t="s">
        <v>356</v>
      </c>
      <c r="D105" s="62"/>
      <c r="E105" s="54">
        <v>1</v>
      </c>
      <c r="F105" s="61" t="s">
        <v>357</v>
      </c>
      <c r="G105" s="53" t="s">
        <v>498</v>
      </c>
      <c r="H105" s="54" t="str">
        <f>IFERROR(INDEX('الإعدادات واللجنة'!$C$24:$C$32,MATCH(LEFT(A105,3),'الإعدادات واللجنة'!$A$24:$A$32,0)),"")</f>
        <v>د. يثرب بنت سعد القحطاني</v>
      </c>
      <c r="I105" s="55"/>
      <c r="J105" s="55"/>
      <c r="K105" s="54" t="str">
        <f t="shared" si="1"/>
        <v/>
      </c>
      <c r="L105" s="56"/>
      <c r="M105" s="55"/>
      <c r="N105" s="56"/>
      <c r="O105" s="56"/>
      <c r="P105" s="55"/>
      <c r="Q105" s="56"/>
      <c r="R105" s="26" t="str">
        <f>IF($I105="","",$I105&amp;"#"&amp;COUNTIF($I$5:$I105,$I105))</f>
        <v/>
      </c>
    </row>
    <row r="106" spans="1:18" ht="44" x14ac:dyDescent="0.55000000000000004">
      <c r="A106" s="46" t="s">
        <v>361</v>
      </c>
      <c r="B106" s="63" t="s">
        <v>126</v>
      </c>
      <c r="C106" s="44"/>
      <c r="D106" s="45"/>
      <c r="E106" s="46">
        <v>2</v>
      </c>
      <c r="F106" s="44" t="s">
        <v>358</v>
      </c>
      <c r="G106" s="47" t="s">
        <v>498</v>
      </c>
      <c r="H106" s="46" t="str">
        <f>IFERROR(INDEX('الإعدادات واللجنة'!$C$24:$C$32,MATCH(LEFT(A106,3),'الإعدادات واللجنة'!$A$24:$A$32,0)),"")</f>
        <v>د. يثرب بنت سعد القحطاني</v>
      </c>
      <c r="I106" s="38"/>
      <c r="J106" s="38"/>
      <c r="K106" s="46" t="str">
        <f t="shared" si="1"/>
        <v/>
      </c>
      <c r="L106" s="48"/>
      <c r="M106" s="38"/>
      <c r="N106" s="48"/>
      <c r="O106" s="48"/>
      <c r="P106" s="38"/>
      <c r="Q106" s="48"/>
      <c r="R106" s="26" t="str">
        <f>IF($I106="","",$I106&amp;"#"&amp;COUNTIF($I$5:$I106,$I106))</f>
        <v/>
      </c>
    </row>
    <row r="107" spans="1:18" ht="44" x14ac:dyDescent="0.55000000000000004">
      <c r="A107" s="46" t="s">
        <v>361</v>
      </c>
      <c r="B107" s="63" t="s">
        <v>126</v>
      </c>
      <c r="C107" s="44"/>
      <c r="D107" s="45"/>
      <c r="E107" s="46">
        <v>3</v>
      </c>
      <c r="F107" s="44" t="s">
        <v>359</v>
      </c>
      <c r="G107" s="47" t="s">
        <v>498</v>
      </c>
      <c r="H107" s="46" t="str">
        <f>IFERROR(INDEX('الإعدادات واللجنة'!$C$24:$C$32,MATCH(LEFT(A107,3),'الإعدادات واللجنة'!$A$24:$A$32,0)),"")</f>
        <v>د. يثرب بنت سعد القحطاني</v>
      </c>
      <c r="I107" s="38"/>
      <c r="J107" s="38"/>
      <c r="K107" s="46" t="str">
        <f t="shared" si="1"/>
        <v/>
      </c>
      <c r="L107" s="48"/>
      <c r="M107" s="38"/>
      <c r="N107" s="48"/>
      <c r="O107" s="48"/>
      <c r="P107" s="38"/>
      <c r="Q107" s="48"/>
      <c r="R107" s="26" t="str">
        <f>IF($I107="","",$I107&amp;"#"&amp;COUNTIF($I$5:$I107,$I107))</f>
        <v/>
      </c>
    </row>
    <row r="108" spans="1:18" ht="44" x14ac:dyDescent="0.55000000000000004">
      <c r="A108" s="46" t="s">
        <v>361</v>
      </c>
      <c r="B108" s="63" t="s">
        <v>126</v>
      </c>
      <c r="C108" s="44"/>
      <c r="D108" s="45"/>
      <c r="E108" s="46">
        <v>4</v>
      </c>
      <c r="F108" s="44" t="s">
        <v>360</v>
      </c>
      <c r="G108" s="47" t="s">
        <v>498</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88" x14ac:dyDescent="0.55000000000000004">
      <c r="A109" s="60" t="s">
        <v>366</v>
      </c>
      <c r="B109" s="66" t="s">
        <v>126</v>
      </c>
      <c r="C109" s="61" t="s">
        <v>362</v>
      </c>
      <c r="D109" s="62"/>
      <c r="E109" s="54">
        <v>1</v>
      </c>
      <c r="F109" s="61" t="s">
        <v>363</v>
      </c>
      <c r="G109" s="53" t="s">
        <v>498</v>
      </c>
      <c r="H109" s="54" t="str">
        <f>IFERROR(INDEX('الإعدادات واللجنة'!$C$24:$C$32,MATCH(LEFT(A109,3),'الإعدادات واللجنة'!$A$24:$A$32,0)),"")</f>
        <v>د. يثرب بنت سعد القحطاني</v>
      </c>
      <c r="I109" s="55"/>
      <c r="J109" s="55"/>
      <c r="K109" s="54" t="str">
        <f t="shared" si="1"/>
        <v/>
      </c>
      <c r="L109" s="56"/>
      <c r="M109" s="55"/>
      <c r="N109" s="56"/>
      <c r="O109" s="56"/>
      <c r="P109" s="55"/>
      <c r="Q109" s="56"/>
      <c r="R109" s="26" t="str">
        <f>IF($I109="","",$I109&amp;"#"&amp;COUNTIF($I$5:$I109,$I109))</f>
        <v/>
      </c>
    </row>
    <row r="110" spans="1:18" ht="66" x14ac:dyDescent="0.55000000000000004">
      <c r="A110" s="46" t="s">
        <v>366</v>
      </c>
      <c r="B110" s="63" t="s">
        <v>126</v>
      </c>
      <c r="C110" s="44"/>
      <c r="D110" s="45"/>
      <c r="E110" s="46">
        <v>2</v>
      </c>
      <c r="F110" s="44" t="s">
        <v>364</v>
      </c>
      <c r="G110" s="47" t="s">
        <v>498</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46" t="s">
        <v>366</v>
      </c>
      <c r="B111" s="63" t="s">
        <v>126</v>
      </c>
      <c r="C111" s="44"/>
      <c r="D111" s="45"/>
      <c r="E111" s="46">
        <v>3</v>
      </c>
      <c r="F111" s="44" t="s">
        <v>365</v>
      </c>
      <c r="G111" s="47" t="s">
        <v>498</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44" x14ac:dyDescent="0.55000000000000004">
      <c r="A112" s="60" t="s">
        <v>371</v>
      </c>
      <c r="B112" s="66" t="s">
        <v>126</v>
      </c>
      <c r="C112" s="61" t="s">
        <v>367</v>
      </c>
      <c r="D112" s="62"/>
      <c r="E112" s="54">
        <v>1</v>
      </c>
      <c r="F112" s="61" t="s">
        <v>368</v>
      </c>
      <c r="G112" s="53" t="s">
        <v>498</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371</v>
      </c>
      <c r="B113" s="63" t="s">
        <v>126</v>
      </c>
      <c r="C113" s="44"/>
      <c r="D113" s="45"/>
      <c r="E113" s="46">
        <v>2</v>
      </c>
      <c r="F113" s="44" t="s">
        <v>369</v>
      </c>
      <c r="G113" s="47" t="s">
        <v>498</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371</v>
      </c>
      <c r="B114" s="63" t="s">
        <v>126</v>
      </c>
      <c r="C114" s="44"/>
      <c r="D114" s="45"/>
      <c r="E114" s="46">
        <v>3</v>
      </c>
      <c r="F114" s="44" t="s">
        <v>370</v>
      </c>
      <c r="G114" s="47" t="s">
        <v>498</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60" t="s">
        <v>378</v>
      </c>
      <c r="B115" s="66" t="s">
        <v>126</v>
      </c>
      <c r="C115" s="61" t="s">
        <v>372</v>
      </c>
      <c r="D115" s="62"/>
      <c r="E115" s="54">
        <v>1</v>
      </c>
      <c r="F115" s="61" t="s">
        <v>373</v>
      </c>
      <c r="G115" s="53" t="s">
        <v>498</v>
      </c>
      <c r="H115" s="54" t="str">
        <f>IFERROR(INDEX('الإعدادات واللجنة'!$C$24:$C$32,MATCH(LEFT(A115,3),'الإعدادات واللجنة'!$A$24:$A$32,0)),"")</f>
        <v>د. يثرب بنت سعد القحطاني</v>
      </c>
      <c r="I115" s="55"/>
      <c r="J115" s="55"/>
      <c r="K115" s="54" t="str">
        <f t="shared" si="1"/>
        <v/>
      </c>
      <c r="L115" s="56"/>
      <c r="M115" s="55"/>
      <c r="N115" s="56"/>
      <c r="O115" s="56"/>
      <c r="P115" s="55"/>
      <c r="Q115" s="56"/>
      <c r="R115" s="26" t="str">
        <f>IF($I115="","",$I115&amp;"#"&amp;COUNTIF($I$5:$I115,$I115))</f>
        <v/>
      </c>
    </row>
    <row r="116" spans="1:18" ht="44" x14ac:dyDescent="0.55000000000000004">
      <c r="A116" s="46" t="s">
        <v>378</v>
      </c>
      <c r="B116" s="63" t="s">
        <v>126</v>
      </c>
      <c r="C116" s="44"/>
      <c r="D116" s="45"/>
      <c r="E116" s="46">
        <v>2</v>
      </c>
      <c r="F116" s="44" t="s">
        <v>374</v>
      </c>
      <c r="G116" s="47" t="s">
        <v>498</v>
      </c>
      <c r="H116" s="46" t="str">
        <f>IFERROR(INDEX('الإعدادات واللجنة'!$C$24:$C$32,MATCH(LEFT(A116,3),'الإعدادات واللجنة'!$A$24:$A$32,0)),"")</f>
        <v>د. يثرب بنت سعد القحطاني</v>
      </c>
      <c r="I116" s="38"/>
      <c r="J116" s="38"/>
      <c r="K116" s="46" t="str">
        <f t="shared" si="1"/>
        <v/>
      </c>
      <c r="L116" s="48"/>
      <c r="M116" s="38"/>
      <c r="N116" s="48"/>
      <c r="O116" s="48"/>
      <c r="P116" s="38"/>
      <c r="Q116" s="48"/>
      <c r="R116" s="26" t="str">
        <f>IF($I116="","",$I116&amp;"#"&amp;COUNTIF($I$5:$I116,$I116))</f>
        <v/>
      </c>
    </row>
    <row r="117" spans="1:18" ht="44" x14ac:dyDescent="0.55000000000000004">
      <c r="A117" s="46" t="s">
        <v>378</v>
      </c>
      <c r="B117" s="63" t="s">
        <v>126</v>
      </c>
      <c r="C117" s="44"/>
      <c r="D117" s="45"/>
      <c r="E117" s="46">
        <v>3</v>
      </c>
      <c r="F117" s="44" t="s">
        <v>375</v>
      </c>
      <c r="G117" s="47" t="s">
        <v>498</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378</v>
      </c>
      <c r="B118" s="63" t="s">
        <v>126</v>
      </c>
      <c r="C118" s="44"/>
      <c r="D118" s="45"/>
      <c r="E118" s="46">
        <v>4</v>
      </c>
      <c r="F118" s="44" t="s">
        <v>376</v>
      </c>
      <c r="G118" s="47" t="s">
        <v>498</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46" t="s">
        <v>378</v>
      </c>
      <c r="B119" s="63" t="s">
        <v>126</v>
      </c>
      <c r="C119" s="44"/>
      <c r="D119" s="45"/>
      <c r="E119" s="46">
        <v>5</v>
      </c>
      <c r="F119" s="44" t="s">
        <v>377</v>
      </c>
      <c r="G119" s="47" t="s">
        <v>498</v>
      </c>
      <c r="H119" s="46" t="str">
        <f>IFERROR(INDEX('الإعدادات واللجنة'!$C$24:$C$32,MATCH(LEFT(A119,3),'الإعدادات واللجنة'!$A$24:$A$32,0)),"")</f>
        <v>د. يثرب بنت سعد القحطاني</v>
      </c>
      <c r="I119" s="38"/>
      <c r="J119" s="38"/>
      <c r="K119" s="46" t="str">
        <f t="shared" si="1"/>
        <v/>
      </c>
      <c r="L119" s="48"/>
      <c r="M119" s="38"/>
      <c r="N119" s="48"/>
      <c r="O119" s="48"/>
      <c r="P119" s="38"/>
      <c r="Q119" s="48"/>
      <c r="R119" s="26" t="str">
        <f>IF($I119="","",$I119&amp;"#"&amp;COUNTIF($I$5:$I119,$I119))</f>
        <v/>
      </c>
    </row>
    <row r="120" spans="1:18" ht="66" x14ac:dyDescent="0.55000000000000004">
      <c r="A120" s="49" t="s">
        <v>500</v>
      </c>
      <c r="B120" s="64" t="s">
        <v>126</v>
      </c>
      <c r="C120" s="50" t="s">
        <v>379</v>
      </c>
      <c r="D120" s="51" t="s">
        <v>208</v>
      </c>
      <c r="E120" s="52">
        <v>1</v>
      </c>
      <c r="F120" s="50" t="s">
        <v>380</v>
      </c>
      <c r="G120" s="53" t="s">
        <v>498</v>
      </c>
      <c r="H120" s="54" t="str">
        <f>IFERROR(INDEX('الإعدادات واللجنة'!$C$24:$C$32,MATCH(LEFT(A120,3),'الإعدادات واللجنة'!$A$24:$A$32,0)),"")</f>
        <v>د. يثرب بنت سعد القحطاني</v>
      </c>
      <c r="I120" s="55"/>
      <c r="J120" s="55"/>
      <c r="K120" s="54" t="str">
        <f t="shared" si="1"/>
        <v/>
      </c>
      <c r="L120" s="56"/>
      <c r="M120" s="55"/>
      <c r="N120" s="56"/>
      <c r="O120" s="56"/>
      <c r="P120" s="55"/>
      <c r="Q120" s="56"/>
      <c r="R120" s="26" t="str">
        <f>IF($I120="","",$I120&amp;"#"&amp;COUNTIF($I$5:$I120,$I120))</f>
        <v/>
      </c>
    </row>
    <row r="121" spans="1:18" ht="44" x14ac:dyDescent="0.55000000000000004">
      <c r="A121" s="57" t="s">
        <v>500</v>
      </c>
      <c r="B121" s="65" t="s">
        <v>126</v>
      </c>
      <c r="C121" s="58"/>
      <c r="D121" s="59" t="s">
        <v>208</v>
      </c>
      <c r="E121" s="57">
        <v>2</v>
      </c>
      <c r="F121" s="58" t="s">
        <v>381</v>
      </c>
      <c r="G121" s="47" t="s">
        <v>498</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57" t="s">
        <v>500</v>
      </c>
      <c r="B122" s="65" t="s">
        <v>126</v>
      </c>
      <c r="C122" s="58"/>
      <c r="D122" s="59" t="s">
        <v>208</v>
      </c>
      <c r="E122" s="57">
        <v>3</v>
      </c>
      <c r="F122" s="58" t="s">
        <v>382</v>
      </c>
      <c r="G122" s="47" t="s">
        <v>498</v>
      </c>
      <c r="H122" s="46" t="str">
        <f>IFERROR(INDEX('الإعدادات واللجنة'!$C$24:$C$32,MATCH(LEFT(A122,3),'الإعدادات واللجنة'!$A$24:$A$32,0)),"")</f>
        <v>د. يثرب بنت سعد القحطاني</v>
      </c>
      <c r="I122" s="38"/>
      <c r="J122" s="38"/>
      <c r="K122" s="46" t="str">
        <f t="shared" si="1"/>
        <v/>
      </c>
      <c r="L122" s="48"/>
      <c r="M122" s="38"/>
      <c r="N122" s="48"/>
      <c r="O122" s="48"/>
      <c r="P122" s="38"/>
      <c r="Q122" s="48"/>
      <c r="R122" s="26" t="str">
        <f>IF($I122="","",$I122&amp;"#"&amp;COUNTIF($I$5:$I122,$I122))</f>
        <v/>
      </c>
    </row>
    <row r="123" spans="1:18" ht="44" x14ac:dyDescent="0.55000000000000004">
      <c r="A123" s="57" t="s">
        <v>500</v>
      </c>
      <c r="B123" s="65" t="s">
        <v>126</v>
      </c>
      <c r="C123" s="58"/>
      <c r="D123" s="59" t="s">
        <v>208</v>
      </c>
      <c r="E123" s="57">
        <v>4</v>
      </c>
      <c r="F123" s="58" t="s">
        <v>383</v>
      </c>
      <c r="G123" s="47" t="s">
        <v>498</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57" t="s">
        <v>500</v>
      </c>
      <c r="B124" s="65" t="s">
        <v>126</v>
      </c>
      <c r="C124" s="58"/>
      <c r="D124" s="59" t="s">
        <v>208</v>
      </c>
      <c r="E124" s="57">
        <v>5</v>
      </c>
      <c r="F124" s="58" t="s">
        <v>384</v>
      </c>
      <c r="G124" s="47" t="s">
        <v>498</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66" x14ac:dyDescent="0.55000000000000004">
      <c r="A125" s="60" t="s">
        <v>385</v>
      </c>
      <c r="B125" s="66" t="s">
        <v>127</v>
      </c>
      <c r="C125" s="61" t="s">
        <v>386</v>
      </c>
      <c r="D125" s="62"/>
      <c r="E125" s="54">
        <v>1</v>
      </c>
      <c r="F125" s="61" t="s">
        <v>387</v>
      </c>
      <c r="G125" s="53" t="s">
        <v>498</v>
      </c>
      <c r="H125" s="54" t="str">
        <f>IFERROR(INDEX('الإعدادات واللجنة'!$C$24:$C$32,MATCH(LEFT(A125,3),'الإعدادات واللجنة'!$A$24:$A$32,0)),"")</f>
        <v>د. عبدالله بن محمد البركاتي</v>
      </c>
      <c r="I125" s="55"/>
      <c r="J125" s="55"/>
      <c r="K125" s="54" t="str">
        <f t="shared" si="1"/>
        <v/>
      </c>
      <c r="L125" s="56"/>
      <c r="M125" s="55"/>
      <c r="N125" s="56"/>
      <c r="O125" s="56"/>
      <c r="P125" s="55"/>
      <c r="Q125" s="56"/>
      <c r="R125" s="26" t="str">
        <f>IF($I125="","",$I125&amp;"#"&amp;COUNTIF($I$5:$I125,$I125))</f>
        <v/>
      </c>
    </row>
    <row r="126" spans="1:18" ht="44" x14ac:dyDescent="0.55000000000000004">
      <c r="A126" s="46" t="s">
        <v>385</v>
      </c>
      <c r="B126" s="63" t="s">
        <v>127</v>
      </c>
      <c r="C126" s="44"/>
      <c r="D126" s="45"/>
      <c r="E126" s="46">
        <v>2</v>
      </c>
      <c r="F126" s="44" t="s">
        <v>388</v>
      </c>
      <c r="G126" s="47" t="s">
        <v>498</v>
      </c>
      <c r="H126" s="46" t="str">
        <f>IFERROR(INDEX('الإعدادات واللجنة'!$C$24:$C$32,MATCH(LEFT(A126,3),'الإعدادات واللجنة'!$A$24:$A$32,0)),"")</f>
        <v>د. عبدالله بن محمد البركاتي</v>
      </c>
      <c r="I126" s="38"/>
      <c r="J126" s="38"/>
      <c r="K126" s="46" t="str">
        <f t="shared" si="1"/>
        <v/>
      </c>
      <c r="L126" s="48"/>
      <c r="M126" s="38"/>
      <c r="N126" s="48"/>
      <c r="O126" s="48"/>
      <c r="P126" s="38"/>
      <c r="Q126" s="48"/>
      <c r="R126" s="26" t="str">
        <f>IF($I126="","",$I126&amp;"#"&amp;COUNTIF($I$5:$I126,$I126))</f>
        <v/>
      </c>
    </row>
    <row r="127" spans="1:18" ht="44" x14ac:dyDescent="0.55000000000000004">
      <c r="A127" s="46" t="s">
        <v>385</v>
      </c>
      <c r="B127" s="63" t="s">
        <v>127</v>
      </c>
      <c r="C127" s="44"/>
      <c r="D127" s="45"/>
      <c r="E127" s="46">
        <v>3</v>
      </c>
      <c r="F127" s="44" t="s">
        <v>389</v>
      </c>
      <c r="G127" s="47" t="s">
        <v>498</v>
      </c>
      <c r="H127" s="46" t="str">
        <f>IFERROR(INDEX('الإعدادات واللجنة'!$C$24:$C$32,MATCH(LEFT(A127,3),'الإعدادات واللجنة'!$A$24:$A$32,0)),"")</f>
        <v>د. عبدالله بن محمد البركاتي</v>
      </c>
      <c r="I127" s="38"/>
      <c r="J127" s="38"/>
      <c r="K127" s="46" t="str">
        <f t="shared" si="1"/>
        <v/>
      </c>
      <c r="L127" s="48"/>
      <c r="M127" s="38"/>
      <c r="N127" s="48"/>
      <c r="O127" s="48"/>
      <c r="P127" s="38"/>
      <c r="Q127" s="48"/>
      <c r="R127" s="26" t="str">
        <f>IF($I127="","",$I127&amp;"#"&amp;COUNTIF($I$5:$I127,$I127))</f>
        <v/>
      </c>
    </row>
    <row r="128" spans="1:18" ht="44" x14ac:dyDescent="0.55000000000000004">
      <c r="A128" s="46" t="s">
        <v>385</v>
      </c>
      <c r="B128" s="63" t="s">
        <v>127</v>
      </c>
      <c r="C128" s="44"/>
      <c r="D128" s="45"/>
      <c r="E128" s="46">
        <v>4</v>
      </c>
      <c r="F128" s="44" t="s">
        <v>390</v>
      </c>
      <c r="G128" s="47" t="s">
        <v>498</v>
      </c>
      <c r="H128" s="46" t="str">
        <f>IFERROR(INDEX('الإعدادات واللجنة'!$C$24:$C$32,MATCH(LEFT(A128,3),'الإعدادات واللجنة'!$A$24:$A$32,0)),"")</f>
        <v>د. عبدالله بن محمد البركاتي</v>
      </c>
      <c r="I128" s="38"/>
      <c r="J128" s="38"/>
      <c r="K128" s="46" t="str">
        <f t="shared" si="1"/>
        <v/>
      </c>
      <c r="L128" s="48"/>
      <c r="M128" s="38"/>
      <c r="N128" s="48"/>
      <c r="O128" s="48"/>
      <c r="P128" s="38"/>
      <c r="Q128" s="48"/>
      <c r="R128" s="26" t="str">
        <f>IF($I128="","",$I128&amp;"#"&amp;COUNTIF($I$5:$I128,$I128))</f>
        <v/>
      </c>
    </row>
    <row r="129" spans="1:18" ht="44" x14ac:dyDescent="0.55000000000000004">
      <c r="A129" s="46" t="s">
        <v>385</v>
      </c>
      <c r="B129" s="63" t="s">
        <v>127</v>
      </c>
      <c r="C129" s="44"/>
      <c r="D129" s="45"/>
      <c r="E129" s="46">
        <v>5</v>
      </c>
      <c r="F129" s="44" t="s">
        <v>391</v>
      </c>
      <c r="G129" s="47" t="s">
        <v>498</v>
      </c>
      <c r="H129" s="46" t="str">
        <f>IFERROR(INDEX('الإعدادات واللجنة'!$C$24:$C$32,MATCH(LEFT(A129,3),'الإعدادات واللجنة'!$A$24:$A$32,0)),"")</f>
        <v>د. عبدالله بن محمد البركاتي</v>
      </c>
      <c r="I129" s="38"/>
      <c r="J129" s="38"/>
      <c r="K129" s="46" t="str">
        <f t="shared" si="1"/>
        <v/>
      </c>
      <c r="L129" s="48"/>
      <c r="M129" s="38"/>
      <c r="N129" s="48"/>
      <c r="O129" s="48"/>
      <c r="P129" s="38"/>
      <c r="Q129" s="48"/>
      <c r="R129" s="26" t="str">
        <f>IF($I129="","",$I129&amp;"#"&amp;COUNTIF($I$5:$I129,$I129))</f>
        <v/>
      </c>
    </row>
    <row r="130" spans="1:18" ht="66" x14ac:dyDescent="0.55000000000000004">
      <c r="A130" s="60" t="s">
        <v>392</v>
      </c>
      <c r="B130" s="66" t="s">
        <v>127</v>
      </c>
      <c r="C130" s="61" t="s">
        <v>393</v>
      </c>
      <c r="D130" s="62"/>
      <c r="E130" s="54">
        <v>1</v>
      </c>
      <c r="F130" s="61" t="s">
        <v>394</v>
      </c>
      <c r="G130" s="53" t="s">
        <v>498</v>
      </c>
      <c r="H130" s="54" t="str">
        <f>IFERROR(INDEX('الإعدادات واللجنة'!$C$24:$C$32,MATCH(LEFT(A130,3),'الإعدادات واللجنة'!$A$24:$A$32,0)),"")</f>
        <v>د. عبدالله بن محمد البركاتي</v>
      </c>
      <c r="I130" s="55"/>
      <c r="J130" s="55"/>
      <c r="K130" s="54" t="str">
        <f t="shared" si="1"/>
        <v/>
      </c>
      <c r="L130" s="56"/>
      <c r="M130" s="55"/>
      <c r="N130" s="56"/>
      <c r="O130" s="56"/>
      <c r="P130" s="55"/>
      <c r="Q130" s="56"/>
      <c r="R130" s="26" t="str">
        <f>IF($I130="","",$I130&amp;"#"&amp;COUNTIF($I$5:$I130,$I130))</f>
        <v/>
      </c>
    </row>
    <row r="131" spans="1:18" ht="44" x14ac:dyDescent="0.55000000000000004">
      <c r="A131" s="46" t="s">
        <v>392</v>
      </c>
      <c r="B131" s="63" t="s">
        <v>127</v>
      </c>
      <c r="C131" s="44"/>
      <c r="D131" s="45"/>
      <c r="E131" s="46">
        <v>2</v>
      </c>
      <c r="F131" s="44" t="s">
        <v>395</v>
      </c>
      <c r="G131" s="47" t="s">
        <v>498</v>
      </c>
      <c r="H131" s="46" t="str">
        <f>IFERROR(INDEX('الإعدادات واللجنة'!$C$24:$C$32,MATCH(LEFT(A131,3),'الإعدادات واللجنة'!$A$24:$A$32,0)),"")</f>
        <v>د. عبدالله بن محمد البركاتي</v>
      </c>
      <c r="I131" s="38"/>
      <c r="J131" s="38"/>
      <c r="K131" s="46" t="str">
        <f t="shared" si="1"/>
        <v/>
      </c>
      <c r="L131" s="48"/>
      <c r="M131" s="38"/>
      <c r="N131" s="48"/>
      <c r="O131" s="48"/>
      <c r="P131" s="38"/>
      <c r="Q131" s="48"/>
      <c r="R131" s="26" t="str">
        <f>IF($I131="","",$I131&amp;"#"&amp;COUNTIF($I$5:$I131,$I131))</f>
        <v/>
      </c>
    </row>
    <row r="132" spans="1:18" ht="44" x14ac:dyDescent="0.55000000000000004">
      <c r="A132" s="46" t="s">
        <v>392</v>
      </c>
      <c r="B132" s="63" t="s">
        <v>127</v>
      </c>
      <c r="C132" s="44"/>
      <c r="D132" s="45"/>
      <c r="E132" s="46">
        <v>3</v>
      </c>
      <c r="F132" s="44" t="s">
        <v>396</v>
      </c>
      <c r="G132" s="47" t="s">
        <v>498</v>
      </c>
      <c r="H132" s="46" t="str">
        <f>IFERROR(INDEX('الإعدادات واللجنة'!$C$24:$C$32,MATCH(LEFT(A132,3),'الإعدادات واللجنة'!$A$24:$A$32,0)),"")</f>
        <v>د. عبدالله بن محمد البركاتي</v>
      </c>
      <c r="I132" s="38"/>
      <c r="J132" s="38"/>
      <c r="K132" s="46" t="str">
        <f t="shared" si="1"/>
        <v/>
      </c>
      <c r="L132" s="48"/>
      <c r="M132" s="38"/>
      <c r="N132" s="48"/>
      <c r="O132" s="48"/>
      <c r="P132" s="38"/>
      <c r="Q132" s="48"/>
      <c r="R132" s="26" t="str">
        <f>IF($I132="","",$I132&amp;"#"&amp;COUNTIF($I$5:$I132,$I132))</f>
        <v/>
      </c>
    </row>
    <row r="133" spans="1:18" ht="66" x14ac:dyDescent="0.55000000000000004">
      <c r="A133" s="49" t="s">
        <v>397</v>
      </c>
      <c r="B133" s="64" t="s">
        <v>127</v>
      </c>
      <c r="C133" s="50" t="s">
        <v>398</v>
      </c>
      <c r="D133" s="51" t="s">
        <v>208</v>
      </c>
      <c r="E133" s="52">
        <v>1</v>
      </c>
      <c r="F133" s="50" t="s">
        <v>399</v>
      </c>
      <c r="G133" s="53" t="s">
        <v>498</v>
      </c>
      <c r="H133" s="54" t="str">
        <f>IFERROR(INDEX('الإعدادات واللجنة'!$C$24:$C$32,MATCH(LEFT(A133,3),'الإعدادات واللجنة'!$A$24:$A$32,0)),"")</f>
        <v>د. عبدالله بن محمد البركاتي</v>
      </c>
      <c r="I133" s="55"/>
      <c r="J133" s="55"/>
      <c r="K133" s="54" t="str">
        <f t="shared" ref="K133:K196" si="2">IF(OR(I133="",I133="متوفر ومكتمل"),"",IF(OR(D133="★",I133="غير متوفر"),"عالية","متوسطة"))</f>
        <v/>
      </c>
      <c r="L133" s="56"/>
      <c r="M133" s="55"/>
      <c r="N133" s="56"/>
      <c r="O133" s="56"/>
      <c r="P133" s="55"/>
      <c r="Q133" s="56"/>
      <c r="R133" s="26" t="str">
        <f>IF($I133="","",$I133&amp;"#"&amp;COUNTIF($I$5:$I133,$I133))</f>
        <v/>
      </c>
    </row>
    <row r="134" spans="1:18" ht="44" x14ac:dyDescent="0.55000000000000004">
      <c r="A134" s="57" t="s">
        <v>397</v>
      </c>
      <c r="B134" s="65" t="s">
        <v>127</v>
      </c>
      <c r="C134" s="58"/>
      <c r="D134" s="59" t="s">
        <v>208</v>
      </c>
      <c r="E134" s="57">
        <v>2</v>
      </c>
      <c r="F134" s="58" t="s">
        <v>400</v>
      </c>
      <c r="G134" s="47" t="s">
        <v>498</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57" t="s">
        <v>397</v>
      </c>
      <c r="B135" s="65" t="s">
        <v>127</v>
      </c>
      <c r="C135" s="58"/>
      <c r="D135" s="59" t="s">
        <v>208</v>
      </c>
      <c r="E135" s="57">
        <v>3</v>
      </c>
      <c r="F135" s="58" t="s">
        <v>401</v>
      </c>
      <c r="G135" s="47" t="s">
        <v>498</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57" t="s">
        <v>397</v>
      </c>
      <c r="B136" s="65" t="s">
        <v>127</v>
      </c>
      <c r="C136" s="58"/>
      <c r="D136" s="59" t="s">
        <v>208</v>
      </c>
      <c r="E136" s="57">
        <v>4</v>
      </c>
      <c r="F136" s="58" t="s">
        <v>402</v>
      </c>
      <c r="G136" s="47" t="s">
        <v>498</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57" t="s">
        <v>397</v>
      </c>
      <c r="B137" s="65" t="s">
        <v>127</v>
      </c>
      <c r="C137" s="58"/>
      <c r="D137" s="59" t="s">
        <v>208</v>
      </c>
      <c r="E137" s="57">
        <v>5</v>
      </c>
      <c r="F137" s="58" t="s">
        <v>403</v>
      </c>
      <c r="G137" s="47" t="s">
        <v>498</v>
      </c>
      <c r="H137" s="46" t="str">
        <f>IFERROR(INDEX('الإعدادات واللجنة'!$C$24:$C$32,MATCH(LEFT(A137,3),'الإعدادات واللجنة'!$A$24:$A$32,0)),"")</f>
        <v>د. عبدالله بن محمد البركاتي</v>
      </c>
      <c r="I137" s="38"/>
      <c r="J137" s="38"/>
      <c r="K137" s="46" t="str">
        <f t="shared" si="2"/>
        <v/>
      </c>
      <c r="L137" s="48"/>
      <c r="M137" s="38"/>
      <c r="N137" s="48"/>
      <c r="O137" s="48"/>
      <c r="P137" s="38"/>
      <c r="Q137" s="48"/>
      <c r="R137" s="26" t="str">
        <f>IF($I137="","",$I137&amp;"#"&amp;COUNTIF($I$5:$I137,$I137))</f>
        <v/>
      </c>
    </row>
    <row r="138" spans="1:18" ht="44" x14ac:dyDescent="0.55000000000000004">
      <c r="A138" s="57" t="s">
        <v>397</v>
      </c>
      <c r="B138" s="65" t="s">
        <v>127</v>
      </c>
      <c r="C138" s="58"/>
      <c r="D138" s="59" t="s">
        <v>208</v>
      </c>
      <c r="E138" s="57">
        <v>6</v>
      </c>
      <c r="F138" s="58" t="s">
        <v>404</v>
      </c>
      <c r="G138" s="47" t="s">
        <v>498</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57" t="s">
        <v>397</v>
      </c>
      <c r="B139" s="65" t="s">
        <v>127</v>
      </c>
      <c r="C139" s="58"/>
      <c r="D139" s="59" t="s">
        <v>208</v>
      </c>
      <c r="E139" s="57">
        <v>7</v>
      </c>
      <c r="F139" s="58" t="s">
        <v>405</v>
      </c>
      <c r="G139" s="47" t="s">
        <v>498</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60" t="s">
        <v>406</v>
      </c>
      <c r="B140" s="66" t="s">
        <v>127</v>
      </c>
      <c r="C140" s="61" t="s">
        <v>407</v>
      </c>
      <c r="D140" s="62"/>
      <c r="E140" s="54">
        <v>1</v>
      </c>
      <c r="F140" s="61" t="s">
        <v>408</v>
      </c>
      <c r="G140" s="53" t="s">
        <v>498</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46" t="s">
        <v>406</v>
      </c>
      <c r="B141" s="63" t="s">
        <v>127</v>
      </c>
      <c r="C141" s="44"/>
      <c r="D141" s="45"/>
      <c r="E141" s="46">
        <v>2</v>
      </c>
      <c r="F141" s="44" t="s">
        <v>409</v>
      </c>
      <c r="G141" s="47" t="s">
        <v>498</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46" t="s">
        <v>406</v>
      </c>
      <c r="B142" s="63" t="s">
        <v>127</v>
      </c>
      <c r="C142" s="44"/>
      <c r="D142" s="45"/>
      <c r="E142" s="46">
        <v>3</v>
      </c>
      <c r="F142" s="44" t="s">
        <v>410</v>
      </c>
      <c r="G142" s="47" t="s">
        <v>498</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46" t="s">
        <v>406</v>
      </c>
      <c r="B143" s="63" t="s">
        <v>127</v>
      </c>
      <c r="C143" s="44"/>
      <c r="D143" s="45"/>
      <c r="E143" s="46">
        <v>4</v>
      </c>
      <c r="F143" s="44" t="s">
        <v>411</v>
      </c>
      <c r="G143" s="47" t="s">
        <v>498</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60" t="s">
        <v>412</v>
      </c>
      <c r="B144" s="66" t="s">
        <v>127</v>
      </c>
      <c r="C144" s="61" t="s">
        <v>419</v>
      </c>
      <c r="D144" s="62"/>
      <c r="E144" s="54">
        <v>1</v>
      </c>
      <c r="F144" s="61" t="s">
        <v>420</v>
      </c>
      <c r="G144" s="53" t="s">
        <v>498</v>
      </c>
      <c r="H144" s="54" t="str">
        <f>IFERROR(INDEX('الإعدادات واللجنة'!$C$24:$C$32,MATCH(LEFT(A144,3),'الإعدادات واللجنة'!$A$24:$A$32,0)),"")</f>
        <v>د. عبدالله بن محمد البركاتي</v>
      </c>
      <c r="I144" s="55"/>
      <c r="J144" s="55"/>
      <c r="K144" s="54" t="str">
        <f t="shared" si="2"/>
        <v/>
      </c>
      <c r="L144" s="56"/>
      <c r="M144" s="55"/>
      <c r="N144" s="56"/>
      <c r="O144" s="56"/>
      <c r="P144" s="55"/>
      <c r="Q144" s="56"/>
      <c r="R144" s="26" t="str">
        <f>IF($I144="","",$I144&amp;"#"&amp;COUNTIF($I$5:$I144,$I144))</f>
        <v/>
      </c>
    </row>
    <row r="145" spans="1:18" ht="44" x14ac:dyDescent="0.55000000000000004">
      <c r="A145" s="46" t="s">
        <v>412</v>
      </c>
      <c r="B145" s="63" t="s">
        <v>127</v>
      </c>
      <c r="C145" s="44"/>
      <c r="D145" s="45"/>
      <c r="E145" s="46">
        <v>2</v>
      </c>
      <c r="F145" s="44" t="s">
        <v>421</v>
      </c>
      <c r="G145" s="47" t="s">
        <v>498</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46" t="s">
        <v>412</v>
      </c>
      <c r="B146" s="63" t="s">
        <v>127</v>
      </c>
      <c r="C146" s="44"/>
      <c r="D146" s="45"/>
      <c r="E146" s="46">
        <v>3</v>
      </c>
      <c r="F146" s="44" t="s">
        <v>422</v>
      </c>
      <c r="G146" s="47" t="s">
        <v>498</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44" x14ac:dyDescent="0.55000000000000004">
      <c r="A147" s="46" t="s">
        <v>412</v>
      </c>
      <c r="B147" s="63" t="s">
        <v>127</v>
      </c>
      <c r="C147" s="44"/>
      <c r="D147" s="45"/>
      <c r="E147" s="46">
        <v>4</v>
      </c>
      <c r="F147" s="44" t="s">
        <v>423</v>
      </c>
      <c r="G147" s="47" t="s">
        <v>498</v>
      </c>
      <c r="H147" s="46" t="str">
        <f>IFERROR(INDEX('الإعدادات واللجنة'!$C$24:$C$32,MATCH(LEFT(A147,3),'الإعدادات واللجنة'!$A$24:$A$32,0)),"")</f>
        <v>د. عبدالله بن محمد البركاتي</v>
      </c>
      <c r="I147" s="38"/>
      <c r="J147" s="38"/>
      <c r="K147" s="46" t="str">
        <f t="shared" si="2"/>
        <v/>
      </c>
      <c r="L147" s="48"/>
      <c r="M147" s="38"/>
      <c r="N147" s="48"/>
      <c r="O147" s="48"/>
      <c r="P147" s="38"/>
      <c r="Q147" s="48"/>
      <c r="R147" s="26" t="str">
        <f>IF($I147="","",$I147&amp;"#"&amp;COUNTIF($I$5:$I147,$I147))</f>
        <v/>
      </c>
    </row>
    <row r="148" spans="1:18" ht="44" x14ac:dyDescent="0.55000000000000004">
      <c r="A148" s="46" t="s">
        <v>412</v>
      </c>
      <c r="B148" s="63" t="s">
        <v>127</v>
      </c>
      <c r="C148" s="44"/>
      <c r="D148" s="45"/>
      <c r="E148" s="46">
        <v>5</v>
      </c>
      <c r="F148" s="44" t="s">
        <v>424</v>
      </c>
      <c r="G148" s="47" t="s">
        <v>498</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412</v>
      </c>
      <c r="B149" s="63" t="s">
        <v>127</v>
      </c>
      <c r="C149" s="44"/>
      <c r="D149" s="45"/>
      <c r="E149" s="46">
        <v>6</v>
      </c>
      <c r="F149" s="44" t="s">
        <v>425</v>
      </c>
      <c r="G149" s="47" t="s">
        <v>498</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66" x14ac:dyDescent="0.55000000000000004">
      <c r="A150" s="49" t="s">
        <v>418</v>
      </c>
      <c r="B150" s="64" t="s">
        <v>127</v>
      </c>
      <c r="C150" s="50" t="s">
        <v>427</v>
      </c>
      <c r="D150" s="51" t="s">
        <v>208</v>
      </c>
      <c r="E150" s="52">
        <v>1</v>
      </c>
      <c r="F150" s="50" t="s">
        <v>428</v>
      </c>
      <c r="G150" s="53" t="s">
        <v>498</v>
      </c>
      <c r="H150" s="54" t="str">
        <f>IFERROR(INDEX('الإعدادات واللجنة'!$C$24:$C$32,MATCH(LEFT(A150,3),'الإعدادات واللجنة'!$A$24:$A$32,0)),"")</f>
        <v>د. عبدالله بن محمد البركاتي</v>
      </c>
      <c r="I150" s="55"/>
      <c r="J150" s="55"/>
      <c r="K150" s="54" t="str">
        <f t="shared" si="2"/>
        <v/>
      </c>
      <c r="L150" s="56"/>
      <c r="M150" s="55"/>
      <c r="N150" s="56"/>
      <c r="O150" s="56"/>
      <c r="P150" s="55"/>
      <c r="Q150" s="56"/>
      <c r="R150" s="26" t="str">
        <f>IF($I150="","",$I150&amp;"#"&amp;COUNTIF($I$5:$I150,$I150))</f>
        <v/>
      </c>
    </row>
    <row r="151" spans="1:18" ht="44" x14ac:dyDescent="0.55000000000000004">
      <c r="A151" s="57" t="s">
        <v>418</v>
      </c>
      <c r="B151" s="65" t="s">
        <v>127</v>
      </c>
      <c r="C151" s="58"/>
      <c r="D151" s="59" t="s">
        <v>208</v>
      </c>
      <c r="E151" s="57">
        <v>2</v>
      </c>
      <c r="F151" s="58" t="s">
        <v>429</v>
      </c>
      <c r="G151" s="47" t="s">
        <v>498</v>
      </c>
      <c r="H151" s="46" t="str">
        <f>IFERROR(INDEX('الإعدادات واللجنة'!$C$24:$C$32,MATCH(LEFT(A151,3),'الإعدادات واللجنة'!$A$24:$A$32,0)),"")</f>
        <v>د. عبدالله بن محمد البركاتي</v>
      </c>
      <c r="I151" s="38"/>
      <c r="J151" s="38"/>
      <c r="K151" s="46" t="str">
        <f t="shared" si="2"/>
        <v/>
      </c>
      <c r="L151" s="48"/>
      <c r="M151" s="38"/>
      <c r="N151" s="48"/>
      <c r="O151" s="48"/>
      <c r="P151" s="38"/>
      <c r="Q151" s="48"/>
      <c r="R151" s="26" t="str">
        <f>IF($I151="","",$I151&amp;"#"&amp;COUNTIF($I$5:$I151,$I151))</f>
        <v/>
      </c>
    </row>
    <row r="152" spans="1:18" ht="44" x14ac:dyDescent="0.55000000000000004">
      <c r="A152" s="57" t="s">
        <v>418</v>
      </c>
      <c r="B152" s="65" t="s">
        <v>127</v>
      </c>
      <c r="C152" s="58"/>
      <c r="D152" s="59" t="s">
        <v>208</v>
      </c>
      <c r="E152" s="57">
        <v>3</v>
      </c>
      <c r="F152" s="58" t="s">
        <v>430</v>
      </c>
      <c r="G152" s="47" t="s">
        <v>498</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66" x14ac:dyDescent="0.55000000000000004">
      <c r="A153" s="49" t="s">
        <v>431</v>
      </c>
      <c r="B153" s="64" t="s">
        <v>128</v>
      </c>
      <c r="C153" s="50" t="s">
        <v>432</v>
      </c>
      <c r="D153" s="51" t="s">
        <v>208</v>
      </c>
      <c r="E153" s="52">
        <v>1</v>
      </c>
      <c r="F153" s="50" t="s">
        <v>433</v>
      </c>
      <c r="G153" s="53" t="s">
        <v>498</v>
      </c>
      <c r="H153" s="54" t="str">
        <f>IFERROR(INDEX('الإعدادات واللجنة'!$C$24:$C$32,MATCH(LEFT(A153,3),'الإعدادات واللجنة'!$A$24:$A$32,0)),"")</f>
        <v>د. عمر بن محمد موسى</v>
      </c>
      <c r="I153" s="55"/>
      <c r="J153" s="55"/>
      <c r="K153" s="54" t="str">
        <f t="shared" si="2"/>
        <v/>
      </c>
      <c r="L153" s="56"/>
      <c r="M153" s="55"/>
      <c r="N153" s="56"/>
      <c r="O153" s="56"/>
      <c r="P153" s="55"/>
      <c r="Q153" s="56"/>
      <c r="R153" s="26" t="str">
        <f>IF($I153="","",$I153&amp;"#"&amp;COUNTIF($I$5:$I153,$I153))</f>
        <v/>
      </c>
    </row>
    <row r="154" spans="1:18" ht="26" x14ac:dyDescent="0.55000000000000004">
      <c r="A154" s="57" t="s">
        <v>431</v>
      </c>
      <c r="B154" s="65" t="s">
        <v>128</v>
      </c>
      <c r="C154" s="58"/>
      <c r="D154" s="59" t="s">
        <v>208</v>
      </c>
      <c r="E154" s="57">
        <v>2</v>
      </c>
      <c r="F154" s="58" t="s">
        <v>434</v>
      </c>
      <c r="G154" s="47" t="s">
        <v>498</v>
      </c>
      <c r="H154" s="46" t="str">
        <f>IFERROR(INDEX('الإعدادات واللجنة'!$C$24:$C$32,MATCH(LEFT(A154,3),'الإعدادات واللجنة'!$A$24:$A$32,0)),"")</f>
        <v>د. عمر بن محمد موسى</v>
      </c>
      <c r="I154" s="38"/>
      <c r="J154" s="38"/>
      <c r="K154" s="46" t="str">
        <f t="shared" si="2"/>
        <v/>
      </c>
      <c r="L154" s="48"/>
      <c r="M154" s="38"/>
      <c r="N154" s="48"/>
      <c r="O154" s="48"/>
      <c r="P154" s="38"/>
      <c r="Q154" s="48"/>
      <c r="R154" s="26" t="str">
        <f>IF($I154="","",$I154&amp;"#"&amp;COUNTIF($I$5:$I154,$I154))</f>
        <v/>
      </c>
    </row>
    <row r="155" spans="1:18" ht="44" x14ac:dyDescent="0.55000000000000004">
      <c r="A155" s="57" t="s">
        <v>431</v>
      </c>
      <c r="B155" s="65" t="s">
        <v>128</v>
      </c>
      <c r="C155" s="58"/>
      <c r="D155" s="59" t="s">
        <v>208</v>
      </c>
      <c r="E155" s="57">
        <v>3</v>
      </c>
      <c r="F155" s="58" t="s">
        <v>435</v>
      </c>
      <c r="G155" s="47" t="s">
        <v>498</v>
      </c>
      <c r="H155" s="46" t="str">
        <f>IFERROR(INDEX('الإعدادات واللجنة'!$C$24:$C$32,MATCH(LEFT(A155,3),'الإعدادات واللجنة'!$A$24:$A$32,0)),"")</f>
        <v>د. عمر بن محمد موسى</v>
      </c>
      <c r="I155" s="38"/>
      <c r="J155" s="38"/>
      <c r="K155" s="46" t="str">
        <f t="shared" si="2"/>
        <v/>
      </c>
      <c r="L155" s="48"/>
      <c r="M155" s="38"/>
      <c r="N155" s="48"/>
      <c r="O155" s="48"/>
      <c r="P155" s="38"/>
      <c r="Q155" s="48"/>
      <c r="R155" s="26" t="str">
        <f>IF($I155="","",$I155&amp;"#"&amp;COUNTIF($I$5:$I155,$I155))</f>
        <v/>
      </c>
    </row>
    <row r="156" spans="1:18" ht="44" x14ac:dyDescent="0.55000000000000004">
      <c r="A156" s="57" t="s">
        <v>431</v>
      </c>
      <c r="B156" s="65" t="s">
        <v>128</v>
      </c>
      <c r="C156" s="58"/>
      <c r="D156" s="59" t="s">
        <v>208</v>
      </c>
      <c r="E156" s="57">
        <v>4</v>
      </c>
      <c r="F156" s="58" t="s">
        <v>436</v>
      </c>
      <c r="G156" s="47" t="s">
        <v>498</v>
      </c>
      <c r="H156" s="46" t="str">
        <f>IFERROR(INDEX('الإعدادات واللجنة'!$C$24:$C$32,MATCH(LEFT(A156,3),'الإعدادات واللجنة'!$A$24:$A$32,0)),"")</f>
        <v>د. عمر بن محمد موسى</v>
      </c>
      <c r="I156" s="38"/>
      <c r="J156" s="38"/>
      <c r="K156" s="46" t="str">
        <f t="shared" si="2"/>
        <v/>
      </c>
      <c r="L156" s="48"/>
      <c r="M156" s="38"/>
      <c r="N156" s="48"/>
      <c r="O156" s="48"/>
      <c r="P156" s="38"/>
      <c r="Q156" s="48"/>
      <c r="R156" s="26" t="str">
        <f>IF($I156="","",$I156&amp;"#"&amp;COUNTIF($I$5:$I156,$I156))</f>
        <v/>
      </c>
    </row>
    <row r="157" spans="1:18" ht="44" x14ac:dyDescent="0.55000000000000004">
      <c r="A157" s="60" t="s">
        <v>437</v>
      </c>
      <c r="B157" s="66" t="s">
        <v>128</v>
      </c>
      <c r="C157" s="61" t="s">
        <v>438</v>
      </c>
      <c r="D157" s="62"/>
      <c r="E157" s="54">
        <v>1</v>
      </c>
      <c r="F157" s="61" t="s">
        <v>439</v>
      </c>
      <c r="G157" s="53" t="s">
        <v>498</v>
      </c>
      <c r="H157" s="54" t="str">
        <f>IFERROR(INDEX('الإعدادات واللجنة'!$C$24:$C$32,MATCH(LEFT(A157,3),'الإعدادات واللجنة'!$A$24:$A$32,0)),"")</f>
        <v>د. عمر بن محمد موسى</v>
      </c>
      <c r="I157" s="55"/>
      <c r="J157" s="55"/>
      <c r="K157" s="54" t="str">
        <f t="shared" si="2"/>
        <v/>
      </c>
      <c r="L157" s="56"/>
      <c r="M157" s="55"/>
      <c r="N157" s="56"/>
      <c r="O157" s="56"/>
      <c r="P157" s="55"/>
      <c r="Q157" s="56"/>
      <c r="R157" s="26" t="str">
        <f>IF($I157="","",$I157&amp;"#"&amp;COUNTIF($I$5:$I157,$I157))</f>
        <v/>
      </c>
    </row>
    <row r="158" spans="1:18" ht="44" x14ac:dyDescent="0.55000000000000004">
      <c r="A158" s="46" t="s">
        <v>437</v>
      </c>
      <c r="B158" s="63" t="s">
        <v>128</v>
      </c>
      <c r="C158" s="44"/>
      <c r="D158" s="45"/>
      <c r="E158" s="46">
        <v>2</v>
      </c>
      <c r="F158" s="44" t="s">
        <v>440</v>
      </c>
      <c r="G158" s="47" t="s">
        <v>498</v>
      </c>
      <c r="H158" s="46" t="str">
        <f>IFERROR(INDEX('الإعدادات واللجنة'!$C$24:$C$32,MATCH(LEFT(A158,3),'الإعدادات واللجنة'!$A$24:$A$32,0)),"")</f>
        <v>د. عمر بن محمد موسى</v>
      </c>
      <c r="I158" s="38"/>
      <c r="J158" s="38"/>
      <c r="K158" s="46" t="str">
        <f t="shared" si="2"/>
        <v/>
      </c>
      <c r="L158" s="48"/>
      <c r="M158" s="38"/>
      <c r="N158" s="48"/>
      <c r="O158" s="48"/>
      <c r="P158" s="38"/>
      <c r="Q158" s="48"/>
      <c r="R158" s="26" t="str">
        <f>IF($I158="","",$I158&amp;"#"&amp;COUNTIF($I$5:$I158,$I158))</f>
        <v/>
      </c>
    </row>
    <row r="159" spans="1:18" ht="66" x14ac:dyDescent="0.55000000000000004">
      <c r="A159" s="60" t="s">
        <v>441</v>
      </c>
      <c r="B159" s="66" t="s">
        <v>128</v>
      </c>
      <c r="C159" s="61" t="s">
        <v>442</v>
      </c>
      <c r="D159" s="62"/>
      <c r="E159" s="54">
        <v>1</v>
      </c>
      <c r="F159" s="61" t="s">
        <v>443</v>
      </c>
      <c r="G159" s="53" t="s">
        <v>498</v>
      </c>
      <c r="H159" s="54" t="str">
        <f>IFERROR(INDEX('الإعدادات واللجنة'!$C$24:$C$32,MATCH(LEFT(A159,3),'الإعدادات واللجنة'!$A$24:$A$32,0)),"")</f>
        <v>د. عمر بن محمد موسى</v>
      </c>
      <c r="I159" s="55"/>
      <c r="J159" s="55"/>
      <c r="K159" s="54" t="str">
        <f t="shared" si="2"/>
        <v/>
      </c>
      <c r="L159" s="56"/>
      <c r="M159" s="55"/>
      <c r="N159" s="56"/>
      <c r="O159" s="56"/>
      <c r="P159" s="55"/>
      <c r="Q159" s="56"/>
      <c r="R159" s="26" t="str">
        <f>IF($I159="","",$I159&amp;"#"&amp;COUNTIF($I$5:$I159,$I159))</f>
        <v/>
      </c>
    </row>
    <row r="160" spans="1:18" ht="66" x14ac:dyDescent="0.55000000000000004">
      <c r="A160" s="46" t="s">
        <v>441</v>
      </c>
      <c r="B160" s="63" t="s">
        <v>128</v>
      </c>
      <c r="C160" s="44"/>
      <c r="D160" s="45"/>
      <c r="E160" s="46">
        <v>2</v>
      </c>
      <c r="F160" s="44" t="s">
        <v>444</v>
      </c>
      <c r="G160" s="47" t="s">
        <v>498</v>
      </c>
      <c r="H160" s="46" t="str">
        <f>IFERROR(INDEX('الإعدادات واللجنة'!$C$24:$C$32,MATCH(LEFT(A160,3),'الإعدادات واللجنة'!$A$24:$A$32,0)),"")</f>
        <v>د. عمر بن محمد موسى</v>
      </c>
      <c r="I160" s="38"/>
      <c r="J160" s="38"/>
      <c r="K160" s="46" t="str">
        <f t="shared" si="2"/>
        <v/>
      </c>
      <c r="L160" s="48"/>
      <c r="M160" s="38"/>
      <c r="N160" s="48"/>
      <c r="O160" s="48"/>
      <c r="P160" s="38"/>
      <c r="Q160" s="48"/>
      <c r="R160" s="26" t="str">
        <f>IF($I160="","",$I160&amp;"#"&amp;COUNTIF($I$5:$I160,$I160))</f>
        <v/>
      </c>
    </row>
    <row r="161" spans="1:18" ht="44" x14ac:dyDescent="0.55000000000000004">
      <c r="A161" s="46" t="s">
        <v>441</v>
      </c>
      <c r="B161" s="63" t="s">
        <v>128</v>
      </c>
      <c r="C161" s="44"/>
      <c r="D161" s="45"/>
      <c r="E161" s="46">
        <v>3</v>
      </c>
      <c r="F161" s="44" t="s">
        <v>445</v>
      </c>
      <c r="G161" s="47" t="s">
        <v>498</v>
      </c>
      <c r="H161" s="46" t="str">
        <f>IFERROR(INDEX('الإعدادات واللجنة'!$C$24:$C$32,MATCH(LEFT(A161,3),'الإعدادات واللجنة'!$A$24:$A$32,0)),"")</f>
        <v>د. عمر بن محمد موسى</v>
      </c>
      <c r="I161" s="38"/>
      <c r="J161" s="38"/>
      <c r="K161" s="46" t="str">
        <f t="shared" si="2"/>
        <v/>
      </c>
      <c r="L161" s="48"/>
      <c r="M161" s="38"/>
      <c r="N161" s="48"/>
      <c r="O161" s="48"/>
      <c r="P161" s="38"/>
      <c r="Q161" s="48"/>
      <c r="R161" s="26" t="str">
        <f>IF($I161="","",$I161&amp;"#"&amp;COUNTIF($I$5:$I161,$I161))</f>
        <v/>
      </c>
    </row>
    <row r="162" spans="1:18" ht="44" x14ac:dyDescent="0.55000000000000004">
      <c r="A162" s="46" t="s">
        <v>441</v>
      </c>
      <c r="B162" s="63" t="s">
        <v>128</v>
      </c>
      <c r="C162" s="44"/>
      <c r="D162" s="45"/>
      <c r="E162" s="46">
        <v>4</v>
      </c>
      <c r="F162" s="44" t="s">
        <v>446</v>
      </c>
      <c r="G162" s="47" t="s">
        <v>498</v>
      </c>
      <c r="H162" s="46" t="str">
        <f>IFERROR(INDEX('الإعدادات واللجنة'!$C$24:$C$32,MATCH(LEFT(A162,3),'الإعدادات واللجنة'!$A$24:$A$32,0)),"")</f>
        <v>د. عمر بن محمد موسى</v>
      </c>
      <c r="I162" s="38"/>
      <c r="J162" s="38"/>
      <c r="K162" s="46" t="str">
        <f t="shared" si="2"/>
        <v/>
      </c>
      <c r="L162" s="48"/>
      <c r="M162" s="38"/>
      <c r="N162" s="48"/>
      <c r="O162" s="48"/>
      <c r="P162" s="38"/>
      <c r="Q162" s="48"/>
      <c r="R162" s="26" t="str">
        <f>IF($I162="","",$I162&amp;"#"&amp;COUNTIF($I$5:$I162,$I162))</f>
        <v/>
      </c>
    </row>
    <row r="163" spans="1:18" ht="26" x14ac:dyDescent="0.55000000000000004">
      <c r="A163" s="46" t="s">
        <v>441</v>
      </c>
      <c r="B163" s="63" t="s">
        <v>128</v>
      </c>
      <c r="C163" s="44"/>
      <c r="D163" s="45"/>
      <c r="E163" s="46">
        <v>5</v>
      </c>
      <c r="F163" s="44" t="s">
        <v>447</v>
      </c>
      <c r="G163" s="47" t="s">
        <v>498</v>
      </c>
      <c r="H163" s="46" t="str">
        <f>IFERROR(INDEX('الإعدادات واللجنة'!$C$24:$C$32,MATCH(LEFT(A163,3),'الإعدادات واللجنة'!$A$24:$A$32,0)),"")</f>
        <v>د. عمر بن محمد موسى</v>
      </c>
      <c r="I163" s="38"/>
      <c r="J163" s="38"/>
      <c r="K163" s="46" t="str">
        <f t="shared" si="2"/>
        <v/>
      </c>
      <c r="L163" s="48"/>
      <c r="M163" s="38"/>
      <c r="N163" s="48"/>
      <c r="O163" s="48"/>
      <c r="P163" s="38"/>
      <c r="Q163" s="48"/>
      <c r="R163" s="26" t="str">
        <f>IF($I163="","",$I163&amp;"#"&amp;COUNTIF($I$5:$I163,$I163))</f>
        <v/>
      </c>
    </row>
    <row r="164" spans="1:18" ht="26" x14ac:dyDescent="0.55000000000000004">
      <c r="A164" s="46" t="s">
        <v>441</v>
      </c>
      <c r="B164" s="63" t="s">
        <v>128</v>
      </c>
      <c r="C164" s="44"/>
      <c r="D164" s="45"/>
      <c r="E164" s="46">
        <v>6</v>
      </c>
      <c r="F164" s="44" t="s">
        <v>448</v>
      </c>
      <c r="G164" s="47" t="s">
        <v>498</v>
      </c>
      <c r="H164" s="46" t="str">
        <f>IFERROR(INDEX('الإعدادات واللجنة'!$C$24:$C$32,MATCH(LEFT(A164,3),'الإعدادات واللجنة'!$A$24:$A$32,0)),"")</f>
        <v>د. عمر بن محمد موسى</v>
      </c>
      <c r="I164" s="38"/>
      <c r="J164" s="38"/>
      <c r="K164" s="46" t="str">
        <f t="shared" si="2"/>
        <v/>
      </c>
      <c r="L164" s="48"/>
      <c r="M164" s="38"/>
      <c r="N164" s="48"/>
      <c r="O164" s="48"/>
      <c r="P164" s="38"/>
      <c r="Q164" s="48"/>
      <c r="R164" s="26" t="str">
        <f>IF($I164="","",$I164&amp;"#"&amp;COUNTIF($I$5:$I164,$I164))</f>
        <v/>
      </c>
    </row>
    <row r="165" spans="1:18" ht="44" x14ac:dyDescent="0.55000000000000004">
      <c r="A165" s="46" t="s">
        <v>441</v>
      </c>
      <c r="B165" s="63" t="s">
        <v>128</v>
      </c>
      <c r="C165" s="44"/>
      <c r="D165" s="45"/>
      <c r="E165" s="46">
        <v>7</v>
      </c>
      <c r="F165" s="44" t="s">
        <v>449</v>
      </c>
      <c r="G165" s="47" t="s">
        <v>498</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60" t="s">
        <v>450</v>
      </c>
      <c r="B166" s="66" t="s">
        <v>128</v>
      </c>
      <c r="C166" s="61" t="s">
        <v>451</v>
      </c>
      <c r="D166" s="62"/>
      <c r="E166" s="54">
        <v>1</v>
      </c>
      <c r="F166" s="61" t="s">
        <v>452</v>
      </c>
      <c r="G166" s="53" t="s">
        <v>498</v>
      </c>
      <c r="H166" s="54" t="str">
        <f>IFERROR(INDEX('الإعدادات واللجنة'!$C$24:$C$32,MATCH(LEFT(A166,3),'الإعدادات واللجنة'!$A$24:$A$32,0)),"")</f>
        <v>د. عمر بن محمد موسى</v>
      </c>
      <c r="I166" s="55"/>
      <c r="J166" s="55"/>
      <c r="K166" s="54" t="str">
        <f t="shared" si="2"/>
        <v/>
      </c>
      <c r="L166" s="56"/>
      <c r="M166" s="55"/>
      <c r="N166" s="56"/>
      <c r="O166" s="56"/>
      <c r="P166" s="55"/>
      <c r="Q166" s="56"/>
      <c r="R166" s="26" t="str">
        <f>IF($I166="","",$I166&amp;"#"&amp;COUNTIF($I$5:$I166,$I166))</f>
        <v/>
      </c>
    </row>
    <row r="167" spans="1:18" ht="26" x14ac:dyDescent="0.55000000000000004">
      <c r="A167" s="46" t="s">
        <v>450</v>
      </c>
      <c r="B167" s="63" t="s">
        <v>128</v>
      </c>
      <c r="C167" s="44"/>
      <c r="D167" s="45"/>
      <c r="E167" s="46">
        <v>2</v>
      </c>
      <c r="F167" s="44" t="s">
        <v>453</v>
      </c>
      <c r="G167" s="47" t="s">
        <v>498</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46" t="s">
        <v>450</v>
      </c>
      <c r="B168" s="63" t="s">
        <v>128</v>
      </c>
      <c r="C168" s="44"/>
      <c r="D168" s="45"/>
      <c r="E168" s="46">
        <v>3</v>
      </c>
      <c r="F168" s="44" t="s">
        <v>454</v>
      </c>
      <c r="G168" s="47" t="s">
        <v>498</v>
      </c>
      <c r="H168" s="46" t="str">
        <f>IFERROR(INDEX('الإعدادات واللجنة'!$C$24:$C$32,MATCH(LEFT(A168,3),'الإعدادات واللجنة'!$A$24:$A$32,0)),"")</f>
        <v>د. عمر بن محمد موسى</v>
      </c>
      <c r="I168" s="38"/>
      <c r="J168" s="38"/>
      <c r="K168" s="46" t="str">
        <f t="shared" si="2"/>
        <v/>
      </c>
      <c r="L168" s="48"/>
      <c r="M168" s="38"/>
      <c r="N168" s="48"/>
      <c r="O168" s="48"/>
      <c r="P168" s="38"/>
      <c r="Q168" s="48"/>
      <c r="R168" s="26" t="str">
        <f>IF($I168="","",$I168&amp;"#"&amp;COUNTIF($I$5:$I168,$I168))</f>
        <v/>
      </c>
    </row>
    <row r="169" spans="1:18" ht="66" x14ac:dyDescent="0.55000000000000004">
      <c r="A169" s="60" t="s">
        <v>455</v>
      </c>
      <c r="B169" s="66" t="s">
        <v>128</v>
      </c>
      <c r="C169" s="61" t="s">
        <v>456</v>
      </c>
      <c r="D169" s="62"/>
      <c r="E169" s="54">
        <v>1</v>
      </c>
      <c r="F169" s="61" t="s">
        <v>457</v>
      </c>
      <c r="G169" s="53" t="s">
        <v>498</v>
      </c>
      <c r="H169" s="54" t="str">
        <f>IFERROR(INDEX('الإعدادات واللجنة'!$C$24:$C$32,MATCH(LEFT(A169,3),'الإعدادات واللجنة'!$A$24:$A$32,0)),"")</f>
        <v>د. عمر بن محمد موسى</v>
      </c>
      <c r="I169" s="55"/>
      <c r="J169" s="55"/>
      <c r="K169" s="54" t="str">
        <f t="shared" si="2"/>
        <v/>
      </c>
      <c r="L169" s="56"/>
      <c r="M169" s="55"/>
      <c r="N169" s="56"/>
      <c r="O169" s="56"/>
      <c r="P169" s="55"/>
      <c r="Q169" s="56"/>
      <c r="R169" s="26" t="str">
        <f>IF($I169="","",$I169&amp;"#"&amp;COUNTIF($I$5:$I169,$I169))</f>
        <v/>
      </c>
    </row>
    <row r="170" spans="1:18" ht="26" x14ac:dyDescent="0.55000000000000004">
      <c r="A170" s="46" t="s">
        <v>455</v>
      </c>
      <c r="B170" s="63" t="s">
        <v>128</v>
      </c>
      <c r="C170" s="44"/>
      <c r="D170" s="45"/>
      <c r="E170" s="46">
        <v>2</v>
      </c>
      <c r="F170" s="44" t="s">
        <v>458</v>
      </c>
      <c r="G170" s="47" t="s">
        <v>498</v>
      </c>
      <c r="H170" s="46" t="str">
        <f>IFERROR(INDEX('الإعدادات واللجنة'!$C$24:$C$32,MATCH(LEFT(A170,3),'الإعدادات واللجنة'!$A$24:$A$32,0)),"")</f>
        <v>د. عمر بن محمد موسى</v>
      </c>
      <c r="I170" s="38"/>
      <c r="J170" s="38"/>
      <c r="K170" s="46" t="str">
        <f t="shared" si="2"/>
        <v/>
      </c>
      <c r="L170" s="48"/>
      <c r="M170" s="38"/>
      <c r="N170" s="48"/>
      <c r="O170" s="48"/>
      <c r="P170" s="38"/>
      <c r="Q170" s="48"/>
      <c r="R170" s="26" t="str">
        <f>IF($I170="","",$I170&amp;"#"&amp;COUNTIF($I$5:$I170,$I170))</f>
        <v/>
      </c>
    </row>
    <row r="171" spans="1:18" ht="44" x14ac:dyDescent="0.55000000000000004">
      <c r="A171" s="46" t="s">
        <v>455</v>
      </c>
      <c r="B171" s="63" t="s">
        <v>128</v>
      </c>
      <c r="C171" s="44"/>
      <c r="D171" s="45"/>
      <c r="E171" s="46">
        <v>3</v>
      </c>
      <c r="F171" s="44" t="s">
        <v>459</v>
      </c>
      <c r="G171" s="47" t="s">
        <v>498</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455</v>
      </c>
      <c r="B172" s="63" t="s">
        <v>128</v>
      </c>
      <c r="C172" s="44"/>
      <c r="D172" s="45"/>
      <c r="E172" s="46">
        <v>4</v>
      </c>
      <c r="F172" s="44" t="s">
        <v>460</v>
      </c>
      <c r="G172" s="47" t="s">
        <v>498</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26" x14ac:dyDescent="0.55000000000000004">
      <c r="A173" s="46" t="s">
        <v>455</v>
      </c>
      <c r="B173" s="63" t="s">
        <v>128</v>
      </c>
      <c r="C173" s="44"/>
      <c r="D173" s="45"/>
      <c r="E173" s="46">
        <v>5</v>
      </c>
      <c r="F173" s="44" t="s">
        <v>461</v>
      </c>
      <c r="G173" s="47" t="s">
        <v>498</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66" x14ac:dyDescent="0.55000000000000004">
      <c r="A174" s="60" t="s">
        <v>462</v>
      </c>
      <c r="B174" s="66" t="s">
        <v>128</v>
      </c>
      <c r="C174" s="61" t="s">
        <v>463</v>
      </c>
      <c r="D174" s="62"/>
      <c r="E174" s="54">
        <v>1</v>
      </c>
      <c r="F174" s="61" t="s">
        <v>464</v>
      </c>
      <c r="G174" s="53" t="s">
        <v>498</v>
      </c>
      <c r="H174" s="54" t="str">
        <f>IFERROR(INDEX('الإعدادات واللجنة'!$C$24:$C$32,MATCH(LEFT(A174,3),'الإعدادات واللجنة'!$A$24:$A$32,0)),"")</f>
        <v>د. عمر بن محمد موسى</v>
      </c>
      <c r="I174" s="55"/>
      <c r="J174" s="55"/>
      <c r="K174" s="54" t="str">
        <f t="shared" si="2"/>
        <v/>
      </c>
      <c r="L174" s="56"/>
      <c r="M174" s="55"/>
      <c r="N174" s="56"/>
      <c r="O174" s="56"/>
      <c r="P174" s="55"/>
      <c r="Q174" s="56"/>
      <c r="R174" s="26" t="str">
        <f>IF($I174="","",$I174&amp;"#"&amp;COUNTIF($I$5:$I174,$I174))</f>
        <v/>
      </c>
    </row>
    <row r="175" spans="1:18" ht="26" x14ac:dyDescent="0.55000000000000004">
      <c r="A175" s="46" t="s">
        <v>462</v>
      </c>
      <c r="B175" s="63" t="s">
        <v>128</v>
      </c>
      <c r="C175" s="44"/>
      <c r="D175" s="45"/>
      <c r="E175" s="46">
        <v>2</v>
      </c>
      <c r="F175" s="44" t="s">
        <v>465</v>
      </c>
      <c r="G175" s="47" t="s">
        <v>498</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26" x14ac:dyDescent="0.55000000000000004">
      <c r="A176" s="46" t="s">
        <v>462</v>
      </c>
      <c r="B176" s="63" t="s">
        <v>128</v>
      </c>
      <c r="C176" s="44"/>
      <c r="D176" s="45"/>
      <c r="E176" s="46">
        <v>3</v>
      </c>
      <c r="F176" s="44" t="s">
        <v>466</v>
      </c>
      <c r="G176" s="47" t="s">
        <v>498</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88" x14ac:dyDescent="0.55000000000000004">
      <c r="A177" s="46" t="s">
        <v>462</v>
      </c>
      <c r="B177" s="63" t="s">
        <v>128</v>
      </c>
      <c r="C177" s="44"/>
      <c r="D177" s="45"/>
      <c r="E177" s="46">
        <v>4</v>
      </c>
      <c r="F177" s="44" t="s">
        <v>467</v>
      </c>
      <c r="G177" s="47" t="s">
        <v>498</v>
      </c>
      <c r="H177" s="46" t="str">
        <f>IFERROR(INDEX('الإعدادات واللجنة'!$C$24:$C$32,MATCH(LEFT(A177,3),'الإعدادات واللجنة'!$A$24:$A$32,0)),"")</f>
        <v>د. عمر بن محمد موسى</v>
      </c>
      <c r="I177" s="38"/>
      <c r="J177" s="38"/>
      <c r="K177" s="46" t="str">
        <f t="shared" si="2"/>
        <v/>
      </c>
      <c r="L177" s="48"/>
      <c r="M177" s="38"/>
      <c r="N177" s="48"/>
      <c r="O177" s="48"/>
      <c r="P177" s="38"/>
      <c r="Q177" s="48"/>
      <c r="R177" s="26" t="str">
        <f>IF($I177="","",$I177&amp;"#"&amp;COUNTIF($I$5:$I177,$I177))</f>
        <v/>
      </c>
    </row>
    <row r="178" spans="1:18" ht="26" x14ac:dyDescent="0.55000000000000004">
      <c r="A178" s="46" t="s">
        <v>462</v>
      </c>
      <c r="B178" s="63" t="s">
        <v>128</v>
      </c>
      <c r="C178" s="44"/>
      <c r="D178" s="45"/>
      <c r="E178" s="46">
        <v>5</v>
      </c>
      <c r="F178" s="44" t="s">
        <v>468</v>
      </c>
      <c r="G178" s="47" t="s">
        <v>498</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66" x14ac:dyDescent="0.55000000000000004">
      <c r="A179" s="60" t="s">
        <v>469</v>
      </c>
      <c r="B179" s="66" t="s">
        <v>129</v>
      </c>
      <c r="C179" s="61" t="s">
        <v>470</v>
      </c>
      <c r="D179" s="62"/>
      <c r="E179" s="54">
        <v>1</v>
      </c>
      <c r="F179" s="61" t="s">
        <v>471</v>
      </c>
      <c r="G179" s="53" t="s">
        <v>498</v>
      </c>
      <c r="H179" s="54" t="str">
        <f>IFERROR(INDEX('الإعدادات واللجنة'!$C$24:$C$32,MATCH(LEFT(A179,3),'الإعدادات واللجنة'!$A$24:$A$32,0)),"")</f>
        <v>د. حسن بن سعد القحطاني</v>
      </c>
      <c r="I179" s="55"/>
      <c r="J179" s="55"/>
      <c r="K179" s="54" t="str">
        <f t="shared" si="2"/>
        <v/>
      </c>
      <c r="L179" s="56"/>
      <c r="M179" s="55"/>
      <c r="N179" s="56"/>
      <c r="O179" s="56"/>
      <c r="P179" s="55"/>
      <c r="Q179" s="56"/>
      <c r="R179" s="26" t="str">
        <f>IF($I179="","",$I179&amp;"#"&amp;COUNTIF($I$5:$I179,$I179))</f>
        <v/>
      </c>
    </row>
    <row r="180" spans="1:18" ht="44" x14ac:dyDescent="0.55000000000000004">
      <c r="A180" s="46" t="s">
        <v>469</v>
      </c>
      <c r="B180" s="63" t="s">
        <v>129</v>
      </c>
      <c r="C180" s="44"/>
      <c r="D180" s="45"/>
      <c r="E180" s="46">
        <v>2</v>
      </c>
      <c r="F180" s="44" t="s">
        <v>472</v>
      </c>
      <c r="G180" s="47" t="s">
        <v>498</v>
      </c>
      <c r="H180" s="46" t="str">
        <f>IFERROR(INDEX('الإعدادات واللجنة'!$C$24:$C$32,MATCH(LEFT(A180,3),'الإعدادات واللجنة'!$A$24:$A$32,0)),"")</f>
        <v>د. حسن بن سعد القحطاني</v>
      </c>
      <c r="I180" s="38"/>
      <c r="J180" s="38"/>
      <c r="K180" s="46" t="str">
        <f t="shared" si="2"/>
        <v/>
      </c>
      <c r="L180" s="48"/>
      <c r="M180" s="38"/>
      <c r="N180" s="48"/>
      <c r="O180" s="48"/>
      <c r="P180" s="38"/>
      <c r="Q180" s="48"/>
      <c r="R180" s="26" t="str">
        <f>IF($I180="","",$I180&amp;"#"&amp;COUNTIF($I$5:$I180,$I180))</f>
        <v/>
      </c>
    </row>
    <row r="181" spans="1:18" ht="44" x14ac:dyDescent="0.55000000000000004">
      <c r="A181" s="46" t="s">
        <v>469</v>
      </c>
      <c r="B181" s="63" t="s">
        <v>129</v>
      </c>
      <c r="C181" s="44"/>
      <c r="D181" s="45"/>
      <c r="E181" s="46">
        <v>3</v>
      </c>
      <c r="F181" s="44" t="s">
        <v>473</v>
      </c>
      <c r="G181" s="47" t="s">
        <v>498</v>
      </c>
      <c r="H181" s="46" t="str">
        <f>IFERROR(INDEX('الإعدادات واللجنة'!$C$24:$C$32,MATCH(LEFT(A181,3),'الإعدادات واللجنة'!$A$24:$A$32,0)),"")</f>
        <v>د. حسن بن سعد القحطاني</v>
      </c>
      <c r="I181" s="38"/>
      <c r="J181" s="38"/>
      <c r="K181" s="46" t="str">
        <f t="shared" si="2"/>
        <v/>
      </c>
      <c r="L181" s="48"/>
      <c r="M181" s="38"/>
      <c r="N181" s="48"/>
      <c r="O181" s="48"/>
      <c r="P181" s="38"/>
      <c r="Q181" s="48"/>
      <c r="R181" s="26" t="str">
        <f>IF($I181="","",$I181&amp;"#"&amp;COUNTIF($I$5:$I181,$I181))</f>
        <v/>
      </c>
    </row>
    <row r="182" spans="1:18" ht="66" x14ac:dyDescent="0.55000000000000004">
      <c r="A182" s="60" t="s">
        <v>474</v>
      </c>
      <c r="B182" s="66" t="s">
        <v>129</v>
      </c>
      <c r="C182" s="61" t="s">
        <v>475</v>
      </c>
      <c r="D182" s="62"/>
      <c r="E182" s="54">
        <v>1</v>
      </c>
      <c r="F182" s="61" t="s">
        <v>476</v>
      </c>
      <c r="G182" s="53" t="s">
        <v>498</v>
      </c>
      <c r="H182" s="54" t="str">
        <f>IFERROR(INDEX('الإعدادات واللجنة'!$C$24:$C$32,MATCH(LEFT(A182,3),'الإعدادات واللجنة'!$A$24:$A$32,0)),"")</f>
        <v>د. حسن بن سعد القحطاني</v>
      </c>
      <c r="I182" s="55"/>
      <c r="J182" s="55"/>
      <c r="K182" s="54" t="str">
        <f t="shared" si="2"/>
        <v/>
      </c>
      <c r="L182" s="56"/>
      <c r="M182" s="55"/>
      <c r="N182" s="56"/>
      <c r="O182" s="56"/>
      <c r="P182" s="55"/>
      <c r="Q182" s="56"/>
      <c r="R182" s="26" t="str">
        <f>IF($I182="","",$I182&amp;"#"&amp;COUNTIF($I$5:$I182,$I182))</f>
        <v/>
      </c>
    </row>
    <row r="183" spans="1:18" ht="44" x14ac:dyDescent="0.55000000000000004">
      <c r="A183" s="46" t="s">
        <v>474</v>
      </c>
      <c r="B183" s="63" t="s">
        <v>129</v>
      </c>
      <c r="C183" s="44"/>
      <c r="D183" s="45"/>
      <c r="E183" s="46">
        <v>2</v>
      </c>
      <c r="F183" s="44" t="s">
        <v>477</v>
      </c>
      <c r="G183" s="47" t="s">
        <v>498</v>
      </c>
      <c r="H183" s="46" t="str">
        <f>IFERROR(INDEX('الإعدادات واللجنة'!$C$24:$C$32,MATCH(LEFT(A183,3),'الإعدادات واللجنة'!$A$24:$A$32,0)),"")</f>
        <v>د. حسن بن سعد القحطاني</v>
      </c>
      <c r="I183" s="38"/>
      <c r="J183" s="38"/>
      <c r="K183" s="46" t="str">
        <f t="shared" si="2"/>
        <v/>
      </c>
      <c r="L183" s="48"/>
      <c r="M183" s="38"/>
      <c r="N183" s="48"/>
      <c r="O183" s="48"/>
      <c r="P183" s="38"/>
      <c r="Q183" s="48"/>
      <c r="R183" s="26" t="str">
        <f>IF($I183="","",$I183&amp;"#"&amp;COUNTIF($I$5:$I183,$I183))</f>
        <v/>
      </c>
    </row>
    <row r="184" spans="1:18" ht="44" x14ac:dyDescent="0.55000000000000004">
      <c r="A184" s="46" t="s">
        <v>474</v>
      </c>
      <c r="B184" s="63" t="s">
        <v>129</v>
      </c>
      <c r="C184" s="44"/>
      <c r="D184" s="45"/>
      <c r="E184" s="46">
        <v>3</v>
      </c>
      <c r="F184" s="44" t="s">
        <v>478</v>
      </c>
      <c r="G184" s="47" t="s">
        <v>498</v>
      </c>
      <c r="H184" s="46" t="str">
        <f>IFERROR(INDEX('الإعدادات واللجنة'!$C$24:$C$32,MATCH(LEFT(A184,3),'الإعدادات واللجنة'!$A$24:$A$32,0)),"")</f>
        <v>د. حسن بن سعد القحطاني</v>
      </c>
      <c r="I184" s="38"/>
      <c r="J184" s="38"/>
      <c r="K184" s="46" t="str">
        <f t="shared" si="2"/>
        <v/>
      </c>
      <c r="L184" s="48"/>
      <c r="M184" s="38"/>
      <c r="N184" s="48"/>
      <c r="O184" s="48"/>
      <c r="P184" s="38"/>
      <c r="Q184" s="48"/>
      <c r="R184" s="26" t="str">
        <f>IF($I184="","",$I184&amp;"#"&amp;COUNTIF($I$5:$I184,$I184))</f>
        <v/>
      </c>
    </row>
    <row r="185" spans="1:18" ht="88" x14ac:dyDescent="0.55000000000000004">
      <c r="A185" s="49" t="s">
        <v>479</v>
      </c>
      <c r="B185" s="64" t="s">
        <v>129</v>
      </c>
      <c r="C185" s="50" t="s">
        <v>480</v>
      </c>
      <c r="D185" s="51" t="s">
        <v>208</v>
      </c>
      <c r="E185" s="52">
        <v>1</v>
      </c>
      <c r="F185" s="50" t="s">
        <v>481</v>
      </c>
      <c r="G185" s="53" t="s">
        <v>498</v>
      </c>
      <c r="H185" s="54" t="str">
        <f>IFERROR(INDEX('الإعدادات واللجنة'!$C$24:$C$32,MATCH(LEFT(A185,3),'الإعدادات واللجنة'!$A$24:$A$32,0)),"")</f>
        <v>د. حسن بن سعد القحطاني</v>
      </c>
      <c r="I185" s="55"/>
      <c r="J185" s="55"/>
      <c r="K185" s="54" t="str">
        <f t="shared" si="2"/>
        <v/>
      </c>
      <c r="L185" s="56"/>
      <c r="M185" s="55"/>
      <c r="N185" s="56"/>
      <c r="O185" s="56"/>
      <c r="P185" s="55"/>
      <c r="Q185" s="56"/>
      <c r="R185" s="26" t="str">
        <f>IF($I185="","",$I185&amp;"#"&amp;COUNTIF($I$5:$I185,$I185))</f>
        <v/>
      </c>
    </row>
    <row r="186" spans="1:18" ht="44" x14ac:dyDescent="0.55000000000000004">
      <c r="A186" s="57" t="s">
        <v>479</v>
      </c>
      <c r="B186" s="65" t="s">
        <v>129</v>
      </c>
      <c r="C186" s="58"/>
      <c r="D186" s="59" t="s">
        <v>208</v>
      </c>
      <c r="E186" s="57">
        <v>2</v>
      </c>
      <c r="F186" s="58" t="s">
        <v>482</v>
      </c>
      <c r="G186" s="47" t="s">
        <v>498</v>
      </c>
      <c r="H186" s="46" t="str">
        <f>IFERROR(INDEX('الإعدادات واللجنة'!$C$24:$C$32,MATCH(LEFT(A186,3),'الإعدادات واللجنة'!$A$24:$A$32,0)),"")</f>
        <v>د. حسن بن سعد القحطاني</v>
      </c>
      <c r="I186" s="38"/>
      <c r="J186" s="38"/>
      <c r="K186" s="46" t="str">
        <f t="shared" si="2"/>
        <v/>
      </c>
      <c r="L186" s="48"/>
      <c r="M186" s="38"/>
      <c r="N186" s="48"/>
      <c r="O186" s="48"/>
      <c r="P186" s="38"/>
      <c r="Q186" s="48"/>
      <c r="R186" s="26" t="str">
        <f>IF($I186="","",$I186&amp;"#"&amp;COUNTIF($I$5:$I186,$I186))</f>
        <v/>
      </c>
    </row>
    <row r="187" spans="1:18" ht="44" x14ac:dyDescent="0.55000000000000004">
      <c r="A187" s="57" t="s">
        <v>479</v>
      </c>
      <c r="B187" s="65" t="s">
        <v>129</v>
      </c>
      <c r="C187" s="58"/>
      <c r="D187" s="59" t="s">
        <v>208</v>
      </c>
      <c r="E187" s="57">
        <v>3</v>
      </c>
      <c r="F187" s="58" t="s">
        <v>483</v>
      </c>
      <c r="G187" s="47" t="s">
        <v>498</v>
      </c>
      <c r="H187" s="46" t="str">
        <f>IFERROR(INDEX('الإعدادات واللجنة'!$C$24:$C$32,MATCH(LEFT(A187,3),'الإعدادات واللجنة'!$A$24:$A$32,0)),"")</f>
        <v>د. حسن بن سعد القحطاني</v>
      </c>
      <c r="I187" s="38"/>
      <c r="J187" s="38"/>
      <c r="K187" s="46" t="str">
        <f t="shared" si="2"/>
        <v/>
      </c>
      <c r="L187" s="48"/>
      <c r="M187" s="38"/>
      <c r="N187" s="48"/>
      <c r="O187" s="48"/>
      <c r="P187" s="38"/>
      <c r="Q187" s="48"/>
      <c r="R187" s="26" t="str">
        <f>IF($I187="","",$I187&amp;"#"&amp;COUNTIF($I$5:$I187,$I187))</f>
        <v/>
      </c>
    </row>
    <row r="188" spans="1:18" ht="44" x14ac:dyDescent="0.55000000000000004">
      <c r="A188" s="57" t="s">
        <v>479</v>
      </c>
      <c r="B188" s="65" t="s">
        <v>129</v>
      </c>
      <c r="C188" s="58"/>
      <c r="D188" s="59" t="s">
        <v>208</v>
      </c>
      <c r="E188" s="57">
        <v>4</v>
      </c>
      <c r="F188" s="58" t="s">
        <v>484</v>
      </c>
      <c r="G188" s="47" t="s">
        <v>498</v>
      </c>
      <c r="H188" s="46" t="str">
        <f>IFERROR(INDEX('الإعدادات واللجنة'!$C$24:$C$32,MATCH(LEFT(A188,3),'الإعدادات واللجنة'!$A$24:$A$32,0)),"")</f>
        <v>د. حسن بن سعد القحطاني</v>
      </c>
      <c r="I188" s="38"/>
      <c r="J188" s="38"/>
      <c r="K188" s="46" t="str">
        <f t="shared" si="2"/>
        <v/>
      </c>
      <c r="L188" s="48"/>
      <c r="M188" s="38"/>
      <c r="N188" s="48"/>
      <c r="O188" s="48"/>
      <c r="P188" s="38"/>
      <c r="Q188" s="48"/>
      <c r="R188" s="26" t="str">
        <f>IF($I188="","",$I188&amp;"#"&amp;COUNTIF($I$5:$I188,$I188))</f>
        <v/>
      </c>
    </row>
    <row r="189" spans="1:18" ht="44" x14ac:dyDescent="0.55000000000000004">
      <c r="A189" s="57" t="s">
        <v>479</v>
      </c>
      <c r="B189" s="65" t="s">
        <v>129</v>
      </c>
      <c r="C189" s="58"/>
      <c r="D189" s="59" t="s">
        <v>208</v>
      </c>
      <c r="E189" s="57">
        <v>5</v>
      </c>
      <c r="F189" s="58" t="s">
        <v>485</v>
      </c>
      <c r="G189" s="47" t="s">
        <v>498</v>
      </c>
      <c r="H189" s="46" t="str">
        <f>IFERROR(INDEX('الإعدادات واللجنة'!$C$24:$C$32,MATCH(LEFT(A189,3),'الإعدادات واللجنة'!$A$24:$A$32,0)),"")</f>
        <v>د. حسن بن سعد القحطاني</v>
      </c>
      <c r="I189" s="38"/>
      <c r="J189" s="38"/>
      <c r="K189" s="46" t="str">
        <f t="shared" si="2"/>
        <v/>
      </c>
      <c r="L189" s="48"/>
      <c r="M189" s="38"/>
      <c r="N189" s="48"/>
      <c r="O189" s="48"/>
      <c r="P189" s="38"/>
      <c r="Q189" s="48"/>
      <c r="R189" s="26" t="str">
        <f>IF($I189="","",$I189&amp;"#"&amp;COUNTIF($I$5:$I189,$I189))</f>
        <v/>
      </c>
    </row>
    <row r="190" spans="1:18" ht="44" x14ac:dyDescent="0.55000000000000004">
      <c r="A190" s="57" t="s">
        <v>479</v>
      </c>
      <c r="B190" s="65" t="s">
        <v>129</v>
      </c>
      <c r="C190" s="58"/>
      <c r="D190" s="59" t="s">
        <v>208</v>
      </c>
      <c r="E190" s="57">
        <v>6</v>
      </c>
      <c r="F190" s="58" t="s">
        <v>486</v>
      </c>
      <c r="G190" s="47" t="s">
        <v>498</v>
      </c>
      <c r="H190" s="46" t="str">
        <f>IFERROR(INDEX('الإعدادات واللجنة'!$C$24:$C$32,MATCH(LEFT(A190,3),'الإعدادات واللجنة'!$A$24:$A$32,0)),"")</f>
        <v>د. حسن بن سعد القحطاني</v>
      </c>
      <c r="I190" s="38"/>
      <c r="J190" s="38"/>
      <c r="K190" s="46" t="str">
        <f t="shared" si="2"/>
        <v/>
      </c>
      <c r="L190" s="48"/>
      <c r="M190" s="38"/>
      <c r="N190" s="48"/>
      <c r="O190" s="48"/>
      <c r="P190" s="38"/>
      <c r="Q190" s="48"/>
      <c r="R190" s="26" t="str">
        <f>IF($I190="","",$I190&amp;"#"&amp;COUNTIF($I$5:$I190,$I190))</f>
        <v/>
      </c>
    </row>
    <row r="191" spans="1:18" ht="44" x14ac:dyDescent="0.55000000000000004">
      <c r="A191" s="60" t="s">
        <v>487</v>
      </c>
      <c r="B191" s="66" t="s">
        <v>129</v>
      </c>
      <c r="C191" s="61" t="s">
        <v>488</v>
      </c>
      <c r="D191" s="62"/>
      <c r="E191" s="54">
        <v>1</v>
      </c>
      <c r="F191" s="61" t="s">
        <v>489</v>
      </c>
      <c r="G191" s="53" t="s">
        <v>498</v>
      </c>
      <c r="H191" s="54" t="str">
        <f>IFERROR(INDEX('الإعدادات واللجنة'!$C$24:$C$32,MATCH(LEFT(A191,3),'الإعدادات واللجنة'!$A$24:$A$32,0)),"")</f>
        <v>د. حسن بن سعد القحطاني</v>
      </c>
      <c r="I191" s="55"/>
      <c r="J191" s="55"/>
      <c r="K191" s="54" t="str">
        <f t="shared" si="2"/>
        <v/>
      </c>
      <c r="L191" s="56"/>
      <c r="M191" s="55"/>
      <c r="N191" s="56"/>
      <c r="O191" s="56"/>
      <c r="P191" s="55"/>
      <c r="Q191" s="56"/>
      <c r="R191" s="26" t="str">
        <f>IF($I191="","",$I191&amp;"#"&amp;COUNTIF($I$5:$I191,$I191))</f>
        <v/>
      </c>
    </row>
    <row r="192" spans="1:18" ht="44" x14ac:dyDescent="0.55000000000000004">
      <c r="A192" s="46" t="s">
        <v>487</v>
      </c>
      <c r="B192" s="63" t="s">
        <v>129</v>
      </c>
      <c r="C192" s="44"/>
      <c r="D192" s="45"/>
      <c r="E192" s="46">
        <v>2</v>
      </c>
      <c r="F192" s="44" t="s">
        <v>490</v>
      </c>
      <c r="G192" s="47" t="s">
        <v>498</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44" x14ac:dyDescent="0.55000000000000004">
      <c r="A193" s="46" t="s">
        <v>487</v>
      </c>
      <c r="B193" s="63" t="s">
        <v>129</v>
      </c>
      <c r="C193" s="44"/>
      <c r="D193" s="45"/>
      <c r="E193" s="46">
        <v>3</v>
      </c>
      <c r="F193" s="44" t="s">
        <v>491</v>
      </c>
      <c r="G193" s="47" t="s">
        <v>498</v>
      </c>
      <c r="H193" s="46" t="str">
        <f>IFERROR(INDEX('الإعدادات واللجنة'!$C$24:$C$32,MATCH(LEFT(A193,3),'الإعدادات واللجنة'!$A$24:$A$32,0)),"")</f>
        <v>د. حسن بن سعد القحطاني</v>
      </c>
      <c r="I193" s="38"/>
      <c r="J193" s="38"/>
      <c r="K193" s="46" t="str">
        <f t="shared" si="2"/>
        <v/>
      </c>
      <c r="L193" s="48"/>
      <c r="M193" s="38"/>
      <c r="N193" s="48"/>
      <c r="O193" s="48"/>
      <c r="P193" s="38"/>
      <c r="Q193" s="48"/>
      <c r="R193" s="26" t="str">
        <f>IF($I193="","",$I193&amp;"#"&amp;COUNTIF($I$5:$I193,$I193))</f>
        <v/>
      </c>
    </row>
    <row r="194" spans="1:18" ht="44" x14ac:dyDescent="0.55000000000000004">
      <c r="A194" s="46" t="s">
        <v>487</v>
      </c>
      <c r="B194" s="63" t="s">
        <v>129</v>
      </c>
      <c r="C194" s="44"/>
      <c r="D194" s="45"/>
      <c r="E194" s="46">
        <v>4</v>
      </c>
      <c r="F194" s="44" t="s">
        <v>492</v>
      </c>
      <c r="G194" s="47" t="s">
        <v>498</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487</v>
      </c>
      <c r="B195" s="63" t="s">
        <v>129</v>
      </c>
      <c r="C195" s="44"/>
      <c r="D195" s="45"/>
      <c r="E195" s="46">
        <v>5</v>
      </c>
      <c r="F195" s="44" t="s">
        <v>493</v>
      </c>
      <c r="G195" s="47" t="s">
        <v>498</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44" x14ac:dyDescent="0.55000000000000004">
      <c r="A196" s="60" t="s">
        <v>494</v>
      </c>
      <c r="B196" s="66" t="s">
        <v>129</v>
      </c>
      <c r="C196" s="61" t="s">
        <v>495</v>
      </c>
      <c r="D196" s="62"/>
      <c r="E196" s="54">
        <v>1</v>
      </c>
      <c r="F196" s="61" t="s">
        <v>496</v>
      </c>
      <c r="G196" s="53" t="s">
        <v>498</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46" t="s">
        <v>494</v>
      </c>
      <c r="B197" s="63" t="s">
        <v>129</v>
      </c>
      <c r="C197" s="44"/>
      <c r="D197" s="45"/>
      <c r="E197" s="46">
        <v>2</v>
      </c>
      <c r="F197" s="44" t="s">
        <v>497</v>
      </c>
      <c r="G197" s="47" t="s">
        <v>498</v>
      </c>
      <c r="H197" s="46" t="str">
        <f>IFERROR(INDEX('الإعدادات واللجنة'!$C$24:$C$32,MATCH(LEFT(A197,3),'الإعدادات واللجنة'!$A$24:$A$32,0)),"")</f>
        <v>د. حسن بن سعد القحطاني</v>
      </c>
      <c r="I197" s="38"/>
      <c r="J197" s="38"/>
      <c r="K197" s="46" t="str">
        <f t="shared" ref="K197:K230" si="3">IF(OR(I197="",I197="متوفر ومكتمل"),"",IF(OR(D197="★",I197="غير متوفر"),"عالية","متوسطة"))</f>
        <v/>
      </c>
      <c r="L197" s="48"/>
      <c r="M197" s="38"/>
      <c r="N197" s="48"/>
      <c r="O197" s="48"/>
      <c r="P197" s="38"/>
      <c r="Q197" s="48"/>
      <c r="R197" s="26" t="str">
        <f>IF($I197="","",$I197&amp;"#"&amp;COUNTIF($I$5:$I197,$I197))</f>
        <v/>
      </c>
    </row>
    <row r="198" spans="1:18" ht="66" x14ac:dyDescent="0.55000000000000004">
      <c r="A198" s="49" t="s">
        <v>501</v>
      </c>
      <c r="B198" s="64" t="s">
        <v>132</v>
      </c>
      <c r="C198" s="50" t="s">
        <v>502</v>
      </c>
      <c r="D198" s="51" t="s">
        <v>208</v>
      </c>
      <c r="E198" s="52">
        <v>1</v>
      </c>
      <c r="F198" s="50" t="s">
        <v>503</v>
      </c>
      <c r="G198" s="69" t="s">
        <v>504</v>
      </c>
      <c r="H198" s="54" t="str">
        <f>IFERROR(INDEX('الإعدادات واللجنة'!$C$24:$C$32,MATCH(LEFT(A198,3),'الإعدادات واللجنة'!$A$24:$A$32,0)),"")</f>
        <v>د. حسن بن سعد القحطاني</v>
      </c>
      <c r="I198" s="55"/>
      <c r="J198" s="55"/>
      <c r="K198" s="54" t="str">
        <f t="shared" si="3"/>
        <v/>
      </c>
      <c r="L198" s="56"/>
      <c r="M198" s="55"/>
      <c r="N198" s="56"/>
      <c r="O198" s="56"/>
      <c r="P198" s="55"/>
      <c r="Q198" s="56"/>
      <c r="R198" s="26" t="str">
        <f>IF($I198="","",$I198&amp;"#"&amp;COUNTIF($I$5:$I198,$I198))</f>
        <v/>
      </c>
    </row>
    <row r="199" spans="1:18" ht="44" x14ac:dyDescent="0.55000000000000004">
      <c r="A199" s="57" t="s">
        <v>501</v>
      </c>
      <c r="B199" s="65" t="s">
        <v>132</v>
      </c>
      <c r="C199" s="58"/>
      <c r="D199" s="59" t="s">
        <v>208</v>
      </c>
      <c r="E199" s="57">
        <v>2</v>
      </c>
      <c r="F199" s="58" t="s">
        <v>505</v>
      </c>
      <c r="G199" s="70" t="s">
        <v>504</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501</v>
      </c>
      <c r="B200" s="65" t="s">
        <v>132</v>
      </c>
      <c r="C200" s="58"/>
      <c r="D200" s="59" t="s">
        <v>208</v>
      </c>
      <c r="E200" s="57">
        <v>3</v>
      </c>
      <c r="F200" s="58" t="s">
        <v>506</v>
      </c>
      <c r="G200" s="70" t="s">
        <v>504</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60" t="s">
        <v>507</v>
      </c>
      <c r="B201" s="66" t="s">
        <v>132</v>
      </c>
      <c r="C201" s="61" t="s">
        <v>508</v>
      </c>
      <c r="D201" s="62"/>
      <c r="E201" s="54">
        <v>1</v>
      </c>
      <c r="F201" s="61" t="s">
        <v>509</v>
      </c>
      <c r="G201" s="69" t="s">
        <v>504</v>
      </c>
      <c r="H201" s="54" t="str">
        <f>IFERROR(INDEX('الإعدادات واللجنة'!$C$24:$C$32,MATCH(LEFT(A201,3),'الإعدادات واللجنة'!$A$24:$A$32,0)),"")</f>
        <v>د. حسن بن سعد القحطاني</v>
      </c>
      <c r="I201" s="55"/>
      <c r="J201" s="55"/>
      <c r="K201" s="54" t="str">
        <f t="shared" si="3"/>
        <v/>
      </c>
      <c r="L201" s="56"/>
      <c r="M201" s="55"/>
      <c r="N201" s="56"/>
      <c r="O201" s="56"/>
      <c r="P201" s="55"/>
      <c r="Q201" s="56"/>
      <c r="R201" s="26" t="str">
        <f>IF($I201="","",$I201&amp;"#"&amp;COUNTIF($I$5:$I201,$I201))</f>
        <v/>
      </c>
    </row>
    <row r="202" spans="1:18" ht="44" x14ac:dyDescent="0.55000000000000004">
      <c r="A202" s="46" t="s">
        <v>507</v>
      </c>
      <c r="B202" s="63" t="s">
        <v>132</v>
      </c>
      <c r="C202" s="44"/>
      <c r="D202" s="45"/>
      <c r="E202" s="46">
        <v>2</v>
      </c>
      <c r="F202" s="44" t="s">
        <v>510</v>
      </c>
      <c r="G202" s="70" t="s">
        <v>504</v>
      </c>
      <c r="H202" s="46" t="str">
        <f>IFERROR(INDEX('الإعدادات واللجنة'!$C$24:$C$32,MATCH(LEFT(A202,3),'الإعدادات واللجنة'!$A$24:$A$32,0)),"")</f>
        <v>د. حسن بن سعد القحطاني</v>
      </c>
      <c r="I202" s="38"/>
      <c r="J202" s="38"/>
      <c r="K202" s="46" t="str">
        <f t="shared" si="3"/>
        <v/>
      </c>
      <c r="L202" s="48"/>
      <c r="M202" s="38"/>
      <c r="N202" s="48"/>
      <c r="O202" s="48"/>
      <c r="P202" s="38"/>
      <c r="Q202" s="48"/>
      <c r="R202" s="26" t="str">
        <f>IF($I202="","",$I202&amp;"#"&amp;COUNTIF($I$5:$I202,$I202))</f>
        <v/>
      </c>
    </row>
    <row r="203" spans="1:18" ht="44" x14ac:dyDescent="0.55000000000000004">
      <c r="A203" s="46" t="s">
        <v>507</v>
      </c>
      <c r="B203" s="63" t="s">
        <v>132</v>
      </c>
      <c r="C203" s="44"/>
      <c r="D203" s="45"/>
      <c r="E203" s="46">
        <v>3</v>
      </c>
      <c r="F203" s="44" t="s">
        <v>511</v>
      </c>
      <c r="G203" s="70" t="s">
        <v>504</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60" t="s">
        <v>512</v>
      </c>
      <c r="B204" s="66" t="s">
        <v>132</v>
      </c>
      <c r="C204" s="61" t="s">
        <v>513</v>
      </c>
      <c r="D204" s="62"/>
      <c r="E204" s="54">
        <v>1</v>
      </c>
      <c r="F204" s="61" t="s">
        <v>514</v>
      </c>
      <c r="G204" s="69" t="s">
        <v>504</v>
      </c>
      <c r="H204" s="54" t="str">
        <f>IFERROR(INDEX('الإعدادات واللجنة'!$C$24:$C$32,MATCH(LEFT(A204,3),'الإعدادات واللجنة'!$A$24:$A$32,0)),"")</f>
        <v>د. حسن بن سعد القحطاني</v>
      </c>
      <c r="I204" s="55"/>
      <c r="J204" s="55"/>
      <c r="K204" s="54" t="str">
        <f t="shared" si="3"/>
        <v/>
      </c>
      <c r="L204" s="56"/>
      <c r="M204" s="55"/>
      <c r="N204" s="56"/>
      <c r="O204" s="56"/>
      <c r="P204" s="55"/>
      <c r="Q204" s="56"/>
      <c r="R204" s="26" t="str">
        <f>IF($I204="","",$I204&amp;"#"&amp;COUNTIF($I$5:$I204,$I204))</f>
        <v/>
      </c>
    </row>
    <row r="205" spans="1:18" ht="44" x14ac:dyDescent="0.55000000000000004">
      <c r="A205" s="46" t="s">
        <v>512</v>
      </c>
      <c r="B205" s="63" t="s">
        <v>132</v>
      </c>
      <c r="C205" s="44"/>
      <c r="D205" s="45"/>
      <c r="E205" s="46">
        <v>2</v>
      </c>
      <c r="F205" s="44" t="s">
        <v>515</v>
      </c>
      <c r="G205" s="70" t="s">
        <v>504</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512</v>
      </c>
      <c r="B206" s="63" t="s">
        <v>132</v>
      </c>
      <c r="C206" s="44"/>
      <c r="D206" s="45"/>
      <c r="E206" s="46">
        <v>3</v>
      </c>
      <c r="F206" s="44" t="s">
        <v>516</v>
      </c>
      <c r="G206" s="70" t="s">
        <v>504</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66" x14ac:dyDescent="0.55000000000000004">
      <c r="A207" s="60" t="s">
        <v>517</v>
      </c>
      <c r="B207" s="66" t="s">
        <v>132</v>
      </c>
      <c r="C207" s="61" t="s">
        <v>518</v>
      </c>
      <c r="D207" s="62"/>
      <c r="E207" s="54">
        <v>1</v>
      </c>
      <c r="F207" s="61" t="s">
        <v>519</v>
      </c>
      <c r="G207" s="69" t="s">
        <v>504</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517</v>
      </c>
      <c r="B208" s="63" t="s">
        <v>132</v>
      </c>
      <c r="C208" s="44"/>
      <c r="D208" s="45"/>
      <c r="E208" s="46">
        <v>2</v>
      </c>
      <c r="F208" s="44" t="s">
        <v>520</v>
      </c>
      <c r="G208" s="70" t="s">
        <v>504</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row r="209" spans="1:18" ht="44" x14ac:dyDescent="0.55000000000000004">
      <c r="A209" s="46" t="s">
        <v>517</v>
      </c>
      <c r="B209" s="63" t="s">
        <v>132</v>
      </c>
      <c r="C209" s="44"/>
      <c r="D209" s="45"/>
      <c r="E209" s="46">
        <v>3</v>
      </c>
      <c r="F209" s="44" t="s">
        <v>521</v>
      </c>
      <c r="G209" s="70" t="s">
        <v>504</v>
      </c>
      <c r="H209" s="46" t="str">
        <f>IFERROR(INDEX('الإعدادات واللجنة'!$C$24:$C$32,MATCH(LEFT(A209,3),'الإعدادات واللجنة'!$A$24:$A$32,0)),"")</f>
        <v>د. حسن بن سعد القحطاني</v>
      </c>
      <c r="I209" s="38"/>
      <c r="J209" s="38"/>
      <c r="K209" s="46" t="str">
        <f t="shared" si="3"/>
        <v/>
      </c>
      <c r="L209" s="48"/>
      <c r="M209" s="38"/>
      <c r="N209" s="48"/>
      <c r="O209" s="48"/>
      <c r="P209" s="38"/>
      <c r="Q209" s="48"/>
      <c r="R209" s="26" t="str">
        <f>IF($I209="","",$I209&amp;"#"&amp;COUNTIF($I$5:$I209,$I209))</f>
        <v/>
      </c>
    </row>
    <row r="210" spans="1:18" ht="44" x14ac:dyDescent="0.55000000000000004">
      <c r="A210" s="60" t="s">
        <v>522</v>
      </c>
      <c r="B210" s="66" t="s">
        <v>132</v>
      </c>
      <c r="C210" s="61" t="s">
        <v>523</v>
      </c>
      <c r="D210" s="62"/>
      <c r="E210" s="54">
        <v>1</v>
      </c>
      <c r="F210" s="61" t="s">
        <v>524</v>
      </c>
      <c r="G210" s="69" t="s">
        <v>504</v>
      </c>
      <c r="H210" s="54" t="str">
        <f>IFERROR(INDEX('الإعدادات واللجنة'!$C$24:$C$32,MATCH(LEFT(A210,3),'الإعدادات واللجنة'!$A$24:$A$32,0)),"")</f>
        <v>د. حسن بن سعد القحطاني</v>
      </c>
      <c r="I210" s="55"/>
      <c r="J210" s="55"/>
      <c r="K210" s="54" t="str">
        <f t="shared" si="3"/>
        <v/>
      </c>
      <c r="L210" s="56"/>
      <c r="M210" s="55"/>
      <c r="N210" s="56"/>
      <c r="O210" s="56"/>
      <c r="P210" s="55"/>
      <c r="Q210" s="56"/>
      <c r="R210" s="26" t="str">
        <f>IF($I210="","",$I210&amp;"#"&amp;COUNTIF($I$5:$I210,$I210))</f>
        <v/>
      </c>
    </row>
    <row r="211" spans="1:18" ht="44" x14ac:dyDescent="0.55000000000000004">
      <c r="A211" s="46" t="s">
        <v>522</v>
      </c>
      <c r="B211" s="63" t="s">
        <v>132</v>
      </c>
      <c r="C211" s="44"/>
      <c r="D211" s="45"/>
      <c r="E211" s="46">
        <v>2</v>
      </c>
      <c r="F211" s="44" t="s">
        <v>525</v>
      </c>
      <c r="G211" s="70" t="s">
        <v>504</v>
      </c>
      <c r="H211" s="46" t="str">
        <f>IFERROR(INDEX('الإعدادات واللجنة'!$C$24:$C$32,MATCH(LEFT(A211,3),'الإعدادات واللجنة'!$A$24:$A$32,0)),"")</f>
        <v>د. حسن بن سعد القحطاني</v>
      </c>
      <c r="I211" s="38"/>
      <c r="J211" s="38"/>
      <c r="K211" s="46" t="str">
        <f t="shared" si="3"/>
        <v/>
      </c>
      <c r="L211" s="48"/>
      <c r="M211" s="38"/>
      <c r="N211" s="48"/>
      <c r="O211" s="48"/>
      <c r="P211" s="38"/>
      <c r="Q211" s="48"/>
      <c r="R211" s="26" t="str">
        <f>IF($I211="","",$I211&amp;"#"&amp;COUNTIF($I$5:$I211,$I211))</f>
        <v/>
      </c>
    </row>
    <row r="212" spans="1:18" ht="44" x14ac:dyDescent="0.55000000000000004">
      <c r="A212" s="46" t="s">
        <v>522</v>
      </c>
      <c r="B212" s="63" t="s">
        <v>132</v>
      </c>
      <c r="C212" s="44"/>
      <c r="D212" s="45"/>
      <c r="E212" s="46">
        <v>3</v>
      </c>
      <c r="F212" s="44" t="s">
        <v>526</v>
      </c>
      <c r="G212" s="70" t="s">
        <v>504</v>
      </c>
      <c r="H212" s="46" t="str">
        <f>IFERROR(INDEX('الإعدادات واللجنة'!$C$24:$C$32,MATCH(LEFT(A212,3),'الإعدادات واللجنة'!$A$24:$A$32,0)),"")</f>
        <v>د. حسن بن سعد القحطاني</v>
      </c>
      <c r="I212" s="38"/>
      <c r="J212" s="38"/>
      <c r="K212" s="46" t="str">
        <f t="shared" si="3"/>
        <v/>
      </c>
      <c r="L212" s="48"/>
      <c r="M212" s="38"/>
      <c r="N212" s="48"/>
      <c r="O212" s="48"/>
      <c r="P212" s="38"/>
      <c r="Q212" s="48"/>
      <c r="R212" s="26" t="str">
        <f>IF($I212="","",$I212&amp;"#"&amp;COUNTIF($I$5:$I212,$I212))</f>
        <v/>
      </c>
    </row>
    <row r="213" spans="1:18" ht="44" x14ac:dyDescent="0.55000000000000004">
      <c r="A213" s="60" t="s">
        <v>527</v>
      </c>
      <c r="B213" s="66" t="s">
        <v>132</v>
      </c>
      <c r="C213" s="61" t="s">
        <v>528</v>
      </c>
      <c r="D213" s="62"/>
      <c r="E213" s="54">
        <v>1</v>
      </c>
      <c r="F213" s="61" t="s">
        <v>529</v>
      </c>
      <c r="G213" s="69" t="s">
        <v>504</v>
      </c>
      <c r="H213" s="54" t="str">
        <f>IFERROR(INDEX('الإعدادات واللجنة'!$C$24:$C$32,MATCH(LEFT(A213,3),'الإعدادات واللجنة'!$A$24:$A$32,0)),"")</f>
        <v>د. حسن بن سعد القحطاني</v>
      </c>
      <c r="I213" s="55"/>
      <c r="J213" s="55"/>
      <c r="K213" s="54" t="str">
        <f t="shared" si="3"/>
        <v/>
      </c>
      <c r="L213" s="56"/>
      <c r="M213" s="55"/>
      <c r="N213" s="56"/>
      <c r="O213" s="56"/>
      <c r="P213" s="55"/>
      <c r="Q213" s="56"/>
      <c r="R213" s="26" t="str">
        <f>IF($I213="","",$I213&amp;"#"&amp;COUNTIF($I$5:$I213,$I213))</f>
        <v/>
      </c>
    </row>
    <row r="214" spans="1:18" ht="44" x14ac:dyDescent="0.55000000000000004">
      <c r="A214" s="46" t="s">
        <v>527</v>
      </c>
      <c r="B214" s="63" t="s">
        <v>132</v>
      </c>
      <c r="C214" s="44"/>
      <c r="D214" s="45"/>
      <c r="E214" s="46">
        <v>2</v>
      </c>
      <c r="F214" s="44" t="s">
        <v>530</v>
      </c>
      <c r="G214" s="70" t="s">
        <v>504</v>
      </c>
      <c r="H214" s="46" t="str">
        <f>IFERROR(INDEX('الإعدادات واللجنة'!$C$24:$C$32,MATCH(LEFT(A214,3),'الإعدادات واللجنة'!$A$24:$A$32,0)),"")</f>
        <v>د. حسن بن سعد القحطاني</v>
      </c>
      <c r="I214" s="38"/>
      <c r="J214" s="38"/>
      <c r="K214" s="46" t="str">
        <f t="shared" si="3"/>
        <v/>
      </c>
      <c r="L214" s="48"/>
      <c r="M214" s="38"/>
      <c r="N214" s="48"/>
      <c r="O214" s="48"/>
      <c r="P214" s="38"/>
      <c r="Q214" s="48"/>
      <c r="R214" s="26" t="str">
        <f>IF($I214="","",$I214&amp;"#"&amp;COUNTIF($I$5:$I214,$I214))</f>
        <v/>
      </c>
    </row>
    <row r="215" spans="1:18" ht="44" x14ac:dyDescent="0.55000000000000004">
      <c r="A215" s="46" t="s">
        <v>527</v>
      </c>
      <c r="B215" s="63" t="s">
        <v>132</v>
      </c>
      <c r="C215" s="44"/>
      <c r="D215" s="45"/>
      <c r="E215" s="46">
        <v>3</v>
      </c>
      <c r="F215" s="44" t="s">
        <v>531</v>
      </c>
      <c r="G215" s="70" t="s">
        <v>504</v>
      </c>
      <c r="H215" s="46" t="str">
        <f>IFERROR(INDEX('الإعدادات واللجنة'!$C$24:$C$32,MATCH(LEFT(A215,3),'الإعدادات واللجنة'!$A$24:$A$32,0)),"")</f>
        <v>د. حسن بن سعد القحطاني</v>
      </c>
      <c r="I215" s="38"/>
      <c r="J215" s="38"/>
      <c r="K215" s="46" t="str">
        <f t="shared" si="3"/>
        <v/>
      </c>
      <c r="L215" s="48"/>
      <c r="M215" s="38"/>
      <c r="N215" s="48"/>
      <c r="O215" s="48"/>
      <c r="P215" s="38"/>
      <c r="Q215" s="48"/>
      <c r="R215" s="26" t="str">
        <f>IF($I215="","",$I215&amp;"#"&amp;COUNTIF($I$5:$I215,$I215))</f>
        <v/>
      </c>
    </row>
    <row r="216" spans="1:18" ht="44" x14ac:dyDescent="0.55000000000000004">
      <c r="A216" s="60" t="s">
        <v>532</v>
      </c>
      <c r="B216" s="66" t="s">
        <v>132</v>
      </c>
      <c r="C216" s="61" t="s">
        <v>533</v>
      </c>
      <c r="D216" s="62"/>
      <c r="E216" s="54">
        <v>1</v>
      </c>
      <c r="F216" s="61" t="s">
        <v>534</v>
      </c>
      <c r="G216" s="69" t="s">
        <v>504</v>
      </c>
      <c r="H216" s="54" t="str">
        <f>IFERROR(INDEX('الإعدادات واللجنة'!$C$24:$C$32,MATCH(LEFT(A216,3),'الإعدادات واللجنة'!$A$24:$A$32,0)),"")</f>
        <v>د. حسن بن سعد القحطاني</v>
      </c>
      <c r="I216" s="55"/>
      <c r="J216" s="55"/>
      <c r="K216" s="54" t="str">
        <f t="shared" si="3"/>
        <v/>
      </c>
      <c r="L216" s="56"/>
      <c r="M216" s="55"/>
      <c r="N216" s="56"/>
      <c r="O216" s="56"/>
      <c r="P216" s="55"/>
      <c r="Q216" s="56"/>
      <c r="R216" s="26" t="str">
        <f>IF($I216="","",$I216&amp;"#"&amp;COUNTIF($I$5:$I216,$I216))</f>
        <v/>
      </c>
    </row>
    <row r="217" spans="1:18" ht="44" x14ac:dyDescent="0.55000000000000004">
      <c r="A217" s="46" t="s">
        <v>532</v>
      </c>
      <c r="B217" s="63" t="s">
        <v>132</v>
      </c>
      <c r="C217" s="44"/>
      <c r="D217" s="45"/>
      <c r="E217" s="46">
        <v>2</v>
      </c>
      <c r="F217" s="44" t="s">
        <v>535</v>
      </c>
      <c r="G217" s="70" t="s">
        <v>504</v>
      </c>
      <c r="H217" s="46" t="str">
        <f>IFERROR(INDEX('الإعدادات واللجنة'!$C$24:$C$32,MATCH(LEFT(A217,3),'الإعدادات واللجنة'!$A$24:$A$32,0)),"")</f>
        <v>د. حسن بن سعد القحطاني</v>
      </c>
      <c r="I217" s="38"/>
      <c r="J217" s="38"/>
      <c r="K217" s="46" t="str">
        <f t="shared" si="3"/>
        <v/>
      </c>
      <c r="L217" s="48"/>
      <c r="M217" s="38"/>
      <c r="N217" s="48"/>
      <c r="O217" s="48"/>
      <c r="P217" s="38"/>
      <c r="Q217" s="48"/>
      <c r="R217" s="26" t="str">
        <f>IF($I217="","",$I217&amp;"#"&amp;COUNTIF($I$5:$I217,$I217))</f>
        <v/>
      </c>
    </row>
    <row r="218" spans="1:18" ht="44" x14ac:dyDescent="0.55000000000000004">
      <c r="A218" s="46" t="s">
        <v>532</v>
      </c>
      <c r="B218" s="63" t="s">
        <v>132</v>
      </c>
      <c r="C218" s="44"/>
      <c r="D218" s="45"/>
      <c r="E218" s="46">
        <v>3</v>
      </c>
      <c r="F218" s="44" t="s">
        <v>536</v>
      </c>
      <c r="G218" s="70" t="s">
        <v>504</v>
      </c>
      <c r="H218" s="46" t="str">
        <f>IFERROR(INDEX('الإعدادات واللجنة'!$C$24:$C$32,MATCH(LEFT(A218,3),'الإعدادات واللجنة'!$A$24:$A$32,0)),"")</f>
        <v>د. حسن بن سعد القحطاني</v>
      </c>
      <c r="I218" s="38"/>
      <c r="J218" s="38"/>
      <c r="K218" s="46" t="str">
        <f t="shared" si="3"/>
        <v/>
      </c>
      <c r="L218" s="48"/>
      <c r="M218" s="38"/>
      <c r="N218" s="48"/>
      <c r="O218" s="48"/>
      <c r="P218" s="38"/>
      <c r="Q218" s="48"/>
      <c r="R218" s="26" t="str">
        <f>IF($I218="","",$I218&amp;"#"&amp;COUNTIF($I$5:$I218,$I218))</f>
        <v/>
      </c>
    </row>
    <row r="219" spans="1:18" ht="66" x14ac:dyDescent="0.55000000000000004">
      <c r="A219" s="60" t="s">
        <v>537</v>
      </c>
      <c r="B219" s="66" t="s">
        <v>132</v>
      </c>
      <c r="C219" s="61" t="s">
        <v>538</v>
      </c>
      <c r="D219" s="62"/>
      <c r="E219" s="54">
        <v>1</v>
      </c>
      <c r="F219" s="61" t="s">
        <v>539</v>
      </c>
      <c r="G219" s="69" t="s">
        <v>504</v>
      </c>
      <c r="H219" s="54" t="str">
        <f>IFERROR(INDEX('الإعدادات واللجنة'!$C$24:$C$32,MATCH(LEFT(A219,3),'الإعدادات واللجنة'!$A$24:$A$32,0)),"")</f>
        <v>د. حسن بن سعد القحطاني</v>
      </c>
      <c r="I219" s="55"/>
      <c r="J219" s="55"/>
      <c r="K219" s="54" t="str">
        <f t="shared" si="3"/>
        <v/>
      </c>
      <c r="L219" s="56"/>
      <c r="M219" s="55"/>
      <c r="N219" s="56"/>
      <c r="O219" s="56"/>
      <c r="P219" s="55"/>
      <c r="Q219" s="56"/>
      <c r="R219" s="26" t="str">
        <f>IF($I219="","",$I219&amp;"#"&amp;COUNTIF($I$5:$I219,$I219))</f>
        <v/>
      </c>
    </row>
    <row r="220" spans="1:18" ht="44" x14ac:dyDescent="0.55000000000000004">
      <c r="A220" s="46" t="s">
        <v>537</v>
      </c>
      <c r="B220" s="63" t="s">
        <v>132</v>
      </c>
      <c r="C220" s="44"/>
      <c r="D220" s="45"/>
      <c r="E220" s="46">
        <v>2</v>
      </c>
      <c r="F220" s="44" t="s">
        <v>540</v>
      </c>
      <c r="G220" s="70" t="s">
        <v>504</v>
      </c>
      <c r="H220" s="46" t="str">
        <f>IFERROR(INDEX('الإعدادات واللجنة'!$C$24:$C$32,MATCH(LEFT(A220,3),'الإعدادات واللجنة'!$A$24:$A$32,0)),"")</f>
        <v>د. حسن بن سعد القحطاني</v>
      </c>
      <c r="I220" s="38"/>
      <c r="J220" s="38"/>
      <c r="K220" s="46" t="str">
        <f t="shared" si="3"/>
        <v/>
      </c>
      <c r="L220" s="48"/>
      <c r="M220" s="38"/>
      <c r="N220" s="48"/>
      <c r="O220" s="48"/>
      <c r="P220" s="38"/>
      <c r="Q220" s="48"/>
      <c r="R220" s="26" t="str">
        <f>IF($I220="","",$I220&amp;"#"&amp;COUNTIF($I$5:$I220,$I220))</f>
        <v/>
      </c>
    </row>
    <row r="221" spans="1:18" ht="44" x14ac:dyDescent="0.55000000000000004">
      <c r="A221" s="46" t="s">
        <v>537</v>
      </c>
      <c r="B221" s="63" t="s">
        <v>132</v>
      </c>
      <c r="C221" s="44"/>
      <c r="D221" s="45"/>
      <c r="E221" s="46">
        <v>3</v>
      </c>
      <c r="F221" s="44" t="s">
        <v>541</v>
      </c>
      <c r="G221" s="70" t="s">
        <v>504</v>
      </c>
      <c r="H221" s="46" t="str">
        <f>IFERROR(INDEX('الإعدادات واللجنة'!$C$24:$C$32,MATCH(LEFT(A221,3),'الإعدادات واللجنة'!$A$24:$A$32,0)),"")</f>
        <v>د. حسن بن سعد القحطاني</v>
      </c>
      <c r="I221" s="38"/>
      <c r="J221" s="38"/>
      <c r="K221" s="46" t="str">
        <f t="shared" si="3"/>
        <v/>
      </c>
      <c r="L221" s="48"/>
      <c r="M221" s="38"/>
      <c r="N221" s="48"/>
      <c r="O221" s="48"/>
      <c r="P221" s="38"/>
      <c r="Q221" s="48"/>
      <c r="R221" s="26" t="str">
        <f>IF($I221="","",$I221&amp;"#"&amp;COUNTIF($I$5:$I221,$I221))</f>
        <v/>
      </c>
    </row>
    <row r="222" spans="1:18" ht="44" x14ac:dyDescent="0.55000000000000004">
      <c r="A222" s="60" t="s">
        <v>542</v>
      </c>
      <c r="B222" s="66" t="s">
        <v>132</v>
      </c>
      <c r="C222" s="61" t="s">
        <v>543</v>
      </c>
      <c r="D222" s="62"/>
      <c r="E222" s="54">
        <v>1</v>
      </c>
      <c r="F222" s="61" t="s">
        <v>544</v>
      </c>
      <c r="G222" s="69" t="s">
        <v>504</v>
      </c>
      <c r="H222" s="54" t="str">
        <f>IFERROR(INDEX('الإعدادات واللجنة'!$C$24:$C$32,MATCH(LEFT(A222,3),'الإعدادات واللجنة'!$A$24:$A$32,0)),"")</f>
        <v>د. حسن بن سعد القحطاني</v>
      </c>
      <c r="I222" s="55"/>
      <c r="J222" s="55"/>
      <c r="K222" s="54" t="str">
        <f t="shared" si="3"/>
        <v/>
      </c>
      <c r="L222" s="56"/>
      <c r="M222" s="55"/>
      <c r="N222" s="56"/>
      <c r="O222" s="56"/>
      <c r="P222" s="55"/>
      <c r="Q222" s="56"/>
      <c r="R222" s="26" t="str">
        <f>IF($I222="","",$I222&amp;"#"&amp;COUNTIF($I$5:$I222,$I222))</f>
        <v/>
      </c>
    </row>
    <row r="223" spans="1:18" ht="44" x14ac:dyDescent="0.55000000000000004">
      <c r="A223" s="46" t="s">
        <v>542</v>
      </c>
      <c r="B223" s="63" t="s">
        <v>132</v>
      </c>
      <c r="C223" s="44"/>
      <c r="D223" s="45"/>
      <c r="E223" s="46">
        <v>2</v>
      </c>
      <c r="F223" s="44" t="s">
        <v>545</v>
      </c>
      <c r="G223" s="70" t="s">
        <v>504</v>
      </c>
      <c r="H223" s="46" t="str">
        <f>IFERROR(INDEX('الإعدادات واللجنة'!$C$24:$C$32,MATCH(LEFT(A223,3),'الإعدادات واللجنة'!$A$24:$A$32,0)),"")</f>
        <v>د. حسن بن سعد القحطاني</v>
      </c>
      <c r="I223" s="38"/>
      <c r="J223" s="38"/>
      <c r="K223" s="46" t="str">
        <f t="shared" si="3"/>
        <v/>
      </c>
      <c r="L223" s="48"/>
      <c r="M223" s="38"/>
      <c r="N223" s="48"/>
      <c r="O223" s="48"/>
      <c r="P223" s="38"/>
      <c r="Q223" s="48"/>
      <c r="R223" s="26" t="str">
        <f>IF($I223="","",$I223&amp;"#"&amp;COUNTIF($I$5:$I223,$I223))</f>
        <v/>
      </c>
    </row>
    <row r="224" spans="1:18" ht="44" x14ac:dyDescent="0.55000000000000004">
      <c r="A224" s="46" t="s">
        <v>542</v>
      </c>
      <c r="B224" s="63" t="s">
        <v>132</v>
      </c>
      <c r="C224" s="44"/>
      <c r="D224" s="45"/>
      <c r="E224" s="46">
        <v>3</v>
      </c>
      <c r="F224" s="44" t="s">
        <v>546</v>
      </c>
      <c r="G224" s="70" t="s">
        <v>504</v>
      </c>
      <c r="H224" s="46" t="str">
        <f>IFERROR(INDEX('الإعدادات واللجنة'!$C$24:$C$32,MATCH(LEFT(A224,3),'الإعدادات واللجنة'!$A$24:$A$32,0)),"")</f>
        <v>د. حسن بن سعد القحطاني</v>
      </c>
      <c r="I224" s="38"/>
      <c r="J224" s="38"/>
      <c r="K224" s="46" t="str">
        <f t="shared" si="3"/>
        <v/>
      </c>
      <c r="L224" s="48"/>
      <c r="M224" s="38"/>
      <c r="N224" s="48"/>
      <c r="O224" s="48"/>
      <c r="P224" s="38"/>
      <c r="Q224" s="48"/>
      <c r="R224" s="26" t="str">
        <f>IF($I224="","",$I224&amp;"#"&amp;COUNTIF($I$5:$I224,$I224))</f>
        <v/>
      </c>
    </row>
    <row r="225" spans="1:18" ht="66" x14ac:dyDescent="0.55000000000000004">
      <c r="A225" s="60" t="s">
        <v>547</v>
      </c>
      <c r="B225" s="66" t="s">
        <v>132</v>
      </c>
      <c r="C225" s="61" t="s">
        <v>548</v>
      </c>
      <c r="D225" s="62"/>
      <c r="E225" s="54">
        <v>1</v>
      </c>
      <c r="F225" s="61" t="s">
        <v>549</v>
      </c>
      <c r="G225" s="69" t="s">
        <v>504</v>
      </c>
      <c r="H225" s="54" t="str">
        <f>IFERROR(INDEX('الإعدادات واللجنة'!$C$24:$C$32,MATCH(LEFT(A225,3),'الإعدادات واللجنة'!$A$24:$A$32,0)),"")</f>
        <v>د. حسن بن سعد القحطاني</v>
      </c>
      <c r="I225" s="55"/>
      <c r="J225" s="55"/>
      <c r="K225" s="54" t="str">
        <f t="shared" si="3"/>
        <v/>
      </c>
      <c r="L225" s="56"/>
      <c r="M225" s="55"/>
      <c r="N225" s="56"/>
      <c r="O225" s="56"/>
      <c r="P225" s="55"/>
      <c r="Q225" s="56"/>
      <c r="R225" s="26" t="str">
        <f>IF($I225="","",$I225&amp;"#"&amp;COUNTIF($I$5:$I225,$I225))</f>
        <v/>
      </c>
    </row>
    <row r="226" spans="1:18" ht="44" x14ac:dyDescent="0.55000000000000004">
      <c r="A226" s="46" t="s">
        <v>547</v>
      </c>
      <c r="B226" s="63" t="s">
        <v>132</v>
      </c>
      <c r="C226" s="44"/>
      <c r="D226" s="45"/>
      <c r="E226" s="46">
        <v>2</v>
      </c>
      <c r="F226" s="44" t="s">
        <v>550</v>
      </c>
      <c r="G226" s="70" t="s">
        <v>504</v>
      </c>
      <c r="H226" s="46" t="str">
        <f>IFERROR(INDEX('الإعدادات واللجنة'!$C$24:$C$32,MATCH(LEFT(A226,3),'الإعدادات واللجنة'!$A$24:$A$32,0)),"")</f>
        <v>د. حسن بن سعد القحطاني</v>
      </c>
      <c r="I226" s="38"/>
      <c r="J226" s="38"/>
      <c r="K226" s="46" t="str">
        <f t="shared" si="3"/>
        <v/>
      </c>
      <c r="L226" s="48"/>
      <c r="M226" s="38"/>
      <c r="N226" s="48"/>
      <c r="O226" s="48"/>
      <c r="P226" s="38"/>
      <c r="Q226" s="48"/>
      <c r="R226" s="26" t="str">
        <f>IF($I226="","",$I226&amp;"#"&amp;COUNTIF($I$5:$I226,$I226))</f>
        <v/>
      </c>
    </row>
    <row r="227" spans="1:18" ht="44" x14ac:dyDescent="0.55000000000000004">
      <c r="A227" s="46" t="s">
        <v>547</v>
      </c>
      <c r="B227" s="63" t="s">
        <v>132</v>
      </c>
      <c r="C227" s="44"/>
      <c r="D227" s="45"/>
      <c r="E227" s="46">
        <v>3</v>
      </c>
      <c r="F227" s="44" t="s">
        <v>551</v>
      </c>
      <c r="G227" s="70" t="s">
        <v>504</v>
      </c>
      <c r="H227" s="46" t="str">
        <f>IFERROR(INDEX('الإعدادات واللجنة'!$C$24:$C$32,MATCH(LEFT(A227,3),'الإعدادات واللجنة'!$A$24:$A$32,0)),"")</f>
        <v>د. حسن بن سعد القحطاني</v>
      </c>
      <c r="I227" s="38"/>
      <c r="J227" s="38"/>
      <c r="K227" s="46" t="str">
        <f t="shared" si="3"/>
        <v/>
      </c>
      <c r="L227" s="48"/>
      <c r="M227" s="38"/>
      <c r="N227" s="48"/>
      <c r="O227" s="48"/>
      <c r="P227" s="38"/>
      <c r="Q227" s="48"/>
      <c r="R227" s="26" t="str">
        <f>IF($I227="","",$I227&amp;"#"&amp;COUNTIF($I$5:$I227,$I227))</f>
        <v/>
      </c>
    </row>
    <row r="228" spans="1:18" ht="44" x14ac:dyDescent="0.55000000000000004">
      <c r="A228" s="49" t="s">
        <v>552</v>
      </c>
      <c r="B228" s="64" t="s">
        <v>132</v>
      </c>
      <c r="C228" s="50" t="s">
        <v>553</v>
      </c>
      <c r="D228" s="51" t="s">
        <v>208</v>
      </c>
      <c r="E228" s="52">
        <v>1</v>
      </c>
      <c r="F228" s="50" t="s">
        <v>554</v>
      </c>
      <c r="G228" s="69" t="s">
        <v>504</v>
      </c>
      <c r="H228" s="54" t="str">
        <f>IFERROR(INDEX('الإعدادات واللجنة'!$C$24:$C$32,MATCH(LEFT(A228,3),'الإعدادات واللجنة'!$A$24:$A$32,0)),"")</f>
        <v>د. حسن بن سعد القحطاني</v>
      </c>
      <c r="I228" s="55"/>
      <c r="J228" s="55"/>
      <c r="K228" s="54" t="str">
        <f t="shared" si="3"/>
        <v/>
      </c>
      <c r="L228" s="56"/>
      <c r="M228" s="55"/>
      <c r="N228" s="56"/>
      <c r="O228" s="56"/>
      <c r="P228" s="55"/>
      <c r="Q228" s="56"/>
      <c r="R228" s="26" t="str">
        <f>IF($I228="","",$I228&amp;"#"&amp;COUNTIF($I$5:$I228,$I228))</f>
        <v/>
      </c>
    </row>
    <row r="229" spans="1:18" ht="44" x14ac:dyDescent="0.55000000000000004">
      <c r="A229" s="57" t="s">
        <v>552</v>
      </c>
      <c r="B229" s="65" t="s">
        <v>132</v>
      </c>
      <c r="C229" s="58"/>
      <c r="D229" s="59" t="s">
        <v>208</v>
      </c>
      <c r="E229" s="57">
        <v>2</v>
      </c>
      <c r="F229" s="58" t="s">
        <v>555</v>
      </c>
      <c r="G229" s="70" t="s">
        <v>504</v>
      </c>
      <c r="H229" s="46" t="str">
        <f>IFERROR(INDEX('الإعدادات واللجنة'!$C$24:$C$32,MATCH(LEFT(A229,3),'الإعدادات واللجنة'!$A$24:$A$32,0)),"")</f>
        <v>د. حسن بن سعد القحطاني</v>
      </c>
      <c r="I229" s="38"/>
      <c r="J229" s="38"/>
      <c r="K229" s="46" t="str">
        <f t="shared" si="3"/>
        <v/>
      </c>
      <c r="L229" s="48"/>
      <c r="M229" s="38"/>
      <c r="N229" s="48"/>
      <c r="O229" s="48"/>
      <c r="P229" s="38"/>
      <c r="Q229" s="48"/>
      <c r="R229" s="26" t="str">
        <f>IF($I229="","",$I229&amp;"#"&amp;COUNTIF($I$5:$I229,$I229))</f>
        <v/>
      </c>
    </row>
    <row r="230" spans="1:18" ht="44" x14ac:dyDescent="0.55000000000000004">
      <c r="A230" s="57" t="s">
        <v>552</v>
      </c>
      <c r="B230" s="65" t="s">
        <v>132</v>
      </c>
      <c r="C230" s="58"/>
      <c r="D230" s="59" t="s">
        <v>208</v>
      </c>
      <c r="E230" s="57">
        <v>3</v>
      </c>
      <c r="F230" s="58" t="s">
        <v>556</v>
      </c>
      <c r="G230" s="70" t="s">
        <v>504</v>
      </c>
      <c r="H230" s="46" t="str">
        <f>IFERROR(INDEX('الإعدادات واللجنة'!$C$24:$C$32,MATCH(LEFT(A230,3),'الإعدادات واللجنة'!$A$24:$A$32,0)),"")</f>
        <v>د. حسن بن سعد القحطاني</v>
      </c>
      <c r="I230" s="38"/>
      <c r="J230" s="38"/>
      <c r="K230" s="46" t="str">
        <f t="shared" si="3"/>
        <v/>
      </c>
      <c r="L230" s="48"/>
      <c r="M230" s="38"/>
      <c r="N230" s="48"/>
      <c r="O230" s="48"/>
      <c r="P230" s="38"/>
      <c r="Q230" s="48"/>
      <c r="R230" s="26" t="str">
        <f>IF($I230="","",$I230&amp;"#"&amp;COUNTIF($I$5:$I230,$I230))</f>
        <v/>
      </c>
    </row>
  </sheetData>
  <mergeCells count="2">
    <mergeCell ref="A1:H1"/>
    <mergeCell ref="A2:Q2"/>
  </mergeCells>
  <conditionalFormatting sqref="I5:I230">
    <cfRule type="cellIs" dxfId="8" priority="2" operator="equal">
      <formula>"متوفر ومكتمل"</formula>
    </cfRule>
    <cfRule type="cellIs" dxfId="7" priority="3" operator="equal">
      <formula>"متوفر ويحتاج تحسين"</formula>
    </cfRule>
    <cfRule type="cellIs" dxfId="6" priority="4" operator="equal">
      <formula>"غير متوفر"</formula>
    </cfRule>
  </conditionalFormatting>
  <conditionalFormatting sqref="J5:J230 L5:M230">
    <cfRule type="expression" dxfId="5" priority="101">
      <formula>AND($I5="متوفر ومكتمل",J5&lt;&gt;"")</formula>
    </cfRule>
    <cfRule type="expression" dxfId="4" priority="102">
      <formula>$I5="متوفر ومكتمل"</formula>
    </cfRule>
  </conditionalFormatting>
  <conditionalFormatting sqref="J5:J230">
    <cfRule type="expression" dxfId="3" priority="103">
      <formula>AND(OR($I5="متوفر ويحتاج تحسين",$I5="غير متوفر"),J5="")</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10.xml><?xml version="1.0" encoding="utf-8"?>
<worksheet xmlns="http://schemas.openxmlformats.org/spreadsheetml/2006/main" xmlns:r="http://schemas.openxmlformats.org/officeDocument/2006/relationships">
  <sheetPr>
    <tabColor rgb="FFC00000"/>
  </sheetPr>
  <dimension ref="A1:H75"/>
  <sheetViews>
    <sheetView rightToLeft="1" workbookViewId="0">
      <selection activeCell="C7" sqref="C7"/>
    </sheetView>
  </sheetViews>
  <sheetFormatPr defaultRowHeight="15"/>
  <cols>
    <col min="1" max="1" width="40" customWidth="1"/>
    <col min="2" max="2" width="24" customWidth="1"/>
    <col min="3" max="4" width="10" customWidth="1"/>
    <col min="5" max="5" width="10" customWidth="1"/>
    <col min="6" max="6" width="14" customWidth="1"/>
    <col min="7" max="7" width="36" customWidth="1"/>
    <col min="8" max="8" width="28" customWidth="1"/>
  </cols>
  <sheetData>
    <row r="1" spans="1:8" ht="30" customHeight="1">
      <c r="A1" s="98" t="str">
        <f>"متابعة وثائق الجودة – المسؤولة: "&amp;'الإعدادات واللجنة'!$B$13</f>
        <v>متابعة وثائق الجودة</v>
      </c>
    </row>
    <row r="2" spans="1:8" ht="44" customHeight="1">
      <c r="A2" s="99" t="inlineStr">
        <is>
          <t xml:space="preserve">اكتبي في «المطلوب» عدد الوثائق المطلوبة (مثل عدد المقررات في الفصل)، وفي «تم» عدد المنجز منها، وضعي الرابط. اكتبي 0 في «المطلوب» إذا كانت الوثيقة لا تنطبق على البرنامج. النسبة والحالة تُحسبان تلقائياً.</t>
        </is>
      </c>
    </row>
    <row r="3" spans="1:8" ht="28" customHeight="1">
      <c r="A3" s="29" t="inlineStr">
        <is>
          <t xml:space="preserve">نسبة الإنجاز الكلية (البرامج الثلاثة)</t>
        </is>
      </c>
      <c r="B3" s="29"/>
      <c r="C3" s="29"/>
      <c r="D3" s="29"/>
      <c r="E3" s="35">
        <f>IFERROR(AVERAGE(E27,E51,E75),0)</f>
        <v>0</v>
      </c>
    </row>
    <row r="5" spans="1:8" ht="26" customHeight="1">
      <c r="A5" s="97" t="str">
        <f>'الإعدادات واللجنة'!$B$5</f>
        <v/>
      </c>
      <c r="B5" s="97"/>
      <c r="C5" s="97"/>
      <c r="D5" s="97"/>
      <c r="E5" s="97"/>
      <c r="F5" s="97"/>
      <c r="G5" s="97"/>
      <c r="H5" s="97"/>
    </row>
    <row r="6" spans="1:8" ht="28" customHeight="1">
      <c r="A6" s="29" t="inlineStr">
        <is>
          <t xml:space="preserve">الوثيقة</t>
        </is>
      </c>
      <c r="B6" s="29" t="inlineStr">
        <is>
          <t xml:space="preserve">العام / الفصل</t>
        </is>
      </c>
      <c r="C6" s="29" t="inlineStr">
        <is>
          <t xml:space="preserve">المطلوب</t>
        </is>
      </c>
      <c r="D6" s="29" t="inlineStr">
        <is>
          <t xml:space="preserve">تم</t>
        </is>
      </c>
      <c r="E6" s="29" t="inlineStr">
        <is>
          <t xml:space="preserve">النسبة</t>
        </is>
      </c>
      <c r="F6" s="29" t="inlineStr">
        <is>
          <t xml:space="preserve">الحالة</t>
        </is>
      </c>
      <c r="G6" s="29" t="inlineStr">
        <is>
          <t xml:space="preserve">رابط الوثيقة</t>
        </is>
      </c>
      <c r="H6" s="29" t="inlineStr">
        <is>
          <t xml:space="preserve">ملاحظات</t>
        </is>
      </c>
    </row>
    <row r="7" spans="1:8" ht="24" customHeight="1">
      <c r="A7" s="31" t="inlineStr">
        <is>
          <t xml:space="preserve">توصيف البرنامج (TP-151)</t>
        </is>
      </c>
      <c r="B7" s="30" t="inlineStr">
        <is>
          <t xml:space="preserve">مرة واحدة</t>
        </is>
      </c>
      <c r="C7" s="38">
        <v>1</v>
      </c>
      <c r="D7" s="38"/>
      <c r="E7" s="35">
        <f>IF(OR(C7="",C7=0),"",MIN(N(D7)/C7,1))</f>
        <v/>
      </c>
      <c r="F7" s="30" t="str">
        <f>IF(C7="","لم يُحدد",IF(C7=0,"لا ينطبق",IF(N(D7)&gt;=C7,"مكتمل",IF(N(D7)&gt;0,"قيد التحديث","لم يبدأ"))))</f>
        <v/>
      </c>
      <c r="G7" s="38"/>
      <c r="H7" s="38"/>
    </row>
    <row r="8" spans="1:8" ht="24" customHeight="1">
      <c r="A8" s="31" t="inlineStr">
        <is>
          <t xml:space="preserve">توصيفات المقررات (TP-153)</t>
        </is>
      </c>
      <c r="B8" s="30" t="inlineStr">
        <is>
          <t xml:space="preserve">مرة واحدة</t>
        </is>
      </c>
      <c r="C8" s="38"/>
      <c r="D8" s="38"/>
      <c r="E8" s="35">
        <f>IF(OR(C8="",C8=0),"",MIN(N(D8)/C8,1))</f>
        <v/>
      </c>
      <c r="F8" s="30" t="str">
        <f>IF(C8="","لم يُحدد",IF(C8=0,"لا ينطبق",IF(N(D8)&gt;=C8,"مكتمل",IF(N(D8)&gt;0,"قيد التحديث","لم يبدأ"))))</f>
        <v/>
      </c>
      <c r="G8" s="38"/>
      <c r="H8" s="38"/>
    </row>
    <row r="9" spans="1:8" ht="24" customHeight="1">
      <c r="A9" s="31" t="inlineStr">
        <is>
          <t xml:space="preserve">توصيف التدريب العملي (TP-155)</t>
        </is>
      </c>
      <c r="B9" s="30" t="inlineStr">
        <is>
          <t xml:space="preserve">مرة واحدة</t>
        </is>
      </c>
      <c r="C9" s="38"/>
      <c r="D9" s="38"/>
      <c r="E9" s="35">
        <f>IF(OR(C9="",C9=0),"",MIN(N(D9)/C9,1))</f>
        <v/>
      </c>
      <c r="F9" s="30" t="str">
        <f>IF(C9="","لم يُحدد",IF(C9=0,"لا ينطبق",IF(N(D9)&gt;=C9,"مكتمل",IF(N(D9)&gt;0,"قيد التحديث","لم يبدأ"))))</f>
        <v/>
      </c>
      <c r="G9" s="38"/>
      <c r="H9" s="38"/>
    </row>
    <row r="10" spans="1:8" ht="24" customHeight="1">
      <c r="A10" s="31" t="inlineStr">
        <is>
          <t xml:space="preserve">تقرير الاتساق مع الإطار الوطني (TP-150)</t>
        </is>
      </c>
      <c r="B10" s="30" t="inlineStr">
        <is>
          <t xml:space="preserve">مرة واحدة</t>
        </is>
      </c>
      <c r="C10" s="38">
        <v>1</v>
      </c>
      <c r="D10" s="38"/>
      <c r="E10" s="35">
        <f>IF(OR(C10="",C10=0),"",MIN(N(D10)/C10,1))</f>
        <v/>
      </c>
      <c r="F10" s="30" t="str">
        <f>IF(C10="","لم يُحدد",IF(C10=0,"لا ينطبق",IF(N(D10)&gt;=C10,"مكتمل",IF(N(D10)&gt;0,"قيد التحديث","لم يبدأ"))))</f>
        <v/>
      </c>
      <c r="G10" s="38"/>
      <c r="H10" s="38"/>
    </row>
    <row r="11" spans="1:8" ht="24" customHeight="1">
      <c r="A11" s="31" t="inlineStr">
        <is>
          <t xml:space="preserve">خطة تقييم نواتج التعلم</t>
        </is>
      </c>
      <c r="B11" s="30" t="inlineStr">
        <is>
          <t xml:space="preserve">مرة واحدة</t>
        </is>
      </c>
      <c r="C11" s="38">
        <v>1</v>
      </c>
      <c r="D11" s="38"/>
      <c r="E11" s="35">
        <f>IF(OR(C11="",C11=0),"",MIN(N(D11)/C11,1))</f>
        <v/>
      </c>
      <c r="F11" s="30" t="str">
        <f>IF(C11="","لم يُحدد",IF(C11=0,"لا ينطبق",IF(N(D11)&gt;=C11,"مكتمل",IF(N(D11)&gt;0,"قيد التحديث","لم يبدأ"))))</f>
        <v/>
      </c>
      <c r="G11" s="38"/>
      <c r="H11" s="38"/>
    </row>
    <row r="12" spans="1:8" ht="24" customHeight="1">
      <c r="A12" s="31" t="inlineStr">
        <is>
          <t xml:space="preserve">التقرير السنوي للبرنامج (TP-152)</t>
        </is>
      </c>
      <c r="B12" s="30" t="inlineStr">
        <is>
          <t xml:space="preserve">2024-2025</t>
        </is>
      </c>
      <c r="C12" s="38">
        <v>1</v>
      </c>
      <c r="D12" s="38"/>
      <c r="E12" s="35">
        <f>IF(OR(C12="",C12=0),"",MIN(N(D12)/C12,1))</f>
        <v/>
      </c>
      <c r="F12" s="30" t="str">
        <f>IF(C12="","لم يُحدد",IF(C12=0,"لا ينطبق",IF(N(D12)&gt;=C12,"مكتمل",IF(N(D12)&gt;0,"قيد التحديث","لم يبدأ"))))</f>
        <v/>
      </c>
      <c r="G12" s="38"/>
      <c r="H12" s="38"/>
    </row>
    <row r="13" spans="1:8" ht="24" customHeight="1">
      <c r="A13" s="31" t="inlineStr">
        <is>
          <t xml:space="preserve">التقرير السنوي للبرنامج (TP-152)</t>
        </is>
      </c>
      <c r="B13" s="30" t="inlineStr">
        <is>
          <t xml:space="preserve">2025-2026</t>
        </is>
      </c>
      <c r="C13" s="38">
        <v>1</v>
      </c>
      <c r="D13" s="38"/>
      <c r="E13" s="35">
        <f>IF(OR(C13="",C13=0),"",MIN(N(D13)/C13,1))</f>
        <v/>
      </c>
      <c r="F13" s="30" t="str">
        <f>IF(C13="","لم يُحدد",IF(C13=0,"لا ينطبق",IF(N(D13)&gt;=C13,"مكتمل",IF(N(D13)&gt;0,"قيد التحديث","لم يبدأ"))))</f>
        <v/>
      </c>
      <c r="G13" s="38"/>
      <c r="H13" s="38"/>
    </row>
    <row r="14" spans="1:8" ht="24" customHeight="1">
      <c r="A14" s="31" t="inlineStr">
        <is>
          <t xml:space="preserve">تقارير المقررات (TP-154)</t>
        </is>
      </c>
      <c r="B14" s="30" t="inlineStr">
        <is>
          <t xml:space="preserve">2024-2025 – الفصل الأول</t>
        </is>
      </c>
      <c r="C14" s="38"/>
      <c r="D14" s="38"/>
      <c r="E14" s="35">
        <f>IF(OR(C14="",C14=0),"",MIN(N(D14)/C14,1))</f>
        <v/>
      </c>
      <c r="F14" s="30" t="str">
        <f>IF(C14="","لم يُحدد",IF(C14=0,"لا ينطبق",IF(N(D14)&gt;=C14,"مكتمل",IF(N(D14)&gt;0,"قيد التحديث","لم يبدأ"))))</f>
        <v/>
      </c>
      <c r="G14" s="38"/>
      <c r="H14" s="38"/>
    </row>
    <row r="15" spans="1:8" ht="24" customHeight="1">
      <c r="A15" s="31" t="inlineStr">
        <is>
          <t xml:space="preserve">تقارير المقررات (TP-154)</t>
        </is>
      </c>
      <c r="B15" s="30" t="inlineStr">
        <is>
          <t xml:space="preserve">2024-2025 – الفصل الثاني</t>
        </is>
      </c>
      <c r="C15" s="38"/>
      <c r="D15" s="38"/>
      <c r="E15" s="35">
        <f>IF(OR(C15="",C15=0),"",MIN(N(D15)/C15,1))</f>
        <v/>
      </c>
      <c r="F15" s="30" t="str">
        <f>IF(C15="","لم يُحدد",IF(C15=0,"لا ينطبق",IF(N(D15)&gt;=C15,"مكتمل",IF(N(D15)&gt;0,"قيد التحديث","لم يبدأ"))))</f>
        <v/>
      </c>
      <c r="G15" s="38"/>
      <c r="H15" s="38"/>
    </row>
    <row r="16" spans="1:8" ht="24" customHeight="1">
      <c r="A16" s="31" t="inlineStr">
        <is>
          <t xml:space="preserve">تقارير المقررات (TP-154)</t>
        </is>
      </c>
      <c r="B16" s="30" t="inlineStr">
        <is>
          <t xml:space="preserve">2025-2026 – الفصل الأول</t>
        </is>
      </c>
      <c r="C16" s="38"/>
      <c r="D16" s="38"/>
      <c r="E16" s="35">
        <f>IF(OR(C16="",C16=0),"",MIN(N(D16)/C16,1))</f>
        <v/>
      </c>
      <c r="F16" s="30" t="str">
        <f>IF(C16="","لم يُحدد",IF(C16=0,"لا ينطبق",IF(N(D16)&gt;=C16,"مكتمل",IF(N(D16)&gt;0,"قيد التحديث","لم يبدأ"))))</f>
        <v/>
      </c>
      <c r="G16" s="38"/>
      <c r="H16" s="38"/>
    </row>
    <row r="17" spans="1:8" ht="24" customHeight="1">
      <c r="A17" s="31" t="inlineStr">
        <is>
          <t xml:space="preserve">تقارير المقررات (TP-154)</t>
        </is>
      </c>
      <c r="B17" s="30" t="inlineStr">
        <is>
          <t xml:space="preserve">2025-2026 – الفصل الثاني</t>
        </is>
      </c>
      <c r="C17" s="38"/>
      <c r="D17" s="38"/>
      <c r="E17" s="35">
        <f>IF(OR(C17="",C17=0),"",MIN(N(D17)/C17,1))</f>
        <v/>
      </c>
      <c r="F17" s="30" t="str">
        <f>IF(C17="","لم يُحدد",IF(C17=0,"لا ينطبق",IF(N(D17)&gt;=C17,"مكتمل",IF(N(D17)&gt;0,"قيد التحديث","لم يبدأ"))))</f>
        <v/>
      </c>
      <c r="G17" s="38"/>
      <c r="H17" s="38"/>
    </row>
    <row r="18" spans="1:8" ht="24" customHeight="1">
      <c r="A18" s="31" t="inlineStr">
        <is>
          <t xml:space="preserve">تقرير التدريب العملي (TP-156)</t>
        </is>
      </c>
      <c r="B18" s="30" t="inlineStr">
        <is>
          <t xml:space="preserve">2024-2025 – الفصل الأول</t>
        </is>
      </c>
      <c r="C18" s="38"/>
      <c r="D18" s="38"/>
      <c r="E18" s="35">
        <f>IF(OR(C18="",C18=0),"",MIN(N(D18)/C18,1))</f>
        <v/>
      </c>
      <c r="F18" s="30" t="str">
        <f>IF(C18="","لم يُحدد",IF(C18=0,"لا ينطبق",IF(N(D18)&gt;=C18,"مكتمل",IF(N(D18)&gt;0,"قيد التحديث","لم يبدأ"))))</f>
        <v/>
      </c>
      <c r="G18" s="38"/>
      <c r="H18" s="38"/>
    </row>
    <row r="19" spans="1:8" ht="24" customHeight="1">
      <c r="A19" s="31" t="inlineStr">
        <is>
          <t xml:space="preserve">تقرير التدريب العملي (TP-156)</t>
        </is>
      </c>
      <c r="B19" s="30" t="inlineStr">
        <is>
          <t xml:space="preserve">2024-2025 – الفصل الثاني</t>
        </is>
      </c>
      <c r="C19" s="38"/>
      <c r="D19" s="38"/>
      <c r="E19" s="35">
        <f>IF(OR(C19="",C19=0),"",MIN(N(D19)/C19,1))</f>
        <v/>
      </c>
      <c r="F19" s="30" t="str">
        <f>IF(C19="","لم يُحدد",IF(C19=0,"لا ينطبق",IF(N(D19)&gt;=C19,"مكتمل",IF(N(D19)&gt;0,"قيد التحديث","لم يبدأ"))))</f>
        <v/>
      </c>
      <c r="G19" s="38"/>
      <c r="H19" s="38"/>
    </row>
    <row r="20" spans="1:8" ht="24" customHeight="1">
      <c r="A20" s="31" t="inlineStr">
        <is>
          <t xml:space="preserve">تقرير التدريب العملي (TP-156)</t>
        </is>
      </c>
      <c r="B20" s="30" t="inlineStr">
        <is>
          <t xml:space="preserve">2025-2026 – الفصل الأول</t>
        </is>
      </c>
      <c r="C20" s="38"/>
      <c r="D20" s="38"/>
      <c r="E20" s="35">
        <f>IF(OR(C20="",C20=0),"",MIN(N(D20)/C20,1))</f>
        <v/>
      </c>
      <c r="F20" s="30" t="str">
        <f>IF(C20="","لم يُحدد",IF(C20=0,"لا ينطبق",IF(N(D20)&gt;=C20,"مكتمل",IF(N(D20)&gt;0,"قيد التحديث","لم يبدأ"))))</f>
        <v/>
      </c>
      <c r="G20" s="38"/>
      <c r="H20" s="38"/>
    </row>
    <row r="21" spans="1:8" ht="24" customHeight="1">
      <c r="A21" s="31" t="inlineStr">
        <is>
          <t xml:space="preserve">تقرير التدريب العملي (TP-156)</t>
        </is>
      </c>
      <c r="B21" s="30" t="inlineStr">
        <is>
          <t xml:space="preserve">2025-2026 – الفصل الثاني</t>
        </is>
      </c>
      <c r="C21" s="38"/>
      <c r="D21" s="38"/>
      <c r="E21" s="35">
        <f>IF(OR(C21="",C21=0),"",MIN(N(D21)/C21,1))</f>
        <v/>
      </c>
      <c r="F21" s="30" t="str">
        <f>IF(C21="","لم يُحدد",IF(C21=0,"لا ينطبق",IF(N(D21)&gt;=C21,"مكتمل",IF(N(D21)&gt;0,"قيد التحديث","لم يبدأ"))))</f>
        <v/>
      </c>
      <c r="G21" s="38"/>
      <c r="H21" s="38"/>
    </row>
    <row r="22" spans="1:8" ht="24" customHeight="1">
      <c r="A22" s="31" t="inlineStr">
        <is>
          <t xml:space="preserve">تقرير قياس نواتج التعلم</t>
        </is>
      </c>
      <c r="B22" s="30" t="inlineStr">
        <is>
          <t xml:space="preserve">2024-2025</t>
        </is>
      </c>
      <c r="C22" s="38">
        <v>1</v>
      </c>
      <c r="D22" s="38"/>
      <c r="E22" s="35">
        <f>IF(OR(C22="",C22=0),"",MIN(N(D22)/C22,1))</f>
        <v/>
      </c>
      <c r="F22" s="30" t="str">
        <f>IF(C22="","لم يُحدد",IF(C22=0,"لا ينطبق",IF(N(D22)&gt;=C22,"مكتمل",IF(N(D22)&gt;0,"قيد التحديث","لم يبدأ"))))</f>
        <v/>
      </c>
      <c r="G22" s="38"/>
      <c r="H22" s="38"/>
    </row>
    <row r="23" spans="1:8" ht="24" customHeight="1">
      <c r="A23" s="31" t="inlineStr">
        <is>
          <t xml:space="preserve">تقرير قياس نواتج التعلم</t>
        </is>
      </c>
      <c r="B23" s="30" t="inlineStr">
        <is>
          <t xml:space="preserve">2025-2026</t>
        </is>
      </c>
      <c r="C23" s="38">
        <v>1</v>
      </c>
      <c r="D23" s="38"/>
      <c r="E23" s="35">
        <f>IF(OR(C23="",C23=0),"",MIN(N(D23)/C23,1))</f>
        <v/>
      </c>
      <c r="F23" s="30" t="str">
        <f>IF(C23="","لم يُحدد",IF(C23=0,"لا ينطبق",IF(N(D23)&gt;=C23,"مكتمل",IF(N(D23)&gt;0,"قيد التحديث","لم يبدأ"))))</f>
        <v/>
      </c>
      <c r="G23" s="38"/>
      <c r="H23" s="38"/>
    </row>
    <row r="24" spans="1:8" ht="24" customHeight="1">
      <c r="A24" s="31" t="inlineStr">
        <is>
          <t xml:space="preserve">مؤشرات الأداء مع المقارنة المرجعية</t>
        </is>
      </c>
      <c r="B24" s="30" t="inlineStr">
        <is>
          <t xml:space="preserve">2023-2024</t>
        </is>
      </c>
      <c r="C24" s="38">
        <v>1</v>
      </c>
      <c r="D24" s="38"/>
      <c r="E24" s="35">
        <f>IF(OR(C24="",C24=0),"",MIN(N(D24)/C24,1))</f>
        <v/>
      </c>
      <c r="F24" s="30" t="str">
        <f>IF(C24="","لم يُحدد",IF(C24=0,"لا ينطبق",IF(N(D24)&gt;=C24,"مكتمل",IF(N(D24)&gt;0,"قيد التحديث","لم يبدأ"))))</f>
        <v/>
      </c>
      <c r="G24" s="38"/>
      <c r="H24" s="38"/>
    </row>
    <row r="25" spans="1:8" ht="24" customHeight="1">
      <c r="A25" s="31" t="inlineStr">
        <is>
          <t xml:space="preserve">مؤشرات الأداء مع المقارنة المرجعية</t>
        </is>
      </c>
      <c r="B25" s="30" t="inlineStr">
        <is>
          <t xml:space="preserve">2024-2025</t>
        </is>
      </c>
      <c r="C25" s="38">
        <v>1</v>
      </c>
      <c r="D25" s="38"/>
      <c r="E25" s="35">
        <f>IF(OR(C25="",C25=0),"",MIN(N(D25)/C25,1))</f>
        <v/>
      </c>
      <c r="F25" s="30" t="str">
        <f>IF(C25="","لم يُحدد",IF(C25=0,"لا ينطبق",IF(N(D25)&gt;=C25,"مكتمل",IF(N(D25)&gt;0,"قيد التحديث","لم يبدأ"))))</f>
        <v/>
      </c>
      <c r="G25" s="38"/>
      <c r="H25" s="38"/>
    </row>
    <row r="26" spans="1:8" ht="24" customHeight="1">
      <c r="A26" s="31" t="inlineStr">
        <is>
          <t xml:space="preserve">مؤشرات الأداء مع المقارنة المرجعية</t>
        </is>
      </c>
      <c r="B26" s="30" t="inlineStr">
        <is>
          <t xml:space="preserve">2025-2026</t>
        </is>
      </c>
      <c r="C26" s="38">
        <v>1</v>
      </c>
      <c r="D26" s="38"/>
      <c r="E26" s="35">
        <f>IF(OR(C26="",C26=0),"",MIN(N(D26)/C26,1))</f>
        <v/>
      </c>
      <c r="F26" s="30" t="str">
        <f>IF(C26="","لم يُحدد",IF(C26=0,"لا ينطبق",IF(N(D26)&gt;=C26,"مكتمل",IF(N(D26)&gt;0,"قيد التحديث","لم يبدأ"))))</f>
        <v/>
      </c>
      <c r="G26" s="38"/>
      <c r="H26" s="38"/>
    </row>
    <row r="27" spans="1:8" ht="26" customHeight="1">
      <c r="A27" s="29" t="inlineStr">
        <is>
          <t xml:space="preserve">نسبة إنجاز البرنامج</t>
        </is>
      </c>
      <c r="B27" s="29"/>
      <c r="C27" s="29"/>
      <c r="D27" s="29"/>
      <c r="E27" s="35">
        <f>IFERROR(AVERAGE(E7:E26),0)</f>
        <v>0</v>
      </c>
    </row>
    <row r="29" spans="1:8" ht="26" customHeight="1">
      <c r="A29" s="97" t="str">
        <f>'الإعدادات واللجنة'!$B$6</f>
        <v/>
      </c>
      <c r="B29" s="97"/>
      <c r="C29" s="97"/>
      <c r="D29" s="97"/>
      <c r="E29" s="97"/>
      <c r="F29" s="97"/>
      <c r="G29" s="97"/>
      <c r="H29" s="97"/>
    </row>
    <row r="30" spans="1:8" ht="28" customHeight="1">
      <c r="A30" s="29" t="inlineStr">
        <is>
          <t xml:space="preserve">الوثيقة</t>
        </is>
      </c>
      <c r="B30" s="29" t="inlineStr">
        <is>
          <t xml:space="preserve">العام / الفصل</t>
        </is>
      </c>
      <c r="C30" s="29" t="inlineStr">
        <is>
          <t xml:space="preserve">المطلوب</t>
        </is>
      </c>
      <c r="D30" s="29" t="inlineStr">
        <is>
          <t xml:space="preserve">تم</t>
        </is>
      </c>
      <c r="E30" s="29" t="inlineStr">
        <is>
          <t xml:space="preserve">النسبة</t>
        </is>
      </c>
      <c r="F30" s="29" t="inlineStr">
        <is>
          <t xml:space="preserve">الحالة</t>
        </is>
      </c>
      <c r="G30" s="29" t="inlineStr">
        <is>
          <t xml:space="preserve">رابط الوثيقة</t>
        </is>
      </c>
      <c r="H30" s="29" t="inlineStr">
        <is>
          <t xml:space="preserve">ملاحظات</t>
        </is>
      </c>
    </row>
    <row r="31" spans="1:8" ht="24" customHeight="1">
      <c r="A31" s="31" t="inlineStr">
        <is>
          <t xml:space="preserve">توصيف البرنامج (TP-151)</t>
        </is>
      </c>
      <c r="B31" s="30" t="inlineStr">
        <is>
          <t xml:space="preserve">مرة واحدة</t>
        </is>
      </c>
      <c r="C31" s="38">
        <v>1</v>
      </c>
      <c r="D31" s="38"/>
      <c r="E31" s="35">
        <f>IF(OR(C31="",C31=0),"",MIN(N(D31)/C31,1))</f>
        <v/>
      </c>
      <c r="F31" s="30" t="str">
        <f>IF(C31="","لم يُحدد",IF(C31=0,"لا ينطبق",IF(N(D31)&gt;=C31,"مكتمل",IF(N(D31)&gt;0,"قيد التحديث","لم يبدأ"))))</f>
        <v/>
      </c>
      <c r="G31" s="38"/>
      <c r="H31" s="38"/>
    </row>
    <row r="32" spans="1:8" ht="24" customHeight="1">
      <c r="A32" s="31" t="inlineStr">
        <is>
          <t xml:space="preserve">توصيفات المقررات (TP-153)</t>
        </is>
      </c>
      <c r="B32" s="30" t="inlineStr">
        <is>
          <t xml:space="preserve">مرة واحدة</t>
        </is>
      </c>
      <c r="C32" s="38"/>
      <c r="D32" s="38"/>
      <c r="E32" s="35">
        <f>IF(OR(C32="",C32=0),"",MIN(N(D32)/C32,1))</f>
        <v/>
      </c>
      <c r="F32" s="30" t="str">
        <f>IF(C32="","لم يُحدد",IF(C32=0,"لا ينطبق",IF(N(D32)&gt;=C32,"مكتمل",IF(N(D32)&gt;0,"قيد التحديث","لم يبدأ"))))</f>
        <v/>
      </c>
      <c r="G32" s="38"/>
      <c r="H32" s="38"/>
    </row>
    <row r="33" spans="1:8" ht="24" customHeight="1">
      <c r="A33" s="31" t="inlineStr">
        <is>
          <t xml:space="preserve">توصيف التدريب العملي (TP-155)</t>
        </is>
      </c>
      <c r="B33" s="30" t="inlineStr">
        <is>
          <t xml:space="preserve">مرة واحدة</t>
        </is>
      </c>
      <c r="C33" s="38"/>
      <c r="D33" s="38"/>
      <c r="E33" s="35">
        <f>IF(OR(C33="",C33=0),"",MIN(N(D33)/C33,1))</f>
        <v/>
      </c>
      <c r="F33" s="30" t="str">
        <f>IF(C33="","لم يُحدد",IF(C33=0,"لا ينطبق",IF(N(D33)&gt;=C33,"مكتمل",IF(N(D33)&gt;0,"قيد التحديث","لم يبدأ"))))</f>
        <v/>
      </c>
      <c r="G33" s="38"/>
      <c r="H33" s="38"/>
    </row>
    <row r="34" spans="1:8" ht="24" customHeight="1">
      <c r="A34" s="31" t="inlineStr">
        <is>
          <t xml:space="preserve">تقرير الاتساق مع الإطار الوطني (TP-150)</t>
        </is>
      </c>
      <c r="B34" s="30" t="inlineStr">
        <is>
          <t xml:space="preserve">مرة واحدة</t>
        </is>
      </c>
      <c r="C34" s="38">
        <v>1</v>
      </c>
      <c r="D34" s="38"/>
      <c r="E34" s="35">
        <f>IF(OR(C34="",C34=0),"",MIN(N(D34)/C34,1))</f>
        <v/>
      </c>
      <c r="F34" s="30" t="str">
        <f>IF(C34="","لم يُحدد",IF(C34=0,"لا ينطبق",IF(N(D34)&gt;=C34,"مكتمل",IF(N(D34)&gt;0,"قيد التحديث","لم يبدأ"))))</f>
        <v/>
      </c>
      <c r="G34" s="38"/>
      <c r="H34" s="38"/>
    </row>
    <row r="35" spans="1:8" ht="24" customHeight="1">
      <c r="A35" s="31" t="inlineStr">
        <is>
          <t xml:space="preserve">خطة تقييم نواتج التعلم</t>
        </is>
      </c>
      <c r="B35" s="30" t="inlineStr">
        <is>
          <t xml:space="preserve">مرة واحدة</t>
        </is>
      </c>
      <c r="C35" s="38">
        <v>1</v>
      </c>
      <c r="D35" s="38"/>
      <c r="E35" s="35">
        <f>IF(OR(C35="",C35=0),"",MIN(N(D35)/C35,1))</f>
        <v/>
      </c>
      <c r="F35" s="30" t="str">
        <f>IF(C35="","لم يُحدد",IF(C35=0,"لا ينطبق",IF(N(D35)&gt;=C35,"مكتمل",IF(N(D35)&gt;0,"قيد التحديث","لم يبدأ"))))</f>
        <v/>
      </c>
      <c r="G35" s="38"/>
      <c r="H35" s="38"/>
    </row>
    <row r="36" spans="1:8" ht="24" customHeight="1">
      <c r="A36" s="31" t="inlineStr">
        <is>
          <t xml:space="preserve">التقرير السنوي للبرنامج (TP-152)</t>
        </is>
      </c>
      <c r="B36" s="30" t="inlineStr">
        <is>
          <t xml:space="preserve">2024-2025</t>
        </is>
      </c>
      <c r="C36" s="38">
        <v>1</v>
      </c>
      <c r="D36" s="38"/>
      <c r="E36" s="35">
        <f>IF(OR(C36="",C36=0),"",MIN(N(D36)/C36,1))</f>
        <v/>
      </c>
      <c r="F36" s="30" t="str">
        <f>IF(C36="","لم يُحدد",IF(C36=0,"لا ينطبق",IF(N(D36)&gt;=C36,"مكتمل",IF(N(D36)&gt;0,"قيد التحديث","لم يبدأ"))))</f>
        <v/>
      </c>
      <c r="G36" s="38"/>
      <c r="H36" s="38"/>
    </row>
    <row r="37" spans="1:8" ht="24" customHeight="1">
      <c r="A37" s="31" t="inlineStr">
        <is>
          <t xml:space="preserve">التقرير السنوي للبرنامج (TP-152)</t>
        </is>
      </c>
      <c r="B37" s="30" t="inlineStr">
        <is>
          <t xml:space="preserve">2025-2026</t>
        </is>
      </c>
      <c r="C37" s="38">
        <v>1</v>
      </c>
      <c r="D37" s="38"/>
      <c r="E37" s="35">
        <f>IF(OR(C37="",C37=0),"",MIN(N(D37)/C37,1))</f>
        <v/>
      </c>
      <c r="F37" s="30" t="str">
        <f>IF(C37="","لم يُحدد",IF(C37=0,"لا ينطبق",IF(N(D37)&gt;=C37,"مكتمل",IF(N(D37)&gt;0,"قيد التحديث","لم يبدأ"))))</f>
        <v/>
      </c>
      <c r="G37" s="38"/>
      <c r="H37" s="38"/>
    </row>
    <row r="38" spans="1:8" ht="24" customHeight="1">
      <c r="A38" s="31" t="inlineStr">
        <is>
          <t xml:space="preserve">تقارير المقررات (TP-154)</t>
        </is>
      </c>
      <c r="B38" s="30" t="inlineStr">
        <is>
          <t xml:space="preserve">2024-2025 – الفصل الأول</t>
        </is>
      </c>
      <c r="C38" s="38"/>
      <c r="D38" s="38"/>
      <c r="E38" s="35">
        <f>IF(OR(C38="",C38=0),"",MIN(N(D38)/C38,1))</f>
        <v/>
      </c>
      <c r="F38" s="30" t="str">
        <f>IF(C38="","لم يُحدد",IF(C38=0,"لا ينطبق",IF(N(D38)&gt;=C38,"مكتمل",IF(N(D38)&gt;0,"قيد التحديث","لم يبدأ"))))</f>
        <v/>
      </c>
      <c r="G38" s="38"/>
      <c r="H38" s="38"/>
    </row>
    <row r="39" spans="1:8" ht="24" customHeight="1">
      <c r="A39" s="31" t="inlineStr">
        <is>
          <t xml:space="preserve">تقارير المقررات (TP-154)</t>
        </is>
      </c>
      <c r="B39" s="30" t="inlineStr">
        <is>
          <t xml:space="preserve">2024-2025 – الفصل الثاني</t>
        </is>
      </c>
      <c r="C39" s="38"/>
      <c r="D39" s="38"/>
      <c r="E39" s="35">
        <f>IF(OR(C39="",C39=0),"",MIN(N(D39)/C39,1))</f>
        <v/>
      </c>
      <c r="F39" s="30" t="str">
        <f>IF(C39="","لم يُحدد",IF(C39=0,"لا ينطبق",IF(N(D39)&gt;=C39,"مكتمل",IF(N(D39)&gt;0,"قيد التحديث","لم يبدأ"))))</f>
        <v/>
      </c>
      <c r="G39" s="38"/>
      <c r="H39" s="38"/>
    </row>
    <row r="40" spans="1:8" ht="24" customHeight="1">
      <c r="A40" s="31" t="inlineStr">
        <is>
          <t xml:space="preserve">تقارير المقررات (TP-154)</t>
        </is>
      </c>
      <c r="B40" s="30" t="inlineStr">
        <is>
          <t xml:space="preserve">2025-2026 – الفصل الأول</t>
        </is>
      </c>
      <c r="C40" s="38"/>
      <c r="D40" s="38"/>
      <c r="E40" s="35">
        <f>IF(OR(C40="",C40=0),"",MIN(N(D40)/C40,1))</f>
        <v/>
      </c>
      <c r="F40" s="30" t="str">
        <f>IF(C40="","لم يُحدد",IF(C40=0,"لا ينطبق",IF(N(D40)&gt;=C40,"مكتمل",IF(N(D40)&gt;0,"قيد التحديث","لم يبدأ"))))</f>
        <v/>
      </c>
      <c r="G40" s="38"/>
      <c r="H40" s="38"/>
    </row>
    <row r="41" spans="1:8" ht="24" customHeight="1">
      <c r="A41" s="31" t="inlineStr">
        <is>
          <t xml:space="preserve">تقارير المقررات (TP-154)</t>
        </is>
      </c>
      <c r="B41" s="30" t="inlineStr">
        <is>
          <t xml:space="preserve">2025-2026 – الفصل الثاني</t>
        </is>
      </c>
      <c r="C41" s="38"/>
      <c r="D41" s="38"/>
      <c r="E41" s="35">
        <f>IF(OR(C41="",C41=0),"",MIN(N(D41)/C41,1))</f>
        <v/>
      </c>
      <c r="F41" s="30" t="str">
        <f>IF(C41="","لم يُحدد",IF(C41=0,"لا ينطبق",IF(N(D41)&gt;=C41,"مكتمل",IF(N(D41)&gt;0,"قيد التحديث","لم يبدأ"))))</f>
        <v/>
      </c>
      <c r="G41" s="38"/>
      <c r="H41" s="38"/>
    </row>
    <row r="42" spans="1:8" ht="24" customHeight="1">
      <c r="A42" s="31" t="inlineStr">
        <is>
          <t xml:space="preserve">تقرير التدريب العملي (TP-156)</t>
        </is>
      </c>
      <c r="B42" s="30" t="inlineStr">
        <is>
          <t xml:space="preserve">2024-2025 – الفصل الأول</t>
        </is>
      </c>
      <c r="C42" s="38"/>
      <c r="D42" s="38"/>
      <c r="E42" s="35">
        <f>IF(OR(C42="",C42=0),"",MIN(N(D42)/C42,1))</f>
        <v/>
      </c>
      <c r="F42" s="30" t="str">
        <f>IF(C42="","لم يُحدد",IF(C42=0,"لا ينطبق",IF(N(D42)&gt;=C42,"مكتمل",IF(N(D42)&gt;0,"قيد التحديث","لم يبدأ"))))</f>
        <v/>
      </c>
      <c r="G42" s="38"/>
      <c r="H42" s="38"/>
    </row>
    <row r="43" spans="1:8" ht="24" customHeight="1">
      <c r="A43" s="31" t="inlineStr">
        <is>
          <t xml:space="preserve">تقرير التدريب العملي (TP-156)</t>
        </is>
      </c>
      <c r="B43" s="30" t="inlineStr">
        <is>
          <t xml:space="preserve">2024-2025 – الفصل الثاني</t>
        </is>
      </c>
      <c r="C43" s="38"/>
      <c r="D43" s="38"/>
      <c r="E43" s="35">
        <f>IF(OR(C43="",C43=0),"",MIN(N(D43)/C43,1))</f>
        <v/>
      </c>
      <c r="F43" s="30" t="str">
        <f>IF(C43="","لم يُحدد",IF(C43=0,"لا ينطبق",IF(N(D43)&gt;=C43,"مكتمل",IF(N(D43)&gt;0,"قيد التحديث","لم يبدأ"))))</f>
        <v/>
      </c>
      <c r="G43" s="38"/>
      <c r="H43" s="38"/>
    </row>
    <row r="44" spans="1:8" ht="24" customHeight="1">
      <c r="A44" s="31" t="inlineStr">
        <is>
          <t xml:space="preserve">تقرير التدريب العملي (TP-156)</t>
        </is>
      </c>
      <c r="B44" s="30" t="inlineStr">
        <is>
          <t xml:space="preserve">2025-2026 – الفصل الأول</t>
        </is>
      </c>
      <c r="C44" s="38"/>
      <c r="D44" s="38"/>
      <c r="E44" s="35">
        <f>IF(OR(C44="",C44=0),"",MIN(N(D44)/C44,1))</f>
        <v/>
      </c>
      <c r="F44" s="30" t="str">
        <f>IF(C44="","لم يُحدد",IF(C44=0,"لا ينطبق",IF(N(D44)&gt;=C44,"مكتمل",IF(N(D44)&gt;0,"قيد التحديث","لم يبدأ"))))</f>
        <v/>
      </c>
      <c r="G44" s="38"/>
      <c r="H44" s="38"/>
    </row>
    <row r="45" spans="1:8" ht="24" customHeight="1">
      <c r="A45" s="31" t="inlineStr">
        <is>
          <t xml:space="preserve">تقرير التدريب العملي (TP-156)</t>
        </is>
      </c>
      <c r="B45" s="30" t="inlineStr">
        <is>
          <t xml:space="preserve">2025-2026 – الفصل الثاني</t>
        </is>
      </c>
      <c r="C45" s="38"/>
      <c r="D45" s="38"/>
      <c r="E45" s="35">
        <f>IF(OR(C45="",C45=0),"",MIN(N(D45)/C45,1))</f>
        <v/>
      </c>
      <c r="F45" s="30" t="str">
        <f>IF(C45="","لم يُحدد",IF(C45=0,"لا ينطبق",IF(N(D45)&gt;=C45,"مكتمل",IF(N(D45)&gt;0,"قيد التحديث","لم يبدأ"))))</f>
        <v/>
      </c>
      <c r="G45" s="38"/>
      <c r="H45" s="38"/>
    </row>
    <row r="46" spans="1:8" ht="24" customHeight="1">
      <c r="A46" s="31" t="inlineStr">
        <is>
          <t xml:space="preserve">تقرير قياس نواتج التعلم</t>
        </is>
      </c>
      <c r="B46" s="30" t="inlineStr">
        <is>
          <t xml:space="preserve">2024-2025</t>
        </is>
      </c>
      <c r="C46" s="38">
        <v>1</v>
      </c>
      <c r="D46" s="38"/>
      <c r="E46" s="35">
        <f>IF(OR(C46="",C46=0),"",MIN(N(D46)/C46,1))</f>
        <v/>
      </c>
      <c r="F46" s="30" t="str">
        <f>IF(C46="","لم يُحدد",IF(C46=0,"لا ينطبق",IF(N(D46)&gt;=C46,"مكتمل",IF(N(D46)&gt;0,"قيد التحديث","لم يبدأ"))))</f>
        <v/>
      </c>
      <c r="G46" s="38"/>
      <c r="H46" s="38"/>
    </row>
    <row r="47" spans="1:8" ht="24" customHeight="1">
      <c r="A47" s="31" t="inlineStr">
        <is>
          <t xml:space="preserve">تقرير قياس نواتج التعلم</t>
        </is>
      </c>
      <c r="B47" s="30" t="inlineStr">
        <is>
          <t xml:space="preserve">2025-2026</t>
        </is>
      </c>
      <c r="C47" s="38">
        <v>1</v>
      </c>
      <c r="D47" s="38"/>
      <c r="E47" s="35">
        <f>IF(OR(C47="",C47=0),"",MIN(N(D47)/C47,1))</f>
        <v/>
      </c>
      <c r="F47" s="30" t="str">
        <f>IF(C47="","لم يُحدد",IF(C47=0,"لا ينطبق",IF(N(D47)&gt;=C47,"مكتمل",IF(N(D47)&gt;0,"قيد التحديث","لم يبدأ"))))</f>
        <v/>
      </c>
      <c r="G47" s="38"/>
      <c r="H47" s="38"/>
    </row>
    <row r="48" spans="1:8" ht="24" customHeight="1">
      <c r="A48" s="31" t="inlineStr">
        <is>
          <t xml:space="preserve">مؤشرات الأداء مع المقارنة المرجعية</t>
        </is>
      </c>
      <c r="B48" s="30" t="inlineStr">
        <is>
          <t xml:space="preserve">2023-2024</t>
        </is>
      </c>
      <c r="C48" s="38">
        <v>1</v>
      </c>
      <c r="D48" s="38"/>
      <c r="E48" s="35">
        <f>IF(OR(C48="",C48=0),"",MIN(N(D48)/C48,1))</f>
        <v/>
      </c>
      <c r="F48" s="30" t="str">
        <f>IF(C48="","لم يُحدد",IF(C48=0,"لا ينطبق",IF(N(D48)&gt;=C48,"مكتمل",IF(N(D48)&gt;0,"قيد التحديث","لم يبدأ"))))</f>
        <v/>
      </c>
      <c r="G48" s="38"/>
      <c r="H48" s="38"/>
    </row>
    <row r="49" spans="1:8" ht="24" customHeight="1">
      <c r="A49" s="31" t="inlineStr">
        <is>
          <t xml:space="preserve">مؤشرات الأداء مع المقارنة المرجعية</t>
        </is>
      </c>
      <c r="B49" s="30" t="inlineStr">
        <is>
          <t xml:space="preserve">2024-2025</t>
        </is>
      </c>
      <c r="C49" s="38">
        <v>1</v>
      </c>
      <c r="D49" s="38"/>
      <c r="E49" s="35">
        <f>IF(OR(C49="",C49=0),"",MIN(N(D49)/C49,1))</f>
        <v/>
      </c>
      <c r="F49" s="30" t="str">
        <f>IF(C49="","لم يُحدد",IF(C49=0,"لا ينطبق",IF(N(D49)&gt;=C49,"مكتمل",IF(N(D49)&gt;0,"قيد التحديث","لم يبدأ"))))</f>
        <v/>
      </c>
      <c r="G49" s="38"/>
      <c r="H49" s="38"/>
    </row>
    <row r="50" spans="1:8" ht="24" customHeight="1">
      <c r="A50" s="31" t="inlineStr">
        <is>
          <t xml:space="preserve">مؤشرات الأداء مع المقارنة المرجعية</t>
        </is>
      </c>
      <c r="B50" s="30" t="inlineStr">
        <is>
          <t xml:space="preserve">2025-2026</t>
        </is>
      </c>
      <c r="C50" s="38">
        <v>1</v>
      </c>
      <c r="D50" s="38"/>
      <c r="E50" s="35">
        <f>IF(OR(C50="",C50=0),"",MIN(N(D50)/C50,1))</f>
        <v/>
      </c>
      <c r="F50" s="30" t="str">
        <f>IF(C50="","لم يُحدد",IF(C50=0,"لا ينطبق",IF(N(D50)&gt;=C50,"مكتمل",IF(N(D50)&gt;0,"قيد التحديث","لم يبدأ"))))</f>
        <v/>
      </c>
      <c r="G50" s="38"/>
      <c r="H50" s="38"/>
    </row>
    <row r="51" spans="1:8" ht="26" customHeight="1">
      <c r="A51" s="29" t="inlineStr">
        <is>
          <t xml:space="preserve">نسبة إنجاز البرنامج</t>
        </is>
      </c>
      <c r="B51" s="29"/>
      <c r="C51" s="29"/>
      <c r="D51" s="29"/>
      <c r="E51" s="35">
        <f>IFERROR(AVERAGE(E31:E50),0)</f>
        <v>0</v>
      </c>
    </row>
    <row r="53" spans="1:8" ht="26" customHeight="1">
      <c r="A53" s="97" t="str">
        <f>'الإعدادات واللجنة'!$B$7</f>
        <v/>
      </c>
      <c r="B53" s="97"/>
      <c r="C53" s="97"/>
      <c r="D53" s="97"/>
      <c r="E53" s="97"/>
      <c r="F53" s="97"/>
      <c r="G53" s="97"/>
      <c r="H53" s="97"/>
    </row>
    <row r="54" spans="1:8" ht="28" customHeight="1">
      <c r="A54" s="29" t="inlineStr">
        <is>
          <t xml:space="preserve">الوثيقة</t>
        </is>
      </c>
      <c r="B54" s="29" t="inlineStr">
        <is>
          <t xml:space="preserve">العام / الفصل</t>
        </is>
      </c>
      <c r="C54" s="29" t="inlineStr">
        <is>
          <t xml:space="preserve">المطلوب</t>
        </is>
      </c>
      <c r="D54" s="29" t="inlineStr">
        <is>
          <t xml:space="preserve">تم</t>
        </is>
      </c>
      <c r="E54" s="29" t="inlineStr">
        <is>
          <t xml:space="preserve">النسبة</t>
        </is>
      </c>
      <c r="F54" s="29" t="inlineStr">
        <is>
          <t xml:space="preserve">الحالة</t>
        </is>
      </c>
      <c r="G54" s="29" t="inlineStr">
        <is>
          <t xml:space="preserve">رابط الوثيقة</t>
        </is>
      </c>
      <c r="H54" s="29" t="inlineStr">
        <is>
          <t xml:space="preserve">ملاحظات</t>
        </is>
      </c>
    </row>
    <row r="55" spans="1:8" ht="24" customHeight="1">
      <c r="A55" s="31" t="inlineStr">
        <is>
          <t xml:space="preserve">توصيف البرنامج (TP-151)</t>
        </is>
      </c>
      <c r="B55" s="30" t="inlineStr">
        <is>
          <t xml:space="preserve">مرة واحدة</t>
        </is>
      </c>
      <c r="C55" s="38">
        <v>1</v>
      </c>
      <c r="D55" s="38"/>
      <c r="E55" s="35">
        <f>IF(OR(C55="",C55=0),"",MIN(N(D55)/C55,1))</f>
        <v/>
      </c>
      <c r="F55" s="30" t="str">
        <f>IF(C55="","لم يُحدد",IF(C55=0,"لا ينطبق",IF(N(D55)&gt;=C55,"مكتمل",IF(N(D55)&gt;0,"قيد التحديث","لم يبدأ"))))</f>
        <v/>
      </c>
      <c r="G55" s="38"/>
      <c r="H55" s="38"/>
    </row>
    <row r="56" spans="1:8" ht="24" customHeight="1">
      <c r="A56" s="31" t="inlineStr">
        <is>
          <t xml:space="preserve">توصيفات المقررات (TP-153)</t>
        </is>
      </c>
      <c r="B56" s="30" t="inlineStr">
        <is>
          <t xml:space="preserve">مرة واحدة</t>
        </is>
      </c>
      <c r="C56" s="38"/>
      <c r="D56" s="38"/>
      <c r="E56" s="35">
        <f>IF(OR(C56="",C56=0),"",MIN(N(D56)/C56,1))</f>
        <v/>
      </c>
      <c r="F56" s="30" t="str">
        <f>IF(C56="","لم يُحدد",IF(C56=0,"لا ينطبق",IF(N(D56)&gt;=C56,"مكتمل",IF(N(D56)&gt;0,"قيد التحديث","لم يبدأ"))))</f>
        <v/>
      </c>
      <c r="G56" s="38"/>
      <c r="H56" s="38"/>
    </row>
    <row r="57" spans="1:8" ht="24" customHeight="1">
      <c r="A57" s="31" t="inlineStr">
        <is>
          <t xml:space="preserve">توصيف التدريب العملي (TP-155)</t>
        </is>
      </c>
      <c r="B57" s="30" t="inlineStr">
        <is>
          <t xml:space="preserve">مرة واحدة</t>
        </is>
      </c>
      <c r="C57" s="38"/>
      <c r="D57" s="38"/>
      <c r="E57" s="35">
        <f>IF(OR(C57="",C57=0),"",MIN(N(D57)/C57,1))</f>
        <v/>
      </c>
      <c r="F57" s="30" t="str">
        <f>IF(C57="","لم يُحدد",IF(C57=0,"لا ينطبق",IF(N(D57)&gt;=C57,"مكتمل",IF(N(D57)&gt;0,"قيد التحديث","لم يبدأ"))))</f>
        <v/>
      </c>
      <c r="G57" s="38"/>
      <c r="H57" s="38"/>
    </row>
    <row r="58" spans="1:8" ht="24" customHeight="1">
      <c r="A58" s="31" t="inlineStr">
        <is>
          <t xml:space="preserve">تقرير الاتساق مع الإطار الوطني (TP-150)</t>
        </is>
      </c>
      <c r="B58" s="30" t="inlineStr">
        <is>
          <t xml:space="preserve">مرة واحدة</t>
        </is>
      </c>
      <c r="C58" s="38">
        <v>1</v>
      </c>
      <c r="D58" s="38"/>
      <c r="E58" s="35">
        <f>IF(OR(C58="",C58=0),"",MIN(N(D58)/C58,1))</f>
        <v/>
      </c>
      <c r="F58" s="30" t="str">
        <f>IF(C58="","لم يُحدد",IF(C58=0,"لا ينطبق",IF(N(D58)&gt;=C58,"مكتمل",IF(N(D58)&gt;0,"قيد التحديث","لم يبدأ"))))</f>
        <v/>
      </c>
      <c r="G58" s="38"/>
      <c r="H58" s="38"/>
    </row>
    <row r="59" spans="1:8" ht="24" customHeight="1">
      <c r="A59" s="31" t="inlineStr">
        <is>
          <t xml:space="preserve">خطة تقييم نواتج التعلم</t>
        </is>
      </c>
      <c r="B59" s="30" t="inlineStr">
        <is>
          <t xml:space="preserve">مرة واحدة</t>
        </is>
      </c>
      <c r="C59" s="38">
        <v>1</v>
      </c>
      <c r="D59" s="38"/>
      <c r="E59" s="35">
        <f>IF(OR(C59="",C59=0),"",MIN(N(D59)/C59,1))</f>
        <v/>
      </c>
      <c r="F59" s="30" t="str">
        <f>IF(C59="","لم يُحدد",IF(C59=0,"لا ينطبق",IF(N(D59)&gt;=C59,"مكتمل",IF(N(D59)&gt;0,"قيد التحديث","لم يبدأ"))))</f>
        <v/>
      </c>
      <c r="G59" s="38"/>
      <c r="H59" s="38"/>
    </row>
    <row r="60" spans="1:8" ht="24" customHeight="1">
      <c r="A60" s="31" t="inlineStr">
        <is>
          <t xml:space="preserve">التقرير السنوي للبرنامج (TP-152)</t>
        </is>
      </c>
      <c r="B60" s="30" t="inlineStr">
        <is>
          <t xml:space="preserve">2024-2025</t>
        </is>
      </c>
      <c r="C60" s="38">
        <v>1</v>
      </c>
      <c r="D60" s="38"/>
      <c r="E60" s="35">
        <f>IF(OR(C60="",C60=0),"",MIN(N(D60)/C60,1))</f>
        <v/>
      </c>
      <c r="F60" s="30" t="str">
        <f>IF(C60="","لم يُحدد",IF(C60=0,"لا ينطبق",IF(N(D60)&gt;=C60,"مكتمل",IF(N(D60)&gt;0,"قيد التحديث","لم يبدأ"))))</f>
        <v/>
      </c>
      <c r="G60" s="38"/>
      <c r="H60" s="38"/>
    </row>
    <row r="61" spans="1:8" ht="24" customHeight="1">
      <c r="A61" s="31" t="inlineStr">
        <is>
          <t xml:space="preserve">التقرير السنوي للبرنامج (TP-152)</t>
        </is>
      </c>
      <c r="B61" s="30" t="inlineStr">
        <is>
          <t xml:space="preserve">2025-2026</t>
        </is>
      </c>
      <c r="C61" s="38">
        <v>1</v>
      </c>
      <c r="D61" s="38"/>
      <c r="E61" s="35">
        <f>IF(OR(C61="",C61=0),"",MIN(N(D61)/C61,1))</f>
        <v/>
      </c>
      <c r="F61" s="30" t="str">
        <f>IF(C61="","لم يُحدد",IF(C61=0,"لا ينطبق",IF(N(D61)&gt;=C61,"مكتمل",IF(N(D61)&gt;0,"قيد التحديث","لم يبدأ"))))</f>
        <v/>
      </c>
      <c r="G61" s="38"/>
      <c r="H61" s="38"/>
    </row>
    <row r="62" spans="1:8" ht="24" customHeight="1">
      <c r="A62" s="31" t="inlineStr">
        <is>
          <t xml:space="preserve">تقارير المقررات (TP-154)</t>
        </is>
      </c>
      <c r="B62" s="30" t="inlineStr">
        <is>
          <t xml:space="preserve">2024-2025 – الفصل الأول</t>
        </is>
      </c>
      <c r="C62" s="38"/>
      <c r="D62" s="38"/>
      <c r="E62" s="35">
        <f>IF(OR(C62="",C62=0),"",MIN(N(D62)/C62,1))</f>
        <v/>
      </c>
      <c r="F62" s="30" t="str">
        <f>IF(C62="","لم يُحدد",IF(C62=0,"لا ينطبق",IF(N(D62)&gt;=C62,"مكتمل",IF(N(D62)&gt;0,"قيد التحديث","لم يبدأ"))))</f>
        <v/>
      </c>
      <c r="G62" s="38"/>
      <c r="H62" s="38"/>
    </row>
    <row r="63" spans="1:8" ht="24" customHeight="1">
      <c r="A63" s="31" t="inlineStr">
        <is>
          <t xml:space="preserve">تقارير المقررات (TP-154)</t>
        </is>
      </c>
      <c r="B63" s="30" t="inlineStr">
        <is>
          <t xml:space="preserve">2024-2025 – الفصل الثاني</t>
        </is>
      </c>
      <c r="C63" s="38"/>
      <c r="D63" s="38"/>
      <c r="E63" s="35">
        <f>IF(OR(C63="",C63=0),"",MIN(N(D63)/C63,1))</f>
        <v/>
      </c>
      <c r="F63" s="30" t="str">
        <f>IF(C63="","لم يُحدد",IF(C63=0,"لا ينطبق",IF(N(D63)&gt;=C63,"مكتمل",IF(N(D63)&gt;0,"قيد التحديث","لم يبدأ"))))</f>
        <v/>
      </c>
      <c r="G63" s="38"/>
      <c r="H63" s="38"/>
    </row>
    <row r="64" spans="1:8" ht="24" customHeight="1">
      <c r="A64" s="31" t="inlineStr">
        <is>
          <t xml:space="preserve">تقارير المقررات (TP-154)</t>
        </is>
      </c>
      <c r="B64" s="30" t="inlineStr">
        <is>
          <t xml:space="preserve">2025-2026 – الفصل الأول</t>
        </is>
      </c>
      <c r="C64" s="38"/>
      <c r="D64" s="38"/>
      <c r="E64" s="35">
        <f>IF(OR(C64="",C64=0),"",MIN(N(D64)/C64,1))</f>
        <v/>
      </c>
      <c r="F64" s="30" t="str">
        <f>IF(C64="","لم يُحدد",IF(C64=0,"لا ينطبق",IF(N(D64)&gt;=C64,"مكتمل",IF(N(D64)&gt;0,"قيد التحديث","لم يبدأ"))))</f>
        <v/>
      </c>
      <c r="G64" s="38"/>
      <c r="H64" s="38"/>
    </row>
    <row r="65" spans="1:8" ht="24" customHeight="1">
      <c r="A65" s="31" t="inlineStr">
        <is>
          <t xml:space="preserve">تقارير المقررات (TP-154)</t>
        </is>
      </c>
      <c r="B65" s="30" t="inlineStr">
        <is>
          <t xml:space="preserve">2025-2026 – الفصل الثاني</t>
        </is>
      </c>
      <c r="C65" s="38"/>
      <c r="D65" s="38"/>
      <c r="E65" s="35">
        <f>IF(OR(C65="",C65=0),"",MIN(N(D65)/C65,1))</f>
        <v/>
      </c>
      <c r="F65" s="30" t="str">
        <f>IF(C65="","لم يُحدد",IF(C65=0,"لا ينطبق",IF(N(D65)&gt;=C65,"مكتمل",IF(N(D65)&gt;0,"قيد التحديث","لم يبدأ"))))</f>
        <v/>
      </c>
      <c r="G65" s="38"/>
      <c r="H65" s="38"/>
    </row>
    <row r="66" spans="1:8" ht="24" customHeight="1">
      <c r="A66" s="31" t="inlineStr">
        <is>
          <t xml:space="preserve">تقرير التدريب العملي (TP-156)</t>
        </is>
      </c>
      <c r="B66" s="30" t="inlineStr">
        <is>
          <t xml:space="preserve">2024-2025 – الفصل الأول</t>
        </is>
      </c>
      <c r="C66" s="38"/>
      <c r="D66" s="38"/>
      <c r="E66" s="35">
        <f>IF(OR(C66="",C66=0),"",MIN(N(D66)/C66,1))</f>
        <v/>
      </c>
      <c r="F66" s="30" t="str">
        <f>IF(C66="","لم يُحدد",IF(C66=0,"لا ينطبق",IF(N(D66)&gt;=C66,"مكتمل",IF(N(D66)&gt;0,"قيد التحديث","لم يبدأ"))))</f>
        <v/>
      </c>
      <c r="G66" s="38"/>
      <c r="H66" s="38"/>
    </row>
    <row r="67" spans="1:8" ht="24" customHeight="1">
      <c r="A67" s="31" t="inlineStr">
        <is>
          <t xml:space="preserve">تقرير التدريب العملي (TP-156)</t>
        </is>
      </c>
      <c r="B67" s="30" t="inlineStr">
        <is>
          <t xml:space="preserve">2024-2025 – الفصل الثاني</t>
        </is>
      </c>
      <c r="C67" s="38"/>
      <c r="D67" s="38"/>
      <c r="E67" s="35">
        <f>IF(OR(C67="",C67=0),"",MIN(N(D67)/C67,1))</f>
        <v/>
      </c>
      <c r="F67" s="30" t="str">
        <f>IF(C67="","لم يُحدد",IF(C67=0,"لا ينطبق",IF(N(D67)&gt;=C67,"مكتمل",IF(N(D67)&gt;0,"قيد التحديث","لم يبدأ"))))</f>
        <v/>
      </c>
      <c r="G67" s="38"/>
      <c r="H67" s="38"/>
    </row>
    <row r="68" spans="1:8" ht="24" customHeight="1">
      <c r="A68" s="31" t="inlineStr">
        <is>
          <t xml:space="preserve">تقرير التدريب العملي (TP-156)</t>
        </is>
      </c>
      <c r="B68" s="30" t="inlineStr">
        <is>
          <t xml:space="preserve">2025-2026 – الفصل الأول</t>
        </is>
      </c>
      <c r="C68" s="38"/>
      <c r="D68" s="38"/>
      <c r="E68" s="35">
        <f>IF(OR(C68="",C68=0),"",MIN(N(D68)/C68,1))</f>
        <v/>
      </c>
      <c r="F68" s="30" t="str">
        <f>IF(C68="","لم يُحدد",IF(C68=0,"لا ينطبق",IF(N(D68)&gt;=C68,"مكتمل",IF(N(D68)&gt;0,"قيد التحديث","لم يبدأ"))))</f>
        <v/>
      </c>
      <c r="G68" s="38"/>
      <c r="H68" s="38"/>
    </row>
    <row r="69" spans="1:8" ht="24" customHeight="1">
      <c r="A69" s="31" t="inlineStr">
        <is>
          <t xml:space="preserve">تقرير التدريب العملي (TP-156)</t>
        </is>
      </c>
      <c r="B69" s="30" t="inlineStr">
        <is>
          <t xml:space="preserve">2025-2026 – الفصل الثاني</t>
        </is>
      </c>
      <c r="C69" s="38"/>
      <c r="D69" s="38"/>
      <c r="E69" s="35">
        <f>IF(OR(C69="",C69=0),"",MIN(N(D69)/C69,1))</f>
        <v/>
      </c>
      <c r="F69" s="30" t="str">
        <f>IF(C69="","لم يُحدد",IF(C69=0,"لا ينطبق",IF(N(D69)&gt;=C69,"مكتمل",IF(N(D69)&gt;0,"قيد التحديث","لم يبدأ"))))</f>
        <v/>
      </c>
      <c r="G69" s="38"/>
      <c r="H69" s="38"/>
    </row>
    <row r="70" spans="1:8" ht="24" customHeight="1">
      <c r="A70" s="31" t="inlineStr">
        <is>
          <t xml:space="preserve">تقرير قياس نواتج التعلم</t>
        </is>
      </c>
      <c r="B70" s="30" t="inlineStr">
        <is>
          <t xml:space="preserve">2024-2025</t>
        </is>
      </c>
      <c r="C70" s="38">
        <v>1</v>
      </c>
      <c r="D70" s="38"/>
      <c r="E70" s="35">
        <f>IF(OR(C70="",C70=0),"",MIN(N(D70)/C70,1))</f>
        <v/>
      </c>
      <c r="F70" s="30" t="str">
        <f>IF(C70="","لم يُحدد",IF(C70=0,"لا ينطبق",IF(N(D70)&gt;=C70,"مكتمل",IF(N(D70)&gt;0,"قيد التحديث","لم يبدأ"))))</f>
        <v/>
      </c>
      <c r="G70" s="38"/>
      <c r="H70" s="38"/>
    </row>
    <row r="71" spans="1:8" ht="24" customHeight="1">
      <c r="A71" s="31" t="inlineStr">
        <is>
          <t xml:space="preserve">تقرير قياس نواتج التعلم</t>
        </is>
      </c>
      <c r="B71" s="30" t="inlineStr">
        <is>
          <t xml:space="preserve">2025-2026</t>
        </is>
      </c>
      <c r="C71" s="38">
        <v>1</v>
      </c>
      <c r="D71" s="38"/>
      <c r="E71" s="35">
        <f>IF(OR(C71="",C71=0),"",MIN(N(D71)/C71,1))</f>
        <v/>
      </c>
      <c r="F71" s="30" t="str">
        <f>IF(C71="","لم يُحدد",IF(C71=0,"لا ينطبق",IF(N(D71)&gt;=C71,"مكتمل",IF(N(D71)&gt;0,"قيد التحديث","لم يبدأ"))))</f>
        <v/>
      </c>
      <c r="G71" s="38"/>
      <c r="H71" s="38"/>
    </row>
    <row r="72" spans="1:8" ht="24" customHeight="1">
      <c r="A72" s="31" t="inlineStr">
        <is>
          <t xml:space="preserve">مؤشرات الأداء مع المقارنة المرجعية</t>
        </is>
      </c>
      <c r="B72" s="30" t="inlineStr">
        <is>
          <t xml:space="preserve">2023-2024</t>
        </is>
      </c>
      <c r="C72" s="38">
        <v>1</v>
      </c>
      <c r="D72" s="38"/>
      <c r="E72" s="35">
        <f>IF(OR(C72="",C72=0),"",MIN(N(D72)/C72,1))</f>
        <v/>
      </c>
      <c r="F72" s="30" t="str">
        <f>IF(C72="","لم يُحدد",IF(C72=0,"لا ينطبق",IF(N(D72)&gt;=C72,"مكتمل",IF(N(D72)&gt;0,"قيد التحديث","لم يبدأ"))))</f>
        <v/>
      </c>
      <c r="G72" s="38"/>
      <c r="H72" s="38"/>
    </row>
    <row r="73" spans="1:8" ht="24" customHeight="1">
      <c r="A73" s="31" t="inlineStr">
        <is>
          <t xml:space="preserve">مؤشرات الأداء مع المقارنة المرجعية</t>
        </is>
      </c>
      <c r="B73" s="30" t="inlineStr">
        <is>
          <t xml:space="preserve">2024-2025</t>
        </is>
      </c>
      <c r="C73" s="38">
        <v>1</v>
      </c>
      <c r="D73" s="38"/>
      <c r="E73" s="35">
        <f>IF(OR(C73="",C73=0),"",MIN(N(D73)/C73,1))</f>
        <v/>
      </c>
      <c r="F73" s="30" t="str">
        <f>IF(C73="","لم يُحدد",IF(C73=0,"لا ينطبق",IF(N(D73)&gt;=C73,"مكتمل",IF(N(D73)&gt;0,"قيد التحديث","لم يبدأ"))))</f>
        <v/>
      </c>
      <c r="G73" s="38"/>
      <c r="H73" s="38"/>
    </row>
    <row r="74" spans="1:8" ht="24" customHeight="1">
      <c r="A74" s="31" t="inlineStr">
        <is>
          <t xml:space="preserve">مؤشرات الأداء مع المقارنة المرجعية</t>
        </is>
      </c>
      <c r="B74" s="30" t="inlineStr">
        <is>
          <t xml:space="preserve">2025-2026</t>
        </is>
      </c>
      <c r="C74" s="38">
        <v>1</v>
      </c>
      <c r="D74" s="38"/>
      <c r="E74" s="35">
        <f>IF(OR(C74="",C74=0),"",MIN(N(D74)/C74,1))</f>
        <v/>
      </c>
      <c r="F74" s="30" t="str">
        <f>IF(C74="","لم يُحدد",IF(C74=0,"لا ينطبق",IF(N(D74)&gt;=C74,"مكتمل",IF(N(D74)&gt;0,"قيد التحديث","لم يبدأ"))))</f>
        <v/>
      </c>
      <c r="G74" s="38"/>
      <c r="H74" s="38"/>
    </row>
    <row r="75" spans="1:8" ht="26" customHeight="1">
      <c r="A75" s="29" t="inlineStr">
        <is>
          <t xml:space="preserve">نسبة إنجاز البرنامج</t>
        </is>
      </c>
      <c r="B75" s="29"/>
      <c r="C75" s="29"/>
      <c r="D75" s="29"/>
      <c r="E75" s="35">
        <f>IFERROR(AVERAGE(E55:E74),0)</f>
        <v>0</v>
      </c>
    </row>
  </sheetData>
  <mergeCells count="9">
    <mergeCell ref="A1:H1"/>
    <mergeCell ref="A2:H2"/>
    <mergeCell ref="A3:D3"/>
    <mergeCell ref="A5:H5"/>
    <mergeCell ref="A27:D27"/>
    <mergeCell ref="A29:H29"/>
    <mergeCell ref="A51:D51"/>
    <mergeCell ref="A53:H53"/>
    <mergeCell ref="A75:D75"/>
  </mergeCells>
  <conditionalFormatting sqref="F7:F26">
    <cfRule type="cellIs" dxfId="26" priority="10" operator="equal">
      <formula>"مكتمل"</formula>
    </cfRule>
    <cfRule type="cellIs" dxfId="25" priority="11" operator="equal">
      <formula>"قيد التحديث"</formula>
    </cfRule>
    <cfRule type="cellIs" dxfId="24" priority="12" operator="equal">
      <formula>"لم يبدأ"</formula>
    </cfRule>
  </conditionalFormatting>
  <conditionalFormatting sqref="F31:F50">
    <cfRule type="cellIs" dxfId="26" priority="13" operator="equal">
      <formula>"مكتمل"</formula>
    </cfRule>
    <cfRule type="cellIs" dxfId="25" priority="14" operator="equal">
      <formula>"قيد التحديث"</formula>
    </cfRule>
    <cfRule type="cellIs" dxfId="24" priority="15" operator="equal">
      <formula>"لم يبدأ"</formula>
    </cfRule>
  </conditionalFormatting>
  <conditionalFormatting sqref="F55:F74">
    <cfRule type="cellIs" dxfId="26" priority="16" operator="equal">
      <formula>"مكتمل"</formula>
    </cfRule>
    <cfRule type="cellIs" dxfId="25" priority="17" operator="equal">
      <formula>"قيد التحديث"</formula>
    </cfRule>
    <cfRule type="cellIs" dxfId="24" priority="18" operator="equal">
      <formula>"لم يبدأ"</formula>
    </cfRule>
  </conditionalFormatting>
  <dataValidations count="1">
    <dataValidation type="decimal" operator="greaterThanOrEqual" allowBlank="1" showErrorMessage="1" errorTitle="قيمة غير صحيحة" error="اكتبي رقماً (0 أو أكثر)" sqref="C7:D26 C31:D50 C55:D74">
      <formula1>0</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548235"/>
  </sheetPr>
  <dimension ref="A1:I304"/>
  <sheetViews>
    <sheetView rightToLeft="1" workbookViewId="0">
      <selection activeCell="B5" sqref="B5"/>
    </sheetView>
  </sheetViews>
  <sheetFormatPr defaultRowHeight="15"/>
  <cols>
    <col min="1" max="1" width="5" customWidth="1"/>
    <col min="2" max="2" width="42" customWidth="1"/>
    <col min="3" max="3" width="36" customWidth="1"/>
    <col min="4" max="4" width="24" customWidth="1"/>
    <col min="5" max="5" width="18" customWidth="1"/>
    <col min="6" max="6" width="40" customWidth="1"/>
    <col min="7" max="7" width="24" customWidth="1"/>
    <col min="8" max="8" width="13" customWidth="1"/>
    <col min="9" max="9" width="20" customWidth="1"/>
  </cols>
  <sheetData>
    <row r="1" spans="1:9" ht="30" customHeight="1">
      <c r="A1" s="98" t="inlineStr">
        <is>
          <t xml:space="preserve">سجل الأدلة – ابحث هنا أولاً قبل البحث عن أي دليل</t>
        </is>
      </c>
    </row>
    <row r="2" spans="1:9" ht="46" customHeight="1">
      <c r="A2" s="99" t="inlineStr">
        <is>
          <t xml:space="preserve">ابحث بكلمة من اسم الدليل (Cmd + F أو Ctrl + F). إذا وجدته فانسخ رابطه إلى ورقة الفحص. وإذا رفعت دليلاً جديداً فأضفه في أول سطر فارغ. عمود «رمز الدليل» يعبّئه د. عبدالله البركاتي فقط.</t>
        </is>
      </c>
    </row>
    <row r="4" spans="1:9" ht="30" customHeight="1">
      <c r="A4" s="29" t="inlineStr">
        <is>
          <t xml:space="preserve">م</t>
        </is>
      </c>
      <c r="B4" s="29" t="inlineStr">
        <is>
          <t xml:space="preserve">اسم الدليل</t>
        </is>
      </c>
      <c r="C4" s="29" t="inlineStr">
        <is>
          <t xml:space="preserve">وصف مختصر</t>
        </is>
      </c>
      <c r="D4" s="29" t="inlineStr">
        <is>
          <t xml:space="preserve">البرنامج</t>
        </is>
      </c>
      <c r="E4" s="29" t="inlineStr">
        <is>
          <t xml:space="preserve">المعيار / المحكات</t>
        </is>
      </c>
      <c r="F4" s="29" t="inlineStr">
        <is>
          <t xml:space="preserve">رابط الدليل</t>
        </is>
      </c>
      <c r="G4" s="29" t="inlineStr">
        <is>
          <t xml:space="preserve">رفعه</t>
        </is>
      </c>
      <c r="H4" s="29" t="inlineStr">
        <is>
          <t xml:space="preserve">تاريخ الرفع</t>
        </is>
      </c>
      <c r="I4" s="29" t="inlineStr">
        <is>
          <t xml:space="preserve">رمز الدليل (د. البركاتي)</t>
        </is>
      </c>
    </row>
    <row r="5" spans="1:9">
      <c r="A5" s="30">
        <v>1</v>
      </c>
      <c r="B5" s="38"/>
      <c r="C5" s="38"/>
      <c r="D5" s="38"/>
      <c r="E5" s="38"/>
      <c r="F5" s="38"/>
      <c r="G5" s="38"/>
      <c r="H5" s="38"/>
      <c r="I5" s="38"/>
    </row>
    <row r="6" spans="1:9">
      <c r="A6" s="30">
        <v>2</v>
      </c>
      <c r="B6" s="38"/>
      <c r="C6" s="38"/>
      <c r="D6" s="38"/>
      <c r="E6" s="38"/>
      <c r="F6" s="38"/>
      <c r="G6" s="38"/>
      <c r="H6" s="38"/>
      <c r="I6" s="38"/>
    </row>
    <row r="7" spans="1:9">
      <c r="A7" s="30">
        <v>3</v>
      </c>
      <c r="B7" s="38"/>
      <c r="C7" s="38"/>
      <c r="D7" s="38"/>
      <c r="E7" s="38"/>
      <c r="F7" s="38"/>
      <c r="G7" s="38"/>
      <c r="H7" s="38"/>
      <c r="I7" s="38"/>
    </row>
    <row r="8" spans="1:9">
      <c r="A8" s="30">
        <v>4</v>
      </c>
      <c r="B8" s="38"/>
      <c r="C8" s="38"/>
      <c r="D8" s="38"/>
      <c r="E8" s="38"/>
      <c r="F8" s="38"/>
      <c r="G8" s="38"/>
      <c r="H8" s="38"/>
      <c r="I8" s="38"/>
    </row>
    <row r="9" spans="1:9">
      <c r="A9" s="30">
        <v>5</v>
      </c>
      <c r="B9" s="38"/>
      <c r="C9" s="38"/>
      <c r="D9" s="38"/>
      <c r="E9" s="38"/>
      <c r="F9" s="38"/>
      <c r="G9" s="38"/>
      <c r="H9" s="38"/>
      <c r="I9" s="38"/>
    </row>
    <row r="10" spans="1:9">
      <c r="A10" s="30">
        <v>6</v>
      </c>
      <c r="B10" s="38"/>
      <c r="C10" s="38"/>
      <c r="D10" s="38"/>
      <c r="E10" s="38"/>
      <c r="F10" s="38"/>
      <c r="G10" s="38"/>
      <c r="H10" s="38"/>
      <c r="I10" s="38"/>
    </row>
    <row r="11" spans="1:9">
      <c r="A11" s="30">
        <v>7</v>
      </c>
      <c r="B11" s="38"/>
      <c r="C11" s="38"/>
      <c r="D11" s="38"/>
      <c r="E11" s="38"/>
      <c r="F11" s="38"/>
      <c r="G11" s="38"/>
      <c r="H11" s="38"/>
      <c r="I11" s="38"/>
    </row>
    <row r="12" spans="1:9">
      <c r="A12" s="30">
        <v>8</v>
      </c>
      <c r="B12" s="38"/>
      <c r="C12" s="38"/>
      <c r="D12" s="38"/>
      <c r="E12" s="38"/>
      <c r="F12" s="38"/>
      <c r="G12" s="38"/>
      <c r="H12" s="38"/>
      <c r="I12" s="38"/>
    </row>
    <row r="13" spans="1:9">
      <c r="A13" s="30">
        <v>9</v>
      </c>
      <c r="B13" s="38"/>
      <c r="C13" s="38"/>
      <c r="D13" s="38"/>
      <c r="E13" s="38"/>
      <c r="F13" s="38"/>
      <c r="G13" s="38"/>
      <c r="H13" s="38"/>
      <c r="I13" s="38"/>
    </row>
    <row r="14" spans="1:9">
      <c r="A14" s="30">
        <v>10</v>
      </c>
      <c r="B14" s="38"/>
      <c r="C14" s="38"/>
      <c r="D14" s="38"/>
      <c r="E14" s="38"/>
      <c r="F14" s="38"/>
      <c r="G14" s="38"/>
      <c r="H14" s="38"/>
      <c r="I14" s="38"/>
    </row>
    <row r="15" spans="1:9">
      <c r="A15" s="30">
        <v>11</v>
      </c>
      <c r="B15" s="38"/>
      <c r="C15" s="38"/>
      <c r="D15" s="38"/>
      <c r="E15" s="38"/>
      <c r="F15" s="38"/>
      <c r="G15" s="38"/>
      <c r="H15" s="38"/>
      <c r="I15" s="38"/>
    </row>
    <row r="16" spans="1:9">
      <c r="A16" s="30">
        <v>12</v>
      </c>
      <c r="B16" s="38"/>
      <c r="C16" s="38"/>
      <c r="D16" s="38"/>
      <c r="E16" s="38"/>
      <c r="F16" s="38"/>
      <c r="G16" s="38"/>
      <c r="H16" s="38"/>
      <c r="I16" s="38"/>
    </row>
    <row r="17" spans="1:9">
      <c r="A17" s="30">
        <v>13</v>
      </c>
      <c r="B17" s="38"/>
      <c r="C17" s="38"/>
      <c r="D17" s="38"/>
      <c r="E17" s="38"/>
      <c r="F17" s="38"/>
      <c r="G17" s="38"/>
      <c r="H17" s="38"/>
      <c r="I17" s="38"/>
    </row>
    <row r="18" spans="1:9">
      <c r="A18" s="30">
        <v>14</v>
      </c>
      <c r="B18" s="38"/>
      <c r="C18" s="38"/>
      <c r="D18" s="38"/>
      <c r="E18" s="38"/>
      <c r="F18" s="38"/>
      <c r="G18" s="38"/>
      <c r="H18" s="38"/>
      <c r="I18" s="38"/>
    </row>
    <row r="19" spans="1:9">
      <c r="A19" s="30">
        <v>15</v>
      </c>
      <c r="B19" s="38"/>
      <c r="C19" s="38"/>
      <c r="D19" s="38"/>
      <c r="E19" s="38"/>
      <c r="F19" s="38"/>
      <c r="G19" s="38"/>
      <c r="H19" s="38"/>
      <c r="I19" s="38"/>
    </row>
    <row r="20" spans="1:9">
      <c r="A20" s="30">
        <v>16</v>
      </c>
      <c r="B20" s="38"/>
      <c r="C20" s="38"/>
      <c r="D20" s="38"/>
      <c r="E20" s="38"/>
      <c r="F20" s="38"/>
      <c r="G20" s="38"/>
      <c r="H20" s="38"/>
      <c r="I20" s="38"/>
    </row>
    <row r="21" spans="1:9">
      <c r="A21" s="30">
        <v>17</v>
      </c>
      <c r="B21" s="38"/>
      <c r="C21" s="38"/>
      <c r="D21" s="38"/>
      <c r="E21" s="38"/>
      <c r="F21" s="38"/>
      <c r="G21" s="38"/>
      <c r="H21" s="38"/>
      <c r="I21" s="38"/>
    </row>
    <row r="22" spans="1:9">
      <c r="A22" s="30">
        <v>18</v>
      </c>
      <c r="B22" s="38"/>
      <c r="C22" s="38"/>
      <c r="D22" s="38"/>
      <c r="E22" s="38"/>
      <c r="F22" s="38"/>
      <c r="G22" s="38"/>
      <c r="H22" s="38"/>
      <c r="I22" s="38"/>
    </row>
    <row r="23" spans="1:9">
      <c r="A23" s="30">
        <v>19</v>
      </c>
      <c r="B23" s="38"/>
      <c r="C23" s="38"/>
      <c r="D23" s="38"/>
      <c r="E23" s="38"/>
      <c r="F23" s="38"/>
      <c r="G23" s="38"/>
      <c r="H23" s="38"/>
      <c r="I23" s="38"/>
    </row>
    <row r="24" spans="1:9">
      <c r="A24" s="30">
        <v>20</v>
      </c>
      <c r="B24" s="38"/>
      <c r="C24" s="38"/>
      <c r="D24" s="38"/>
      <c r="E24" s="38"/>
      <c r="F24" s="38"/>
      <c r="G24" s="38"/>
      <c r="H24" s="38"/>
      <c r="I24" s="38"/>
    </row>
    <row r="25" spans="1:9">
      <c r="A25" s="30">
        <v>21</v>
      </c>
      <c r="B25" s="38"/>
      <c r="C25" s="38"/>
      <c r="D25" s="38"/>
      <c r="E25" s="38"/>
      <c r="F25" s="38"/>
      <c r="G25" s="38"/>
      <c r="H25" s="38"/>
      <c r="I25" s="38"/>
    </row>
    <row r="26" spans="1:9">
      <c r="A26" s="30">
        <v>22</v>
      </c>
      <c r="B26" s="38"/>
      <c r="C26" s="38"/>
      <c r="D26" s="38"/>
      <c r="E26" s="38"/>
      <c r="F26" s="38"/>
      <c r="G26" s="38"/>
      <c r="H26" s="38"/>
      <c r="I26" s="38"/>
    </row>
    <row r="27" spans="1:9">
      <c r="A27" s="30">
        <v>23</v>
      </c>
      <c r="B27" s="38"/>
      <c r="C27" s="38"/>
      <c r="D27" s="38"/>
      <c r="E27" s="38"/>
      <c r="F27" s="38"/>
      <c r="G27" s="38"/>
      <c r="H27" s="38"/>
      <c r="I27" s="38"/>
    </row>
    <row r="28" spans="1:9">
      <c r="A28" s="30">
        <v>24</v>
      </c>
      <c r="B28" s="38"/>
      <c r="C28" s="38"/>
      <c r="D28" s="38"/>
      <c r="E28" s="38"/>
      <c r="F28" s="38"/>
      <c r="G28" s="38"/>
      <c r="H28" s="38"/>
      <c r="I28" s="38"/>
    </row>
    <row r="29" spans="1:9">
      <c r="A29" s="30">
        <v>25</v>
      </c>
      <c r="B29" s="38"/>
      <c r="C29" s="38"/>
      <c r="D29" s="38"/>
      <c r="E29" s="38"/>
      <c r="F29" s="38"/>
      <c r="G29" s="38"/>
      <c r="H29" s="38"/>
      <c r="I29" s="38"/>
    </row>
    <row r="30" spans="1:9">
      <c r="A30" s="30">
        <v>26</v>
      </c>
      <c r="B30" s="38"/>
      <c r="C30" s="38"/>
      <c r="D30" s="38"/>
      <c r="E30" s="38"/>
      <c r="F30" s="38"/>
      <c r="G30" s="38"/>
      <c r="H30" s="38"/>
      <c r="I30" s="38"/>
    </row>
    <row r="31" spans="1:9">
      <c r="A31" s="30">
        <v>27</v>
      </c>
      <c r="B31" s="38"/>
      <c r="C31" s="38"/>
      <c r="D31" s="38"/>
      <c r="E31" s="38"/>
      <c r="F31" s="38"/>
      <c r="G31" s="38"/>
      <c r="H31" s="38"/>
      <c r="I31" s="38"/>
    </row>
    <row r="32" spans="1:9">
      <c r="A32" s="30">
        <v>28</v>
      </c>
      <c r="B32" s="38"/>
      <c r="C32" s="38"/>
      <c r="D32" s="38"/>
      <c r="E32" s="38"/>
      <c r="F32" s="38"/>
      <c r="G32" s="38"/>
      <c r="H32" s="38"/>
      <c r="I32" s="38"/>
    </row>
    <row r="33" spans="1:9">
      <c r="A33" s="30">
        <v>29</v>
      </c>
      <c r="B33" s="38"/>
      <c r="C33" s="38"/>
      <c r="D33" s="38"/>
      <c r="E33" s="38"/>
      <c r="F33" s="38"/>
      <c r="G33" s="38"/>
      <c r="H33" s="38"/>
      <c r="I33" s="38"/>
    </row>
    <row r="34" spans="1:9">
      <c r="A34" s="30">
        <v>30</v>
      </c>
      <c r="B34" s="38"/>
      <c r="C34" s="38"/>
      <c r="D34" s="38"/>
      <c r="E34" s="38"/>
      <c r="F34" s="38"/>
      <c r="G34" s="38"/>
      <c r="H34" s="38"/>
      <c r="I34" s="38"/>
    </row>
    <row r="35" spans="1:9">
      <c r="A35" s="30">
        <v>31</v>
      </c>
      <c r="B35" s="38"/>
      <c r="C35" s="38"/>
      <c r="D35" s="38"/>
      <c r="E35" s="38"/>
      <c r="F35" s="38"/>
      <c r="G35" s="38"/>
      <c r="H35" s="38"/>
      <c r="I35" s="38"/>
    </row>
    <row r="36" spans="1:9">
      <c r="A36" s="30">
        <v>32</v>
      </c>
      <c r="B36" s="38"/>
      <c r="C36" s="38"/>
      <c r="D36" s="38"/>
      <c r="E36" s="38"/>
      <c r="F36" s="38"/>
      <c r="G36" s="38"/>
      <c r="H36" s="38"/>
      <c r="I36" s="38"/>
    </row>
    <row r="37" spans="1:9">
      <c r="A37" s="30">
        <v>33</v>
      </c>
      <c r="B37" s="38"/>
      <c r="C37" s="38"/>
      <c r="D37" s="38"/>
      <c r="E37" s="38"/>
      <c r="F37" s="38"/>
      <c r="G37" s="38"/>
      <c r="H37" s="38"/>
      <c r="I37" s="38"/>
    </row>
    <row r="38" spans="1:9">
      <c r="A38" s="30">
        <v>34</v>
      </c>
      <c r="B38" s="38"/>
      <c r="C38" s="38"/>
      <c r="D38" s="38"/>
      <c r="E38" s="38"/>
      <c r="F38" s="38"/>
      <c r="G38" s="38"/>
      <c r="H38" s="38"/>
      <c r="I38" s="38"/>
    </row>
    <row r="39" spans="1:9">
      <c r="A39" s="30">
        <v>35</v>
      </c>
      <c r="B39" s="38"/>
      <c r="C39" s="38"/>
      <c r="D39" s="38"/>
      <c r="E39" s="38"/>
      <c r="F39" s="38"/>
      <c r="G39" s="38"/>
      <c r="H39" s="38"/>
      <c r="I39" s="38"/>
    </row>
    <row r="40" spans="1:9">
      <c r="A40" s="30">
        <v>36</v>
      </c>
      <c r="B40" s="38"/>
      <c r="C40" s="38"/>
      <c r="D40" s="38"/>
      <c r="E40" s="38"/>
      <c r="F40" s="38"/>
      <c r="G40" s="38"/>
      <c r="H40" s="38"/>
      <c r="I40" s="38"/>
    </row>
    <row r="41" spans="1:9">
      <c r="A41" s="30">
        <v>37</v>
      </c>
      <c r="B41" s="38"/>
      <c r="C41" s="38"/>
      <c r="D41" s="38"/>
      <c r="E41" s="38"/>
      <c r="F41" s="38"/>
      <c r="G41" s="38"/>
      <c r="H41" s="38"/>
      <c r="I41" s="38"/>
    </row>
    <row r="42" spans="1:9">
      <c r="A42" s="30">
        <v>38</v>
      </c>
      <c r="B42" s="38"/>
      <c r="C42" s="38"/>
      <c r="D42" s="38"/>
      <c r="E42" s="38"/>
      <c r="F42" s="38"/>
      <c r="G42" s="38"/>
      <c r="H42" s="38"/>
      <c r="I42" s="38"/>
    </row>
    <row r="43" spans="1:9">
      <c r="A43" s="30">
        <v>39</v>
      </c>
      <c r="B43" s="38"/>
      <c r="C43" s="38"/>
      <c r="D43" s="38"/>
      <c r="E43" s="38"/>
      <c r="F43" s="38"/>
      <c r="G43" s="38"/>
      <c r="H43" s="38"/>
      <c r="I43" s="38"/>
    </row>
    <row r="44" spans="1:9">
      <c r="A44" s="30">
        <v>40</v>
      </c>
      <c r="B44" s="38"/>
      <c r="C44" s="38"/>
      <c r="D44" s="38"/>
      <c r="E44" s="38"/>
      <c r="F44" s="38"/>
      <c r="G44" s="38"/>
      <c r="H44" s="38"/>
      <c r="I44" s="38"/>
    </row>
    <row r="45" spans="1:9">
      <c r="A45" s="30">
        <v>41</v>
      </c>
      <c r="B45" s="38"/>
      <c r="C45" s="38"/>
      <c r="D45" s="38"/>
      <c r="E45" s="38"/>
      <c r="F45" s="38"/>
      <c r="G45" s="38"/>
      <c r="H45" s="38"/>
      <c r="I45" s="38"/>
    </row>
    <row r="46" spans="1:9">
      <c r="A46" s="30">
        <v>42</v>
      </c>
      <c r="B46" s="38"/>
      <c r="C46" s="38"/>
      <c r="D46" s="38"/>
      <c r="E46" s="38"/>
      <c r="F46" s="38"/>
      <c r="G46" s="38"/>
      <c r="H46" s="38"/>
      <c r="I46" s="38"/>
    </row>
    <row r="47" spans="1:9">
      <c r="A47" s="30">
        <v>43</v>
      </c>
      <c r="B47" s="38"/>
      <c r="C47" s="38"/>
      <c r="D47" s="38"/>
      <c r="E47" s="38"/>
      <c r="F47" s="38"/>
      <c r="G47" s="38"/>
      <c r="H47" s="38"/>
      <c r="I47" s="38"/>
    </row>
    <row r="48" spans="1:9">
      <c r="A48" s="30">
        <v>44</v>
      </c>
      <c r="B48" s="38"/>
      <c r="C48" s="38"/>
      <c r="D48" s="38"/>
      <c r="E48" s="38"/>
      <c r="F48" s="38"/>
      <c r="G48" s="38"/>
      <c r="H48" s="38"/>
      <c r="I48" s="38"/>
    </row>
    <row r="49" spans="1:9">
      <c r="A49" s="30">
        <v>45</v>
      </c>
      <c r="B49" s="38"/>
      <c r="C49" s="38"/>
      <c r="D49" s="38"/>
      <c r="E49" s="38"/>
      <c r="F49" s="38"/>
      <c r="G49" s="38"/>
      <c r="H49" s="38"/>
      <c r="I49" s="38"/>
    </row>
    <row r="50" spans="1:9">
      <c r="A50" s="30">
        <v>46</v>
      </c>
      <c r="B50" s="38"/>
      <c r="C50" s="38"/>
      <c r="D50" s="38"/>
      <c r="E50" s="38"/>
      <c r="F50" s="38"/>
      <c r="G50" s="38"/>
      <c r="H50" s="38"/>
      <c r="I50" s="38"/>
    </row>
    <row r="51" spans="1:9">
      <c r="A51" s="30">
        <v>47</v>
      </c>
      <c r="B51" s="38"/>
      <c r="C51" s="38"/>
      <c r="D51" s="38"/>
      <c r="E51" s="38"/>
      <c r="F51" s="38"/>
      <c r="G51" s="38"/>
      <c r="H51" s="38"/>
      <c r="I51" s="38"/>
    </row>
    <row r="52" spans="1:9">
      <c r="A52" s="30">
        <v>48</v>
      </c>
      <c r="B52" s="38"/>
      <c r="C52" s="38"/>
      <c r="D52" s="38"/>
      <c r="E52" s="38"/>
      <c r="F52" s="38"/>
      <c r="G52" s="38"/>
      <c r="H52" s="38"/>
      <c r="I52" s="38"/>
    </row>
    <row r="53" spans="1:9">
      <c r="A53" s="30">
        <v>49</v>
      </c>
      <c r="B53" s="38"/>
      <c r="C53" s="38"/>
      <c r="D53" s="38"/>
      <c r="E53" s="38"/>
      <c r="F53" s="38"/>
      <c r="G53" s="38"/>
      <c r="H53" s="38"/>
      <c r="I53" s="38"/>
    </row>
    <row r="54" spans="1:9">
      <c r="A54" s="30">
        <v>50</v>
      </c>
      <c r="B54" s="38"/>
      <c r="C54" s="38"/>
      <c r="D54" s="38"/>
      <c r="E54" s="38"/>
      <c r="F54" s="38"/>
      <c r="G54" s="38"/>
      <c r="H54" s="38"/>
      <c r="I54" s="38"/>
    </row>
    <row r="55" spans="1:9">
      <c r="A55" s="30">
        <v>51</v>
      </c>
      <c r="B55" s="38"/>
      <c r="C55" s="38"/>
      <c r="D55" s="38"/>
      <c r="E55" s="38"/>
      <c r="F55" s="38"/>
      <c r="G55" s="38"/>
      <c r="H55" s="38"/>
      <c r="I55" s="38"/>
    </row>
    <row r="56" spans="1:9">
      <c r="A56" s="30">
        <v>52</v>
      </c>
      <c r="B56" s="38"/>
      <c r="C56" s="38"/>
      <c r="D56" s="38"/>
      <c r="E56" s="38"/>
      <c r="F56" s="38"/>
      <c r="G56" s="38"/>
      <c r="H56" s="38"/>
      <c r="I56" s="38"/>
    </row>
    <row r="57" spans="1:9">
      <c r="A57" s="30">
        <v>53</v>
      </c>
      <c r="B57" s="38"/>
      <c r="C57" s="38"/>
      <c r="D57" s="38"/>
      <c r="E57" s="38"/>
      <c r="F57" s="38"/>
      <c r="G57" s="38"/>
      <c r="H57" s="38"/>
      <c r="I57" s="38"/>
    </row>
    <row r="58" spans="1:9">
      <c r="A58" s="30">
        <v>54</v>
      </c>
      <c r="B58" s="38"/>
      <c r="C58" s="38"/>
      <c r="D58" s="38"/>
      <c r="E58" s="38"/>
      <c r="F58" s="38"/>
      <c r="G58" s="38"/>
      <c r="H58" s="38"/>
      <c r="I58" s="38"/>
    </row>
    <row r="59" spans="1:9">
      <c r="A59" s="30">
        <v>55</v>
      </c>
      <c r="B59" s="38"/>
      <c r="C59" s="38"/>
      <c r="D59" s="38"/>
      <c r="E59" s="38"/>
      <c r="F59" s="38"/>
      <c r="G59" s="38"/>
      <c r="H59" s="38"/>
      <c r="I59" s="38"/>
    </row>
    <row r="60" spans="1:9">
      <c r="A60" s="30">
        <v>56</v>
      </c>
      <c r="B60" s="38"/>
      <c r="C60" s="38"/>
      <c r="D60" s="38"/>
      <c r="E60" s="38"/>
      <c r="F60" s="38"/>
      <c r="G60" s="38"/>
      <c r="H60" s="38"/>
      <c r="I60" s="38"/>
    </row>
    <row r="61" spans="1:9">
      <c r="A61" s="30">
        <v>57</v>
      </c>
      <c r="B61" s="38"/>
      <c r="C61" s="38"/>
      <c r="D61" s="38"/>
      <c r="E61" s="38"/>
      <c r="F61" s="38"/>
      <c r="G61" s="38"/>
      <c r="H61" s="38"/>
      <c r="I61" s="38"/>
    </row>
    <row r="62" spans="1:9">
      <c r="A62" s="30">
        <v>58</v>
      </c>
      <c r="B62" s="38"/>
      <c r="C62" s="38"/>
      <c r="D62" s="38"/>
      <c r="E62" s="38"/>
      <c r="F62" s="38"/>
      <c r="G62" s="38"/>
      <c r="H62" s="38"/>
      <c r="I62" s="38"/>
    </row>
    <row r="63" spans="1:9">
      <c r="A63" s="30">
        <v>59</v>
      </c>
      <c r="B63" s="38"/>
      <c r="C63" s="38"/>
      <c r="D63" s="38"/>
      <c r="E63" s="38"/>
      <c r="F63" s="38"/>
      <c r="G63" s="38"/>
      <c r="H63" s="38"/>
      <c r="I63" s="38"/>
    </row>
    <row r="64" spans="1:9">
      <c r="A64" s="30">
        <v>60</v>
      </c>
      <c r="B64" s="38"/>
      <c r="C64" s="38"/>
      <c r="D64" s="38"/>
      <c r="E64" s="38"/>
      <c r="F64" s="38"/>
      <c r="G64" s="38"/>
      <c r="H64" s="38"/>
      <c r="I64" s="38"/>
    </row>
    <row r="65" spans="1:9">
      <c r="A65" s="30">
        <v>61</v>
      </c>
      <c r="B65" s="38"/>
      <c r="C65" s="38"/>
      <c r="D65" s="38"/>
      <c r="E65" s="38"/>
      <c r="F65" s="38"/>
      <c r="G65" s="38"/>
      <c r="H65" s="38"/>
      <c r="I65" s="38"/>
    </row>
    <row r="66" spans="1:9">
      <c r="A66" s="30">
        <v>62</v>
      </c>
      <c r="B66" s="38"/>
      <c r="C66" s="38"/>
      <c r="D66" s="38"/>
      <c r="E66" s="38"/>
      <c r="F66" s="38"/>
      <c r="G66" s="38"/>
      <c r="H66" s="38"/>
      <c r="I66" s="38"/>
    </row>
    <row r="67" spans="1:9">
      <c r="A67" s="30">
        <v>63</v>
      </c>
      <c r="B67" s="38"/>
      <c r="C67" s="38"/>
      <c r="D67" s="38"/>
      <c r="E67" s="38"/>
      <c r="F67" s="38"/>
      <c r="G67" s="38"/>
      <c r="H67" s="38"/>
      <c r="I67" s="38"/>
    </row>
    <row r="68" spans="1:9">
      <c r="A68" s="30">
        <v>64</v>
      </c>
      <c r="B68" s="38"/>
      <c r="C68" s="38"/>
      <c r="D68" s="38"/>
      <c r="E68" s="38"/>
      <c r="F68" s="38"/>
      <c r="G68" s="38"/>
      <c r="H68" s="38"/>
      <c r="I68" s="38"/>
    </row>
    <row r="69" spans="1:9">
      <c r="A69" s="30">
        <v>65</v>
      </c>
      <c r="B69" s="38"/>
      <c r="C69" s="38"/>
      <c r="D69" s="38"/>
      <c r="E69" s="38"/>
      <c r="F69" s="38"/>
      <c r="G69" s="38"/>
      <c r="H69" s="38"/>
      <c r="I69" s="38"/>
    </row>
    <row r="70" spans="1:9">
      <c r="A70" s="30">
        <v>66</v>
      </c>
      <c r="B70" s="38"/>
      <c r="C70" s="38"/>
      <c r="D70" s="38"/>
      <c r="E70" s="38"/>
      <c r="F70" s="38"/>
      <c r="G70" s="38"/>
      <c r="H70" s="38"/>
      <c r="I70" s="38"/>
    </row>
    <row r="71" spans="1:9">
      <c r="A71" s="30">
        <v>67</v>
      </c>
      <c r="B71" s="38"/>
      <c r="C71" s="38"/>
      <c r="D71" s="38"/>
      <c r="E71" s="38"/>
      <c r="F71" s="38"/>
      <c r="G71" s="38"/>
      <c r="H71" s="38"/>
      <c r="I71" s="38"/>
    </row>
    <row r="72" spans="1:9">
      <c r="A72" s="30">
        <v>68</v>
      </c>
      <c r="B72" s="38"/>
      <c r="C72" s="38"/>
      <c r="D72" s="38"/>
      <c r="E72" s="38"/>
      <c r="F72" s="38"/>
      <c r="G72" s="38"/>
      <c r="H72" s="38"/>
      <c r="I72" s="38"/>
    </row>
    <row r="73" spans="1:9">
      <c r="A73" s="30">
        <v>69</v>
      </c>
      <c r="B73" s="38"/>
      <c r="C73" s="38"/>
      <c r="D73" s="38"/>
      <c r="E73" s="38"/>
      <c r="F73" s="38"/>
      <c r="G73" s="38"/>
      <c r="H73" s="38"/>
      <c r="I73" s="38"/>
    </row>
    <row r="74" spans="1:9">
      <c r="A74" s="30">
        <v>70</v>
      </c>
      <c r="B74" s="38"/>
      <c r="C74" s="38"/>
      <c r="D74" s="38"/>
      <c r="E74" s="38"/>
      <c r="F74" s="38"/>
      <c r="G74" s="38"/>
      <c r="H74" s="38"/>
      <c r="I74" s="38"/>
    </row>
    <row r="75" spans="1:9">
      <c r="A75" s="30">
        <v>71</v>
      </c>
      <c r="B75" s="38"/>
      <c r="C75" s="38"/>
      <c r="D75" s="38"/>
      <c r="E75" s="38"/>
      <c r="F75" s="38"/>
      <c r="G75" s="38"/>
      <c r="H75" s="38"/>
      <c r="I75" s="38"/>
    </row>
    <row r="76" spans="1:9">
      <c r="A76" s="30">
        <v>72</v>
      </c>
      <c r="B76" s="38"/>
      <c r="C76" s="38"/>
      <c r="D76" s="38"/>
      <c r="E76" s="38"/>
      <c r="F76" s="38"/>
      <c r="G76" s="38"/>
      <c r="H76" s="38"/>
      <c r="I76" s="38"/>
    </row>
    <row r="77" spans="1:9">
      <c r="A77" s="30">
        <v>73</v>
      </c>
      <c r="B77" s="38"/>
      <c r="C77" s="38"/>
      <c r="D77" s="38"/>
      <c r="E77" s="38"/>
      <c r="F77" s="38"/>
      <c r="G77" s="38"/>
      <c r="H77" s="38"/>
      <c r="I77" s="38"/>
    </row>
    <row r="78" spans="1:9">
      <c r="A78" s="30">
        <v>74</v>
      </c>
      <c r="B78" s="38"/>
      <c r="C78" s="38"/>
      <c r="D78" s="38"/>
      <c r="E78" s="38"/>
      <c r="F78" s="38"/>
      <c r="G78" s="38"/>
      <c r="H78" s="38"/>
      <c r="I78" s="38"/>
    </row>
    <row r="79" spans="1:9">
      <c r="A79" s="30">
        <v>75</v>
      </c>
      <c r="B79" s="38"/>
      <c r="C79" s="38"/>
      <c r="D79" s="38"/>
      <c r="E79" s="38"/>
      <c r="F79" s="38"/>
      <c r="G79" s="38"/>
      <c r="H79" s="38"/>
      <c r="I79" s="38"/>
    </row>
    <row r="80" spans="1:9">
      <c r="A80" s="30">
        <v>76</v>
      </c>
      <c r="B80" s="38"/>
      <c r="C80" s="38"/>
      <c r="D80" s="38"/>
      <c r="E80" s="38"/>
      <c r="F80" s="38"/>
      <c r="G80" s="38"/>
      <c r="H80" s="38"/>
      <c r="I80" s="38"/>
    </row>
    <row r="81" spans="1:9">
      <c r="A81" s="30">
        <v>77</v>
      </c>
      <c r="B81" s="38"/>
      <c r="C81" s="38"/>
      <c r="D81" s="38"/>
      <c r="E81" s="38"/>
      <c r="F81" s="38"/>
      <c r="G81" s="38"/>
      <c r="H81" s="38"/>
      <c r="I81" s="38"/>
    </row>
    <row r="82" spans="1:9">
      <c r="A82" s="30">
        <v>78</v>
      </c>
      <c r="B82" s="38"/>
      <c r="C82" s="38"/>
      <c r="D82" s="38"/>
      <c r="E82" s="38"/>
      <c r="F82" s="38"/>
      <c r="G82" s="38"/>
      <c r="H82" s="38"/>
      <c r="I82" s="38"/>
    </row>
    <row r="83" spans="1:9">
      <c r="A83" s="30">
        <v>79</v>
      </c>
      <c r="B83" s="38"/>
      <c r="C83" s="38"/>
      <c r="D83" s="38"/>
      <c r="E83" s="38"/>
      <c r="F83" s="38"/>
      <c r="G83" s="38"/>
      <c r="H83" s="38"/>
      <c r="I83" s="38"/>
    </row>
    <row r="84" spans="1:9">
      <c r="A84" s="30">
        <v>80</v>
      </c>
      <c r="B84" s="38"/>
      <c r="C84" s="38"/>
      <c r="D84" s="38"/>
      <c r="E84" s="38"/>
      <c r="F84" s="38"/>
      <c r="G84" s="38"/>
      <c r="H84" s="38"/>
      <c r="I84" s="38"/>
    </row>
    <row r="85" spans="1:9">
      <c r="A85" s="30">
        <v>81</v>
      </c>
      <c r="B85" s="38"/>
      <c r="C85" s="38"/>
      <c r="D85" s="38"/>
      <c r="E85" s="38"/>
      <c r="F85" s="38"/>
      <c r="G85" s="38"/>
      <c r="H85" s="38"/>
      <c r="I85" s="38"/>
    </row>
    <row r="86" spans="1:9">
      <c r="A86" s="30">
        <v>82</v>
      </c>
      <c r="B86" s="38"/>
      <c r="C86" s="38"/>
      <c r="D86" s="38"/>
      <c r="E86" s="38"/>
      <c r="F86" s="38"/>
      <c r="G86" s="38"/>
      <c r="H86" s="38"/>
      <c r="I86" s="38"/>
    </row>
    <row r="87" spans="1:9">
      <c r="A87" s="30">
        <v>83</v>
      </c>
      <c r="B87" s="38"/>
      <c r="C87" s="38"/>
      <c r="D87" s="38"/>
      <c r="E87" s="38"/>
      <c r="F87" s="38"/>
      <c r="G87" s="38"/>
      <c r="H87" s="38"/>
      <c r="I87" s="38"/>
    </row>
    <row r="88" spans="1:9">
      <c r="A88" s="30">
        <v>84</v>
      </c>
      <c r="B88" s="38"/>
      <c r="C88" s="38"/>
      <c r="D88" s="38"/>
      <c r="E88" s="38"/>
      <c r="F88" s="38"/>
      <c r="G88" s="38"/>
      <c r="H88" s="38"/>
      <c r="I88" s="38"/>
    </row>
    <row r="89" spans="1:9">
      <c r="A89" s="30">
        <v>85</v>
      </c>
      <c r="B89" s="38"/>
      <c r="C89" s="38"/>
      <c r="D89" s="38"/>
      <c r="E89" s="38"/>
      <c r="F89" s="38"/>
      <c r="G89" s="38"/>
      <c r="H89" s="38"/>
      <c r="I89" s="38"/>
    </row>
    <row r="90" spans="1:9">
      <c r="A90" s="30">
        <v>86</v>
      </c>
      <c r="B90" s="38"/>
      <c r="C90" s="38"/>
      <c r="D90" s="38"/>
      <c r="E90" s="38"/>
      <c r="F90" s="38"/>
      <c r="G90" s="38"/>
      <c r="H90" s="38"/>
      <c r="I90" s="38"/>
    </row>
    <row r="91" spans="1:9">
      <c r="A91" s="30">
        <v>87</v>
      </c>
      <c r="B91" s="38"/>
      <c r="C91" s="38"/>
      <c r="D91" s="38"/>
      <c r="E91" s="38"/>
      <c r="F91" s="38"/>
      <c r="G91" s="38"/>
      <c r="H91" s="38"/>
      <c r="I91" s="38"/>
    </row>
    <row r="92" spans="1:9">
      <c r="A92" s="30">
        <v>88</v>
      </c>
      <c r="B92" s="38"/>
      <c r="C92" s="38"/>
      <c r="D92" s="38"/>
      <c r="E92" s="38"/>
      <c r="F92" s="38"/>
      <c r="G92" s="38"/>
      <c r="H92" s="38"/>
      <c r="I92" s="38"/>
    </row>
    <row r="93" spans="1:9">
      <c r="A93" s="30">
        <v>89</v>
      </c>
      <c r="B93" s="38"/>
      <c r="C93" s="38"/>
      <c r="D93" s="38"/>
      <c r="E93" s="38"/>
      <c r="F93" s="38"/>
      <c r="G93" s="38"/>
      <c r="H93" s="38"/>
      <c r="I93" s="38"/>
    </row>
    <row r="94" spans="1:9">
      <c r="A94" s="30">
        <v>90</v>
      </c>
      <c r="B94" s="38"/>
      <c r="C94" s="38"/>
      <c r="D94" s="38"/>
      <c r="E94" s="38"/>
      <c r="F94" s="38"/>
      <c r="G94" s="38"/>
      <c r="H94" s="38"/>
      <c r="I94" s="38"/>
    </row>
    <row r="95" spans="1:9">
      <c r="A95" s="30">
        <v>91</v>
      </c>
      <c r="B95" s="38"/>
      <c r="C95" s="38"/>
      <c r="D95" s="38"/>
      <c r="E95" s="38"/>
      <c r="F95" s="38"/>
      <c r="G95" s="38"/>
      <c r="H95" s="38"/>
      <c r="I95" s="38"/>
    </row>
    <row r="96" spans="1:9">
      <c r="A96" s="30">
        <v>92</v>
      </c>
      <c r="B96" s="38"/>
      <c r="C96" s="38"/>
      <c r="D96" s="38"/>
      <c r="E96" s="38"/>
      <c r="F96" s="38"/>
      <c r="G96" s="38"/>
      <c r="H96" s="38"/>
      <c r="I96" s="38"/>
    </row>
    <row r="97" spans="1:9">
      <c r="A97" s="30">
        <v>93</v>
      </c>
      <c r="B97" s="38"/>
      <c r="C97" s="38"/>
      <c r="D97" s="38"/>
      <c r="E97" s="38"/>
      <c r="F97" s="38"/>
      <c r="G97" s="38"/>
      <c r="H97" s="38"/>
      <c r="I97" s="38"/>
    </row>
    <row r="98" spans="1:9">
      <c r="A98" s="30">
        <v>94</v>
      </c>
      <c r="B98" s="38"/>
      <c r="C98" s="38"/>
      <c r="D98" s="38"/>
      <c r="E98" s="38"/>
      <c r="F98" s="38"/>
      <c r="G98" s="38"/>
      <c r="H98" s="38"/>
      <c r="I98" s="38"/>
    </row>
    <row r="99" spans="1:9">
      <c r="A99" s="30">
        <v>95</v>
      </c>
      <c r="B99" s="38"/>
      <c r="C99" s="38"/>
      <c r="D99" s="38"/>
      <c r="E99" s="38"/>
      <c r="F99" s="38"/>
      <c r="G99" s="38"/>
      <c r="H99" s="38"/>
      <c r="I99" s="38"/>
    </row>
    <row r="100" spans="1:9">
      <c r="A100" s="30">
        <v>96</v>
      </c>
      <c r="B100" s="38"/>
      <c r="C100" s="38"/>
      <c r="D100" s="38"/>
      <c r="E100" s="38"/>
      <c r="F100" s="38"/>
      <c r="G100" s="38"/>
      <c r="H100" s="38"/>
      <c r="I100" s="38"/>
    </row>
    <row r="101" spans="1:9">
      <c r="A101" s="30">
        <v>97</v>
      </c>
      <c r="B101" s="38"/>
      <c r="C101" s="38"/>
      <c r="D101" s="38"/>
      <c r="E101" s="38"/>
      <c r="F101" s="38"/>
      <c r="G101" s="38"/>
      <c r="H101" s="38"/>
      <c r="I101" s="38"/>
    </row>
    <row r="102" spans="1:9">
      <c r="A102" s="30">
        <v>98</v>
      </c>
      <c r="B102" s="38"/>
      <c r="C102" s="38"/>
      <c r="D102" s="38"/>
      <c r="E102" s="38"/>
      <c r="F102" s="38"/>
      <c r="G102" s="38"/>
      <c r="H102" s="38"/>
      <c r="I102" s="38"/>
    </row>
    <row r="103" spans="1:9">
      <c r="A103" s="30">
        <v>99</v>
      </c>
      <c r="B103" s="38"/>
      <c r="C103" s="38"/>
      <c r="D103" s="38"/>
      <c r="E103" s="38"/>
      <c r="F103" s="38"/>
      <c r="G103" s="38"/>
      <c r="H103" s="38"/>
      <c r="I103" s="38"/>
    </row>
    <row r="104" spans="1:9">
      <c r="A104" s="30">
        <v>100</v>
      </c>
      <c r="B104" s="38"/>
      <c r="C104" s="38"/>
      <c r="D104" s="38"/>
      <c r="E104" s="38"/>
      <c r="F104" s="38"/>
      <c r="G104" s="38"/>
      <c r="H104" s="38"/>
      <c r="I104" s="38"/>
    </row>
    <row r="105" spans="1:9">
      <c r="A105" s="30">
        <v>101</v>
      </c>
      <c r="B105" s="38"/>
      <c r="C105" s="38"/>
      <c r="D105" s="38"/>
      <c r="E105" s="38"/>
      <c r="F105" s="38"/>
      <c r="G105" s="38"/>
      <c r="H105" s="38"/>
      <c r="I105" s="38"/>
    </row>
    <row r="106" spans="1:9">
      <c r="A106" s="30">
        <v>102</v>
      </c>
      <c r="B106" s="38"/>
      <c r="C106" s="38"/>
      <c r="D106" s="38"/>
      <c r="E106" s="38"/>
      <c r="F106" s="38"/>
      <c r="G106" s="38"/>
      <c r="H106" s="38"/>
      <c r="I106" s="38"/>
    </row>
    <row r="107" spans="1:9">
      <c r="A107" s="30">
        <v>103</v>
      </c>
      <c r="B107" s="38"/>
      <c r="C107" s="38"/>
      <c r="D107" s="38"/>
      <c r="E107" s="38"/>
      <c r="F107" s="38"/>
      <c r="G107" s="38"/>
      <c r="H107" s="38"/>
      <c r="I107" s="38"/>
    </row>
    <row r="108" spans="1:9">
      <c r="A108" s="30">
        <v>104</v>
      </c>
      <c r="B108" s="38"/>
      <c r="C108" s="38"/>
      <c r="D108" s="38"/>
      <c r="E108" s="38"/>
      <c r="F108" s="38"/>
      <c r="G108" s="38"/>
      <c r="H108" s="38"/>
      <c r="I108" s="38"/>
    </row>
    <row r="109" spans="1:9">
      <c r="A109" s="30">
        <v>105</v>
      </c>
      <c r="B109" s="38"/>
      <c r="C109" s="38"/>
      <c r="D109" s="38"/>
      <c r="E109" s="38"/>
      <c r="F109" s="38"/>
      <c r="G109" s="38"/>
      <c r="H109" s="38"/>
      <c r="I109" s="38"/>
    </row>
    <row r="110" spans="1:9">
      <c r="A110" s="30">
        <v>106</v>
      </c>
      <c r="B110" s="38"/>
      <c r="C110" s="38"/>
      <c r="D110" s="38"/>
      <c r="E110" s="38"/>
      <c r="F110" s="38"/>
      <c r="G110" s="38"/>
      <c r="H110" s="38"/>
      <c r="I110" s="38"/>
    </row>
    <row r="111" spans="1:9">
      <c r="A111" s="30">
        <v>107</v>
      </c>
      <c r="B111" s="38"/>
      <c r="C111" s="38"/>
      <c r="D111" s="38"/>
      <c r="E111" s="38"/>
      <c r="F111" s="38"/>
      <c r="G111" s="38"/>
      <c r="H111" s="38"/>
      <c r="I111" s="38"/>
    </row>
    <row r="112" spans="1:9">
      <c r="A112" s="30">
        <v>108</v>
      </c>
      <c r="B112" s="38"/>
      <c r="C112" s="38"/>
      <c r="D112" s="38"/>
      <c r="E112" s="38"/>
      <c r="F112" s="38"/>
      <c r="G112" s="38"/>
      <c r="H112" s="38"/>
      <c r="I112" s="38"/>
    </row>
    <row r="113" spans="1:9">
      <c r="A113" s="30">
        <v>109</v>
      </c>
      <c r="B113" s="38"/>
      <c r="C113" s="38"/>
      <c r="D113" s="38"/>
      <c r="E113" s="38"/>
      <c r="F113" s="38"/>
      <c r="G113" s="38"/>
      <c r="H113" s="38"/>
      <c r="I113" s="38"/>
    </row>
    <row r="114" spans="1:9">
      <c r="A114" s="30">
        <v>110</v>
      </c>
      <c r="B114" s="38"/>
      <c r="C114" s="38"/>
      <c r="D114" s="38"/>
      <c r="E114" s="38"/>
      <c r="F114" s="38"/>
      <c r="G114" s="38"/>
      <c r="H114" s="38"/>
      <c r="I114" s="38"/>
    </row>
    <row r="115" spans="1:9">
      <c r="A115" s="30">
        <v>111</v>
      </c>
      <c r="B115" s="38"/>
      <c r="C115" s="38"/>
      <c r="D115" s="38"/>
      <c r="E115" s="38"/>
      <c r="F115" s="38"/>
      <c r="G115" s="38"/>
      <c r="H115" s="38"/>
      <c r="I115" s="38"/>
    </row>
    <row r="116" spans="1:9">
      <c r="A116" s="30">
        <v>112</v>
      </c>
      <c r="B116" s="38"/>
      <c r="C116" s="38"/>
      <c r="D116" s="38"/>
      <c r="E116" s="38"/>
      <c r="F116" s="38"/>
      <c r="G116" s="38"/>
      <c r="H116" s="38"/>
      <c r="I116" s="38"/>
    </row>
    <row r="117" spans="1:9">
      <c r="A117" s="30">
        <v>113</v>
      </c>
      <c r="B117" s="38"/>
      <c r="C117" s="38"/>
      <c r="D117" s="38"/>
      <c r="E117" s="38"/>
      <c r="F117" s="38"/>
      <c r="G117" s="38"/>
      <c r="H117" s="38"/>
      <c r="I117" s="38"/>
    </row>
    <row r="118" spans="1:9">
      <c r="A118" s="30">
        <v>114</v>
      </c>
      <c r="B118" s="38"/>
      <c r="C118" s="38"/>
      <c r="D118" s="38"/>
      <c r="E118" s="38"/>
      <c r="F118" s="38"/>
      <c r="G118" s="38"/>
      <c r="H118" s="38"/>
      <c r="I118" s="38"/>
    </row>
    <row r="119" spans="1:9">
      <c r="A119" s="30">
        <v>115</v>
      </c>
      <c r="B119" s="38"/>
      <c r="C119" s="38"/>
      <c r="D119" s="38"/>
      <c r="E119" s="38"/>
      <c r="F119" s="38"/>
      <c r="G119" s="38"/>
      <c r="H119" s="38"/>
      <c r="I119" s="38"/>
    </row>
    <row r="120" spans="1:9">
      <c r="A120" s="30">
        <v>116</v>
      </c>
      <c r="B120" s="38"/>
      <c r="C120" s="38"/>
      <c r="D120" s="38"/>
      <c r="E120" s="38"/>
      <c r="F120" s="38"/>
      <c r="G120" s="38"/>
      <c r="H120" s="38"/>
      <c r="I120" s="38"/>
    </row>
    <row r="121" spans="1:9">
      <c r="A121" s="30">
        <v>117</v>
      </c>
      <c r="B121" s="38"/>
      <c r="C121" s="38"/>
      <c r="D121" s="38"/>
      <c r="E121" s="38"/>
      <c r="F121" s="38"/>
      <c r="G121" s="38"/>
      <c r="H121" s="38"/>
      <c r="I121" s="38"/>
    </row>
    <row r="122" spans="1:9">
      <c r="A122" s="30">
        <v>118</v>
      </c>
      <c r="B122" s="38"/>
      <c r="C122" s="38"/>
      <c r="D122" s="38"/>
      <c r="E122" s="38"/>
      <c r="F122" s="38"/>
      <c r="G122" s="38"/>
      <c r="H122" s="38"/>
      <c r="I122" s="38"/>
    </row>
    <row r="123" spans="1:9">
      <c r="A123" s="30">
        <v>119</v>
      </c>
      <c r="B123" s="38"/>
      <c r="C123" s="38"/>
      <c r="D123" s="38"/>
      <c r="E123" s="38"/>
      <c r="F123" s="38"/>
      <c r="G123" s="38"/>
      <c r="H123" s="38"/>
      <c r="I123" s="38"/>
    </row>
    <row r="124" spans="1:9">
      <c r="A124" s="30">
        <v>120</v>
      </c>
      <c r="B124" s="38"/>
      <c r="C124" s="38"/>
      <c r="D124" s="38"/>
      <c r="E124" s="38"/>
      <c r="F124" s="38"/>
      <c r="G124" s="38"/>
      <c r="H124" s="38"/>
      <c r="I124" s="38"/>
    </row>
    <row r="125" spans="1:9">
      <c r="A125" s="30">
        <v>121</v>
      </c>
      <c r="B125" s="38"/>
      <c r="C125" s="38"/>
      <c r="D125" s="38"/>
      <c r="E125" s="38"/>
      <c r="F125" s="38"/>
      <c r="G125" s="38"/>
      <c r="H125" s="38"/>
      <c r="I125" s="38"/>
    </row>
    <row r="126" spans="1:9">
      <c r="A126" s="30">
        <v>122</v>
      </c>
      <c r="B126" s="38"/>
      <c r="C126" s="38"/>
      <c r="D126" s="38"/>
      <c r="E126" s="38"/>
      <c r="F126" s="38"/>
      <c r="G126" s="38"/>
      <c r="H126" s="38"/>
      <c r="I126" s="38"/>
    </row>
    <row r="127" spans="1:9">
      <c r="A127" s="30">
        <v>123</v>
      </c>
      <c r="B127" s="38"/>
      <c r="C127" s="38"/>
      <c r="D127" s="38"/>
      <c r="E127" s="38"/>
      <c r="F127" s="38"/>
      <c r="G127" s="38"/>
      <c r="H127" s="38"/>
      <c r="I127" s="38"/>
    </row>
    <row r="128" spans="1:9">
      <c r="A128" s="30">
        <v>124</v>
      </c>
      <c r="B128" s="38"/>
      <c r="C128" s="38"/>
      <c r="D128" s="38"/>
      <c r="E128" s="38"/>
      <c r="F128" s="38"/>
      <c r="G128" s="38"/>
      <c r="H128" s="38"/>
      <c r="I128" s="38"/>
    </row>
    <row r="129" spans="1:9">
      <c r="A129" s="30">
        <v>125</v>
      </c>
      <c r="B129" s="38"/>
      <c r="C129" s="38"/>
      <c r="D129" s="38"/>
      <c r="E129" s="38"/>
      <c r="F129" s="38"/>
      <c r="G129" s="38"/>
      <c r="H129" s="38"/>
      <c r="I129" s="38"/>
    </row>
    <row r="130" spans="1:9">
      <c r="A130" s="30">
        <v>126</v>
      </c>
      <c r="B130" s="38"/>
      <c r="C130" s="38"/>
      <c r="D130" s="38"/>
      <c r="E130" s="38"/>
      <c r="F130" s="38"/>
      <c r="G130" s="38"/>
      <c r="H130" s="38"/>
      <c r="I130" s="38"/>
    </row>
    <row r="131" spans="1:9">
      <c r="A131" s="30">
        <v>127</v>
      </c>
      <c r="B131" s="38"/>
      <c r="C131" s="38"/>
      <c r="D131" s="38"/>
      <c r="E131" s="38"/>
      <c r="F131" s="38"/>
      <c r="G131" s="38"/>
      <c r="H131" s="38"/>
      <c r="I131" s="38"/>
    </row>
    <row r="132" spans="1:9">
      <c r="A132" s="30">
        <v>128</v>
      </c>
      <c r="B132" s="38"/>
      <c r="C132" s="38"/>
      <c r="D132" s="38"/>
      <c r="E132" s="38"/>
      <c r="F132" s="38"/>
      <c r="G132" s="38"/>
      <c r="H132" s="38"/>
      <c r="I132" s="38"/>
    </row>
    <row r="133" spans="1:9">
      <c r="A133" s="30">
        <v>129</v>
      </c>
      <c r="B133" s="38"/>
      <c r="C133" s="38"/>
      <c r="D133" s="38"/>
      <c r="E133" s="38"/>
      <c r="F133" s="38"/>
      <c r="G133" s="38"/>
      <c r="H133" s="38"/>
      <c r="I133" s="38"/>
    </row>
    <row r="134" spans="1:9">
      <c r="A134" s="30">
        <v>130</v>
      </c>
      <c r="B134" s="38"/>
      <c r="C134" s="38"/>
      <c r="D134" s="38"/>
      <c r="E134" s="38"/>
      <c r="F134" s="38"/>
      <c r="G134" s="38"/>
      <c r="H134" s="38"/>
      <c r="I134" s="38"/>
    </row>
    <row r="135" spans="1:9">
      <c r="A135" s="30">
        <v>131</v>
      </c>
      <c r="B135" s="38"/>
      <c r="C135" s="38"/>
      <c r="D135" s="38"/>
      <c r="E135" s="38"/>
      <c r="F135" s="38"/>
      <c r="G135" s="38"/>
      <c r="H135" s="38"/>
      <c r="I135" s="38"/>
    </row>
    <row r="136" spans="1:9">
      <c r="A136" s="30">
        <v>132</v>
      </c>
      <c r="B136" s="38"/>
      <c r="C136" s="38"/>
      <c r="D136" s="38"/>
      <c r="E136" s="38"/>
      <c r="F136" s="38"/>
      <c r="G136" s="38"/>
      <c r="H136" s="38"/>
      <c r="I136" s="38"/>
    </row>
    <row r="137" spans="1:9">
      <c r="A137" s="30">
        <v>133</v>
      </c>
      <c r="B137" s="38"/>
      <c r="C137" s="38"/>
      <c r="D137" s="38"/>
      <c r="E137" s="38"/>
      <c r="F137" s="38"/>
      <c r="G137" s="38"/>
      <c r="H137" s="38"/>
      <c r="I137" s="38"/>
    </row>
    <row r="138" spans="1:9">
      <c r="A138" s="30">
        <v>134</v>
      </c>
      <c r="B138" s="38"/>
      <c r="C138" s="38"/>
      <c r="D138" s="38"/>
      <c r="E138" s="38"/>
      <c r="F138" s="38"/>
      <c r="G138" s="38"/>
      <c r="H138" s="38"/>
      <c r="I138" s="38"/>
    </row>
    <row r="139" spans="1:9">
      <c r="A139" s="30">
        <v>135</v>
      </c>
      <c r="B139" s="38"/>
      <c r="C139" s="38"/>
      <c r="D139" s="38"/>
      <c r="E139" s="38"/>
      <c r="F139" s="38"/>
      <c r="G139" s="38"/>
      <c r="H139" s="38"/>
      <c r="I139" s="38"/>
    </row>
    <row r="140" spans="1:9">
      <c r="A140" s="30">
        <v>136</v>
      </c>
      <c r="B140" s="38"/>
      <c r="C140" s="38"/>
      <c r="D140" s="38"/>
      <c r="E140" s="38"/>
      <c r="F140" s="38"/>
      <c r="G140" s="38"/>
      <c r="H140" s="38"/>
      <c r="I140" s="38"/>
    </row>
    <row r="141" spans="1:9">
      <c r="A141" s="30">
        <v>137</v>
      </c>
      <c r="B141" s="38"/>
      <c r="C141" s="38"/>
      <c r="D141" s="38"/>
      <c r="E141" s="38"/>
      <c r="F141" s="38"/>
      <c r="G141" s="38"/>
      <c r="H141" s="38"/>
      <c r="I141" s="38"/>
    </row>
    <row r="142" spans="1:9">
      <c r="A142" s="30">
        <v>138</v>
      </c>
      <c r="B142" s="38"/>
      <c r="C142" s="38"/>
      <c r="D142" s="38"/>
      <c r="E142" s="38"/>
      <c r="F142" s="38"/>
      <c r="G142" s="38"/>
      <c r="H142" s="38"/>
      <c r="I142" s="38"/>
    </row>
    <row r="143" spans="1:9">
      <c r="A143" s="30">
        <v>139</v>
      </c>
      <c r="B143" s="38"/>
      <c r="C143" s="38"/>
      <c r="D143" s="38"/>
      <c r="E143" s="38"/>
      <c r="F143" s="38"/>
      <c r="G143" s="38"/>
      <c r="H143" s="38"/>
      <c r="I143" s="38"/>
    </row>
    <row r="144" spans="1:9">
      <c r="A144" s="30">
        <v>140</v>
      </c>
      <c r="B144" s="38"/>
      <c r="C144" s="38"/>
      <c r="D144" s="38"/>
      <c r="E144" s="38"/>
      <c r="F144" s="38"/>
      <c r="G144" s="38"/>
      <c r="H144" s="38"/>
      <c r="I144" s="38"/>
    </row>
    <row r="145" spans="1:9">
      <c r="A145" s="30">
        <v>141</v>
      </c>
      <c r="B145" s="38"/>
      <c r="C145" s="38"/>
      <c r="D145" s="38"/>
      <c r="E145" s="38"/>
      <c r="F145" s="38"/>
      <c r="G145" s="38"/>
      <c r="H145" s="38"/>
      <c r="I145" s="38"/>
    </row>
    <row r="146" spans="1:9">
      <c r="A146" s="30">
        <v>142</v>
      </c>
      <c r="B146" s="38"/>
      <c r="C146" s="38"/>
      <c r="D146" s="38"/>
      <c r="E146" s="38"/>
      <c r="F146" s="38"/>
      <c r="G146" s="38"/>
      <c r="H146" s="38"/>
      <c r="I146" s="38"/>
    </row>
    <row r="147" spans="1:9">
      <c r="A147" s="30">
        <v>143</v>
      </c>
      <c r="B147" s="38"/>
      <c r="C147" s="38"/>
      <c r="D147" s="38"/>
      <c r="E147" s="38"/>
      <c r="F147" s="38"/>
      <c r="G147" s="38"/>
      <c r="H147" s="38"/>
      <c r="I147" s="38"/>
    </row>
    <row r="148" spans="1:9">
      <c r="A148" s="30">
        <v>144</v>
      </c>
      <c r="B148" s="38"/>
      <c r="C148" s="38"/>
      <c r="D148" s="38"/>
      <c r="E148" s="38"/>
      <c r="F148" s="38"/>
      <c r="G148" s="38"/>
      <c r="H148" s="38"/>
      <c r="I148" s="38"/>
    </row>
    <row r="149" spans="1:9">
      <c r="A149" s="30">
        <v>145</v>
      </c>
      <c r="B149" s="38"/>
      <c r="C149" s="38"/>
      <c r="D149" s="38"/>
      <c r="E149" s="38"/>
      <c r="F149" s="38"/>
      <c r="G149" s="38"/>
      <c r="H149" s="38"/>
      <c r="I149" s="38"/>
    </row>
    <row r="150" spans="1:9">
      <c r="A150" s="30">
        <v>146</v>
      </c>
      <c r="B150" s="38"/>
      <c r="C150" s="38"/>
      <c r="D150" s="38"/>
      <c r="E150" s="38"/>
      <c r="F150" s="38"/>
      <c r="G150" s="38"/>
      <c r="H150" s="38"/>
      <c r="I150" s="38"/>
    </row>
    <row r="151" spans="1:9">
      <c r="A151" s="30">
        <v>147</v>
      </c>
      <c r="B151" s="38"/>
      <c r="C151" s="38"/>
      <c r="D151" s="38"/>
      <c r="E151" s="38"/>
      <c r="F151" s="38"/>
      <c r="G151" s="38"/>
      <c r="H151" s="38"/>
      <c r="I151" s="38"/>
    </row>
    <row r="152" spans="1:9">
      <c r="A152" s="30">
        <v>148</v>
      </c>
      <c r="B152" s="38"/>
      <c r="C152" s="38"/>
      <c r="D152" s="38"/>
      <c r="E152" s="38"/>
      <c r="F152" s="38"/>
      <c r="G152" s="38"/>
      <c r="H152" s="38"/>
      <c r="I152" s="38"/>
    </row>
    <row r="153" spans="1:9">
      <c r="A153" s="30">
        <v>149</v>
      </c>
      <c r="B153" s="38"/>
      <c r="C153" s="38"/>
      <c r="D153" s="38"/>
      <c r="E153" s="38"/>
      <c r="F153" s="38"/>
      <c r="G153" s="38"/>
      <c r="H153" s="38"/>
      <c r="I153" s="38"/>
    </row>
    <row r="154" spans="1:9">
      <c r="A154" s="30">
        <v>150</v>
      </c>
      <c r="B154" s="38"/>
      <c r="C154" s="38"/>
      <c r="D154" s="38"/>
      <c r="E154" s="38"/>
      <c r="F154" s="38"/>
      <c r="G154" s="38"/>
      <c r="H154" s="38"/>
      <c r="I154" s="38"/>
    </row>
    <row r="155" spans="1:9">
      <c r="A155" s="30">
        <v>151</v>
      </c>
      <c r="B155" s="38"/>
      <c r="C155" s="38"/>
      <c r="D155" s="38"/>
      <c r="E155" s="38"/>
      <c r="F155" s="38"/>
      <c r="G155" s="38"/>
      <c r="H155" s="38"/>
      <c r="I155" s="38"/>
    </row>
    <row r="156" spans="1:9">
      <c r="A156" s="30">
        <v>152</v>
      </c>
      <c r="B156" s="38"/>
      <c r="C156" s="38"/>
      <c r="D156" s="38"/>
      <c r="E156" s="38"/>
      <c r="F156" s="38"/>
      <c r="G156" s="38"/>
      <c r="H156" s="38"/>
      <c r="I156" s="38"/>
    </row>
    <row r="157" spans="1:9">
      <c r="A157" s="30">
        <v>153</v>
      </c>
      <c r="B157" s="38"/>
      <c r="C157" s="38"/>
      <c r="D157" s="38"/>
      <c r="E157" s="38"/>
      <c r="F157" s="38"/>
      <c r="G157" s="38"/>
      <c r="H157" s="38"/>
      <c r="I157" s="38"/>
    </row>
    <row r="158" spans="1:9">
      <c r="A158" s="30">
        <v>154</v>
      </c>
      <c r="B158" s="38"/>
      <c r="C158" s="38"/>
      <c r="D158" s="38"/>
      <c r="E158" s="38"/>
      <c r="F158" s="38"/>
      <c r="G158" s="38"/>
      <c r="H158" s="38"/>
      <c r="I158" s="38"/>
    </row>
    <row r="159" spans="1:9">
      <c r="A159" s="30">
        <v>155</v>
      </c>
      <c r="B159" s="38"/>
      <c r="C159" s="38"/>
      <c r="D159" s="38"/>
      <c r="E159" s="38"/>
      <c r="F159" s="38"/>
      <c r="G159" s="38"/>
      <c r="H159" s="38"/>
      <c r="I159" s="38"/>
    </row>
    <row r="160" spans="1:9">
      <c r="A160" s="30">
        <v>156</v>
      </c>
      <c r="B160" s="38"/>
      <c r="C160" s="38"/>
      <c r="D160" s="38"/>
      <c r="E160" s="38"/>
      <c r="F160" s="38"/>
      <c r="G160" s="38"/>
      <c r="H160" s="38"/>
      <c r="I160" s="38"/>
    </row>
    <row r="161" spans="1:9">
      <c r="A161" s="30">
        <v>157</v>
      </c>
      <c r="B161" s="38"/>
      <c r="C161" s="38"/>
      <c r="D161" s="38"/>
      <c r="E161" s="38"/>
      <c r="F161" s="38"/>
      <c r="G161" s="38"/>
      <c r="H161" s="38"/>
      <c r="I161" s="38"/>
    </row>
    <row r="162" spans="1:9">
      <c r="A162" s="30">
        <v>158</v>
      </c>
      <c r="B162" s="38"/>
      <c r="C162" s="38"/>
      <c r="D162" s="38"/>
      <c r="E162" s="38"/>
      <c r="F162" s="38"/>
      <c r="G162" s="38"/>
      <c r="H162" s="38"/>
      <c r="I162" s="38"/>
    </row>
    <row r="163" spans="1:9">
      <c r="A163" s="30">
        <v>159</v>
      </c>
      <c r="B163" s="38"/>
      <c r="C163" s="38"/>
      <c r="D163" s="38"/>
      <c r="E163" s="38"/>
      <c r="F163" s="38"/>
      <c r="G163" s="38"/>
      <c r="H163" s="38"/>
      <c r="I163" s="38"/>
    </row>
    <row r="164" spans="1:9">
      <c r="A164" s="30">
        <v>160</v>
      </c>
      <c r="B164" s="38"/>
      <c r="C164" s="38"/>
      <c r="D164" s="38"/>
      <c r="E164" s="38"/>
      <c r="F164" s="38"/>
      <c r="G164" s="38"/>
      <c r="H164" s="38"/>
      <c r="I164" s="38"/>
    </row>
    <row r="165" spans="1:9">
      <c r="A165" s="30">
        <v>161</v>
      </c>
      <c r="B165" s="38"/>
      <c r="C165" s="38"/>
      <c r="D165" s="38"/>
      <c r="E165" s="38"/>
      <c r="F165" s="38"/>
      <c r="G165" s="38"/>
      <c r="H165" s="38"/>
      <c r="I165" s="38"/>
    </row>
    <row r="166" spans="1:9">
      <c r="A166" s="30">
        <v>162</v>
      </c>
      <c r="B166" s="38"/>
      <c r="C166" s="38"/>
      <c r="D166" s="38"/>
      <c r="E166" s="38"/>
      <c r="F166" s="38"/>
      <c r="G166" s="38"/>
      <c r="H166" s="38"/>
      <c r="I166" s="38"/>
    </row>
    <row r="167" spans="1:9">
      <c r="A167" s="30">
        <v>163</v>
      </c>
      <c r="B167" s="38"/>
      <c r="C167" s="38"/>
      <c r="D167" s="38"/>
      <c r="E167" s="38"/>
      <c r="F167" s="38"/>
      <c r="G167" s="38"/>
      <c r="H167" s="38"/>
      <c r="I167" s="38"/>
    </row>
    <row r="168" spans="1:9">
      <c r="A168" s="30">
        <v>164</v>
      </c>
      <c r="B168" s="38"/>
      <c r="C168" s="38"/>
      <c r="D168" s="38"/>
      <c r="E168" s="38"/>
      <c r="F168" s="38"/>
      <c r="G168" s="38"/>
      <c r="H168" s="38"/>
      <c r="I168" s="38"/>
    </row>
    <row r="169" spans="1:9">
      <c r="A169" s="30">
        <v>165</v>
      </c>
      <c r="B169" s="38"/>
      <c r="C169" s="38"/>
      <c r="D169" s="38"/>
      <c r="E169" s="38"/>
      <c r="F169" s="38"/>
      <c r="G169" s="38"/>
      <c r="H169" s="38"/>
      <c r="I169" s="38"/>
    </row>
    <row r="170" spans="1:9">
      <c r="A170" s="30">
        <v>166</v>
      </c>
      <c r="B170" s="38"/>
      <c r="C170" s="38"/>
      <c r="D170" s="38"/>
      <c r="E170" s="38"/>
      <c r="F170" s="38"/>
      <c r="G170" s="38"/>
      <c r="H170" s="38"/>
      <c r="I170" s="38"/>
    </row>
    <row r="171" spans="1:9">
      <c r="A171" s="30">
        <v>167</v>
      </c>
      <c r="B171" s="38"/>
      <c r="C171" s="38"/>
      <c r="D171" s="38"/>
      <c r="E171" s="38"/>
      <c r="F171" s="38"/>
      <c r="G171" s="38"/>
      <c r="H171" s="38"/>
      <c r="I171" s="38"/>
    </row>
    <row r="172" spans="1:9">
      <c r="A172" s="30">
        <v>168</v>
      </c>
      <c r="B172" s="38"/>
      <c r="C172" s="38"/>
      <c r="D172" s="38"/>
      <c r="E172" s="38"/>
      <c r="F172" s="38"/>
      <c r="G172" s="38"/>
      <c r="H172" s="38"/>
      <c r="I172" s="38"/>
    </row>
    <row r="173" spans="1:9">
      <c r="A173" s="30">
        <v>169</v>
      </c>
      <c r="B173" s="38"/>
      <c r="C173" s="38"/>
      <c r="D173" s="38"/>
      <c r="E173" s="38"/>
      <c r="F173" s="38"/>
      <c r="G173" s="38"/>
      <c r="H173" s="38"/>
      <c r="I173" s="38"/>
    </row>
    <row r="174" spans="1:9">
      <c r="A174" s="30">
        <v>170</v>
      </c>
      <c r="B174" s="38"/>
      <c r="C174" s="38"/>
      <c r="D174" s="38"/>
      <c r="E174" s="38"/>
      <c r="F174" s="38"/>
      <c r="G174" s="38"/>
      <c r="H174" s="38"/>
      <c r="I174" s="38"/>
    </row>
    <row r="175" spans="1:9">
      <c r="A175" s="30">
        <v>171</v>
      </c>
      <c r="B175" s="38"/>
      <c r="C175" s="38"/>
      <c r="D175" s="38"/>
      <c r="E175" s="38"/>
      <c r="F175" s="38"/>
      <c r="G175" s="38"/>
      <c r="H175" s="38"/>
      <c r="I175" s="38"/>
    </row>
    <row r="176" spans="1:9">
      <c r="A176" s="30">
        <v>172</v>
      </c>
      <c r="B176" s="38"/>
      <c r="C176" s="38"/>
      <c r="D176" s="38"/>
      <c r="E176" s="38"/>
      <c r="F176" s="38"/>
      <c r="G176" s="38"/>
      <c r="H176" s="38"/>
      <c r="I176" s="38"/>
    </row>
    <row r="177" spans="1:9">
      <c r="A177" s="30">
        <v>173</v>
      </c>
      <c r="B177" s="38"/>
      <c r="C177" s="38"/>
      <c r="D177" s="38"/>
      <c r="E177" s="38"/>
      <c r="F177" s="38"/>
      <c r="G177" s="38"/>
      <c r="H177" s="38"/>
      <c r="I177" s="38"/>
    </row>
    <row r="178" spans="1:9">
      <c r="A178" s="30">
        <v>174</v>
      </c>
      <c r="B178" s="38"/>
      <c r="C178" s="38"/>
      <c r="D178" s="38"/>
      <c r="E178" s="38"/>
      <c r="F178" s="38"/>
      <c r="G178" s="38"/>
      <c r="H178" s="38"/>
      <c r="I178" s="38"/>
    </row>
    <row r="179" spans="1:9">
      <c r="A179" s="30">
        <v>175</v>
      </c>
      <c r="B179" s="38"/>
      <c r="C179" s="38"/>
      <c r="D179" s="38"/>
      <c r="E179" s="38"/>
      <c r="F179" s="38"/>
      <c r="G179" s="38"/>
      <c r="H179" s="38"/>
      <c r="I179" s="38"/>
    </row>
    <row r="180" spans="1:9">
      <c r="A180" s="30">
        <v>176</v>
      </c>
      <c r="B180" s="38"/>
      <c r="C180" s="38"/>
      <c r="D180" s="38"/>
      <c r="E180" s="38"/>
      <c r="F180" s="38"/>
      <c r="G180" s="38"/>
      <c r="H180" s="38"/>
      <c r="I180" s="38"/>
    </row>
    <row r="181" spans="1:9">
      <c r="A181" s="30">
        <v>177</v>
      </c>
      <c r="B181" s="38"/>
      <c r="C181" s="38"/>
      <c r="D181" s="38"/>
      <c r="E181" s="38"/>
      <c r="F181" s="38"/>
      <c r="G181" s="38"/>
      <c r="H181" s="38"/>
      <c r="I181" s="38"/>
    </row>
    <row r="182" spans="1:9">
      <c r="A182" s="30">
        <v>178</v>
      </c>
      <c r="B182" s="38"/>
      <c r="C182" s="38"/>
      <c r="D182" s="38"/>
      <c r="E182" s="38"/>
      <c r="F182" s="38"/>
      <c r="G182" s="38"/>
      <c r="H182" s="38"/>
      <c r="I182" s="38"/>
    </row>
    <row r="183" spans="1:9">
      <c r="A183" s="30">
        <v>179</v>
      </c>
      <c r="B183" s="38"/>
      <c r="C183" s="38"/>
      <c r="D183" s="38"/>
      <c r="E183" s="38"/>
      <c r="F183" s="38"/>
      <c r="G183" s="38"/>
      <c r="H183" s="38"/>
      <c r="I183" s="38"/>
    </row>
    <row r="184" spans="1:9">
      <c r="A184" s="30">
        <v>180</v>
      </c>
      <c r="B184" s="38"/>
      <c r="C184" s="38"/>
      <c r="D184" s="38"/>
      <c r="E184" s="38"/>
      <c r="F184" s="38"/>
      <c r="G184" s="38"/>
      <c r="H184" s="38"/>
      <c r="I184" s="38"/>
    </row>
    <row r="185" spans="1:9">
      <c r="A185" s="30">
        <v>181</v>
      </c>
      <c r="B185" s="38"/>
      <c r="C185" s="38"/>
      <c r="D185" s="38"/>
      <c r="E185" s="38"/>
      <c r="F185" s="38"/>
      <c r="G185" s="38"/>
      <c r="H185" s="38"/>
      <c r="I185" s="38"/>
    </row>
    <row r="186" spans="1:9">
      <c r="A186" s="30">
        <v>182</v>
      </c>
      <c r="B186" s="38"/>
      <c r="C186" s="38"/>
      <c r="D186" s="38"/>
      <c r="E186" s="38"/>
      <c r="F186" s="38"/>
      <c r="G186" s="38"/>
      <c r="H186" s="38"/>
      <c r="I186" s="38"/>
    </row>
    <row r="187" spans="1:9">
      <c r="A187" s="30">
        <v>183</v>
      </c>
      <c r="B187" s="38"/>
      <c r="C187" s="38"/>
      <c r="D187" s="38"/>
      <c r="E187" s="38"/>
      <c r="F187" s="38"/>
      <c r="G187" s="38"/>
      <c r="H187" s="38"/>
      <c r="I187" s="38"/>
    </row>
    <row r="188" spans="1:9">
      <c r="A188" s="30">
        <v>184</v>
      </c>
      <c r="B188" s="38"/>
      <c r="C188" s="38"/>
      <c r="D188" s="38"/>
      <c r="E188" s="38"/>
      <c r="F188" s="38"/>
      <c r="G188" s="38"/>
      <c r="H188" s="38"/>
      <c r="I188" s="38"/>
    </row>
    <row r="189" spans="1:9">
      <c r="A189" s="30">
        <v>185</v>
      </c>
      <c r="B189" s="38"/>
      <c r="C189" s="38"/>
      <c r="D189" s="38"/>
      <c r="E189" s="38"/>
      <c r="F189" s="38"/>
      <c r="G189" s="38"/>
      <c r="H189" s="38"/>
      <c r="I189" s="38"/>
    </row>
    <row r="190" spans="1:9">
      <c r="A190" s="30">
        <v>186</v>
      </c>
      <c r="B190" s="38"/>
      <c r="C190" s="38"/>
      <c r="D190" s="38"/>
      <c r="E190" s="38"/>
      <c r="F190" s="38"/>
      <c r="G190" s="38"/>
      <c r="H190" s="38"/>
      <c r="I190" s="38"/>
    </row>
    <row r="191" spans="1:9">
      <c r="A191" s="30">
        <v>187</v>
      </c>
      <c r="B191" s="38"/>
      <c r="C191" s="38"/>
      <c r="D191" s="38"/>
      <c r="E191" s="38"/>
      <c r="F191" s="38"/>
      <c r="G191" s="38"/>
      <c r="H191" s="38"/>
      <c r="I191" s="38"/>
    </row>
    <row r="192" spans="1:9">
      <c r="A192" s="30">
        <v>188</v>
      </c>
      <c r="B192" s="38"/>
      <c r="C192" s="38"/>
      <c r="D192" s="38"/>
      <c r="E192" s="38"/>
      <c r="F192" s="38"/>
      <c r="G192" s="38"/>
      <c r="H192" s="38"/>
      <c r="I192" s="38"/>
    </row>
    <row r="193" spans="1:9">
      <c r="A193" s="30">
        <v>189</v>
      </c>
      <c r="B193" s="38"/>
      <c r="C193" s="38"/>
      <c r="D193" s="38"/>
      <c r="E193" s="38"/>
      <c r="F193" s="38"/>
      <c r="G193" s="38"/>
      <c r="H193" s="38"/>
      <c r="I193" s="38"/>
    </row>
    <row r="194" spans="1:9">
      <c r="A194" s="30">
        <v>190</v>
      </c>
      <c r="B194" s="38"/>
      <c r="C194" s="38"/>
      <c r="D194" s="38"/>
      <c r="E194" s="38"/>
      <c r="F194" s="38"/>
      <c r="G194" s="38"/>
      <c r="H194" s="38"/>
      <c r="I194" s="38"/>
    </row>
    <row r="195" spans="1:9">
      <c r="A195" s="30">
        <v>191</v>
      </c>
      <c r="B195" s="38"/>
      <c r="C195" s="38"/>
      <c r="D195" s="38"/>
      <c r="E195" s="38"/>
      <c r="F195" s="38"/>
      <c r="G195" s="38"/>
      <c r="H195" s="38"/>
      <c r="I195" s="38"/>
    </row>
    <row r="196" spans="1:9">
      <c r="A196" s="30">
        <v>192</v>
      </c>
      <c r="B196" s="38"/>
      <c r="C196" s="38"/>
      <c r="D196" s="38"/>
      <c r="E196" s="38"/>
      <c r="F196" s="38"/>
      <c r="G196" s="38"/>
      <c r="H196" s="38"/>
      <c r="I196" s="38"/>
    </row>
    <row r="197" spans="1:9">
      <c r="A197" s="30">
        <v>193</v>
      </c>
      <c r="B197" s="38"/>
      <c r="C197" s="38"/>
      <c r="D197" s="38"/>
      <c r="E197" s="38"/>
      <c r="F197" s="38"/>
      <c r="G197" s="38"/>
      <c r="H197" s="38"/>
      <c r="I197" s="38"/>
    </row>
    <row r="198" spans="1:9">
      <c r="A198" s="30">
        <v>194</v>
      </c>
      <c r="B198" s="38"/>
      <c r="C198" s="38"/>
      <c r="D198" s="38"/>
      <c r="E198" s="38"/>
      <c r="F198" s="38"/>
      <c r="G198" s="38"/>
      <c r="H198" s="38"/>
      <c r="I198" s="38"/>
    </row>
    <row r="199" spans="1:9">
      <c r="A199" s="30">
        <v>195</v>
      </c>
      <c r="B199" s="38"/>
      <c r="C199" s="38"/>
      <c r="D199" s="38"/>
      <c r="E199" s="38"/>
      <c r="F199" s="38"/>
      <c r="G199" s="38"/>
      <c r="H199" s="38"/>
      <c r="I199" s="38"/>
    </row>
    <row r="200" spans="1:9">
      <c r="A200" s="30">
        <v>196</v>
      </c>
      <c r="B200" s="38"/>
      <c r="C200" s="38"/>
      <c r="D200" s="38"/>
      <c r="E200" s="38"/>
      <c r="F200" s="38"/>
      <c r="G200" s="38"/>
      <c r="H200" s="38"/>
      <c r="I200" s="38"/>
    </row>
    <row r="201" spans="1:9">
      <c r="A201" s="30">
        <v>197</v>
      </c>
      <c r="B201" s="38"/>
      <c r="C201" s="38"/>
      <c r="D201" s="38"/>
      <c r="E201" s="38"/>
      <c r="F201" s="38"/>
      <c r="G201" s="38"/>
      <c r="H201" s="38"/>
      <c r="I201" s="38"/>
    </row>
    <row r="202" spans="1:9">
      <c r="A202" s="30">
        <v>198</v>
      </c>
      <c r="B202" s="38"/>
      <c r="C202" s="38"/>
      <c r="D202" s="38"/>
      <c r="E202" s="38"/>
      <c r="F202" s="38"/>
      <c r="G202" s="38"/>
      <c r="H202" s="38"/>
      <c r="I202" s="38"/>
    </row>
    <row r="203" spans="1:9">
      <c r="A203" s="30">
        <v>199</v>
      </c>
      <c r="B203" s="38"/>
      <c r="C203" s="38"/>
      <c r="D203" s="38"/>
      <c r="E203" s="38"/>
      <c r="F203" s="38"/>
      <c r="G203" s="38"/>
      <c r="H203" s="38"/>
      <c r="I203" s="38"/>
    </row>
    <row r="204" spans="1:9">
      <c r="A204" s="30">
        <v>200</v>
      </c>
      <c r="B204" s="38"/>
      <c r="C204" s="38"/>
      <c r="D204" s="38"/>
      <c r="E204" s="38"/>
      <c r="F204" s="38"/>
      <c r="G204" s="38"/>
      <c r="H204" s="38"/>
      <c r="I204" s="38"/>
    </row>
    <row r="205" spans="1:9">
      <c r="A205" s="30">
        <v>201</v>
      </c>
      <c r="B205" s="38"/>
      <c r="C205" s="38"/>
      <c r="D205" s="38"/>
      <c r="E205" s="38"/>
      <c r="F205" s="38"/>
      <c r="G205" s="38"/>
      <c r="H205" s="38"/>
      <c r="I205" s="38"/>
    </row>
    <row r="206" spans="1:9">
      <c r="A206" s="30">
        <v>202</v>
      </c>
      <c r="B206" s="38"/>
      <c r="C206" s="38"/>
      <c r="D206" s="38"/>
      <c r="E206" s="38"/>
      <c r="F206" s="38"/>
      <c r="G206" s="38"/>
      <c r="H206" s="38"/>
      <c r="I206" s="38"/>
    </row>
    <row r="207" spans="1:9">
      <c r="A207" s="30">
        <v>203</v>
      </c>
      <c r="B207" s="38"/>
      <c r="C207" s="38"/>
      <c r="D207" s="38"/>
      <c r="E207" s="38"/>
      <c r="F207" s="38"/>
      <c r="G207" s="38"/>
      <c r="H207" s="38"/>
      <c r="I207" s="38"/>
    </row>
    <row r="208" spans="1:9">
      <c r="A208" s="30">
        <v>204</v>
      </c>
      <c r="B208" s="38"/>
      <c r="C208" s="38"/>
      <c r="D208" s="38"/>
      <c r="E208" s="38"/>
      <c r="F208" s="38"/>
      <c r="G208" s="38"/>
      <c r="H208" s="38"/>
      <c r="I208" s="38"/>
    </row>
    <row r="209" spans="1:9">
      <c r="A209" s="30">
        <v>205</v>
      </c>
      <c r="B209" s="38"/>
      <c r="C209" s="38"/>
      <c r="D209" s="38"/>
      <c r="E209" s="38"/>
      <c r="F209" s="38"/>
      <c r="G209" s="38"/>
      <c r="H209" s="38"/>
      <c r="I209" s="38"/>
    </row>
    <row r="210" spans="1:9">
      <c r="A210" s="30">
        <v>206</v>
      </c>
      <c r="B210" s="38"/>
      <c r="C210" s="38"/>
      <c r="D210" s="38"/>
      <c r="E210" s="38"/>
      <c r="F210" s="38"/>
      <c r="G210" s="38"/>
      <c r="H210" s="38"/>
      <c r="I210" s="38"/>
    </row>
    <row r="211" spans="1:9">
      <c r="A211" s="30">
        <v>207</v>
      </c>
      <c r="B211" s="38"/>
      <c r="C211" s="38"/>
      <c r="D211" s="38"/>
      <c r="E211" s="38"/>
      <c r="F211" s="38"/>
      <c r="G211" s="38"/>
      <c r="H211" s="38"/>
      <c r="I211" s="38"/>
    </row>
    <row r="212" spans="1:9">
      <c r="A212" s="30">
        <v>208</v>
      </c>
      <c r="B212" s="38"/>
      <c r="C212" s="38"/>
      <c r="D212" s="38"/>
      <c r="E212" s="38"/>
      <c r="F212" s="38"/>
      <c r="G212" s="38"/>
      <c r="H212" s="38"/>
      <c r="I212" s="38"/>
    </row>
    <row r="213" spans="1:9">
      <c r="A213" s="30">
        <v>209</v>
      </c>
      <c r="B213" s="38"/>
      <c r="C213" s="38"/>
      <c r="D213" s="38"/>
      <c r="E213" s="38"/>
      <c r="F213" s="38"/>
      <c r="G213" s="38"/>
      <c r="H213" s="38"/>
      <c r="I213" s="38"/>
    </row>
    <row r="214" spans="1:9">
      <c r="A214" s="30">
        <v>210</v>
      </c>
      <c r="B214" s="38"/>
      <c r="C214" s="38"/>
      <c r="D214" s="38"/>
      <c r="E214" s="38"/>
      <c r="F214" s="38"/>
      <c r="G214" s="38"/>
      <c r="H214" s="38"/>
      <c r="I214" s="38"/>
    </row>
    <row r="215" spans="1:9">
      <c r="A215" s="30">
        <v>211</v>
      </c>
      <c r="B215" s="38"/>
      <c r="C215" s="38"/>
      <c r="D215" s="38"/>
      <c r="E215" s="38"/>
      <c r="F215" s="38"/>
      <c r="G215" s="38"/>
      <c r="H215" s="38"/>
      <c r="I215" s="38"/>
    </row>
    <row r="216" spans="1:9">
      <c r="A216" s="30">
        <v>212</v>
      </c>
      <c r="B216" s="38"/>
      <c r="C216" s="38"/>
      <c r="D216" s="38"/>
      <c r="E216" s="38"/>
      <c r="F216" s="38"/>
      <c r="G216" s="38"/>
      <c r="H216" s="38"/>
      <c r="I216" s="38"/>
    </row>
    <row r="217" spans="1:9">
      <c r="A217" s="30">
        <v>213</v>
      </c>
      <c r="B217" s="38"/>
      <c r="C217" s="38"/>
      <c r="D217" s="38"/>
      <c r="E217" s="38"/>
      <c r="F217" s="38"/>
      <c r="G217" s="38"/>
      <c r="H217" s="38"/>
      <c r="I217" s="38"/>
    </row>
    <row r="218" spans="1:9">
      <c r="A218" s="30">
        <v>214</v>
      </c>
      <c r="B218" s="38"/>
      <c r="C218" s="38"/>
      <c r="D218" s="38"/>
      <c r="E218" s="38"/>
      <c r="F218" s="38"/>
      <c r="G218" s="38"/>
      <c r="H218" s="38"/>
      <c r="I218" s="38"/>
    </row>
    <row r="219" spans="1:9">
      <c r="A219" s="30">
        <v>215</v>
      </c>
      <c r="B219" s="38"/>
      <c r="C219" s="38"/>
      <c r="D219" s="38"/>
      <c r="E219" s="38"/>
      <c r="F219" s="38"/>
      <c r="G219" s="38"/>
      <c r="H219" s="38"/>
      <c r="I219" s="38"/>
    </row>
    <row r="220" spans="1:9">
      <c r="A220" s="30">
        <v>216</v>
      </c>
      <c r="B220" s="38"/>
      <c r="C220" s="38"/>
      <c r="D220" s="38"/>
      <c r="E220" s="38"/>
      <c r="F220" s="38"/>
      <c r="G220" s="38"/>
      <c r="H220" s="38"/>
      <c r="I220" s="38"/>
    </row>
    <row r="221" spans="1:9">
      <c r="A221" s="30">
        <v>217</v>
      </c>
      <c r="B221" s="38"/>
      <c r="C221" s="38"/>
      <c r="D221" s="38"/>
      <c r="E221" s="38"/>
      <c r="F221" s="38"/>
      <c r="G221" s="38"/>
      <c r="H221" s="38"/>
      <c r="I221" s="38"/>
    </row>
    <row r="222" spans="1:9">
      <c r="A222" s="30">
        <v>218</v>
      </c>
      <c r="B222" s="38"/>
      <c r="C222" s="38"/>
      <c r="D222" s="38"/>
      <c r="E222" s="38"/>
      <c r="F222" s="38"/>
      <c r="G222" s="38"/>
      <c r="H222" s="38"/>
      <c r="I222" s="38"/>
    </row>
    <row r="223" spans="1:9">
      <c r="A223" s="30">
        <v>219</v>
      </c>
      <c r="B223" s="38"/>
      <c r="C223" s="38"/>
      <c r="D223" s="38"/>
      <c r="E223" s="38"/>
      <c r="F223" s="38"/>
      <c r="G223" s="38"/>
      <c r="H223" s="38"/>
      <c r="I223" s="38"/>
    </row>
    <row r="224" spans="1:9">
      <c r="A224" s="30">
        <v>220</v>
      </c>
      <c r="B224" s="38"/>
      <c r="C224" s="38"/>
      <c r="D224" s="38"/>
      <c r="E224" s="38"/>
      <c r="F224" s="38"/>
      <c r="G224" s="38"/>
      <c r="H224" s="38"/>
      <c r="I224" s="38"/>
    </row>
    <row r="225" spans="1:9">
      <c r="A225" s="30">
        <v>221</v>
      </c>
      <c r="B225" s="38"/>
      <c r="C225" s="38"/>
      <c r="D225" s="38"/>
      <c r="E225" s="38"/>
      <c r="F225" s="38"/>
      <c r="G225" s="38"/>
      <c r="H225" s="38"/>
      <c r="I225" s="38"/>
    </row>
    <row r="226" spans="1:9">
      <c r="A226" s="30">
        <v>222</v>
      </c>
      <c r="B226" s="38"/>
      <c r="C226" s="38"/>
      <c r="D226" s="38"/>
      <c r="E226" s="38"/>
      <c r="F226" s="38"/>
      <c r="G226" s="38"/>
      <c r="H226" s="38"/>
      <c r="I226" s="38"/>
    </row>
    <row r="227" spans="1:9">
      <c r="A227" s="30">
        <v>223</v>
      </c>
      <c r="B227" s="38"/>
      <c r="C227" s="38"/>
      <c r="D227" s="38"/>
      <c r="E227" s="38"/>
      <c r="F227" s="38"/>
      <c r="G227" s="38"/>
      <c r="H227" s="38"/>
      <c r="I227" s="38"/>
    </row>
    <row r="228" spans="1:9">
      <c r="A228" s="30">
        <v>224</v>
      </c>
      <c r="B228" s="38"/>
      <c r="C228" s="38"/>
      <c r="D228" s="38"/>
      <c r="E228" s="38"/>
      <c r="F228" s="38"/>
      <c r="G228" s="38"/>
      <c r="H228" s="38"/>
      <c r="I228" s="38"/>
    </row>
    <row r="229" spans="1:9">
      <c r="A229" s="30">
        <v>225</v>
      </c>
      <c r="B229" s="38"/>
      <c r="C229" s="38"/>
      <c r="D229" s="38"/>
      <c r="E229" s="38"/>
      <c r="F229" s="38"/>
      <c r="G229" s="38"/>
      <c r="H229" s="38"/>
      <c r="I229" s="38"/>
    </row>
    <row r="230" spans="1:9">
      <c r="A230" s="30">
        <v>226</v>
      </c>
      <c r="B230" s="38"/>
      <c r="C230" s="38"/>
      <c r="D230" s="38"/>
      <c r="E230" s="38"/>
      <c r="F230" s="38"/>
      <c r="G230" s="38"/>
      <c r="H230" s="38"/>
      <c r="I230" s="38"/>
    </row>
    <row r="231" spans="1:9">
      <c r="A231" s="30">
        <v>227</v>
      </c>
      <c r="B231" s="38"/>
      <c r="C231" s="38"/>
      <c r="D231" s="38"/>
      <c r="E231" s="38"/>
      <c r="F231" s="38"/>
      <c r="G231" s="38"/>
      <c r="H231" s="38"/>
      <c r="I231" s="38"/>
    </row>
    <row r="232" spans="1:9">
      <c r="A232" s="30">
        <v>228</v>
      </c>
      <c r="B232" s="38"/>
      <c r="C232" s="38"/>
      <c r="D232" s="38"/>
      <c r="E232" s="38"/>
      <c r="F232" s="38"/>
      <c r="G232" s="38"/>
      <c r="H232" s="38"/>
      <c r="I232" s="38"/>
    </row>
    <row r="233" spans="1:9">
      <c r="A233" s="30">
        <v>229</v>
      </c>
      <c r="B233" s="38"/>
      <c r="C233" s="38"/>
      <c r="D233" s="38"/>
      <c r="E233" s="38"/>
      <c r="F233" s="38"/>
      <c r="G233" s="38"/>
      <c r="H233" s="38"/>
      <c r="I233" s="38"/>
    </row>
    <row r="234" spans="1:9">
      <c r="A234" s="30">
        <v>230</v>
      </c>
      <c r="B234" s="38"/>
      <c r="C234" s="38"/>
      <c r="D234" s="38"/>
      <c r="E234" s="38"/>
      <c r="F234" s="38"/>
      <c r="G234" s="38"/>
      <c r="H234" s="38"/>
      <c r="I234" s="38"/>
    </row>
    <row r="235" spans="1:9">
      <c r="A235" s="30">
        <v>231</v>
      </c>
      <c r="B235" s="38"/>
      <c r="C235" s="38"/>
      <c r="D235" s="38"/>
      <c r="E235" s="38"/>
      <c r="F235" s="38"/>
      <c r="G235" s="38"/>
      <c r="H235" s="38"/>
      <c r="I235" s="38"/>
    </row>
    <row r="236" spans="1:9">
      <c r="A236" s="30">
        <v>232</v>
      </c>
      <c r="B236" s="38"/>
      <c r="C236" s="38"/>
      <c r="D236" s="38"/>
      <c r="E236" s="38"/>
      <c r="F236" s="38"/>
      <c r="G236" s="38"/>
      <c r="H236" s="38"/>
      <c r="I236" s="38"/>
    </row>
    <row r="237" spans="1:9">
      <c r="A237" s="30">
        <v>233</v>
      </c>
      <c r="B237" s="38"/>
      <c r="C237" s="38"/>
      <c r="D237" s="38"/>
      <c r="E237" s="38"/>
      <c r="F237" s="38"/>
      <c r="G237" s="38"/>
      <c r="H237" s="38"/>
      <c r="I237" s="38"/>
    </row>
    <row r="238" spans="1:9">
      <c r="A238" s="30">
        <v>234</v>
      </c>
      <c r="B238" s="38"/>
      <c r="C238" s="38"/>
      <c r="D238" s="38"/>
      <c r="E238" s="38"/>
      <c r="F238" s="38"/>
      <c r="G238" s="38"/>
      <c r="H238" s="38"/>
      <c r="I238" s="38"/>
    </row>
    <row r="239" spans="1:9">
      <c r="A239" s="30">
        <v>235</v>
      </c>
      <c r="B239" s="38"/>
      <c r="C239" s="38"/>
      <c r="D239" s="38"/>
      <c r="E239" s="38"/>
      <c r="F239" s="38"/>
      <c r="G239" s="38"/>
      <c r="H239" s="38"/>
      <c r="I239" s="38"/>
    </row>
    <row r="240" spans="1:9">
      <c r="A240" s="30">
        <v>236</v>
      </c>
      <c r="B240" s="38"/>
      <c r="C240" s="38"/>
      <c r="D240" s="38"/>
      <c r="E240" s="38"/>
      <c r="F240" s="38"/>
      <c r="G240" s="38"/>
      <c r="H240" s="38"/>
      <c r="I240" s="38"/>
    </row>
    <row r="241" spans="1:9">
      <c r="A241" s="30">
        <v>237</v>
      </c>
      <c r="B241" s="38"/>
      <c r="C241" s="38"/>
      <c r="D241" s="38"/>
      <c r="E241" s="38"/>
      <c r="F241" s="38"/>
      <c r="G241" s="38"/>
      <c r="H241" s="38"/>
      <c r="I241" s="38"/>
    </row>
    <row r="242" spans="1:9">
      <c r="A242" s="30">
        <v>238</v>
      </c>
      <c r="B242" s="38"/>
      <c r="C242" s="38"/>
      <c r="D242" s="38"/>
      <c r="E242" s="38"/>
      <c r="F242" s="38"/>
      <c r="G242" s="38"/>
      <c r="H242" s="38"/>
      <c r="I242" s="38"/>
    </row>
    <row r="243" spans="1:9">
      <c r="A243" s="30">
        <v>239</v>
      </c>
      <c r="B243" s="38"/>
      <c r="C243" s="38"/>
      <c r="D243" s="38"/>
      <c r="E243" s="38"/>
      <c r="F243" s="38"/>
      <c r="G243" s="38"/>
      <c r="H243" s="38"/>
      <c r="I243" s="38"/>
    </row>
    <row r="244" spans="1:9">
      <c r="A244" s="30">
        <v>240</v>
      </c>
      <c r="B244" s="38"/>
      <c r="C244" s="38"/>
      <c r="D244" s="38"/>
      <c r="E244" s="38"/>
      <c r="F244" s="38"/>
      <c r="G244" s="38"/>
      <c r="H244" s="38"/>
      <c r="I244" s="38"/>
    </row>
    <row r="245" spans="1:9">
      <c r="A245" s="30">
        <v>241</v>
      </c>
      <c r="B245" s="38"/>
      <c r="C245" s="38"/>
      <c r="D245" s="38"/>
      <c r="E245" s="38"/>
      <c r="F245" s="38"/>
      <c r="G245" s="38"/>
      <c r="H245" s="38"/>
      <c r="I245" s="38"/>
    </row>
    <row r="246" spans="1:9">
      <c r="A246" s="30">
        <v>242</v>
      </c>
      <c r="B246" s="38"/>
      <c r="C246" s="38"/>
      <c r="D246" s="38"/>
      <c r="E246" s="38"/>
      <c r="F246" s="38"/>
      <c r="G246" s="38"/>
      <c r="H246" s="38"/>
      <c r="I246" s="38"/>
    </row>
    <row r="247" spans="1:9">
      <c r="A247" s="30">
        <v>243</v>
      </c>
      <c r="B247" s="38"/>
      <c r="C247" s="38"/>
      <c r="D247" s="38"/>
      <c r="E247" s="38"/>
      <c r="F247" s="38"/>
      <c r="G247" s="38"/>
      <c r="H247" s="38"/>
      <c r="I247" s="38"/>
    </row>
    <row r="248" spans="1:9">
      <c r="A248" s="30">
        <v>244</v>
      </c>
      <c r="B248" s="38"/>
      <c r="C248" s="38"/>
      <c r="D248" s="38"/>
      <c r="E248" s="38"/>
      <c r="F248" s="38"/>
      <c r="G248" s="38"/>
      <c r="H248" s="38"/>
      <c r="I248" s="38"/>
    </row>
    <row r="249" spans="1:9">
      <c r="A249" s="30">
        <v>245</v>
      </c>
      <c r="B249" s="38"/>
      <c r="C249" s="38"/>
      <c r="D249" s="38"/>
      <c r="E249" s="38"/>
      <c r="F249" s="38"/>
      <c r="G249" s="38"/>
      <c r="H249" s="38"/>
      <c r="I249" s="38"/>
    </row>
    <row r="250" spans="1:9">
      <c r="A250" s="30">
        <v>246</v>
      </c>
      <c r="B250" s="38"/>
      <c r="C250" s="38"/>
      <c r="D250" s="38"/>
      <c r="E250" s="38"/>
      <c r="F250" s="38"/>
      <c r="G250" s="38"/>
      <c r="H250" s="38"/>
      <c r="I250" s="38"/>
    </row>
    <row r="251" spans="1:9">
      <c r="A251" s="30">
        <v>247</v>
      </c>
      <c r="B251" s="38"/>
      <c r="C251" s="38"/>
      <c r="D251" s="38"/>
      <c r="E251" s="38"/>
      <c r="F251" s="38"/>
      <c r="G251" s="38"/>
      <c r="H251" s="38"/>
      <c r="I251" s="38"/>
    </row>
    <row r="252" spans="1:9">
      <c r="A252" s="30">
        <v>248</v>
      </c>
      <c r="B252" s="38"/>
      <c r="C252" s="38"/>
      <c r="D252" s="38"/>
      <c r="E252" s="38"/>
      <c r="F252" s="38"/>
      <c r="G252" s="38"/>
      <c r="H252" s="38"/>
      <c r="I252" s="38"/>
    </row>
    <row r="253" spans="1:9">
      <c r="A253" s="30">
        <v>249</v>
      </c>
      <c r="B253" s="38"/>
      <c r="C253" s="38"/>
      <c r="D253" s="38"/>
      <c r="E253" s="38"/>
      <c r="F253" s="38"/>
      <c r="G253" s="38"/>
      <c r="H253" s="38"/>
      <c r="I253" s="38"/>
    </row>
    <row r="254" spans="1:9">
      <c r="A254" s="30">
        <v>250</v>
      </c>
      <c r="B254" s="38"/>
      <c r="C254" s="38"/>
      <c r="D254" s="38"/>
      <c r="E254" s="38"/>
      <c r="F254" s="38"/>
      <c r="G254" s="38"/>
      <c r="H254" s="38"/>
      <c r="I254" s="38"/>
    </row>
    <row r="255" spans="1:9">
      <c r="A255" s="30">
        <v>251</v>
      </c>
      <c r="B255" s="38"/>
      <c r="C255" s="38"/>
      <c r="D255" s="38"/>
      <c r="E255" s="38"/>
      <c r="F255" s="38"/>
      <c r="G255" s="38"/>
      <c r="H255" s="38"/>
      <c r="I255" s="38"/>
    </row>
    <row r="256" spans="1:9">
      <c r="A256" s="30">
        <v>252</v>
      </c>
      <c r="B256" s="38"/>
      <c r="C256" s="38"/>
      <c r="D256" s="38"/>
      <c r="E256" s="38"/>
      <c r="F256" s="38"/>
      <c r="G256" s="38"/>
      <c r="H256" s="38"/>
      <c r="I256" s="38"/>
    </row>
    <row r="257" spans="1:9">
      <c r="A257" s="30">
        <v>253</v>
      </c>
      <c r="B257" s="38"/>
      <c r="C257" s="38"/>
      <c r="D257" s="38"/>
      <c r="E257" s="38"/>
      <c r="F257" s="38"/>
      <c r="G257" s="38"/>
      <c r="H257" s="38"/>
      <c r="I257" s="38"/>
    </row>
    <row r="258" spans="1:9">
      <c r="A258" s="30">
        <v>254</v>
      </c>
      <c r="B258" s="38"/>
      <c r="C258" s="38"/>
      <c r="D258" s="38"/>
      <c r="E258" s="38"/>
      <c r="F258" s="38"/>
      <c r="G258" s="38"/>
      <c r="H258" s="38"/>
      <c r="I258" s="38"/>
    </row>
    <row r="259" spans="1:9">
      <c r="A259" s="30">
        <v>255</v>
      </c>
      <c r="B259" s="38"/>
      <c r="C259" s="38"/>
      <c r="D259" s="38"/>
      <c r="E259" s="38"/>
      <c r="F259" s="38"/>
      <c r="G259" s="38"/>
      <c r="H259" s="38"/>
      <c r="I259" s="38"/>
    </row>
    <row r="260" spans="1:9">
      <c r="A260" s="30">
        <v>256</v>
      </c>
      <c r="B260" s="38"/>
      <c r="C260" s="38"/>
      <c r="D260" s="38"/>
      <c r="E260" s="38"/>
      <c r="F260" s="38"/>
      <c r="G260" s="38"/>
      <c r="H260" s="38"/>
      <c r="I260" s="38"/>
    </row>
    <row r="261" spans="1:9">
      <c r="A261" s="30">
        <v>257</v>
      </c>
      <c r="B261" s="38"/>
      <c r="C261" s="38"/>
      <c r="D261" s="38"/>
      <c r="E261" s="38"/>
      <c r="F261" s="38"/>
      <c r="G261" s="38"/>
      <c r="H261" s="38"/>
      <c r="I261" s="38"/>
    </row>
    <row r="262" spans="1:9">
      <c r="A262" s="30">
        <v>258</v>
      </c>
      <c r="B262" s="38"/>
      <c r="C262" s="38"/>
      <c r="D262" s="38"/>
      <c r="E262" s="38"/>
      <c r="F262" s="38"/>
      <c r="G262" s="38"/>
      <c r="H262" s="38"/>
      <c r="I262" s="38"/>
    </row>
    <row r="263" spans="1:9">
      <c r="A263" s="30">
        <v>259</v>
      </c>
      <c r="B263" s="38"/>
      <c r="C263" s="38"/>
      <c r="D263" s="38"/>
      <c r="E263" s="38"/>
      <c r="F263" s="38"/>
      <c r="G263" s="38"/>
      <c r="H263" s="38"/>
      <c r="I263" s="38"/>
    </row>
    <row r="264" spans="1:9">
      <c r="A264" s="30">
        <v>260</v>
      </c>
      <c r="B264" s="38"/>
      <c r="C264" s="38"/>
      <c r="D264" s="38"/>
      <c r="E264" s="38"/>
      <c r="F264" s="38"/>
      <c r="G264" s="38"/>
      <c r="H264" s="38"/>
      <c r="I264" s="38"/>
    </row>
    <row r="265" spans="1:9">
      <c r="A265" s="30">
        <v>261</v>
      </c>
      <c r="B265" s="38"/>
      <c r="C265" s="38"/>
      <c r="D265" s="38"/>
      <c r="E265" s="38"/>
      <c r="F265" s="38"/>
      <c r="G265" s="38"/>
      <c r="H265" s="38"/>
      <c r="I265" s="38"/>
    </row>
    <row r="266" spans="1:9">
      <c r="A266" s="30">
        <v>262</v>
      </c>
      <c r="B266" s="38"/>
      <c r="C266" s="38"/>
      <c r="D266" s="38"/>
      <c r="E266" s="38"/>
      <c r="F266" s="38"/>
      <c r="G266" s="38"/>
      <c r="H266" s="38"/>
      <c r="I266" s="38"/>
    </row>
    <row r="267" spans="1:9">
      <c r="A267" s="30">
        <v>263</v>
      </c>
      <c r="B267" s="38"/>
      <c r="C267" s="38"/>
      <c r="D267" s="38"/>
      <c r="E267" s="38"/>
      <c r="F267" s="38"/>
      <c r="G267" s="38"/>
      <c r="H267" s="38"/>
      <c r="I267" s="38"/>
    </row>
    <row r="268" spans="1:9">
      <c r="A268" s="30">
        <v>264</v>
      </c>
      <c r="B268" s="38"/>
      <c r="C268" s="38"/>
      <c r="D268" s="38"/>
      <c r="E268" s="38"/>
      <c r="F268" s="38"/>
      <c r="G268" s="38"/>
      <c r="H268" s="38"/>
      <c r="I268" s="38"/>
    </row>
    <row r="269" spans="1:9">
      <c r="A269" s="30">
        <v>265</v>
      </c>
      <c r="B269" s="38"/>
      <c r="C269" s="38"/>
      <c r="D269" s="38"/>
      <c r="E269" s="38"/>
      <c r="F269" s="38"/>
      <c r="G269" s="38"/>
      <c r="H269" s="38"/>
      <c r="I269" s="38"/>
    </row>
    <row r="270" spans="1:9">
      <c r="A270" s="30">
        <v>266</v>
      </c>
      <c r="B270" s="38"/>
      <c r="C270" s="38"/>
      <c r="D270" s="38"/>
      <c r="E270" s="38"/>
      <c r="F270" s="38"/>
      <c r="G270" s="38"/>
      <c r="H270" s="38"/>
      <c r="I270" s="38"/>
    </row>
    <row r="271" spans="1:9">
      <c r="A271" s="30">
        <v>267</v>
      </c>
      <c r="B271" s="38"/>
      <c r="C271" s="38"/>
      <c r="D271" s="38"/>
      <c r="E271" s="38"/>
      <c r="F271" s="38"/>
      <c r="G271" s="38"/>
      <c r="H271" s="38"/>
      <c r="I271" s="38"/>
    </row>
    <row r="272" spans="1:9">
      <c r="A272" s="30">
        <v>268</v>
      </c>
      <c r="B272" s="38"/>
      <c r="C272" s="38"/>
      <c r="D272" s="38"/>
      <c r="E272" s="38"/>
      <c r="F272" s="38"/>
      <c r="G272" s="38"/>
      <c r="H272" s="38"/>
      <c r="I272" s="38"/>
    </row>
    <row r="273" spans="1:9">
      <c r="A273" s="30">
        <v>269</v>
      </c>
      <c r="B273" s="38"/>
      <c r="C273" s="38"/>
      <c r="D273" s="38"/>
      <c r="E273" s="38"/>
      <c r="F273" s="38"/>
      <c r="G273" s="38"/>
      <c r="H273" s="38"/>
      <c r="I273" s="38"/>
    </row>
    <row r="274" spans="1:9">
      <c r="A274" s="30">
        <v>270</v>
      </c>
      <c r="B274" s="38"/>
      <c r="C274" s="38"/>
      <c r="D274" s="38"/>
      <c r="E274" s="38"/>
      <c r="F274" s="38"/>
      <c r="G274" s="38"/>
      <c r="H274" s="38"/>
      <c r="I274" s="38"/>
    </row>
    <row r="275" spans="1:9">
      <c r="A275" s="30">
        <v>271</v>
      </c>
      <c r="B275" s="38"/>
      <c r="C275" s="38"/>
      <c r="D275" s="38"/>
      <c r="E275" s="38"/>
      <c r="F275" s="38"/>
      <c r="G275" s="38"/>
      <c r="H275" s="38"/>
      <c r="I275" s="38"/>
    </row>
    <row r="276" spans="1:9">
      <c r="A276" s="30">
        <v>272</v>
      </c>
      <c r="B276" s="38"/>
      <c r="C276" s="38"/>
      <c r="D276" s="38"/>
      <c r="E276" s="38"/>
      <c r="F276" s="38"/>
      <c r="G276" s="38"/>
      <c r="H276" s="38"/>
      <c r="I276" s="38"/>
    </row>
    <row r="277" spans="1:9">
      <c r="A277" s="30">
        <v>273</v>
      </c>
      <c r="B277" s="38"/>
      <c r="C277" s="38"/>
      <c r="D277" s="38"/>
      <c r="E277" s="38"/>
      <c r="F277" s="38"/>
      <c r="G277" s="38"/>
      <c r="H277" s="38"/>
      <c r="I277" s="38"/>
    </row>
    <row r="278" spans="1:9">
      <c r="A278" s="30">
        <v>274</v>
      </c>
      <c r="B278" s="38"/>
      <c r="C278" s="38"/>
      <c r="D278" s="38"/>
      <c r="E278" s="38"/>
      <c r="F278" s="38"/>
      <c r="G278" s="38"/>
      <c r="H278" s="38"/>
      <c r="I278" s="38"/>
    </row>
    <row r="279" spans="1:9">
      <c r="A279" s="30">
        <v>275</v>
      </c>
      <c r="B279" s="38"/>
      <c r="C279" s="38"/>
      <c r="D279" s="38"/>
      <c r="E279" s="38"/>
      <c r="F279" s="38"/>
      <c r="G279" s="38"/>
      <c r="H279" s="38"/>
      <c r="I279" s="38"/>
    </row>
    <row r="280" spans="1:9">
      <c r="A280" s="30">
        <v>276</v>
      </c>
      <c r="B280" s="38"/>
      <c r="C280" s="38"/>
      <c r="D280" s="38"/>
      <c r="E280" s="38"/>
      <c r="F280" s="38"/>
      <c r="G280" s="38"/>
      <c r="H280" s="38"/>
      <c r="I280" s="38"/>
    </row>
    <row r="281" spans="1:9">
      <c r="A281" s="30">
        <v>277</v>
      </c>
      <c r="B281" s="38"/>
      <c r="C281" s="38"/>
      <c r="D281" s="38"/>
      <c r="E281" s="38"/>
      <c r="F281" s="38"/>
      <c r="G281" s="38"/>
      <c r="H281" s="38"/>
      <c r="I281" s="38"/>
    </row>
    <row r="282" spans="1:9">
      <c r="A282" s="30">
        <v>278</v>
      </c>
      <c r="B282" s="38"/>
      <c r="C282" s="38"/>
      <c r="D282" s="38"/>
      <c r="E282" s="38"/>
      <c r="F282" s="38"/>
      <c r="G282" s="38"/>
      <c r="H282" s="38"/>
      <c r="I282" s="38"/>
    </row>
    <row r="283" spans="1:9">
      <c r="A283" s="30">
        <v>279</v>
      </c>
      <c r="B283" s="38"/>
      <c r="C283" s="38"/>
      <c r="D283" s="38"/>
      <c r="E283" s="38"/>
      <c r="F283" s="38"/>
      <c r="G283" s="38"/>
      <c r="H283" s="38"/>
      <c r="I283" s="38"/>
    </row>
    <row r="284" spans="1:9">
      <c r="A284" s="30">
        <v>280</v>
      </c>
      <c r="B284" s="38"/>
      <c r="C284" s="38"/>
      <c r="D284" s="38"/>
      <c r="E284" s="38"/>
      <c r="F284" s="38"/>
      <c r="G284" s="38"/>
      <c r="H284" s="38"/>
      <c r="I284" s="38"/>
    </row>
    <row r="285" spans="1:9">
      <c r="A285" s="30">
        <v>281</v>
      </c>
      <c r="B285" s="38"/>
      <c r="C285" s="38"/>
      <c r="D285" s="38"/>
      <c r="E285" s="38"/>
      <c r="F285" s="38"/>
      <c r="G285" s="38"/>
      <c r="H285" s="38"/>
      <c r="I285" s="38"/>
    </row>
    <row r="286" spans="1:9">
      <c r="A286" s="30">
        <v>282</v>
      </c>
      <c r="B286" s="38"/>
      <c r="C286" s="38"/>
      <c r="D286" s="38"/>
      <c r="E286" s="38"/>
      <c r="F286" s="38"/>
      <c r="G286" s="38"/>
      <c r="H286" s="38"/>
      <c r="I286" s="38"/>
    </row>
    <row r="287" spans="1:9">
      <c r="A287" s="30">
        <v>283</v>
      </c>
      <c r="B287" s="38"/>
      <c r="C287" s="38"/>
      <c r="D287" s="38"/>
      <c r="E287" s="38"/>
      <c r="F287" s="38"/>
      <c r="G287" s="38"/>
      <c r="H287" s="38"/>
      <c r="I287" s="38"/>
    </row>
    <row r="288" spans="1:9">
      <c r="A288" s="30">
        <v>284</v>
      </c>
      <c r="B288" s="38"/>
      <c r="C288" s="38"/>
      <c r="D288" s="38"/>
      <c r="E288" s="38"/>
      <c r="F288" s="38"/>
      <c r="G288" s="38"/>
      <c r="H288" s="38"/>
      <c r="I288" s="38"/>
    </row>
    <row r="289" spans="1:9">
      <c r="A289" s="30">
        <v>285</v>
      </c>
      <c r="B289" s="38"/>
      <c r="C289" s="38"/>
      <c r="D289" s="38"/>
      <c r="E289" s="38"/>
      <c r="F289" s="38"/>
      <c r="G289" s="38"/>
      <c r="H289" s="38"/>
      <c r="I289" s="38"/>
    </row>
    <row r="290" spans="1:9">
      <c r="A290" s="30">
        <v>286</v>
      </c>
      <c r="B290" s="38"/>
      <c r="C290" s="38"/>
      <c r="D290" s="38"/>
      <c r="E290" s="38"/>
      <c r="F290" s="38"/>
      <c r="G290" s="38"/>
      <c r="H290" s="38"/>
      <c r="I290" s="38"/>
    </row>
    <row r="291" spans="1:9">
      <c r="A291" s="30">
        <v>287</v>
      </c>
      <c r="B291" s="38"/>
      <c r="C291" s="38"/>
      <c r="D291" s="38"/>
      <c r="E291" s="38"/>
      <c r="F291" s="38"/>
      <c r="G291" s="38"/>
      <c r="H291" s="38"/>
      <c r="I291" s="38"/>
    </row>
    <row r="292" spans="1:9">
      <c r="A292" s="30">
        <v>288</v>
      </c>
      <c r="B292" s="38"/>
      <c r="C292" s="38"/>
      <c r="D292" s="38"/>
      <c r="E292" s="38"/>
      <c r="F292" s="38"/>
      <c r="G292" s="38"/>
      <c r="H292" s="38"/>
      <c r="I292" s="38"/>
    </row>
    <row r="293" spans="1:9">
      <c r="A293" s="30">
        <v>289</v>
      </c>
      <c r="B293" s="38"/>
      <c r="C293" s="38"/>
      <c r="D293" s="38"/>
      <c r="E293" s="38"/>
      <c r="F293" s="38"/>
      <c r="G293" s="38"/>
      <c r="H293" s="38"/>
      <c r="I293" s="38"/>
    </row>
    <row r="294" spans="1:9">
      <c r="A294" s="30">
        <v>290</v>
      </c>
      <c r="B294" s="38"/>
      <c r="C294" s="38"/>
      <c r="D294" s="38"/>
      <c r="E294" s="38"/>
      <c r="F294" s="38"/>
      <c r="G294" s="38"/>
      <c r="H294" s="38"/>
      <c r="I294" s="38"/>
    </row>
    <row r="295" spans="1:9">
      <c r="A295" s="30">
        <v>291</v>
      </c>
      <c r="B295" s="38"/>
      <c r="C295" s="38"/>
      <c r="D295" s="38"/>
      <c r="E295" s="38"/>
      <c r="F295" s="38"/>
      <c r="G295" s="38"/>
      <c r="H295" s="38"/>
      <c r="I295" s="38"/>
    </row>
    <row r="296" spans="1:9">
      <c r="A296" s="30">
        <v>292</v>
      </c>
      <c r="B296" s="38"/>
      <c r="C296" s="38"/>
      <c r="D296" s="38"/>
      <c r="E296" s="38"/>
      <c r="F296" s="38"/>
      <c r="G296" s="38"/>
      <c r="H296" s="38"/>
      <c r="I296" s="38"/>
    </row>
    <row r="297" spans="1:9">
      <c r="A297" s="30">
        <v>293</v>
      </c>
      <c r="B297" s="38"/>
      <c r="C297" s="38"/>
      <c r="D297" s="38"/>
      <c r="E297" s="38"/>
      <c r="F297" s="38"/>
      <c r="G297" s="38"/>
      <c r="H297" s="38"/>
      <c r="I297" s="38"/>
    </row>
    <row r="298" spans="1:9">
      <c r="A298" s="30">
        <v>294</v>
      </c>
      <c r="B298" s="38"/>
      <c r="C298" s="38"/>
      <c r="D298" s="38"/>
      <c r="E298" s="38"/>
      <c r="F298" s="38"/>
      <c r="G298" s="38"/>
      <c r="H298" s="38"/>
      <c r="I298" s="38"/>
    </row>
    <row r="299" spans="1:9">
      <c r="A299" s="30">
        <v>295</v>
      </c>
      <c r="B299" s="38"/>
      <c r="C299" s="38"/>
      <c r="D299" s="38"/>
      <c r="E299" s="38"/>
      <c r="F299" s="38"/>
      <c r="G299" s="38"/>
      <c r="H299" s="38"/>
      <c r="I299" s="38"/>
    </row>
    <row r="300" spans="1:9">
      <c r="A300" s="30">
        <v>296</v>
      </c>
      <c r="B300" s="38"/>
      <c r="C300" s="38"/>
      <c r="D300" s="38"/>
      <c r="E300" s="38"/>
      <c r="F300" s="38"/>
      <c r="G300" s="38"/>
      <c r="H300" s="38"/>
      <c r="I300" s="38"/>
    </row>
    <row r="301" spans="1:9">
      <c r="A301" s="30">
        <v>297</v>
      </c>
      <c r="B301" s="38"/>
      <c r="C301" s="38"/>
      <c r="D301" s="38"/>
      <c r="E301" s="38"/>
      <c r="F301" s="38"/>
      <c r="G301" s="38"/>
      <c r="H301" s="38"/>
      <c r="I301" s="38"/>
    </row>
    <row r="302" spans="1:9">
      <c r="A302" s="30">
        <v>298</v>
      </c>
      <c r="B302" s="38"/>
      <c r="C302" s="38"/>
      <c r="D302" s="38"/>
      <c r="E302" s="38"/>
      <c r="F302" s="38"/>
      <c r="G302" s="38"/>
      <c r="H302" s="38"/>
      <c r="I302" s="38"/>
    </row>
    <row r="303" spans="1:9">
      <c r="A303" s="30">
        <v>299</v>
      </c>
      <c r="B303" s="38"/>
      <c r="C303" s="38"/>
      <c r="D303" s="38"/>
      <c r="E303" s="38"/>
      <c r="F303" s="38"/>
      <c r="G303" s="38"/>
      <c r="H303" s="38"/>
      <c r="I303" s="38"/>
    </row>
    <row r="304" spans="1:9">
      <c r="A304" s="30">
        <v>300</v>
      </c>
      <c r="B304" s="38"/>
      <c r="C304" s="38"/>
      <c r="D304" s="38"/>
      <c r="E304" s="38"/>
      <c r="F304" s="38"/>
      <c r="G304" s="38"/>
      <c r="H304" s="38"/>
      <c r="I304" s="38"/>
    </row>
  </sheetData>
  <mergeCells count="2">
    <mergeCell ref="A1:I1"/>
    <mergeCell ref="A2:I2"/>
  </mergeCells>
  <dataValidations count="3">
    <dataValidation type="list" allowBlank="1" sqref="D5:D304">
      <formula1>"بكالوريوس علوم الحاسب,بكالوريوس علوم البيانات,ماجستير علوم البيانات"</formula1>
    </dataValidation>
    <dataValidation type="list" allowBlank="1" sqref="G5:G304">
      <formula1>'الإعدادات واللجنة'!$B$12:$B$20</formula1>
    </dataValidation>
    <dataValidation type="date" operator="greaterThan" allowBlank="1" showErrorMessage="1" error="اكتب تاريخاً صحيحاً" sqref="H5:H304">
      <formula1>45000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خطة العمل</vt:lpstr>
      <vt:lpstr>الإعدادات واللجنة</vt:lpstr>
      <vt:lpstr>لوحة المتابعة</vt:lpstr>
      <vt:lpstr>تقرير الأدلة</vt:lpstr>
      <vt:lpstr>متطلبات التقدم للاعتماد</vt:lpstr>
      <vt:lpstr>أمثلة التصنيف</vt:lpstr>
      <vt:lpstr>فحص-حاسب-بكالوريوس</vt:lpstr>
      <vt:lpstr>فحص-بيانات-بكالوريوس</vt:lpstr>
      <vt:lpstr>فحص-بيانات-ماجستير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Nahlah Algethami</dc:creator>
  <cp:keywords/>
  <dc:description/>
  <cp:lastModifiedBy>نهلة سعد عويض القثامي</cp:lastModifiedBy>
  <dcterms:created xsi:type="dcterms:W3CDTF">2026-10-22T09:30:40Z</dcterms:created>
  <dcterms:modified xsi:type="dcterms:W3CDTF">2026-10-28T17:43:57Z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