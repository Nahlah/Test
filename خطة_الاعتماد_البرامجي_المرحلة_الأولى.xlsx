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nahlahalgethami/Desktop/الاعتماد البرامجي للعام ١٤٤٨/خطة العمل/المعتمدة/"/>
    </mc:Choice>
  </mc:AlternateContent>
  <xr:revisionPtr revIDLastSave="0" documentId="13_ncr:1_{2093DEE7-2890-054A-BEF7-789A22115015}" xr6:coauthVersionLast="47" xr6:coauthVersionMax="47" xr10:uidLastSave="{00000000-0000-0000-0000-000000000000}"/>
  <bookViews>
    <workbookView xWindow="0" yWindow="500" windowWidth="22820" windowHeight="14480" tabRatio="500" xr2:uid="{00000000-000D-0000-FFFF-FFFF00000000}"/>
  </bookViews>
  <sheets>
    <sheet name="خطة العمل" sheetId="1" r:id="rId1"/>
    <sheet name="الإعدادات واللجنة" sheetId="2" r:id="rId2"/>
    <sheet name="لوحة المتابعة" sheetId="3" r:id="rId3"/>
    <sheet name="متطلبات التقدم للاعتماد" sheetId="4" r:id="rId4"/>
    <sheet name="مراجعة الرسالة (مقترح)" sheetId="5" r:id="rId5"/>
    <sheet name="فحص-حاسب-بكالوريوس" sheetId="6" r:id="rId6"/>
    <sheet name="فحص-بيانات-بكالوريوس" sheetId="7" r:id="rId7"/>
    <sheet name="فحص-بيانات-ماجستير" sheetId="8" r:id="rId8"/>
  </sheets>
  <definedNames>
    <definedName name="_xlnm._FilterDatabase" localSheetId="6" hidden="1">'فحص-بيانات-بكالوريوس'!$A$4:$Q$208</definedName>
    <definedName name="_xlnm._FilterDatabase" localSheetId="7" hidden="1">'فحص-بيانات-ماجستير'!$A$4:$Q$230</definedName>
    <definedName name="_xlnm._FilterDatabase" localSheetId="5" hidden="1">'فحص-حاسب-بكالوريوس'!$A$4:$Q$208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K230" i="8" l="1"/>
  <c r="K229" i="8"/>
  <c r="K228" i="8"/>
  <c r="K227" i="8"/>
  <c r="K226" i="8"/>
  <c r="K225" i="8"/>
  <c r="K224" i="8"/>
  <c r="K223" i="8"/>
  <c r="K222" i="8"/>
  <c r="K221" i="8"/>
  <c r="K220" i="8"/>
  <c r="K219" i="8"/>
  <c r="K218" i="8"/>
  <c r="K217" i="8"/>
  <c r="K216" i="8"/>
  <c r="K215" i="8"/>
  <c r="K214" i="8"/>
  <c r="K213" i="8"/>
  <c r="K212" i="8"/>
  <c r="K211" i="8"/>
  <c r="K210" i="8"/>
  <c r="K209" i="8"/>
  <c r="K208" i="8"/>
  <c r="K207" i="8"/>
  <c r="K206" i="8"/>
  <c r="K205" i="8"/>
  <c r="K204" i="8"/>
  <c r="K203" i="8"/>
  <c r="K202" i="8"/>
  <c r="K201" i="8"/>
  <c r="K200" i="8"/>
  <c r="K199" i="8"/>
  <c r="H31" i="3" s="1"/>
  <c r="K198" i="8"/>
  <c r="K197" i="8"/>
  <c r="K196" i="8"/>
  <c r="K195" i="8"/>
  <c r="K194" i="8"/>
  <c r="K193" i="8"/>
  <c r="K192" i="8"/>
  <c r="K191" i="8"/>
  <c r="K190" i="8"/>
  <c r="K189" i="8"/>
  <c r="K188" i="8"/>
  <c r="K187" i="8"/>
  <c r="K186" i="8"/>
  <c r="K185" i="8"/>
  <c r="K184" i="8"/>
  <c r="K183" i="8"/>
  <c r="K182" i="8"/>
  <c r="K181" i="8"/>
  <c r="K180" i="8"/>
  <c r="K179" i="8"/>
  <c r="K178" i="8"/>
  <c r="K177" i="8"/>
  <c r="K176" i="8"/>
  <c r="K175" i="8"/>
  <c r="K174" i="8"/>
  <c r="K173" i="8"/>
  <c r="K172" i="8"/>
  <c r="K171" i="8"/>
  <c r="K170" i="8"/>
  <c r="K169" i="8"/>
  <c r="K168" i="8"/>
  <c r="K167" i="8"/>
  <c r="K166" i="8"/>
  <c r="K165" i="8"/>
  <c r="K164" i="8"/>
  <c r="K163" i="8"/>
  <c r="K162" i="8"/>
  <c r="K161" i="8"/>
  <c r="K160" i="8"/>
  <c r="K159" i="8"/>
  <c r="H29" i="3" s="1"/>
  <c r="K158" i="8"/>
  <c r="K157" i="8"/>
  <c r="K156" i="8"/>
  <c r="K155" i="8"/>
  <c r="K154" i="8"/>
  <c r="K153" i="8"/>
  <c r="K152" i="8"/>
  <c r="K151" i="8"/>
  <c r="K150" i="8"/>
  <c r="K149" i="8"/>
  <c r="K148" i="8"/>
  <c r="K147" i="8"/>
  <c r="K146" i="8"/>
  <c r="K145" i="8"/>
  <c r="K144" i="8"/>
  <c r="K143" i="8"/>
  <c r="K142" i="8"/>
  <c r="K141" i="8"/>
  <c r="K140" i="8"/>
  <c r="K139" i="8"/>
  <c r="K138" i="8"/>
  <c r="K137" i="8"/>
  <c r="K136" i="8"/>
  <c r="K135" i="8"/>
  <c r="K134" i="8"/>
  <c r="K133" i="8"/>
  <c r="K132" i="8"/>
  <c r="K131" i="8"/>
  <c r="K130" i="8"/>
  <c r="K129" i="8"/>
  <c r="K128" i="8"/>
  <c r="K127" i="8"/>
  <c r="H28" i="3" s="1"/>
  <c r="K126" i="8"/>
  <c r="K125" i="8"/>
  <c r="K124" i="8"/>
  <c r="K123" i="8"/>
  <c r="K122" i="8"/>
  <c r="K121" i="8"/>
  <c r="K120" i="8"/>
  <c r="K119" i="8"/>
  <c r="K118" i="8"/>
  <c r="K117" i="8"/>
  <c r="K116" i="8"/>
  <c r="K115" i="8"/>
  <c r="K114" i="8"/>
  <c r="K113" i="8"/>
  <c r="K112" i="8"/>
  <c r="K111" i="8"/>
  <c r="K110" i="8"/>
  <c r="K109" i="8"/>
  <c r="K108" i="8"/>
  <c r="K107" i="8"/>
  <c r="K106" i="8"/>
  <c r="K105" i="8"/>
  <c r="K104" i="8"/>
  <c r="K103" i="8"/>
  <c r="K102" i="8"/>
  <c r="K101" i="8"/>
  <c r="K100" i="8"/>
  <c r="K99" i="8"/>
  <c r="K98" i="8"/>
  <c r="K97" i="8"/>
  <c r="K96" i="8"/>
  <c r="K95" i="8"/>
  <c r="K94" i="8"/>
  <c r="K93" i="8"/>
  <c r="K92" i="8"/>
  <c r="K91" i="8"/>
  <c r="K90" i="8"/>
  <c r="K89" i="8"/>
  <c r="K88" i="8"/>
  <c r="K87" i="8"/>
  <c r="K86" i="8"/>
  <c r="K85" i="8"/>
  <c r="K84" i="8"/>
  <c r="K83" i="8"/>
  <c r="K82" i="8"/>
  <c r="K81" i="8"/>
  <c r="K80" i="8"/>
  <c r="K79" i="8"/>
  <c r="K78" i="8"/>
  <c r="K77" i="8"/>
  <c r="K76" i="8"/>
  <c r="K75" i="8"/>
  <c r="K74" i="8"/>
  <c r="K73" i="8"/>
  <c r="K72" i="8"/>
  <c r="K71" i="8"/>
  <c r="K70" i="8"/>
  <c r="K69" i="8"/>
  <c r="K68" i="8"/>
  <c r="K67" i="8"/>
  <c r="K66" i="8"/>
  <c r="K65" i="8"/>
  <c r="K64" i="8"/>
  <c r="K63" i="8"/>
  <c r="K62" i="8"/>
  <c r="K61" i="8"/>
  <c r="K60" i="8"/>
  <c r="K59" i="8"/>
  <c r="K58" i="8"/>
  <c r="K57" i="8"/>
  <c r="K56" i="8"/>
  <c r="K55" i="8"/>
  <c r="K54" i="8"/>
  <c r="K53" i="8"/>
  <c r="K52" i="8"/>
  <c r="K51" i="8"/>
  <c r="K50" i="8"/>
  <c r="K49" i="8"/>
  <c r="K48" i="8"/>
  <c r="K47" i="8"/>
  <c r="K46" i="8"/>
  <c r="K45" i="8"/>
  <c r="K44" i="8"/>
  <c r="K43" i="8"/>
  <c r="K42" i="8"/>
  <c r="K41" i="8"/>
  <c r="K40" i="8"/>
  <c r="K39" i="8"/>
  <c r="K38" i="8"/>
  <c r="K37" i="8"/>
  <c r="K36" i="8"/>
  <c r="K35" i="8"/>
  <c r="K34" i="8"/>
  <c r="K33" i="8"/>
  <c r="K32" i="8"/>
  <c r="K31" i="8"/>
  <c r="K30" i="8"/>
  <c r="K29" i="8"/>
  <c r="K28" i="8"/>
  <c r="K27" i="8"/>
  <c r="K26" i="8"/>
  <c r="K25" i="8"/>
  <c r="K24" i="8"/>
  <c r="K23" i="8"/>
  <c r="K22" i="8"/>
  <c r="K21" i="8"/>
  <c r="K20" i="8"/>
  <c r="K19" i="8"/>
  <c r="K18" i="8"/>
  <c r="K17" i="8"/>
  <c r="K16" i="8"/>
  <c r="K15" i="8"/>
  <c r="K14" i="8"/>
  <c r="K13" i="8"/>
  <c r="K12" i="8"/>
  <c r="K11" i="8"/>
  <c r="K10" i="8"/>
  <c r="K9" i="8"/>
  <c r="K8" i="8"/>
  <c r="K7" i="8"/>
  <c r="K6" i="8"/>
  <c r="K5" i="8"/>
  <c r="A1" i="8"/>
  <c r="K208" i="7"/>
  <c r="K207" i="7"/>
  <c r="K206" i="7"/>
  <c r="K205" i="7"/>
  <c r="K204" i="7"/>
  <c r="K203" i="7"/>
  <c r="K202" i="7"/>
  <c r="K201" i="7"/>
  <c r="K200" i="7"/>
  <c r="K199" i="7"/>
  <c r="K198" i="7"/>
  <c r="K197" i="7"/>
  <c r="K196" i="7"/>
  <c r="K195" i="7"/>
  <c r="K194" i="7"/>
  <c r="K193" i="7"/>
  <c r="K192" i="7"/>
  <c r="K191" i="7"/>
  <c r="K190" i="7"/>
  <c r="K189" i="7"/>
  <c r="K188" i="7"/>
  <c r="K187" i="7"/>
  <c r="K186" i="7"/>
  <c r="K185" i="7"/>
  <c r="K184" i="7"/>
  <c r="K183" i="7"/>
  <c r="K182" i="7"/>
  <c r="K181" i="7"/>
  <c r="K180" i="7"/>
  <c r="K179" i="7"/>
  <c r="K178" i="7"/>
  <c r="K177" i="7"/>
  <c r="K176" i="7"/>
  <c r="K175" i="7"/>
  <c r="K174" i="7"/>
  <c r="K173" i="7"/>
  <c r="K172" i="7"/>
  <c r="K171" i="7"/>
  <c r="K170" i="7"/>
  <c r="K169" i="7"/>
  <c r="K168" i="7"/>
  <c r="K167" i="7"/>
  <c r="K166" i="7"/>
  <c r="K165" i="7"/>
  <c r="K164" i="7"/>
  <c r="K163" i="7"/>
  <c r="K162" i="7"/>
  <c r="K161" i="7"/>
  <c r="K160" i="7"/>
  <c r="K159" i="7"/>
  <c r="K158" i="7"/>
  <c r="K157" i="7"/>
  <c r="K156" i="7"/>
  <c r="K155" i="7"/>
  <c r="K154" i="7"/>
  <c r="K153" i="7"/>
  <c r="K152" i="7"/>
  <c r="K151" i="7"/>
  <c r="K150" i="7"/>
  <c r="K149" i="7"/>
  <c r="K148" i="7"/>
  <c r="K147" i="7"/>
  <c r="K146" i="7"/>
  <c r="K145" i="7"/>
  <c r="K144" i="7"/>
  <c r="K143" i="7"/>
  <c r="K142" i="7"/>
  <c r="K141" i="7"/>
  <c r="K140" i="7"/>
  <c r="K139" i="7"/>
  <c r="K138" i="7"/>
  <c r="K137" i="7"/>
  <c r="K136" i="7"/>
  <c r="K135" i="7"/>
  <c r="K134" i="7"/>
  <c r="K133" i="7"/>
  <c r="K132" i="7"/>
  <c r="K131" i="7"/>
  <c r="K130" i="7"/>
  <c r="K129" i="7"/>
  <c r="K128" i="7"/>
  <c r="K127" i="7"/>
  <c r="K126" i="7"/>
  <c r="K125" i="7"/>
  <c r="K124" i="7"/>
  <c r="K123" i="7"/>
  <c r="K122" i="7"/>
  <c r="K121" i="7"/>
  <c r="K120" i="7"/>
  <c r="K119" i="7"/>
  <c r="K118" i="7"/>
  <c r="K117" i="7"/>
  <c r="K116" i="7"/>
  <c r="K115" i="7"/>
  <c r="K114" i="7"/>
  <c r="K113" i="7"/>
  <c r="K112" i="7"/>
  <c r="K111" i="7"/>
  <c r="K110" i="7"/>
  <c r="K109" i="7"/>
  <c r="K108" i="7"/>
  <c r="K107" i="7"/>
  <c r="K106" i="7"/>
  <c r="K105" i="7"/>
  <c r="K104" i="7"/>
  <c r="K103" i="7"/>
  <c r="K102" i="7"/>
  <c r="K101" i="7"/>
  <c r="K100" i="7"/>
  <c r="K99" i="7"/>
  <c r="K98" i="7"/>
  <c r="K97" i="7"/>
  <c r="K96" i="7"/>
  <c r="K95" i="7"/>
  <c r="K94" i="7"/>
  <c r="K93" i="7"/>
  <c r="K92" i="7"/>
  <c r="K91" i="7"/>
  <c r="K90" i="7"/>
  <c r="K89" i="7"/>
  <c r="K88" i="7"/>
  <c r="K87" i="7"/>
  <c r="K86" i="7"/>
  <c r="K85" i="7"/>
  <c r="K84" i="7"/>
  <c r="K83" i="7"/>
  <c r="K82" i="7"/>
  <c r="K81" i="7"/>
  <c r="K80" i="7"/>
  <c r="K79" i="7"/>
  <c r="K78" i="7"/>
  <c r="K77" i="7"/>
  <c r="K76" i="7"/>
  <c r="K75" i="7"/>
  <c r="K74" i="7"/>
  <c r="K73" i="7"/>
  <c r="K72" i="7"/>
  <c r="K71" i="7"/>
  <c r="K70" i="7"/>
  <c r="K69" i="7"/>
  <c r="K68" i="7"/>
  <c r="K67" i="7"/>
  <c r="K66" i="7"/>
  <c r="K65" i="7"/>
  <c r="K64" i="7"/>
  <c r="K63" i="7"/>
  <c r="K62" i="7"/>
  <c r="K61" i="7"/>
  <c r="K60" i="7"/>
  <c r="K59" i="7"/>
  <c r="K58" i="7"/>
  <c r="K57" i="7"/>
  <c r="K56" i="7"/>
  <c r="K55" i="7"/>
  <c r="K54" i="7"/>
  <c r="K53" i="7"/>
  <c r="K52" i="7"/>
  <c r="K51" i="7"/>
  <c r="K50" i="7"/>
  <c r="K49" i="7"/>
  <c r="K48" i="7"/>
  <c r="K47" i="7"/>
  <c r="K46" i="7"/>
  <c r="K45" i="7"/>
  <c r="K44" i="7"/>
  <c r="K43" i="7"/>
  <c r="K42" i="7"/>
  <c r="K41" i="7"/>
  <c r="K40" i="7"/>
  <c r="K39" i="7"/>
  <c r="K38" i="7"/>
  <c r="K37" i="7"/>
  <c r="K36" i="7"/>
  <c r="K35" i="7"/>
  <c r="K34" i="7"/>
  <c r="K33" i="7"/>
  <c r="K32" i="7"/>
  <c r="K31" i="7"/>
  <c r="K30" i="7"/>
  <c r="K29" i="7"/>
  <c r="K28" i="7"/>
  <c r="K27" i="7"/>
  <c r="K26" i="7"/>
  <c r="K25" i="7"/>
  <c r="K24" i="7"/>
  <c r="K23" i="7"/>
  <c r="K22" i="7"/>
  <c r="K21" i="7"/>
  <c r="K20" i="7"/>
  <c r="K19" i="7"/>
  <c r="K18" i="7"/>
  <c r="K17" i="7"/>
  <c r="K16" i="7"/>
  <c r="K15" i="7"/>
  <c r="K14" i="7"/>
  <c r="K13" i="7"/>
  <c r="K12" i="7"/>
  <c r="K11" i="7"/>
  <c r="K10" i="7"/>
  <c r="K9" i="7"/>
  <c r="K8" i="7"/>
  <c r="K7" i="7"/>
  <c r="K6" i="7"/>
  <c r="K5" i="7"/>
  <c r="A1" i="7"/>
  <c r="K208" i="6"/>
  <c r="K207" i="6"/>
  <c r="K206" i="6"/>
  <c r="K205" i="6"/>
  <c r="K204" i="6"/>
  <c r="K203" i="6"/>
  <c r="K202" i="6"/>
  <c r="K201" i="6"/>
  <c r="K200" i="6"/>
  <c r="K199" i="6"/>
  <c r="K198" i="6"/>
  <c r="K197" i="6"/>
  <c r="K196" i="6"/>
  <c r="K195" i="6"/>
  <c r="K194" i="6"/>
  <c r="K193" i="6"/>
  <c r="K192" i="6"/>
  <c r="K191" i="6"/>
  <c r="K190" i="6"/>
  <c r="K189" i="6"/>
  <c r="K188" i="6"/>
  <c r="K187" i="6"/>
  <c r="K186" i="6"/>
  <c r="K185" i="6"/>
  <c r="K184" i="6"/>
  <c r="K183" i="6"/>
  <c r="K182" i="6"/>
  <c r="K181" i="6"/>
  <c r="K180" i="6"/>
  <c r="K179" i="6"/>
  <c r="K178" i="6"/>
  <c r="K177" i="6"/>
  <c r="K176" i="6"/>
  <c r="K175" i="6"/>
  <c r="K174" i="6"/>
  <c r="K173" i="6"/>
  <c r="K172" i="6"/>
  <c r="K171" i="6"/>
  <c r="K170" i="6"/>
  <c r="K169" i="6"/>
  <c r="K168" i="6"/>
  <c r="K167" i="6"/>
  <c r="K166" i="6"/>
  <c r="K165" i="6"/>
  <c r="K164" i="6"/>
  <c r="K163" i="6"/>
  <c r="K162" i="6"/>
  <c r="K161" i="6"/>
  <c r="K160" i="6"/>
  <c r="K159" i="6"/>
  <c r="K158" i="6"/>
  <c r="K157" i="6"/>
  <c r="K156" i="6"/>
  <c r="K155" i="6"/>
  <c r="K154" i="6"/>
  <c r="K153" i="6"/>
  <c r="K152" i="6"/>
  <c r="K151" i="6"/>
  <c r="K150" i="6"/>
  <c r="K149" i="6"/>
  <c r="K148" i="6"/>
  <c r="K147" i="6"/>
  <c r="K146" i="6"/>
  <c r="K145" i="6"/>
  <c r="K144" i="6"/>
  <c r="K143" i="6"/>
  <c r="K142" i="6"/>
  <c r="K141" i="6"/>
  <c r="K140" i="6"/>
  <c r="K139" i="6"/>
  <c r="K138" i="6"/>
  <c r="K137" i="6"/>
  <c r="K136" i="6"/>
  <c r="K135" i="6"/>
  <c r="K134" i="6"/>
  <c r="K133" i="6"/>
  <c r="K132" i="6"/>
  <c r="K131" i="6"/>
  <c r="K130" i="6"/>
  <c r="K129" i="6"/>
  <c r="K128" i="6"/>
  <c r="K127" i="6"/>
  <c r="K126" i="6"/>
  <c r="K125" i="6"/>
  <c r="K124" i="6"/>
  <c r="K123" i="6"/>
  <c r="K122" i="6"/>
  <c r="K121" i="6"/>
  <c r="K120" i="6"/>
  <c r="K119" i="6"/>
  <c r="K118" i="6"/>
  <c r="K117" i="6"/>
  <c r="K116" i="6"/>
  <c r="K115" i="6"/>
  <c r="K114" i="6"/>
  <c r="K113" i="6"/>
  <c r="K112" i="6"/>
  <c r="K111" i="6"/>
  <c r="K110" i="6"/>
  <c r="K109" i="6"/>
  <c r="K108" i="6"/>
  <c r="K107" i="6"/>
  <c r="K106" i="6"/>
  <c r="K105" i="6"/>
  <c r="K104" i="6"/>
  <c r="K103" i="6"/>
  <c r="K102" i="6"/>
  <c r="K101" i="6"/>
  <c r="K100" i="6"/>
  <c r="K99" i="6"/>
  <c r="K98" i="6"/>
  <c r="K97" i="6"/>
  <c r="K96" i="6"/>
  <c r="K95" i="6"/>
  <c r="K94" i="6"/>
  <c r="K93" i="6"/>
  <c r="K92" i="6"/>
  <c r="K91" i="6"/>
  <c r="K90" i="6"/>
  <c r="K89" i="6"/>
  <c r="K88" i="6"/>
  <c r="K87" i="6"/>
  <c r="K86" i="6"/>
  <c r="K85" i="6"/>
  <c r="K84" i="6"/>
  <c r="K83" i="6"/>
  <c r="K82" i="6"/>
  <c r="K81" i="6"/>
  <c r="K80" i="6"/>
  <c r="K79" i="6"/>
  <c r="K78" i="6"/>
  <c r="K77" i="6"/>
  <c r="K76" i="6"/>
  <c r="K75" i="6"/>
  <c r="K74" i="6"/>
  <c r="K73" i="6"/>
  <c r="K72" i="6"/>
  <c r="K71" i="6"/>
  <c r="K70" i="6"/>
  <c r="K69" i="6"/>
  <c r="K68" i="6"/>
  <c r="K67" i="6"/>
  <c r="K66" i="6"/>
  <c r="K65" i="6"/>
  <c r="K64" i="6"/>
  <c r="K63" i="6"/>
  <c r="K62" i="6"/>
  <c r="K61" i="6"/>
  <c r="K60" i="6"/>
  <c r="K59" i="6"/>
  <c r="K58" i="6"/>
  <c r="K57" i="6"/>
  <c r="K56" i="6"/>
  <c r="K55" i="6"/>
  <c r="K54" i="6"/>
  <c r="K53" i="6"/>
  <c r="K52" i="6"/>
  <c r="K51" i="6"/>
  <c r="K50" i="6"/>
  <c r="K49" i="6"/>
  <c r="K48" i="6"/>
  <c r="K47" i="6"/>
  <c r="K46" i="6"/>
  <c r="K45" i="6"/>
  <c r="K44" i="6"/>
  <c r="K43" i="6"/>
  <c r="K42" i="6"/>
  <c r="K41" i="6"/>
  <c r="K40" i="6"/>
  <c r="K39" i="6"/>
  <c r="K38" i="6"/>
  <c r="K37" i="6"/>
  <c r="K36" i="6"/>
  <c r="K35" i="6"/>
  <c r="K34" i="6"/>
  <c r="K33" i="6"/>
  <c r="K32" i="6"/>
  <c r="K31" i="6"/>
  <c r="K30" i="6"/>
  <c r="K29" i="6"/>
  <c r="K28" i="6"/>
  <c r="K27" i="6"/>
  <c r="K26" i="6"/>
  <c r="K25" i="6"/>
  <c r="K24" i="6"/>
  <c r="K23" i="6"/>
  <c r="K22" i="6"/>
  <c r="K21" i="6"/>
  <c r="K20" i="6"/>
  <c r="K19" i="6"/>
  <c r="K18" i="6"/>
  <c r="K17" i="6"/>
  <c r="K16" i="6"/>
  <c r="K15" i="6"/>
  <c r="K14" i="6"/>
  <c r="K13" i="6"/>
  <c r="K12" i="6"/>
  <c r="K11" i="6"/>
  <c r="K10" i="6"/>
  <c r="K9" i="6"/>
  <c r="K8" i="6"/>
  <c r="K7" i="6"/>
  <c r="K6" i="6"/>
  <c r="K5" i="6"/>
  <c r="A1" i="6"/>
  <c r="F21" i="5"/>
  <c r="E21" i="5"/>
  <c r="D21" i="5"/>
  <c r="F11" i="5"/>
  <c r="E11" i="5"/>
  <c r="D11" i="5"/>
  <c r="E18" i="4"/>
  <c r="E17" i="4"/>
  <c r="E13" i="4"/>
  <c r="E12" i="4"/>
  <c r="E11" i="4"/>
  <c r="E10" i="4"/>
  <c r="E9" i="4"/>
  <c r="E6" i="4"/>
  <c r="D50" i="3"/>
  <c r="C50" i="3"/>
  <c r="B50" i="3"/>
  <c r="D49" i="3"/>
  <c r="C49" i="3"/>
  <c r="B49" i="3"/>
  <c r="D48" i="3"/>
  <c r="C48" i="3"/>
  <c r="B48" i="3"/>
  <c r="D47" i="3"/>
  <c r="C47" i="3"/>
  <c r="B47" i="3"/>
  <c r="D46" i="3"/>
  <c r="C46" i="3"/>
  <c r="B46" i="3"/>
  <c r="D45" i="3"/>
  <c r="C45" i="3"/>
  <c r="B45" i="3"/>
  <c r="A42" i="3"/>
  <c r="A41" i="3"/>
  <c r="A40" i="3"/>
  <c r="A39" i="3"/>
  <c r="A38" i="3"/>
  <c r="A37" i="3"/>
  <c r="I33" i="3"/>
  <c r="E33" i="3"/>
  <c r="D33" i="3"/>
  <c r="C33" i="3"/>
  <c r="B33" i="3"/>
  <c r="I32" i="3"/>
  <c r="E32" i="3"/>
  <c r="D32" i="3"/>
  <c r="C32" i="3"/>
  <c r="B32" i="3"/>
  <c r="I31" i="3"/>
  <c r="E31" i="3"/>
  <c r="D31" i="3"/>
  <c r="C31" i="3"/>
  <c r="B31" i="3"/>
  <c r="I30" i="3"/>
  <c r="H30" i="3"/>
  <c r="E30" i="3"/>
  <c r="D30" i="3"/>
  <c r="C30" i="3"/>
  <c r="B30" i="3"/>
  <c r="I29" i="3"/>
  <c r="E29" i="3"/>
  <c r="D29" i="3"/>
  <c r="C29" i="3"/>
  <c r="B29" i="3"/>
  <c r="I28" i="3"/>
  <c r="E28" i="3"/>
  <c r="D28" i="3"/>
  <c r="C28" i="3"/>
  <c r="B28" i="3"/>
  <c r="I27" i="3"/>
  <c r="H27" i="3"/>
  <c r="E27" i="3"/>
  <c r="D27" i="3"/>
  <c r="C27" i="3"/>
  <c r="B27" i="3"/>
  <c r="I26" i="3"/>
  <c r="H26" i="3"/>
  <c r="E26" i="3"/>
  <c r="D26" i="3"/>
  <c r="C26" i="3"/>
  <c r="B26" i="3"/>
  <c r="A24" i="3"/>
  <c r="I22" i="3"/>
  <c r="H22" i="3"/>
  <c r="E22" i="3"/>
  <c r="D22" i="3"/>
  <c r="C22" i="3"/>
  <c r="B22" i="3"/>
  <c r="I21" i="3"/>
  <c r="H21" i="3"/>
  <c r="E21" i="3"/>
  <c r="D21" i="3"/>
  <c r="C21" i="3"/>
  <c r="B21" i="3"/>
  <c r="I20" i="3"/>
  <c r="H20" i="3"/>
  <c r="E20" i="3"/>
  <c r="D20" i="3"/>
  <c r="C20" i="3"/>
  <c r="B20" i="3"/>
  <c r="I19" i="3"/>
  <c r="H19" i="3"/>
  <c r="E19" i="3"/>
  <c r="D19" i="3"/>
  <c r="C19" i="3"/>
  <c r="B19" i="3"/>
  <c r="I18" i="3"/>
  <c r="H18" i="3"/>
  <c r="E18" i="3"/>
  <c r="D18" i="3"/>
  <c r="C18" i="3"/>
  <c r="B18" i="3"/>
  <c r="I17" i="3"/>
  <c r="H17" i="3"/>
  <c r="E17" i="3"/>
  <c r="D17" i="3"/>
  <c r="C17" i="3"/>
  <c r="B17" i="3"/>
  <c r="I16" i="3"/>
  <c r="H16" i="3"/>
  <c r="E16" i="3"/>
  <c r="D16" i="3"/>
  <c r="C16" i="3"/>
  <c r="B16" i="3"/>
  <c r="A14" i="3"/>
  <c r="I12" i="3"/>
  <c r="E12" i="3"/>
  <c r="D12" i="3"/>
  <c r="C12" i="3"/>
  <c r="B12" i="3"/>
  <c r="I11" i="3"/>
  <c r="E11" i="3"/>
  <c r="D11" i="3"/>
  <c r="C11" i="3"/>
  <c r="B11" i="3"/>
  <c r="G11" i="3" s="1"/>
  <c r="I10" i="3"/>
  <c r="H10" i="3"/>
  <c r="E10" i="3"/>
  <c r="D10" i="3"/>
  <c r="C10" i="3"/>
  <c r="B10" i="3"/>
  <c r="I9" i="3"/>
  <c r="H9" i="3"/>
  <c r="E9" i="3"/>
  <c r="D9" i="3"/>
  <c r="C9" i="3"/>
  <c r="B9" i="3"/>
  <c r="I8" i="3"/>
  <c r="H8" i="3"/>
  <c r="E8" i="3"/>
  <c r="D8" i="3"/>
  <c r="C8" i="3"/>
  <c r="B8" i="3"/>
  <c r="I7" i="3"/>
  <c r="H7" i="3"/>
  <c r="E7" i="3"/>
  <c r="D7" i="3"/>
  <c r="C7" i="3"/>
  <c r="B7" i="3"/>
  <c r="I6" i="3"/>
  <c r="H6" i="3"/>
  <c r="E6" i="3"/>
  <c r="D6" i="3"/>
  <c r="C6" i="3"/>
  <c r="B6" i="3"/>
  <c r="A4" i="3"/>
  <c r="E32" i="2"/>
  <c r="D32" i="2"/>
  <c r="C32" i="2"/>
  <c r="H216" i="8" s="1"/>
  <c r="E31" i="2"/>
  <c r="D31" i="2"/>
  <c r="C31" i="2"/>
  <c r="H188" i="8" s="1"/>
  <c r="E30" i="2"/>
  <c r="D30" i="2"/>
  <c r="C30" i="2"/>
  <c r="E29" i="2"/>
  <c r="D29" i="2"/>
  <c r="C29" i="2"/>
  <c r="H152" i="8" s="1"/>
  <c r="E28" i="2"/>
  <c r="D28" i="2"/>
  <c r="C28" i="2"/>
  <c r="H125" i="7" s="1"/>
  <c r="E27" i="2"/>
  <c r="D27" i="2"/>
  <c r="C27" i="2"/>
  <c r="H95" i="8" s="1"/>
  <c r="E26" i="2"/>
  <c r="D26" i="2"/>
  <c r="C26" i="2"/>
  <c r="H69" i="7" s="1"/>
  <c r="E25" i="2"/>
  <c r="D25" i="2"/>
  <c r="C25" i="2"/>
  <c r="H53" i="7" s="1"/>
  <c r="E24" i="2"/>
  <c r="D24" i="2"/>
  <c r="C24" i="2"/>
  <c r="H37" i="7" s="1"/>
  <c r="D22" i="1"/>
  <c r="D21" i="1"/>
  <c r="D20" i="1"/>
  <c r="D19" i="1"/>
  <c r="D17" i="1"/>
  <c r="D14" i="1"/>
  <c r="D13" i="1"/>
  <c r="D10" i="1"/>
  <c r="D9" i="1"/>
  <c r="D8" i="1"/>
  <c r="D7" i="1"/>
  <c r="D6" i="1"/>
  <c r="D5" i="1"/>
  <c r="G21" i="3" l="1"/>
  <c r="G17" i="3"/>
  <c r="H33" i="3"/>
  <c r="G18" i="3"/>
  <c r="G10" i="3"/>
  <c r="G32" i="3"/>
  <c r="G19" i="3"/>
  <c r="G8" i="3"/>
  <c r="F7" i="3"/>
  <c r="H11" i="3"/>
  <c r="F22" i="3"/>
  <c r="G28" i="3"/>
  <c r="H32" i="3"/>
  <c r="F20" i="3"/>
  <c r="G27" i="3"/>
  <c r="G31" i="3"/>
  <c r="G12" i="3"/>
  <c r="G30" i="3"/>
  <c r="G6" i="3"/>
  <c r="F16" i="3"/>
  <c r="F6" i="3"/>
  <c r="F21" i="3"/>
  <c r="F12" i="3"/>
  <c r="G9" i="3"/>
  <c r="F10" i="3"/>
  <c r="F11" i="3"/>
  <c r="F19" i="3"/>
  <c r="H12" i="3"/>
  <c r="F18" i="3"/>
  <c r="G22" i="3"/>
  <c r="G26" i="3"/>
  <c r="F8" i="3"/>
  <c r="F9" i="3"/>
  <c r="G7" i="3"/>
  <c r="G16" i="3"/>
  <c r="F17" i="3"/>
  <c r="G20" i="3"/>
  <c r="G29" i="3"/>
  <c r="G33" i="3"/>
  <c r="H178" i="8"/>
  <c r="H174" i="8"/>
  <c r="H170" i="8"/>
  <c r="H166" i="8"/>
  <c r="H162" i="8"/>
  <c r="H158" i="8"/>
  <c r="H154" i="8"/>
  <c r="H187" i="6"/>
  <c r="H183" i="6"/>
  <c r="H179" i="6"/>
  <c r="H175" i="6"/>
  <c r="H171" i="6"/>
  <c r="H167" i="6"/>
  <c r="H186" i="7"/>
  <c r="H182" i="7"/>
  <c r="H178" i="7"/>
  <c r="H174" i="7"/>
  <c r="H170" i="7"/>
  <c r="H166" i="7"/>
  <c r="H177" i="8"/>
  <c r="H173" i="8"/>
  <c r="H169" i="8"/>
  <c r="H165" i="8"/>
  <c r="H161" i="8"/>
  <c r="H157" i="8"/>
  <c r="H153" i="8"/>
  <c r="H188" i="7"/>
  <c r="H184" i="7"/>
  <c r="H180" i="7"/>
  <c r="H176" i="7"/>
  <c r="H172" i="7"/>
  <c r="H168" i="7"/>
  <c r="H164" i="7"/>
  <c r="F26" i="3"/>
  <c r="F27" i="3"/>
  <c r="F28" i="3"/>
  <c r="F29" i="3"/>
  <c r="F30" i="3"/>
  <c r="F31" i="3"/>
  <c r="F32" i="3"/>
  <c r="F33" i="3"/>
  <c r="H101" i="6"/>
  <c r="H110" i="6"/>
  <c r="H124" i="6"/>
  <c r="H133" i="6"/>
  <c r="H142" i="6"/>
  <c r="H156" i="6"/>
  <c r="H165" i="6"/>
  <c r="H174" i="6"/>
  <c r="H188" i="6"/>
  <c r="H197" i="6"/>
  <c r="H7" i="7"/>
  <c r="H23" i="7"/>
  <c r="H39" i="7"/>
  <c r="H55" i="7"/>
  <c r="H71" i="7"/>
  <c r="H87" i="7"/>
  <c r="H103" i="7"/>
  <c r="H119" i="7"/>
  <c r="H135" i="7"/>
  <c r="H151" i="7"/>
  <c r="H167" i="7"/>
  <c r="H183" i="7"/>
  <c r="H199" i="7"/>
  <c r="H11" i="8"/>
  <c r="H16" i="8"/>
  <c r="H27" i="8"/>
  <c r="H32" i="8"/>
  <c r="H43" i="8"/>
  <c r="H48" i="8"/>
  <c r="H59" i="8"/>
  <c r="H64" i="8"/>
  <c r="H75" i="8"/>
  <c r="H80" i="8"/>
  <c r="H91" i="8"/>
  <c r="H96" i="8"/>
  <c r="H107" i="8"/>
  <c r="H112" i="8"/>
  <c r="H123" i="8"/>
  <c r="H128" i="8"/>
  <c r="H139" i="8"/>
  <c r="H144" i="8"/>
  <c r="H155" i="8"/>
  <c r="H160" i="8"/>
  <c r="H171" i="8"/>
  <c r="H176" i="8"/>
  <c r="H187" i="8"/>
  <c r="H192" i="8"/>
  <c r="H203" i="8"/>
  <c r="H208" i="8"/>
  <c r="H219" i="8"/>
  <c r="H224" i="8"/>
  <c r="H5" i="6"/>
  <c r="H9" i="6"/>
  <c r="H13" i="6"/>
  <c r="H17" i="6"/>
  <c r="H21" i="6"/>
  <c r="H25" i="6"/>
  <c r="H29" i="6"/>
  <c r="H33" i="6"/>
  <c r="H37" i="6"/>
  <c r="H41" i="6"/>
  <c r="H45" i="6"/>
  <c r="H49" i="6"/>
  <c r="H53" i="6"/>
  <c r="H57" i="6"/>
  <c r="H61" i="6"/>
  <c r="H65" i="6"/>
  <c r="H69" i="6"/>
  <c r="H73" i="6"/>
  <c r="H77" i="6"/>
  <c r="H81" i="6"/>
  <c r="H85" i="6"/>
  <c r="H89" i="6"/>
  <c r="H93" i="6"/>
  <c r="H97" i="6"/>
  <c r="H106" i="6"/>
  <c r="H120" i="6"/>
  <c r="H129" i="6"/>
  <c r="H138" i="6"/>
  <c r="H152" i="6"/>
  <c r="H161" i="6"/>
  <c r="H170" i="6"/>
  <c r="H184" i="6"/>
  <c r="H193" i="6"/>
  <c r="H202" i="6"/>
  <c r="H13" i="7"/>
  <c r="H29" i="7"/>
  <c r="H45" i="7"/>
  <c r="H61" i="7"/>
  <c r="H77" i="7"/>
  <c r="H93" i="7"/>
  <c r="H109" i="7"/>
  <c r="H141" i="7"/>
  <c r="H157" i="7"/>
  <c r="H173" i="7"/>
  <c r="H189" i="7"/>
  <c r="H205" i="7"/>
  <c r="H122" i="8"/>
  <c r="H118" i="8"/>
  <c r="H114" i="8"/>
  <c r="H110" i="8"/>
  <c r="H106" i="8"/>
  <c r="H102" i="8"/>
  <c r="H98" i="8"/>
  <c r="H131" i="6"/>
  <c r="H127" i="6"/>
  <c r="H123" i="6"/>
  <c r="H119" i="6"/>
  <c r="H115" i="6"/>
  <c r="H111" i="6"/>
  <c r="H107" i="6"/>
  <c r="H130" i="7"/>
  <c r="H126" i="7"/>
  <c r="H122" i="7"/>
  <c r="H118" i="7"/>
  <c r="H114" i="7"/>
  <c r="H110" i="7"/>
  <c r="H121" i="8"/>
  <c r="H117" i="8"/>
  <c r="H113" i="8"/>
  <c r="H109" i="8"/>
  <c r="H105" i="8"/>
  <c r="H101" i="8"/>
  <c r="H128" i="7"/>
  <c r="H124" i="7"/>
  <c r="H120" i="7"/>
  <c r="H116" i="7"/>
  <c r="H112" i="7"/>
  <c r="H108" i="7"/>
  <c r="H102" i="6"/>
  <c r="H116" i="6"/>
  <c r="H125" i="6"/>
  <c r="H134" i="6"/>
  <c r="H148" i="6"/>
  <c r="H157" i="6"/>
  <c r="H166" i="6"/>
  <c r="H180" i="6"/>
  <c r="H189" i="6"/>
  <c r="H198" i="6"/>
  <c r="H208" i="6"/>
  <c r="H19" i="7"/>
  <c r="H35" i="7"/>
  <c r="H51" i="7"/>
  <c r="H67" i="7"/>
  <c r="H83" i="7"/>
  <c r="H99" i="7"/>
  <c r="H115" i="7"/>
  <c r="H131" i="7"/>
  <c r="H147" i="7"/>
  <c r="H163" i="7"/>
  <c r="H179" i="7"/>
  <c r="H195" i="7"/>
  <c r="H7" i="8"/>
  <c r="H12" i="8"/>
  <c r="H23" i="8"/>
  <c r="H28" i="8"/>
  <c r="H39" i="8"/>
  <c r="H44" i="8"/>
  <c r="H55" i="8"/>
  <c r="H60" i="8"/>
  <c r="H71" i="8"/>
  <c r="H76" i="8"/>
  <c r="H87" i="8"/>
  <c r="H92" i="8"/>
  <c r="H103" i="8"/>
  <c r="H108" i="8"/>
  <c r="H119" i="8"/>
  <c r="H124" i="8"/>
  <c r="H135" i="8"/>
  <c r="H140" i="8"/>
  <c r="H151" i="8"/>
  <c r="H156" i="8"/>
  <c r="H167" i="8"/>
  <c r="H172" i="8"/>
  <c r="H183" i="8"/>
  <c r="H199" i="8"/>
  <c r="H204" i="8"/>
  <c r="H215" i="8"/>
  <c r="H220" i="8"/>
  <c r="H194" i="8"/>
  <c r="H190" i="8"/>
  <c r="H186" i="8"/>
  <c r="H182" i="8"/>
  <c r="H207" i="6"/>
  <c r="H203" i="6"/>
  <c r="H199" i="6"/>
  <c r="H195" i="6"/>
  <c r="H191" i="6"/>
  <c r="H206" i="7"/>
  <c r="H202" i="7"/>
  <c r="H198" i="7"/>
  <c r="H194" i="7"/>
  <c r="H190" i="7"/>
  <c r="H197" i="8"/>
  <c r="H193" i="8"/>
  <c r="H189" i="8"/>
  <c r="H185" i="8"/>
  <c r="H181" i="8"/>
  <c r="H206" i="6"/>
  <c r="H208" i="7"/>
  <c r="H204" i="7"/>
  <c r="H200" i="7"/>
  <c r="H196" i="7"/>
  <c r="H192" i="7"/>
  <c r="H6" i="6"/>
  <c r="H10" i="6"/>
  <c r="H14" i="6"/>
  <c r="H18" i="6"/>
  <c r="H22" i="6"/>
  <c r="H26" i="6"/>
  <c r="H30" i="6"/>
  <c r="H34" i="6"/>
  <c r="H38" i="6"/>
  <c r="H42" i="6"/>
  <c r="H46" i="6"/>
  <c r="H50" i="6"/>
  <c r="H54" i="6"/>
  <c r="H58" i="6"/>
  <c r="H62" i="6"/>
  <c r="H66" i="6"/>
  <c r="H70" i="6"/>
  <c r="H74" i="6"/>
  <c r="H78" i="6"/>
  <c r="H82" i="6"/>
  <c r="H86" i="6"/>
  <c r="H90" i="6"/>
  <c r="H94" i="6"/>
  <c r="H98" i="6"/>
  <c r="H112" i="6"/>
  <c r="H121" i="6"/>
  <c r="H130" i="6"/>
  <c r="H144" i="6"/>
  <c r="H153" i="6"/>
  <c r="H162" i="6"/>
  <c r="H176" i="6"/>
  <c r="H185" i="6"/>
  <c r="H194" i="6"/>
  <c r="H9" i="7"/>
  <c r="H25" i="7"/>
  <c r="H41" i="7"/>
  <c r="H57" i="7"/>
  <c r="H73" i="7"/>
  <c r="H89" i="7"/>
  <c r="H105" i="7"/>
  <c r="H121" i="7"/>
  <c r="H137" i="7"/>
  <c r="H153" i="7"/>
  <c r="H169" i="7"/>
  <c r="H185" i="7"/>
  <c r="H201" i="7"/>
  <c r="H108" i="6"/>
  <c r="H117" i="6"/>
  <c r="H126" i="6"/>
  <c r="H140" i="6"/>
  <c r="H149" i="6"/>
  <c r="H158" i="6"/>
  <c r="H172" i="6"/>
  <c r="H181" i="6"/>
  <c r="H190" i="6"/>
  <c r="H204" i="6"/>
  <c r="H15" i="7"/>
  <c r="H31" i="7"/>
  <c r="H47" i="7"/>
  <c r="H63" i="7"/>
  <c r="H79" i="7"/>
  <c r="H95" i="7"/>
  <c r="H111" i="7"/>
  <c r="H127" i="7"/>
  <c r="H143" i="7"/>
  <c r="H159" i="7"/>
  <c r="H175" i="7"/>
  <c r="H191" i="7"/>
  <c r="H207" i="7"/>
  <c r="H8" i="8"/>
  <c r="H19" i="8"/>
  <c r="H24" i="8"/>
  <c r="H35" i="8"/>
  <c r="H40" i="8"/>
  <c r="H51" i="8"/>
  <c r="H56" i="8"/>
  <c r="H67" i="8"/>
  <c r="H72" i="8"/>
  <c r="H83" i="8"/>
  <c r="H88" i="8"/>
  <c r="H99" i="8"/>
  <c r="H104" i="8"/>
  <c r="H115" i="8"/>
  <c r="H120" i="8"/>
  <c r="H131" i="8"/>
  <c r="H136" i="8"/>
  <c r="H147" i="8"/>
  <c r="H163" i="8"/>
  <c r="H168" i="8"/>
  <c r="H179" i="8"/>
  <c r="H184" i="8"/>
  <c r="H195" i="8"/>
  <c r="H200" i="8"/>
  <c r="H211" i="8"/>
  <c r="H150" i="8"/>
  <c r="H146" i="8"/>
  <c r="H142" i="8"/>
  <c r="H138" i="8"/>
  <c r="H134" i="8"/>
  <c r="H130" i="8"/>
  <c r="H126" i="8"/>
  <c r="H163" i="6"/>
  <c r="H159" i="6"/>
  <c r="H155" i="6"/>
  <c r="H151" i="6"/>
  <c r="H147" i="6"/>
  <c r="H143" i="6"/>
  <c r="H139" i="6"/>
  <c r="H135" i="6"/>
  <c r="H162" i="7"/>
  <c r="H158" i="7"/>
  <c r="H154" i="7"/>
  <c r="H150" i="7"/>
  <c r="H146" i="7"/>
  <c r="H142" i="7"/>
  <c r="H138" i="7"/>
  <c r="H134" i="7"/>
  <c r="H149" i="8"/>
  <c r="H145" i="8"/>
  <c r="H141" i="8"/>
  <c r="H137" i="8"/>
  <c r="H133" i="8"/>
  <c r="H129" i="8"/>
  <c r="H125" i="8"/>
  <c r="H160" i="7"/>
  <c r="H156" i="7"/>
  <c r="H152" i="7"/>
  <c r="H148" i="7"/>
  <c r="H144" i="7"/>
  <c r="H140" i="7"/>
  <c r="H136" i="7"/>
  <c r="H132" i="7"/>
  <c r="H7" i="6"/>
  <c r="H11" i="6"/>
  <c r="H15" i="6"/>
  <c r="H19" i="6"/>
  <c r="H23" i="6"/>
  <c r="H27" i="6"/>
  <c r="H31" i="6"/>
  <c r="H35" i="6"/>
  <c r="H39" i="6"/>
  <c r="H43" i="6"/>
  <c r="H47" i="6"/>
  <c r="H51" i="6"/>
  <c r="H55" i="6"/>
  <c r="H59" i="6"/>
  <c r="H63" i="6"/>
  <c r="H67" i="6"/>
  <c r="H71" i="6"/>
  <c r="H75" i="6"/>
  <c r="H79" i="6"/>
  <c r="H83" i="6"/>
  <c r="H87" i="6"/>
  <c r="H91" i="6"/>
  <c r="H95" i="6"/>
  <c r="H104" i="6"/>
  <c r="H113" i="6"/>
  <c r="H122" i="6"/>
  <c r="H136" i="6"/>
  <c r="H145" i="6"/>
  <c r="H154" i="6"/>
  <c r="H168" i="6"/>
  <c r="H177" i="6"/>
  <c r="H186" i="6"/>
  <c r="H200" i="6"/>
  <c r="H5" i="7"/>
  <c r="H21" i="7"/>
  <c r="H85" i="7"/>
  <c r="H101" i="7"/>
  <c r="H117" i="7"/>
  <c r="H133" i="7"/>
  <c r="H149" i="7"/>
  <c r="H165" i="7"/>
  <c r="H181" i="7"/>
  <c r="H197" i="7"/>
  <c r="H54" i="8"/>
  <c r="H50" i="8"/>
  <c r="H46" i="8"/>
  <c r="H54" i="7"/>
  <c r="H50" i="7"/>
  <c r="H46" i="7"/>
  <c r="H53" i="8"/>
  <c r="H49" i="8"/>
  <c r="H45" i="8"/>
  <c r="H56" i="7"/>
  <c r="H52" i="7"/>
  <c r="H48" i="7"/>
  <c r="H44" i="7"/>
  <c r="H78" i="8"/>
  <c r="H74" i="8"/>
  <c r="H70" i="8"/>
  <c r="H66" i="8"/>
  <c r="H62" i="8"/>
  <c r="H58" i="8"/>
  <c r="H78" i="7"/>
  <c r="H74" i="7"/>
  <c r="H70" i="7"/>
  <c r="H66" i="7"/>
  <c r="H62" i="7"/>
  <c r="H58" i="7"/>
  <c r="H81" i="8"/>
  <c r="H77" i="8"/>
  <c r="H73" i="8"/>
  <c r="H69" i="8"/>
  <c r="H65" i="8"/>
  <c r="H61" i="8"/>
  <c r="H57" i="8"/>
  <c r="H80" i="7"/>
  <c r="H76" i="7"/>
  <c r="H72" i="7"/>
  <c r="H68" i="7"/>
  <c r="H64" i="7"/>
  <c r="H60" i="7"/>
  <c r="H42" i="8"/>
  <c r="H38" i="8"/>
  <c r="H34" i="8"/>
  <c r="H30" i="8"/>
  <c r="H26" i="8"/>
  <c r="H22" i="8"/>
  <c r="H18" i="8"/>
  <c r="H14" i="8"/>
  <c r="H10" i="8"/>
  <c r="H6" i="8"/>
  <c r="H42" i="7"/>
  <c r="H38" i="7"/>
  <c r="H34" i="7"/>
  <c r="H30" i="7"/>
  <c r="H26" i="7"/>
  <c r="H22" i="7"/>
  <c r="H18" i="7"/>
  <c r="H14" i="7"/>
  <c r="H10" i="7"/>
  <c r="H6" i="7"/>
  <c r="H41" i="8"/>
  <c r="H37" i="8"/>
  <c r="H33" i="8"/>
  <c r="H29" i="8"/>
  <c r="H25" i="8"/>
  <c r="H21" i="8"/>
  <c r="H17" i="8"/>
  <c r="H13" i="8"/>
  <c r="H9" i="8"/>
  <c r="H5" i="8"/>
  <c r="H40" i="7"/>
  <c r="H36" i="7"/>
  <c r="H32" i="7"/>
  <c r="H28" i="7"/>
  <c r="H24" i="7"/>
  <c r="H20" i="7"/>
  <c r="H16" i="7"/>
  <c r="H12" i="7"/>
  <c r="H8" i="7"/>
  <c r="H230" i="8"/>
  <c r="H226" i="8"/>
  <c r="H222" i="8"/>
  <c r="H218" i="8"/>
  <c r="H214" i="8"/>
  <c r="H210" i="8"/>
  <c r="H206" i="8"/>
  <c r="H202" i="8"/>
  <c r="H198" i="8"/>
  <c r="H229" i="8"/>
  <c r="H225" i="8"/>
  <c r="H221" i="8"/>
  <c r="H217" i="8"/>
  <c r="H213" i="8"/>
  <c r="H209" i="8"/>
  <c r="H205" i="8"/>
  <c r="H201" i="8"/>
  <c r="H228" i="8"/>
  <c r="H227" i="8"/>
  <c r="H100" i="6"/>
  <c r="H109" i="6"/>
  <c r="H118" i="6"/>
  <c r="H132" i="6"/>
  <c r="H141" i="6"/>
  <c r="H150" i="6"/>
  <c r="H164" i="6"/>
  <c r="H173" i="6"/>
  <c r="H182" i="6"/>
  <c r="H196" i="6"/>
  <c r="H205" i="6"/>
  <c r="H11" i="7"/>
  <c r="H27" i="7"/>
  <c r="H43" i="7"/>
  <c r="H59" i="7"/>
  <c r="H75" i="7"/>
  <c r="H91" i="7"/>
  <c r="H107" i="7"/>
  <c r="H123" i="7"/>
  <c r="H139" i="7"/>
  <c r="H155" i="7"/>
  <c r="H171" i="7"/>
  <c r="H187" i="7"/>
  <c r="H203" i="7"/>
  <c r="H15" i="8"/>
  <c r="H20" i="8"/>
  <c r="H31" i="8"/>
  <c r="H36" i="8"/>
  <c r="H47" i="8"/>
  <c r="H52" i="8"/>
  <c r="H63" i="8"/>
  <c r="H68" i="8"/>
  <c r="H79" i="8"/>
  <c r="H84" i="8"/>
  <c r="H100" i="8"/>
  <c r="H111" i="8"/>
  <c r="H116" i="8"/>
  <c r="H127" i="8"/>
  <c r="H132" i="8"/>
  <c r="H143" i="8"/>
  <c r="H148" i="8"/>
  <c r="H159" i="8"/>
  <c r="H164" i="8"/>
  <c r="H175" i="8"/>
  <c r="H180" i="8"/>
  <c r="H191" i="8"/>
  <c r="H196" i="8"/>
  <c r="H207" i="8"/>
  <c r="H212" i="8"/>
  <c r="H223" i="8"/>
  <c r="H94" i="8"/>
  <c r="H90" i="8"/>
  <c r="H86" i="8"/>
  <c r="H82" i="8"/>
  <c r="H103" i="6"/>
  <c r="H99" i="6"/>
  <c r="H106" i="7"/>
  <c r="H102" i="7"/>
  <c r="H98" i="7"/>
  <c r="H94" i="7"/>
  <c r="H90" i="7"/>
  <c r="H86" i="7"/>
  <c r="H82" i="7"/>
  <c r="H97" i="8"/>
  <c r="H93" i="8"/>
  <c r="H89" i="8"/>
  <c r="H85" i="8"/>
  <c r="H104" i="7"/>
  <c r="H100" i="7"/>
  <c r="H96" i="7"/>
  <c r="H92" i="7"/>
  <c r="H88" i="7"/>
  <c r="H84" i="7"/>
  <c r="H8" i="6"/>
  <c r="H12" i="6"/>
  <c r="H16" i="6"/>
  <c r="H20" i="6"/>
  <c r="H24" i="6"/>
  <c r="H28" i="6"/>
  <c r="H32" i="6"/>
  <c r="H36" i="6"/>
  <c r="H40" i="6"/>
  <c r="H44" i="6"/>
  <c r="H48" i="6"/>
  <c r="H52" i="6"/>
  <c r="H56" i="6"/>
  <c r="H60" i="6"/>
  <c r="H64" i="6"/>
  <c r="H68" i="6"/>
  <c r="H72" i="6"/>
  <c r="H76" i="6"/>
  <c r="H80" i="6"/>
  <c r="H84" i="6"/>
  <c r="H88" i="6"/>
  <c r="H92" i="6"/>
  <c r="H96" i="6"/>
  <c r="H105" i="6"/>
  <c r="H114" i="6"/>
  <c r="H128" i="6"/>
  <c r="H137" i="6"/>
  <c r="H146" i="6"/>
  <c r="H160" i="6"/>
  <c r="H169" i="6"/>
  <c r="H178" i="6"/>
  <c r="H192" i="6"/>
  <c r="H201" i="6"/>
  <c r="H17" i="7"/>
  <c r="H33" i="7"/>
  <c r="H49" i="7"/>
  <c r="H65" i="7"/>
  <c r="H81" i="7"/>
  <c r="H97" i="7"/>
  <c r="H113" i="7"/>
  <c r="H129" i="7"/>
  <c r="H145" i="7"/>
  <c r="H161" i="7"/>
  <c r="H177" i="7"/>
  <c r="H193" i="7"/>
  <c r="F42" i="3" l="1"/>
  <c r="B40" i="3"/>
  <c r="F38" i="3"/>
  <c r="E42" i="3"/>
  <c r="C41" i="3"/>
  <c r="E38" i="3"/>
  <c r="C37" i="3"/>
  <c r="E13" i="2"/>
  <c r="E20" i="2"/>
  <c r="E12" i="2"/>
  <c r="E19" i="2"/>
  <c r="E16" i="2"/>
  <c r="B41" i="3"/>
  <c r="D41" i="3" s="1"/>
  <c r="F39" i="3"/>
  <c r="B37" i="3"/>
  <c r="D37" i="3" s="1"/>
  <c r="C42" i="3"/>
  <c r="E39" i="3"/>
  <c r="C38" i="3"/>
  <c r="B42" i="3"/>
  <c r="F40" i="3"/>
  <c r="B38" i="3"/>
  <c r="D38" i="3" s="1"/>
  <c r="E40" i="3"/>
  <c r="C39" i="3"/>
  <c r="F41" i="3"/>
  <c r="B39" i="3"/>
  <c r="F37" i="3"/>
  <c r="E41" i="3"/>
  <c r="C40" i="3"/>
  <c r="E37" i="3"/>
  <c r="E15" i="2"/>
  <c r="E14" i="2"/>
  <c r="E18" i="2"/>
  <c r="E17" i="2"/>
  <c r="D42" i="3" l="1"/>
  <c r="D40" i="3"/>
  <c r="D39" i="3"/>
</calcChain>
</file>

<file path=xl/sharedStrings.xml><?xml version="1.0" encoding="utf-8"?>
<sst xmlns="http://schemas.openxmlformats.org/spreadsheetml/2006/main" count="3332" uniqueCount="643">
  <si>
    <t>خطة المرحلة الأولى للاعتماد البرامجي: جمع الأدلة وتحديد الفجوات</t>
  </si>
  <si>
    <t>البرامج: بكالوريوس علوم الحاسب • بكالوريوس علوم البيانات • ماجستير علوم البيانات   |   المدة: 8 أسابيع   |   يبدأ الأسبوع 1 يوم الأحد 25 أكتوبر 2026</t>
  </si>
  <si>
    <t>الأسبوع</t>
  </si>
  <si>
    <t>المسار</t>
  </si>
  <si>
    <t>المهمة</t>
  </si>
  <si>
    <t>المسؤول</t>
  </si>
  <si>
    <t>المخرج</t>
  </si>
  <si>
    <t>الحالة</t>
  </si>
  <si>
    <t>ملاحظات</t>
  </si>
  <si>
    <t>الأسبوع 1</t>
  </si>
  <si>
    <t>الإدارة</t>
  </si>
  <si>
    <t>لم تبدأ</t>
  </si>
  <si>
    <t>الأعضاء</t>
  </si>
  <si>
    <t>محضر الاجتماع</t>
  </si>
  <si>
    <t>عرض المقترح الخاص بمراجعة الرسالة والأهداف، وتحديد طريقة التنفيذ والمسؤول</t>
  </si>
  <si>
    <t>قرار اللجنة</t>
  </si>
  <si>
    <t>المتابعة والتنظيم</t>
  </si>
  <si>
    <t>وضع نظام ترميز الأدلة وتسميتها وهيكل مجلدات المستودع</t>
  </si>
  <si>
    <t>دليل الترميز</t>
  </si>
  <si>
    <t>إنشاء المستودع والملف المشترك وصلاحيات الأعضاء</t>
  </si>
  <si>
    <t>مستودع وملف مشترك جاهزان</t>
  </si>
  <si>
    <t>الأسبوع 1 – 2</t>
  </si>
  <si>
    <t>متطلبات الجودة</t>
  </si>
  <si>
    <t>اعتماد الأدلة المقترحة لمعيار البحث والمشاريع (6) في الماجستير</t>
  </si>
  <si>
    <t>أدلة المعيار 6 معتمدة</t>
  </si>
  <si>
    <t>الأسبوع 1 – 7</t>
  </si>
  <si>
    <t>متابعة متطلبات التقدم مع لجنة الجودة (انظر ورقة متطلبات التقدم للاعتماد)</t>
  </si>
  <si>
    <t>حالة المتطلبات في الأسبوعين 4 و7</t>
  </si>
  <si>
    <t>الأسبوع 2 – 3</t>
  </si>
  <si>
    <t>جمع الأدلة وتعبئة "حالة الدليل" و"سبب النقص" ورفع الأدلة بالترميز المعتمد</t>
  </si>
  <si>
    <t>كل عضو في معياره</t>
  </si>
  <si>
    <t>أوراق الفحص</t>
  </si>
  <si>
    <t>مراجعة الرسالة والأهداف حسب قرار اللجنة</t>
  </si>
  <si>
    <t>حسب قرار اللجنة</t>
  </si>
  <si>
    <t>أدلة المحك 1-1-1</t>
  </si>
  <si>
    <t>الأسبوع 2 – 6</t>
  </si>
  <si>
    <t>مراجعة أسبوعية لما رُفع من أدلة، ورسالة الخميس للجنة</t>
  </si>
  <si>
    <t>عمود المراجعة + رسالة أسبوعية</t>
  </si>
  <si>
    <t>الأسبوع 4</t>
  </si>
  <si>
    <t>اجتماع منتصف الخطة: مراجعة لوحة المتابعة والعوائق، وعرض د. عبير لحالة متطلبات التقدم</t>
  </si>
  <si>
    <t>محضر</t>
  </si>
  <si>
    <t>الأسبوع 4 – 5</t>
  </si>
  <si>
    <t>استكمال جمع الأدلة وتقييم جودتها</t>
  </si>
  <si>
    <t>الأسبوع 6</t>
  </si>
  <si>
    <t>إغلاق جمع الأدلة</t>
  </si>
  <si>
    <t>كل الأدلة مُقيّمة</t>
  </si>
  <si>
    <t>مراجعة كفاية أدلة المحكات الأساسية (14 للبكالوريوس و16 للماجستير)</t>
  </si>
  <si>
    <t>ملاحظات الرئيسة</t>
  </si>
  <si>
    <t>الأسبوع 7</t>
  </si>
  <si>
    <t>كتابة الإجراء المطلوب والموعد لكل دليل ناقص</t>
  </si>
  <si>
    <t>خطة استكمال الأدلة</t>
  </si>
  <si>
    <t>اجتماع مناقشة الفجوات وتمييز المشتركة بين البرامج، وعرض د. عبير لحالة متطلبات التقدم</t>
  </si>
  <si>
    <t>فهرس الأدلة النهائي لكل برنامج</t>
  </si>
  <si>
    <t>3 فهارس</t>
  </si>
  <si>
    <t>الأسبوع 8</t>
  </si>
  <si>
    <t>إعداد تقرير الجاهزية لكل برنامج من لوحة المتابعة</t>
  </si>
  <si>
    <t>3 تقارير</t>
  </si>
  <si>
    <t>اجتماع مع إدارة الكلية: عرض الجاهزية والفجوات وخطة المعالجة والقرارات المطلوبة</t>
  </si>
  <si>
    <t>قرار اعتماد خطة المعالجة</t>
  </si>
  <si>
    <t>المتابعة (بدون اجتماع أسبوعي)</t>
  </si>
  <si>
    <t>• ملف مشترك (OneDrive / Google Drive): يعبّئ كل عضو ورقته مباشرة، ولوحة المتابعة تتحدث تلقائياً.</t>
  </si>
  <si>
    <t>• رسالة الخميس: ترسل أمينة اللجنة 3 أسطر في قروب اللجنة: نسبة الإنجاز لكل برنامج، ومن تأخر، وما يحتاج قراراً.</t>
  </si>
  <si>
    <t>• 3 اجتماعات للجنة عند المحطات: الانطلاق (الأسبوع 1)، ومنتصف الخطة (الأسبوع 4)، ومناقشة الفجوات (الأسبوع 7).</t>
  </si>
  <si>
    <t>طريقة تقييم الدليل</t>
  </si>
  <si>
    <t>• حالة الدليل: متوفر ومكتمل • متوفر ويحتاج تحسين • غير متوفر.</t>
  </si>
  <si>
    <t>• سبب النقص: غير معتمد • غير محدّث • لا يغطي المحك كاملاً • لا يثبت التطبيق الفعلي • لا توجد نتائج وتحسين.</t>
  </si>
  <si>
    <t>• الدليل "المكتمل": معتمد، ومحدّث، ويغطي المحك كاملاً، ويثبت التطبيق الفعلي، وفيه نتائج وتحسين.</t>
  </si>
  <si>
    <t>• الأولوية تلقائية: عالية إذا كان الدليل غير متوفر أو المحك أساسياً، ومتوسطة لبقية الناقص.</t>
  </si>
  <si>
    <t>• معالجة الفجوة تُكتب في سطر الدليل نفسه (الإجراء والموعد)، ولعرض الفجوات يُستخدم فلتر "حالة الدليل".</t>
  </si>
  <si>
    <t>• المراجعة: أمينة اللجنة تراجع كل الأدلة (الوجود، الرابط، الاعتماد والتاريخ، الترميز، المطابقة)، والرئيسة تراجع كفاية أدلة المحكات الأساسية.</t>
  </si>
  <si>
    <t>• الفترة الزمنية للأدلة: التقارير السنوية لآخر سنتين، ومؤشرات الأداء لآخر 3 سنوات.</t>
  </si>
  <si>
    <t>مؤجل بقرار اللجنة</t>
  </si>
  <si>
    <t>• الميزانية التقديرية.</t>
  </si>
  <si>
    <t>• نشر ثقافة الاعتماد: لقاء قصير قبل زيارة المراجعين.</t>
  </si>
  <si>
    <t>• اللجنة الاستشارية للاعتماد (خبراء يقدمون المشورة في عملية الاعتماد). أما اللجنة الاستشارية للبرنامج فهي دليل عادي في المحك 1-1-6 يُفحص في أوراق الفحص.</t>
  </si>
  <si>
    <t>ملاحظة عن الماجستير</t>
  </si>
  <si>
    <t>• يُقيَّم وفق معايير الدراسات العليا 2022 (56 محكاً منها 16 أساسياً، ومعيار سادس للبحث والمشاريع). أدلة المحكات المشتركة مأخوذة من دليل البكالوريوس، وأدلة المعيار 6 مقترحة ومعلّمة باللون الأحمر وتعتمدها رئيسة الجودة. ترقيم المحكات موحّد بالترتيب المعتاد (مثل 1-1-2).</t>
  </si>
  <si>
    <t>الإعدادات وتشكيل لجنة الاعتماد البرامجي</t>
  </si>
  <si>
    <t>هذه الصفحة هي المكان الوحيد لتعديل الأسماء: أي تعديل في الخلايا الصفراء يتحدث تلقائياً في الخطة وأوراق الفحص ولوحة المتابعة.</t>
  </si>
  <si>
    <t>البرامج</t>
  </si>
  <si>
    <t>البرنامج 1</t>
  </si>
  <si>
    <t>بكالوريوس علوم الحاسب</t>
  </si>
  <si>
    <t>البرنامج 2</t>
  </si>
  <si>
    <t>بكالوريوس علوم البيانات</t>
  </si>
  <si>
    <t>البرنامج 3</t>
  </si>
  <si>
    <t>ماجستير علوم البيانات</t>
  </si>
  <si>
    <t>يبدأ الأسبوع 1 يوم الأحد 25 أكتوبر 2026 – مدة الخطة 8 أسابيع.</t>
  </si>
  <si>
    <t>أعضاء اللجنة</t>
  </si>
  <si>
    <t>م</t>
  </si>
  <si>
    <t>الاسم</t>
  </si>
  <si>
    <t>الدور</t>
  </si>
  <si>
    <t>المسؤولية</t>
  </si>
  <si>
    <t>عدد الأدلة المسندة</t>
  </si>
  <si>
    <t>د. نهلة بنت سعد القثامي</t>
  </si>
  <si>
    <t>رئيسة اللجنة</t>
  </si>
  <si>
    <t>القيادة والمتابعة، واعتماد المخرجات، ومراجعة كفاية أدلة المعايير الأساسية (14 للبكالوريوس و16 للماجستير)، والتواصل مع إدارة الكلية</t>
  </si>
  <si>
    <t>د. عبير بنت عبدالله راجحي</t>
  </si>
  <si>
    <t>رئيسة الجودة</t>
  </si>
  <si>
    <t>متطلبات التقدم مع لجنة الجودة (التوصيفات، والتقارير السنوية، والإطار الوطني، ونواتج التعلم، ومؤشرات الأداء) وعرض حالتها في الأسبوعين 4 و7؛ واعتماد الأدلة المقترحة لمعيار البحث في الماجستير</t>
  </si>
  <si>
    <t>أ. فاطمة بنت سلمان الخزعل</t>
  </si>
  <si>
    <t>أمينة اللجنة والمراجِعة</t>
  </si>
  <si>
    <t>مراجعة جميع الأدلة أسبوعياً (الوجود، الرابط، الاعتماد والتاريخ، الترميز، المطابقة للمحك)، ولوحة المتابعة، ورسالة الخميس، والمحاضر</t>
  </si>
  <si>
    <t>د. سلطان بن سعيد الشمراني</t>
  </si>
  <si>
    <t>عضو</t>
  </si>
  <si>
    <t>المعيار 1: إدارة البرنامج (1-1) للبرامج الثلاثة</t>
  </si>
  <si>
    <t>د. احمد بن عوض البشري</t>
  </si>
  <si>
    <t>المعيار 2: نواتج التعلم والمنهج الدراسي (2-1، 2-2) للبرامج الثلاثة</t>
  </si>
  <si>
    <t>د. يثرب بنت سعد القحطاني</t>
  </si>
  <si>
    <t>المعيار 2: جودة التدريس وتقييم الطالب (2-3) للبرامج الثلاثة</t>
  </si>
  <si>
    <t>د. عبدالله بن محمد البركاتي</t>
  </si>
  <si>
    <t>عضو + مسؤول الفهرسة</t>
  </si>
  <si>
    <t>المعيار 3: الطالب للبرامج الثلاثة، ونظام ترميز الأدلة وفهرستها وفهرس الأدلة النهائي</t>
  </si>
  <si>
    <t>د. عمر بن محمد موسى</t>
  </si>
  <si>
    <t>المعيار 4: هيئة التدريس للبرامج الثلاثة، والمعيار 6: البحث والمشاريع للماجستير</t>
  </si>
  <si>
    <t>د. حسن بن سعد القحطاني</t>
  </si>
  <si>
    <t>المعيار 5: مصادر التعلم والمرافق، ومحور ضمان الجودة (1-2) للبرامج الثلاثة</t>
  </si>
  <si>
    <t>توزيع المحاور (المسؤول عن المحور للبرامج الثلاثة) – يمكن تغيير المسؤول من القائمة المنسدلة</t>
  </si>
  <si>
    <t>الرمز</t>
  </si>
  <si>
    <t>المحور</t>
  </si>
  <si>
    <t>عدد المحكات (البرامج الثلاثة)</t>
  </si>
  <si>
    <t>عدد الأدلة (البرامج الثلاثة)</t>
  </si>
  <si>
    <t>1-1</t>
  </si>
  <si>
    <t>إدارة البرنامج</t>
  </si>
  <si>
    <t>1-2</t>
  </si>
  <si>
    <t>ضمان جودة البرنامج</t>
  </si>
  <si>
    <t>2-1</t>
  </si>
  <si>
    <t>نواتج التعلم</t>
  </si>
  <si>
    <t>2-2</t>
  </si>
  <si>
    <t>المنهج الدراسي</t>
  </si>
  <si>
    <t>2-3</t>
  </si>
  <si>
    <t>جودة التدريس وتقييم الطالب</t>
  </si>
  <si>
    <t>3-0</t>
  </si>
  <si>
    <t>الطالب</t>
  </si>
  <si>
    <t>4-0</t>
  </si>
  <si>
    <t>هيئة التدريس</t>
  </si>
  <si>
    <t>5-0</t>
  </si>
  <si>
    <t>مصادر التعلم والمرافق والتجهيزات</t>
  </si>
  <si>
    <t>6-0</t>
  </si>
  <si>
    <t>البحث والمشاريع (ماجستير فقط)</t>
  </si>
  <si>
    <t>لوحة المتابعة (تتحدث تلقائياً)</t>
  </si>
  <si>
    <t>نسبة الاكتمال = الأدلة المتوفرة والمكتملة ÷ إجمالي الأدلة. تُستخدم هذه الصفحة لرسالة الخميس وتقرير الأسبوع 8.</t>
  </si>
  <si>
    <t>المعيار</t>
  </si>
  <si>
    <t>عدد الأدلة</t>
  </si>
  <si>
    <t>مكتمل</t>
  </si>
  <si>
    <t>يحتاج تحسين</t>
  </si>
  <si>
    <t>غير متوفر</t>
  </si>
  <si>
    <t>لم يُقيَّم</t>
  </si>
  <si>
    <t>نسبة الاكتمال</t>
  </si>
  <si>
    <t>أولوية عالية</t>
  </si>
  <si>
    <t>راجعتها أ. فاطمة</t>
  </si>
  <si>
    <t>1. إدارة البرنامج وضمان جودته</t>
  </si>
  <si>
    <t>2. التعليم والتعلم</t>
  </si>
  <si>
    <t>3. الطالب</t>
  </si>
  <si>
    <t>4. هيئة التدريس</t>
  </si>
  <si>
    <t>5. مصادر التعلم والمرافق والتجهيزات</t>
  </si>
  <si>
    <t>المحكات الأساسية ★</t>
  </si>
  <si>
    <t>الإجمالي</t>
  </si>
  <si>
    <t>6. البحث والمشاريع</t>
  </si>
  <si>
    <t>إنجاز الأعضاء (للبرامج الثلاثة)</t>
  </si>
  <si>
    <t>الأدلة المسندة</t>
  </si>
  <si>
    <t>تم تقييمها</t>
  </si>
  <si>
    <t>نسبة الإنجاز</t>
  </si>
  <si>
    <t>تحتاج تعديل</t>
  </si>
  <si>
    <t>أكثر أسباب النقص</t>
  </si>
  <si>
    <t>سبب النقص</t>
  </si>
  <si>
    <t>غير معتمد</t>
  </si>
  <si>
    <t>غير محدّث</t>
  </si>
  <si>
    <t>لا يغطي المحك كاملاً</t>
  </si>
  <si>
    <t>لا يثبت التطبيق الفعلي</t>
  </si>
  <si>
    <t>لا توجد نتائج وتحسين</t>
  </si>
  <si>
    <t>متطلبات التقدم للاعتماد البرامجي وأين تُعالج في خطتنا</t>
  </si>
  <si>
    <t>مرجع للجنة: متطلبات التقدم كما في عرض المركز الوطني للتقويم والاعتماد الأكاديمي (النماذج المعتمدة إصدار 2024)، ومكان معالجة كل بند والمسؤول عنه.</t>
  </si>
  <si>
    <t>المتطلب</t>
  </si>
  <si>
    <t>المطلوب تحديداً</t>
  </si>
  <si>
    <t>أين يُعالج</t>
  </si>
  <si>
    <t>ملاحظة</t>
  </si>
  <si>
    <t>شرطا الأهلية</t>
  </si>
  <si>
    <t>الترخيص</t>
  </si>
  <si>
    <t>قرار إنشاء البرنامج أو قرار ترخيصه النهائي</t>
  </si>
  <si>
    <t>محقق – يُجلب القرار</t>
  </si>
  <si>
    <t>قرار الإنشاء أو الترخيص لكل برنامج من البرامج الثلاثة</t>
  </si>
  <si>
    <t>دفعة متخرجة</t>
  </si>
  <si>
    <t>تخرّج دفعة واحدة على الأقل من البرنامج</t>
  </si>
  <si>
    <t>محقق</t>
  </si>
  <si>
    <t>—</t>
  </si>
  <si>
    <t>تخرّجت دفعات من البرامج الثلاثة</t>
  </si>
  <si>
    <t>متطلبات التقدم</t>
  </si>
  <si>
    <t>الإطار الوطني للمؤهلات (TP-150)</t>
  </si>
  <si>
    <t>تقرير اتساق البرنامج مع الإطار الوطني</t>
  </si>
  <si>
    <t>لجنة الجودة</t>
  </si>
  <si>
    <t>تُعرض حالته في اجتماعي الأسبوعين 4 و7</t>
  </si>
  <si>
    <t>التوصيفات (TP-151، TP-153، TP-155)</t>
  </si>
  <si>
    <t>توصيف البرنامج وجميع المقررات والخبرة الميدانية (إن وُجدت) وفق نماذج المركز</t>
  </si>
  <si>
    <t>تُعرض حالتها في اجتماعي الأسبوعين 4 و7</t>
  </si>
  <si>
    <t>التقارير السنوية (TP-152، TP-154، TP-156)</t>
  </si>
  <si>
    <t>تقرير البرنامج لآخر سنتين وتقارير المقررات والخبرة الميدانية</t>
  </si>
  <si>
    <t>خطة تقييم نواتج التعلم وتقاريرها</t>
  </si>
  <si>
    <t>مؤشرات الأداء</t>
  </si>
  <si>
    <t>القياس والمقارنة المرجعية لآخر ثلاث سنوات</t>
  </si>
  <si>
    <t>الدراسة الذاتية (TP-102)</t>
  </si>
  <si>
    <t>مقاييس التقويم الذاتي والتقرير والأدلة الداعمة</t>
  </si>
  <si>
    <t>المرحلة التالية بعد الخطة</t>
  </si>
  <si>
    <t>تُكتب بعد جمع الأدلة ومعالجة الفجوات</t>
  </si>
  <si>
    <t>تُستكمل معها</t>
  </si>
  <si>
    <t>أدلة البرنامج ولوائحه</t>
  </si>
  <si>
    <t>أدلة البرنامج وسياساته ولوائحه</t>
  </si>
  <si>
    <t>داخل المحكات في أوراق الفحص</t>
  </si>
  <si>
    <t>أعضاء الفحص</t>
  </si>
  <si>
    <t>مثل 1-1-5 و1-1-7 و1-1-8 و1-1-9 و2-2-1 و3-0-1 و3-0-2 و3-0-3</t>
  </si>
  <si>
    <t>نظام ضمان الجودة</t>
  </si>
  <si>
    <t>نظام جودة البرنامج المنسجم مع النظام المؤسسي</t>
  </si>
  <si>
    <t>المحك 1-2-1 في أوراق الفحص</t>
  </si>
  <si>
    <t>اللجنة الاستشارية للبرنامج</t>
  </si>
  <si>
    <t>قرار تشكيلها ومهامها ومحاضرها</t>
  </si>
  <si>
    <t>المحك 1-1-6 في أوراق الفحص</t>
  </si>
  <si>
    <t>الوضع المؤسسي</t>
  </si>
  <si>
    <t>المؤسسة معتمدة أو مؤهلة مؤسسياً</t>
  </si>
  <si>
    <t>الجامعة حاصلة على الاعتماد المؤسسي الكامل</t>
  </si>
  <si>
    <t>نموذج مقترح: مراجعة رسالة البرنامج وأهدافه (للنقاش في اللجنة)</t>
  </si>
  <si>
    <t>لا يوجد نموذج مستقل من الهيئة لهذه المراجعة؛ الرسالة والأهداف تُكتب رسمياً في توصيف البرنامج (TP-151) ويُسأل عنها في الدراسة الذاتية (TP-102). يُستحسن سؤال عمادة الجودة عن نموذج داخلي قبل اعتماد هذا المقترح.</t>
  </si>
  <si>
    <t>الهدف: الحصول على أدلة المحك 1-1-1 الأربعة لكل برنامج: مصفوفة الاتساق، وإعلان الرسالة على الموقع، والخطة التشغيلية، وتقرير استطلاع المستفيدين.</t>
  </si>
  <si>
    <t>① الأسئلة الثلاثة</t>
  </si>
  <si>
    <t>هل هي متسقة؟</t>
  </si>
  <si>
    <t>كل هدف من أهداف البرنامج مرتبط بهدف من أهداف الكلية والجامعة (مصفوفة الاتساق).</t>
  </si>
  <si>
    <t>هل هي واضحة ومعروفة؟</t>
  </si>
  <si>
    <t>استطلاع قصير لأعضاء هيئة التدريس والطلاب والخريجين وجهات التوظيف.</t>
  </si>
  <si>
    <t>هل هي مطبّقة؟</t>
  </si>
  <si>
    <t>الخطة التشغيلية ونواتج التعلم مبنية على هذه الأهداف.</t>
  </si>
  <si>
    <t>② الخطوات</t>
  </si>
  <si>
    <t>الخطوة</t>
  </si>
  <si>
    <t>جمع الوثائق: رسالة الجامعة والكلية وأهدافهما، ورسالة البرنامج الحالية، والتوصيف، والخطة التشغيلية</t>
  </si>
  <si>
    <t>ملف الوثائق</t>
  </si>
  <si>
    <t>الفحص بقائمة التحقق ③</t>
  </si>
  <si>
    <t>قائمة تحقق معبأة</t>
  </si>
  <si>
    <t>تعبئة مصفوفة الاتساق ④</t>
  </si>
  <si>
    <t>مصفوفة الاتساق</t>
  </si>
  <si>
    <t>الاستطلاع ⑤ (نموذج إلكتروني لمدة أسبوع)</t>
  </si>
  <si>
    <t>تقرير الاستطلاع</t>
  </si>
  <si>
    <t>القرار: إبقاء / تعديل طفيف / إعادة صياغة</t>
  </si>
  <si>
    <t>توصية اللجنة</t>
  </si>
  <si>
    <t>الاعتماد من المجلس (إن عُدّلت)</t>
  </si>
  <si>
    <t>محضر الاعتماد</t>
  </si>
  <si>
    <t>النشر: الموقع، دليل الطالب، التوصيف</t>
  </si>
  <si>
    <t>روابط النشر</t>
  </si>
  <si>
    <t>③ قائمة التحقق</t>
  </si>
  <si>
    <t>السؤال</t>
  </si>
  <si>
    <t>الرسالة مختصرة وواضحة ويسهل تذكرها</t>
  </si>
  <si>
    <t>الرسالة تبيّن ما يميز البرنامج</t>
  </si>
  <si>
    <t>الرسالة متسقة مع رسالة الكلية والجامعة</t>
  </si>
  <si>
    <t>الأهداف تغطي التعليم والبحث وخدمة المجتمع</t>
  </si>
  <si>
    <t>الأهداف محددة وقابلة للقياس ولكل هدف مؤشر</t>
  </si>
  <si>
    <t>الأهداف مرتبطة بنواتج التعلم وخصائص الخريجين</t>
  </si>
  <si>
    <t>الأهداف تراعي احتياجات سوق العمل</t>
  </si>
  <si>
    <t>الرسالة والأهداف معتمدة ومنشورة</t>
  </si>
  <si>
    <t>الخطة التشغيلية مبنية على الأهداف</t>
  </si>
  <si>
    <t>④ مصفوفة الاتساق (لكل برنامج نسخة) – ضع ✓ عند وجود ارتباط</t>
  </si>
  <si>
    <t>هدف البرنامج</t>
  </si>
  <si>
    <t>هدف الكلية ...</t>
  </si>
  <si>
    <t>هدف الجامعة ...</t>
  </si>
  <si>
    <t>الهدف 1: ...</t>
  </si>
  <si>
    <t>الهدف 2: ...</t>
  </si>
  <si>
    <t>الهدف 3: ...</t>
  </si>
  <si>
    <t>الهدف 4: ...</t>
  </si>
  <si>
    <t>الهدف 5: ...</t>
  </si>
  <si>
    <t>⑤ أسئلة الاستطلاع (موافق بشدة ← غير موافق بشدة)</t>
  </si>
  <si>
    <t>أعرف رسالة البرنامج وأهدافه.</t>
  </si>
  <si>
    <t>الرسالة والأهداف واضحة ومفهومة.</t>
  </si>
  <si>
    <t>الرسالة تعبّر عما يميز البرنامج.</t>
  </si>
  <si>
    <t>أنشطة البرنامج ومقرراته تحقق رسالته وأهدافه.</t>
  </si>
  <si>
    <t>الأهداف تلبي احتياجات سوق العمل.</t>
  </si>
  <si>
    <t>سؤال مفتوح: ما مقترحك لتحسين الرسالة أو الأهداف؟</t>
  </si>
  <si>
    <t>عبّئ الخلايا الصفراء: حالة الدليل، وإن كان ناقصاً: السبب والإجراء والموعد، ثم رابط الدليل. الأعمدة P–Q لأ. فاطمة. الصفوف المظللة = محكات أساسية ★</t>
  </si>
  <si>
    <t>نص المحك</t>
  </si>
  <si>
    <t>أساسي</t>
  </si>
  <si>
    <t>الدليل / الشاهد</t>
  </si>
  <si>
    <t>مصدر الدليل</t>
  </si>
  <si>
    <t>حالة الدليل</t>
  </si>
  <si>
    <t>الأولوية</t>
  </si>
  <si>
    <t>الإجراء المطلوب</t>
  </si>
  <si>
    <t>الموعد</t>
  </si>
  <si>
    <t>رابط الدليل في المستودع</t>
  </si>
  <si>
    <t>ملاحظات العضو</t>
  </si>
  <si>
    <t>مراجعة أ. فاطمة</t>
  </si>
  <si>
    <t>ملاحظات المراجعة</t>
  </si>
  <si>
    <t>1-1-1</t>
  </si>
  <si>
    <t>تتسق رسالة البرنامج وأهدافه مع رسالة المؤسسة/الكلية وتوجّه جميع عملياته وأنشطته.</t>
  </si>
  <si>
    <t>مصفوفة اتساق رسالة وأهداف البرنامج مع رسالة وأهداف الجامعة والكلية.</t>
  </si>
  <si>
    <t>الدليل الاسترشادي</t>
  </si>
  <si>
    <t>إعلان رسالة وأهداف البرنامج على الموقع الإلكتروني للبرنامج.</t>
  </si>
  <si>
    <t>الخطة التشغيلية للبرنامج وتقاريرها وتشمل البحث العلمي وخدمة المجتمع.</t>
  </si>
  <si>
    <t>تقرير استطلاع رأي المستفيدين حول وضوح ونشر الرسالة والأهداف.</t>
  </si>
  <si>
    <t>1-1-2</t>
  </si>
  <si>
    <t>يتوفر لدى البرنامج العدد الكافي من الكوادر المؤهلة للقيام بالمهام الإدارية والمهنية والفنية، ولهم مهام وصلاحيات محددة.</t>
  </si>
  <si>
    <t>★</t>
  </si>
  <si>
    <t>قاعدة بيانات محدثة لأعضاء هيئة التدريس بالبرنامج والإداريين والفنيين.</t>
  </si>
  <si>
    <t>السير الذاتية لأعضاء هيئة التدريس، وقيادات البرنامج، والإداريين، والفنيين.</t>
  </si>
  <si>
    <t>نماذج من تشكيلات اللجان بالبرنامج محددة المهام.</t>
  </si>
  <si>
    <t>معايير اختيار القيادات الأكاديمية والإدارية.</t>
  </si>
  <si>
    <t>استبانة تقييم القيادات الأكاديمية والإدارية بالبرنامج.</t>
  </si>
  <si>
    <t>1-1-3</t>
  </si>
  <si>
    <t>يتوفر للبرنامج منظومة تحفيزية وبيئة أكاديمية داعمة.</t>
  </si>
  <si>
    <t>دليل جوائز التميز بالكلية/الجامعة.</t>
  </si>
  <si>
    <t>نماذج من شهادات (تميز/تقدير) منسوبي البرنامج والإداريين والفنيين.</t>
  </si>
  <si>
    <t>قائمة بالمرافق والتجهيزات التعليمية والبحثية للبرنامج.</t>
  </si>
  <si>
    <t>قائمة بالمرافق والتجهيزات الخاصة بالأنشطة اللاصفية بالبرنامج.</t>
  </si>
  <si>
    <t>تقييمات أعضاء هيئة التدريس والإداريين والفنيين والطلاب للمناخ التنظيمي والبيئة الأكاديمية.</t>
  </si>
  <si>
    <t>1-1-4</t>
  </si>
  <si>
    <t>يتم القياس المستمر لمؤشرات أداء البرنامج الرئيسة، وتُتخذ الإجراءات اللازمة للتحسين.</t>
  </si>
  <si>
    <t>تقرير مؤشرات الأداء الرئيسة للبرنامج.</t>
  </si>
  <si>
    <t>تقرير إنجاز الخطة التشغيلية للبرنامج مع خطة التحسين.</t>
  </si>
  <si>
    <t>1-1-5</t>
  </si>
  <si>
    <t>يوثّق البرنامج وينشر السياسات والحقوق والواجبات الخاصة بمنسوبيه بصورة معلنة، ويطبق آليات تضمن النزاهة والعدالة والمساواة في جميع ممارساته الأكاديمية والإدارية بين شطري الطلاب والطالبات والفروع (إن وجدت).</t>
  </si>
  <si>
    <t>لوحة/دليل موضح فيه السياسات والحقوق والواجبات وتكون معلنة.</t>
  </si>
  <si>
    <t>استطلاع رأي أعضاء هيئة التدريس والطلبة عن تطبيق إدارة البرنامج لآليات النزاهة والعدالة والمساواة.</t>
  </si>
  <si>
    <t>الشواهد على مدى تكافؤ الإمكانيات المادية والبشرية بين شطري الطالب والطالبات.</t>
  </si>
  <si>
    <t>تشكيل اللجان والمجالس العاملة بالقسم بما يتضمن إشراك الجنسين والفروع (إن وجدت)، وكذا تمويل الأبحاث والمشاريع وحضور المؤتمرات.</t>
  </si>
  <si>
    <t>1-1-6</t>
  </si>
  <si>
    <t>تستفيد إدارة البرنامج من آراء المختصين والخبراء في تشكيل لجنة استشارية متنوعة الأعضاء وموضحة المهام، وتخصص البرنامج في تقييم وتطوير وتحسين أدائه.</t>
  </si>
  <si>
    <t>قرار تشكيل اللجنة الاستشارية للبرنامج المتنوعة الأعضاء والموضح مهامها.</t>
  </si>
  <si>
    <t>نماذج من محاضر اللجنة الاستشارية للبرنامج متضمنة التوصيات وخطط تفعيلها.</t>
  </si>
  <si>
    <t>تقرير استطلاع رأي جهات التوظيف حول الخريجين وتوصيات وخطط التحسين.</t>
  </si>
  <si>
    <t>محاضر مجلس القسم متضمنة مناقشة توصيات اللجنة الاستشارية واستطلاع رأي جهات التوظيف وأي مقترحات تطوير من خبراء التخصص.</t>
  </si>
  <si>
    <t>1-1-7</t>
  </si>
  <si>
    <t>تتيح إدارة البرنامج معلومات موثوقة ومحدّثة تُبرز إنجازات البرنامج بما يتناسب مع احتياجات المستفيدين.</t>
  </si>
  <si>
    <t>الدليل التعريفي للبرنامج.</t>
  </si>
  <si>
    <t>الموقع الإلكتروني للبرنامج متضمناً توصيف البرنامج والمقررات الدراسية وأنشطته وإنجازاته محدّثاً.</t>
  </si>
  <si>
    <t>أنشطة لجنة خدمة المجتمع للتعريف بالبرنامج وإمكاناته والخدمات التي يقدمها للمجتمع.</t>
  </si>
  <si>
    <t>نماذج من إعلانات ولقاءات التعريف بالبرنامج مع المستفيدين.</t>
  </si>
  <si>
    <t>نتائج استطلاع رأي المستفيدين حول إتاحة المعلومات الخاصة بالبرنامج.</t>
  </si>
  <si>
    <t>1-1-8</t>
  </si>
  <si>
    <t>تلتزم إدارة البرنامج بتفعيل قيم الأمانة العلمية وحقوق الملكية الفكرية وقواعد الممارسات الأخلاقية والسلوك القويم في جميع المجالات والأنشطة الأكاديمية والبحثية والإدارية والخدمية.</t>
  </si>
  <si>
    <t>السياسات والإجراءات الموثقة التي يطبقها البرنامج بشأن عمليات الاقتباس والملكية الفكرية للطلبة وأعضاء هيئة التدريس.</t>
  </si>
  <si>
    <t>دليل الإطار الأخلاقي للطلبة ومنسوبي الجامعة.</t>
  </si>
  <si>
    <t>دليل أخلاقيات البحث العلمي.</t>
  </si>
  <si>
    <t>قائمة بالدورات التدريبية المتعلقة بقيم الأمانة العلمية وحقوق الملكية الفكرية وقواعد الممارسات الأخلاقية.</t>
  </si>
  <si>
    <t>نماذج من تعميمات رئيس القسم على ضرورة الالتزام بقيم الأمانة العلمية وحقوق الملكية الفكرية.</t>
  </si>
  <si>
    <t>عينات من تقارير فحص الاستلال العلمي لأعمال الطلبة.</t>
  </si>
  <si>
    <t>1-1-9</t>
  </si>
  <si>
    <t>تتبنى إدارة البرنامج آلية واضحة وإجراءات معتمدة من قِبل المؤسسة/الكلية للشكاوى والتظلم والقضايا التأديبية.</t>
  </si>
  <si>
    <t>سياسات وآليات الشكاوى والتظلم المعتمدة سواء للطالب أو أعضاء هيئة التدريس.</t>
  </si>
  <si>
    <t>نماذج من محاضر الرفع بالشكاوى والتظلمات وقرارات الرد عليها.</t>
  </si>
  <si>
    <t>نماذج من قرارات لجان التأديب.</t>
  </si>
  <si>
    <t>استطلاعات رأي المستفيدين حول عدالة التعامل مع الشكاوى والتظلمات.</t>
  </si>
  <si>
    <t>1-2-1</t>
  </si>
  <si>
    <t>تتبنى إدارة البرنامج نظاماً إدارياً كاملاً ومعلناً لضمان الجودة، ينسجم مع نظام الجودة المؤسسي.</t>
  </si>
  <si>
    <t>دليل ضمان الجودة بالبرنامج.</t>
  </si>
  <si>
    <t>دليل ضمان الجودة بالجامعة.</t>
  </si>
  <si>
    <t>الهيكل التنظيمي الموثق والمعلن للبرنامج متضمناً اللجان العاملة به.</t>
  </si>
  <si>
    <t>قرارات تشكيل لجان الجودة بالبرنامج.</t>
  </si>
  <si>
    <t>1-2-2</t>
  </si>
  <si>
    <t>يقوم البرنامج بتحليل مؤشرات الأداء الرئيسة وبيانات التقويم سنوياً، ويُستفاد منها في عمليات التخطيط والتطوير واتخاذ القرارات.</t>
  </si>
  <si>
    <t>تقارير قياس مؤشرات الأداء الرئيسة وتشمل المقارنات المرجعية.</t>
  </si>
  <si>
    <t>مناقشة تقارير قياس مؤشرات الأداء في مجلس القسم والخطط التحسينية والقرارات المبنية عليها.</t>
  </si>
  <si>
    <t>معايير البرنامج/المؤسسة لاختيار جهات المقارنة المرجعية.</t>
  </si>
  <si>
    <t>1-2-3</t>
  </si>
  <si>
    <t>يُجري البرنامج تقويماً دورياً شاملاً ووفق خطة للتحسين ويتابع تنفيذها.</t>
  </si>
  <si>
    <t>سياسات إجراء التقويم الدوري الشامل للبرنامج.</t>
  </si>
  <si>
    <t>تشكيلات لجان تنفيذ عمليات التقويم الدوري الشامل للبرنامج.</t>
  </si>
  <si>
    <t>تقارير التقويم الدوري الشامل للبرنامج مع الخطط التحسينية.</t>
  </si>
  <si>
    <t>مناقشة نتائج عملية التقويم الشامل في مجلس القسم.</t>
  </si>
  <si>
    <t>تقرير الدراسة الذاتية السابقة (إن وجد).</t>
  </si>
  <si>
    <t>تقارير متابعة الخطط التحسينية للبرنامج.</t>
  </si>
  <si>
    <t>2-1-1</t>
  </si>
  <si>
    <t>تُحدَّد نواتج تعلم البرنامج المستهدفة وتتواءم مع خصائص الخريجين على المستوى المؤسسي، ويتم اعتمادها من مجلس القسم والكلية ومراجعتها دورياً.</t>
  </si>
  <si>
    <t>توصيف البرنامج (يشمل نواتج تعلم البرنامج) معتمد من مجلس القسم والكلية.</t>
  </si>
  <si>
    <t>الدليل الإجرائي لصياغة وقياس نواتج التعلم على مستوى البرنامج / المؤسسة.</t>
  </si>
  <si>
    <t>مصفوفة الاتساق بين نواتج تعلم البرنامج والمعايير الأكاديمية التخصصية (الاختبارات المعيارية – جاهزية أو ما يكافئها).</t>
  </si>
  <si>
    <t>مصفوفة الاتساق بين نواتج تعلم البرنامج ورسالته.</t>
  </si>
  <si>
    <t>مصفوفة الاتساق بين نواتج تعلم البرنامج وخصائص خريجي الجامعة.</t>
  </si>
  <si>
    <t>استطلاعات رأي الطلاب والخريجين وجهات التوظيف حول مدى وضوح نواتج التعلم.</t>
  </si>
  <si>
    <t>تقارير اللجان المعنية التي تفيد مراجعة نواتج التعلم.</t>
  </si>
  <si>
    <t>عينة من وسائل إعلان نواتج التعلم مثل الموقع الإلكتروني للبرنامج وكتيب البرنامج.</t>
  </si>
  <si>
    <t>سياسات إجراء التقويم الدوري الشامل للبرنامج (وتشمل السياسات والإجراءات المعتمدة للمراجعة الدورية لنواتج تعلم البرنامج).</t>
  </si>
  <si>
    <t>تقرير توافق نواتج تعلم البرنامج مع الإطار الوطني للمؤهلات (نموذج الاتساق مع الإطار الوطني للمؤهلات).</t>
  </si>
  <si>
    <t>2-1-2</t>
  </si>
  <si>
    <t>تتوافق نواتج التعلم مع متطلبات الإطار الوطني للمؤهلات والمعايير التخصصية ومتطلبات سوق العمل.</t>
  </si>
  <si>
    <t>مصفوفة الاتساق بين نواتج تعلم البرنامج والمعايير التخصصية.</t>
  </si>
  <si>
    <t>تقارير استطلاعات رأي جهات التوظيف حول توافق نواتج التعلم مع متطلبات سوق العمل.</t>
  </si>
  <si>
    <t>نماذج من محاضر لجان ومجلس القسم لمناقشة توافق خصائص الخريجين ونواتج التعلم مع متطلبات سوق العمل.</t>
  </si>
  <si>
    <t>2-1-3</t>
  </si>
  <si>
    <t>يحدد البرنامج نواتج تعلم للمسارات المختلفة (إن وجدت).</t>
  </si>
  <si>
    <t>توصيف البرنامج (يشمل نواتج تعلم المسارات المختلفة بالبرنامج إن وجدت) معتمد من مجلس القسم والكلية.</t>
  </si>
  <si>
    <t>مصفوفة الاتساق بين نواتج التعلم المحددة بالمسارات المختلفة (إن وجدت) وخصائص خريجي الجامعة.</t>
  </si>
  <si>
    <t>استطلاعات الرأي المتعلقة بإشراك المستفيدين في تحديد نواتج التعلم في المسارات المختلفة.</t>
  </si>
  <si>
    <t>تقرير استطلاعات الرأي حول رضا المستفيدين عن مدى وضوح نواتج التعلم في المسارات المحددة بالبرنامج.</t>
  </si>
  <si>
    <t>2-1-4</t>
  </si>
  <si>
    <t>يطبق البرنامج آليات وأدوات مناسبة لقياس نواتج التعلم والتحقق من استيفائها وفق مستويات أداء وخطط تقييم محددة.</t>
  </si>
  <si>
    <t>خطة قياس نواتج تعلم البرنامج.</t>
  </si>
  <si>
    <t>تقرير البرنامج لآخر عامين موضحاً به تقييم نواتج التعلم وخطط التحسين المرتبطة بتقييم نواتج التعلم.</t>
  </si>
  <si>
    <t>تقارير قياس نواتج تعلم البرنامج والخطة التحسينية.</t>
  </si>
  <si>
    <t>2-1-5</t>
  </si>
  <si>
    <t>يتبنى البرنامج استراتيجيات واضحة ومعتمدة للتعليم والتعلم والتقييم تحقق فلسفته التعليمية وتكفل تحقيق نواتج التعلم في البرنامج.</t>
  </si>
  <si>
    <t>توصيف البرنامج (يشمل استراتيجيات التعليم والتعلم وطرق تقويم نواتج التعلم للبرنامج) معتمد من مجلس القسم والكلية.</t>
  </si>
  <si>
    <t>نماذج من تقارير المقررات والبرنامج تظهر الخطط التطويرية بها والمبنية على نتائج تقييم تحقق نواتج التعلم.</t>
  </si>
  <si>
    <t>الدورات التدريبية المقدمة لأعضاء هيئة التدريس حول استراتيجيات التدريس وأساليب التقويم.</t>
  </si>
  <si>
    <t>استطلاع رأي الطلاب حول استراتيجيات التعليم والتعلم وأساليب التقييم.</t>
  </si>
  <si>
    <t>2-2-1</t>
  </si>
  <si>
    <t>يراعي المنهج الدراسي تحقيق أهداف البرنامج ونواتجه التعليمية والتطورات العلمية والتقنية والمهنية في مجال التخصص، ويُراجع بصورة دورية.</t>
  </si>
  <si>
    <t>الدليل الإجرائي لاستحداث وتطوير البرامج والخطط الدراسية.</t>
  </si>
  <si>
    <t>توصيف البرنامج (يشمل مصفوفة الربط بين كل من نواتج تعلم البرنامج والمقررات) معتمد من مجلس القسم والكلية.</t>
  </si>
  <si>
    <t>توصيفات المقررات موضحاً بها أحدث الكتب والمراجع المقررة في مجال التخصص.</t>
  </si>
  <si>
    <t>محاضر اجتماع اللجنة الاستشارية واللجان المعنية ومجلس القسم التي ناقشت تطوير الخطة الدراسية.</t>
  </si>
  <si>
    <t>استطلاعات رأي الخريجين وأرباب العمل حول مواكبة نواتج تعلم البرنامج للتطورات العلمية والتقنية والمهنية.</t>
  </si>
  <si>
    <t>نماذج من محاضر مراجعة توصيف البرنامج وتوصيف المقررات متضمنة التطورات التي تم إقرارها.</t>
  </si>
  <si>
    <t>2-2-2</t>
  </si>
  <si>
    <t>تحقق الخطة الدراسية التوازن بين المتطلبات العامة ومتطلبات التخصص، وبين الجوانب النظرية والتطبيقية، كما تراعي التتابع والتكامل بين المقررات الدراسية.</t>
  </si>
  <si>
    <t>مصفوفة التوازن بين المتطلبات العامة (الكلية) ومتطلبات التخصص في الخطة الدراسية للبرنامج.</t>
  </si>
  <si>
    <t>مصفوفة التوازن بين الجوانب النظرية والتطبيقية في الخطة الدراسية للبرنامج وفق المقارنة المرجعية الخارجية.</t>
  </si>
  <si>
    <t>تقييم مراجع مستقل حول التوازن والتتابع والتكامل في الخطة الدراسية للبرنامج.</t>
  </si>
  <si>
    <t>2-2-3</t>
  </si>
  <si>
    <t>يراعى في بناء الخطة الدراسية للبرنامج تحديد متطلبات نقاط الخروج (إن وجدت) طبقاً للممارسات العالمية والبرامج المناظرة.</t>
  </si>
  <si>
    <t>تقرير مختصر معتمد يوضح نسب التوازن بين الجوانب النظرية والتطبيقية في خطة البرنامج.</t>
  </si>
  <si>
    <t>دليل البرنامج موضحاً به مسارات البرنامج ونقاط التخرج.</t>
  </si>
  <si>
    <t>المقارنات المرجعية التي تم الاستناد عليها في بناء نقاط الخروج.</t>
  </si>
  <si>
    <t>توصيف البرنامج موضحاً به نقاط الخروج (إن وجدت).</t>
  </si>
  <si>
    <t>2-2-4</t>
  </si>
  <si>
    <t>ترتبط نواتج التعلم بالمقررات بنواتج التعلم بالبرنامج (مصفوفة توزيع نواتج تعلم البرنامج على المقررات).</t>
  </si>
  <si>
    <t>توصيف الخبرة الميدانية (إن وجد).</t>
  </si>
  <si>
    <t>دليل التدريب الميداني/التعاوني (إن وجد).</t>
  </si>
  <si>
    <t>توصيف البرنامج المعتمد (جزئية استراتيجيات التدريس وطرق التقويم) مع آراء المحكمين له (إن وجدت) حول توافق ومناسبة استراتيجيات التعليم والتعلم وطرق التقييم.</t>
  </si>
  <si>
    <t>2-2-5</t>
  </si>
  <si>
    <t>تتنوع استراتيجيات التعليم والتعلم وطرق التقييم في البرنامج بما يتناسب مع طبيعته ومستواه وتتوافق مع نواتج التعلم المستهدفة على مستوى البرنامج والمقررات.</t>
  </si>
  <si>
    <t>نماذج من محاضر اللجان الاستشارية التي ناقشت توافق ومناسبة استراتيجيات التعليم والتعلم وطرق التقييم.</t>
  </si>
  <si>
    <t>تقرير استطلاع رأي الطلبة والخريجين حول استراتيجيات التعليم والتعلم وطرق التقييم.</t>
  </si>
  <si>
    <t>2-2-6</t>
  </si>
  <si>
    <t>يتحقق البرنامج من فاعلية التدريب الميداني وجودة الإشراف عليه، ويتابع البرنامج قدرته على تحقيق المخرجات الموكلة إليه بآليات محددة.</t>
  </si>
  <si>
    <t>نماذج من توزيع الطالب وهيئة التدريس على التدريب الميداني.</t>
  </si>
  <si>
    <t>نماذج من تقارير التدريب الميداني.</t>
  </si>
  <si>
    <t>استطلاعات وتقارير رضا الطلاب وهيئة التدريس عن أنشطة التدريب الميداني.</t>
  </si>
  <si>
    <t>2-2-7</t>
  </si>
  <si>
    <t>يتأكد البرنامج من تطبيق موحد للخطة الدراسية وتوصيف البرنامج والمقررات التي تُقدم في أكثر من موقع (أقسام الطلاب والطالبات وفي الفروع المختلفة).</t>
  </si>
  <si>
    <t>أدلة تثبت التطبيق الموحد (مثل التعميمات والتقارير) في الشطرين والفروع للخطة الدراسية وتوصيف البرنامج والمقررات والاختبارات.</t>
  </si>
  <si>
    <t>نماذج من تقارير المقررات والبرنامج موضحاً بها توحيد الخطة بين البنين والبنات والفروع المختلفة.</t>
  </si>
  <si>
    <t>2-3-1</t>
  </si>
  <si>
    <t>يتحقق البرنامج من فعالية استراتيجيات التعليم والتعلم وطرق التقييم الواردة في توصيفات البرنامج والمقررات، ومدى التزام هيئة التدريس بها من خلال آليات محددة.</t>
  </si>
  <si>
    <t>التعاميم الواردة من إدارة البرنامج بضرورة الالتزام باستراتيجيات التعليم والتعلم وطرق التقييم الواردة في توصيفات البرنامج والمقررات.</t>
  </si>
  <si>
    <t>نماذج من ملف المقرر.</t>
  </si>
  <si>
    <t>تقرير تقييم الطلبة للمقرر وخاصة حول مدى التزام أعضاء هيئة التدريس باستراتيجيات التعليم والتعلم وأساليب التقويم المحددة في توصيف البرنامج والمقررات الدراسية.</t>
  </si>
  <si>
    <t>تقارير الزيارات المتبادلة بين أعضاء هيئة التدريس حول الالتزام باستراتيجيات التعليم والتعلم وطرق التقييم.</t>
  </si>
  <si>
    <t>قائمة دورات تدريب أعضاء هيئة التدريس على استراتيجيات التعليم والتعلم وطرق التقييم واستخدام التقنيات في التعليم.</t>
  </si>
  <si>
    <t>2-3-2</t>
  </si>
  <si>
    <t>يُقدم التدريب اللازم لهيئة التدريس على استراتيجيات التعليم والتعلم وطرق التقييم المحددة لتحقيق تميز البرنامج والمقررات والاستخدام الفعال للتقنية الحديثة والمتطورة.</t>
  </si>
  <si>
    <t>قائمة حضور أعضاء هيئة التدريس بالبرنامج للدورات التدريبية، ونماذج من شهادات الحضور.</t>
  </si>
  <si>
    <t>تقييم رضا أعضاء هيئة التدريس عن الدورات التدريبية المقدمة لهم.</t>
  </si>
  <si>
    <t>تقرير عمادة التعليم الإلكتروني للبرنامج حول تفعيل تقنيات التعليم في التدريس.</t>
  </si>
  <si>
    <t>مناقشة مجلس القسم لتقرير عمادة التعليم الإلكتروني للبرنامج حول تفعيل تقنيات التعليم في التدريس.</t>
  </si>
  <si>
    <t>2-3-3</t>
  </si>
  <si>
    <t>يُزوَّد الطالب في بداية تدريس كل مقرر بمعلومات شاملة عن نواتج التعلم واستراتيجيات التعليم والتعلم وطرق التقييم ومواعيدها وما يتوقع منهم خلال دراسة المقرر، ويُقدم لهم تغذية راجعة عن أدائهم.</t>
  </si>
  <si>
    <t>نماذج من إعلان توصيف المقررات الدراسية للطلبة إلكترونياً.</t>
  </si>
  <si>
    <t>تقرير تقييم الطلبة للمقرر حول تزويدهم بمعلومات شاملة تتضمن: نواتج التعلم، واستراتيجيات التعليم والتعلم وطرق التقييم، ومواعيدها، وتزويدهم بتغذية راجعة عن أدائهم.</t>
  </si>
  <si>
    <t>عينات من التغذية الراجعة المقدمة للطلبة.</t>
  </si>
  <si>
    <t>2-3-4</t>
  </si>
  <si>
    <t>يتبنى البرنامج آليات لدعم وتحفيز التميز في التدريس وتشجيع الإبداع والابتكار لدى هيئة التدريس.</t>
  </si>
  <si>
    <t>جوائز التميز على مستوى البرنامج/المؤسسة حول التميز في التدريس والإبداع والابتكار.</t>
  </si>
  <si>
    <t>نماذج من التقييم الدوري لأداء أعضاء هيئة التدريس (ويشمل مجالات التدريس والبحث العلمي وخدمة المجتمع).</t>
  </si>
  <si>
    <t>تقرير استطلاعات رأي أعضاء هيئة التدريس حول رضاهم عن الدعم والتحفيز للتميز والإبداع والابتكار المقدم لهم.</t>
  </si>
  <si>
    <t>2-3-5</t>
  </si>
  <si>
    <t>يتبنى البرنامج إجراءات واضحة ومعلنة للتحقق من جودة طرق التقييم ومصداقيتها والتأكد من مستوى تحصيل الطالب.</t>
  </si>
  <si>
    <t>خطة قياس نواتج تعلم البرنامج وتقاريرها.</t>
  </si>
  <si>
    <t>نماذج من تحليل نتائج الاختبارات لبعض المقررات في البرنامج.</t>
  </si>
  <si>
    <t>تقييمات الطالب والخريجين لأساليب التقويم والاختبارات في البرنامج.</t>
  </si>
  <si>
    <t>نماذج من مواصفات إعداد الورقة الاختبارية، وطرق التصحيح.</t>
  </si>
  <si>
    <t>نماذج لكراسات إجابة موقع عليها مقيّم آخر.</t>
  </si>
  <si>
    <t>2-3-6</t>
  </si>
  <si>
    <t>تُستخدم إجراءات فعّالة لضبط النزاهة الأكاديمية على مستوى البرنامج للتحقق من أن الأعمال والواجبات التي يقدمها الطالب هي من إنتاجهم.</t>
  </si>
  <si>
    <t>دليل الطالب موضحاً به ميثاق الأخلاقيات ومعايير الاقتباس.</t>
  </si>
  <si>
    <t>النظام الإلكتروني المستخدم في كشف الاستلال العلمي.</t>
  </si>
  <si>
    <t>الدورات التدريبية المقدمة والمتعلقة بتعريف الطلبة وأعضاء هيئة التدريس حول استخدام برامج الاستلال العلمي.</t>
  </si>
  <si>
    <t>نماذج من لقاءات التهيئة للطلاب الجدد متضمناً توعية الطالب بمقتضيات النزاهة الأكاديمية.</t>
  </si>
  <si>
    <t>نماذج من تقارير الاستلال العلمي في الأعمال والواجبات التي يقدمها الطلبة.</t>
  </si>
  <si>
    <t>3-0-1</t>
  </si>
  <si>
    <t>يطبق البرنامج معايير وشروطاً معتمدة ومعلنة لقبول الطالب وتسجيله وتخرجه، والانتقال إلى البرنامج، ومعادلة ما تعلمه الطالب سابقاً بما يتناسب مع طبيعة البرنامج، وتُطبق بعدالة.</t>
  </si>
  <si>
    <t>شروط القبول محددة ومعتمدة في توصيف البرنامج، ومتضمنة في دليل البرنامج.</t>
  </si>
  <si>
    <t>شروط القبول معلنة على الموقع الإلكتروني للبرنامج.</t>
  </si>
  <si>
    <t>شروط الانتقال إلى البرنامج (التحويل) معلنة ومحددة في دليل البرنامج.</t>
  </si>
  <si>
    <t>نماذج معادلة الدراسة السابقة / آلية المعادلة لاستقبال الطلاب المحولين.</t>
  </si>
  <si>
    <t>نماذج من قرارات مجلس القسم بقبول أو رفض انتقال طلبة إلى البرنامج.</t>
  </si>
  <si>
    <t>3-0-2</t>
  </si>
  <si>
    <t>يوفر البرنامج المعلومات الأساسية للطالب مثل: متطلبات الدراسة، الخدمات، والتكاليف المالية (إن وجدت)، بوسائل متنوعة.</t>
  </si>
  <si>
    <t>دليل الطالب للخدمات الإلكترونية.</t>
  </si>
  <si>
    <t>دليل الطالب أو البرنامج متضمناً متطلبات الدراسة، الخدمات، والتكاليف المالية (إن وجدت).</t>
  </si>
  <si>
    <t>الموقع الإلكتروني للبرنامج.</t>
  </si>
  <si>
    <t>3-0-3</t>
  </si>
  <si>
    <t>يتوفر لطالب البرنامج خدمات فعالة للإرشاد والتوجيه الأكاديمي والمهني والنفسي والاجتماعي، من خلال كوادر مؤهلة وكافية.</t>
  </si>
  <si>
    <t>قرار إنشاء لجنة أو وحدة الإرشاد الأكاديمي بالبرنامج أو الكلية.</t>
  </si>
  <si>
    <t>دليل الإرشاد والتوجيه الأكاديمي والمهني والنفسي والاجتماعي للطالب.</t>
  </si>
  <si>
    <t>السير الذاتية للعاملين بوحدة الإرشاد الأكاديمي.</t>
  </si>
  <si>
    <t>نماذج من البرامج التوجيهية لاستقبال الطلاب الجدد على مستوى البرنامج/الكلية.</t>
  </si>
  <si>
    <t>الخدمات المقدمة من جهة تقديم الإرشاد المهني للطالب (مثل الدورات المقدمة من وحدة التدريب أو وحدة الخريجين الخاصة بالجانب المهني).</t>
  </si>
  <si>
    <t>الخدمات المقدمة من جهة تقديم الإرشاد والدعم النفسي والاجتماعي للطالب (وحدة الإرشاد والتوجيه في الكلية والجامعة).</t>
  </si>
  <si>
    <t>استطلاعات الرأي الشاملة التحليل للطلبة والخريجين عن رضاهم حول جودة الإرشاد المقدم إليهم من البرنامج.</t>
  </si>
  <si>
    <t>3-0-4</t>
  </si>
  <si>
    <t>تُطبَّق آلية ملائمة للتعرف على الطلاب الموهوبين والمبدعين والمتفوقين والمتعثرين في البرنامج، وتتوفر برامج مناسبة لرعاية وتحفيز ودعم كل فئة منهم.</t>
  </si>
  <si>
    <t>الإجراءات الموثقة في البرنامج/المؤسسة للكشف عن الطلاب الموهوبين.</t>
  </si>
  <si>
    <t>قائمة بالخدمات والبرامج المقدمة من الجهة المسؤولة عن رعاية الطلبة الموهوبين والمبدعين في البرنامج/المؤسسة.</t>
  </si>
  <si>
    <t>آليات دعم الطلبة المتفوقين والمتعثرين بالبرنامج.</t>
  </si>
  <si>
    <t>آليات الإعلان عن الأنشطة اللاصفية وتحفيز الطلبة على المشاركة فيها.</t>
  </si>
  <si>
    <t>3-0-5</t>
  </si>
  <si>
    <t>تتوفر لطالب البرنامج أنشطة لا صفية في العديد من المجالات لتنمية قدراتهم ومهاراتهم، ويتخذ البرنامج الإجراءات المناسبة لدعم وتحفيز مشاركتهم.</t>
  </si>
  <si>
    <t>آليات الإعلان عن الأنشطة اللاصفية وتحفيز الطلاب على المشاركة فيها.</t>
  </si>
  <si>
    <t>بيان بالخدمات اللاصفية المقدمة للطالب.</t>
  </si>
  <si>
    <t>تقرير رضا الطلبة عن الأنشطة اللاصفية المقدمة لهم من قبل البرنامج.</t>
  </si>
  <si>
    <t>خطة البرنامج فيما يتعلق بالأنشطة اللاصفية وعلاقتها بنواتج تعلم البرنامج وبتنمية قدرات ومهارات الطالب.</t>
  </si>
  <si>
    <t>3-0-6</t>
  </si>
  <si>
    <t>يطبق البرنامج آلية فعالة للتواصل مع الخريجين وإشراكهم في مناسباته وأنشطته، واستطلاع آرائهم والاستفادة من خبراتهم، ودعمهم، ويوفر قواعد بيانات محدثة وشاملة عنهم.</t>
  </si>
  <si>
    <t>قرار إنشاء وحدة/لجنة تعنى بالخريجين بالبرنامج/المؤسسة وأهدافها ومهامها.</t>
  </si>
  <si>
    <t>آليات التواصل مع خريجي البرنامج، وقاعدة البيانات الموثقة الخاصة بالخريجين.</t>
  </si>
  <si>
    <t>قائمة بالخدمات التي يقدمها البرنامج لخريجيه.</t>
  </si>
  <si>
    <t>تقرير موثق حول مشاركة الخريجين في فعاليات البرنامج مثل محاضر الاجتماعات أو اللجنة الاستشارية للبرنامج أو يوم المهنة.</t>
  </si>
  <si>
    <t>تقرير استطلاع رأي الخريجين حول البرنامج.</t>
  </si>
  <si>
    <t>قرار تشكيل اللجنة الاستشارية للبرنامج متضمناً في التشكيل خريجي البرنامج ضمن أعضاء اللجنة.</t>
  </si>
  <si>
    <t>3-0-7</t>
  </si>
  <si>
    <t>تُطبَّق آلية فعالة لتقويم كفاية وجودة الخدمات المقدمة للطالب وقياس رضاهم عنها، والاستفادة من النتائج في التحسين.</t>
  </si>
  <si>
    <t>قرار تشكيل المجلس الطلابي ومهامه.</t>
  </si>
  <si>
    <t>تقرير استطلاعات رأي الطلبة حول جودة الخدمات المقدمة لهم.</t>
  </si>
  <si>
    <t>التقرير السنوي للبرنامج متضمناً خطط التحسين والتطوير بناءً على نتائج استطلاعات رأي الطلبة.</t>
  </si>
  <si>
    <t>4-0-1</t>
  </si>
  <si>
    <t>يتوافر في البرنامج العدد الكافي من أعضاء هيئة التدريس، في جميع المواقع التي يقدم فيها البرنامج، وتُطبَّق آليات مناسبة للتحقق منها.</t>
  </si>
  <si>
    <t>قائمة مفصلة لأعضاء هيئة التدريس في كل موقع يقدم فيه البرنامج مثل: (شطري الطالب والطالبات والفروع إن وجدت).</t>
  </si>
  <si>
    <t>نسبة أعضاء هيئة التدريس إلى الطلبة/في كل موقع.</t>
  </si>
  <si>
    <t>التقرير السنوي للبرنامج متضمناً مناقشة مؤشر نسبة عدد الطالب إلى عدد أعضاء هيئة التدريس.</t>
  </si>
  <si>
    <t>الخطة المستقبلية لتحديد الاحتياجات من أعضاء هيئة التدريس والمقدمة من قِبل البرنامج.</t>
  </si>
  <si>
    <t>4-0-2</t>
  </si>
  <si>
    <t>تضم هيئة التدريس أو المتعاونين في البرامج المهنية من ذوي الخبرة والمهارة العالية في مجال البرنامج.</t>
  </si>
  <si>
    <t>السير الذاتية لأعضاء هيئة التدريس أو المتعاونين من ذوي الخبرة في مجال البرنامج.</t>
  </si>
  <si>
    <t>محضر مجلس القسم الخاص بمناقشة احتياجات البرنامج المستقبلية من أعضاء هيئة التدريس المهنيين.</t>
  </si>
  <si>
    <t>4-0-3</t>
  </si>
  <si>
    <t>يشارك أعضاء هيئة التدريس في الأنشطة الأكاديمية والبحثية والإنتاج العلمي بكفاءة وانتظام، وتُعد مشاركتهم في هذه الأنشطة أحد محكات تقييمهم.</t>
  </si>
  <si>
    <t>نماذج من مشاركات أعضاء هيئة التدريس في فعاليات البرنامج الأكاديمية مثل: ورش العمل، والمؤتمرات العلمية، والندوات.</t>
  </si>
  <si>
    <t>نماذج من مشاركة أعضاء هيئة التدريس بالبرنامج (مثل القرارات والشهادات وصور المشاركة) في اللجان على مستوى البرنامج والكلية والجامعة.</t>
  </si>
  <si>
    <t>نماذج من مشاركة أعضاء هيئة التدريس بالبرنامج في الإشراف العلمي على الرسائل والمشاريع البحثية.</t>
  </si>
  <si>
    <t>أمثلة من تحكيم المقترحات البحثية والمقالات العلمية من قبل أعضاء هيئة التدريس في البرنامج.</t>
  </si>
  <si>
    <t>قاعدة بيانات الإنتاج البحثي لأعضاء هيئة التدريس في البرنامج.</t>
  </si>
  <si>
    <t>تقرير مؤشرات الأداء المتعلقة بمجالات البحث العلمي.</t>
  </si>
  <si>
    <t>نموذج ملف تقييم أداء أعضاء هيئة التدريس الذي يتضمن أنشطة بحثية وأكاديمية للأعضاء.</t>
  </si>
  <si>
    <t>4-0-4</t>
  </si>
  <si>
    <t>تشارك هيئة التدريس في أنشطة الشراكة المجتمعية، وتُعد مشاركتهم في هذه الأنشطة أحد محكات تقييمهم.</t>
  </si>
  <si>
    <t>قائمة بمشاركات أعضاء هيئة التدريس في فعاليات خدمة المجتمع.</t>
  </si>
  <si>
    <t>تقرير الشراكة المجتمعية للبرنامج.</t>
  </si>
  <si>
    <t>نموذج ملف تقييم أداء أعضاء هيئة التدريس الذي يتضمن أنشطة خدمة المجتمع للأعضاء.</t>
  </si>
  <si>
    <t>4-0-5</t>
  </si>
  <si>
    <t>يتلقى أعضاء هيئة التدريس برامج في التطوير المهني والأكاديمي، وفق خطة تلبي احتياجاتهم وتسهم في تطوير أدائهم.</t>
  </si>
  <si>
    <t>تقرير تحديد الاحتياجات التدريبية لأعضاء هيئة التدريس بالبرنامج.</t>
  </si>
  <si>
    <t>خطة التطوير المهني لأعضاء هيئة التدريس بالبرنامج.</t>
  </si>
  <si>
    <t>قائمة بالدورات التدريبية المقدمة لأعضاء هيئة التدريس، ونماذج من شهادات الحضور.</t>
  </si>
  <si>
    <t>تقرير استطلاعات رأي أعضاء هيئة التدريس عن برامج التدريب وأنشطة التطوير المهني.</t>
  </si>
  <si>
    <t>تقرير قياس أثر الدورات التدريبية المقدمة.</t>
  </si>
  <si>
    <t>4-0-6</t>
  </si>
  <si>
    <t>يُقيَّم أداء هيئة التدريس بانتظام وفق معايير محددة ومعلنة، وتُقدَّم التغذية الراجعة لهم، ويُستفاد من النتائج في تحسين الأداء.</t>
  </si>
  <si>
    <t>نموذج تقييم أداء أعضاء هيئة التدريس السنوي.</t>
  </si>
  <si>
    <t>تقرير تقييم الطلبة للمقرر.</t>
  </si>
  <si>
    <t>نماذج من التغذية الراجعة المقدمة عن أداء أعضاء التدريس.</t>
  </si>
  <si>
    <t>استطلاعات رأي أعضاء هيئة التدريس عن مدى رضاهم عن طرق تقييم أدائهم، وعن مدى تقديم التغذية الراجعة لهم عن نتائج تقييمهم، ومدى إمكانية التظلم من نتائج التقييم إذا كانت غير مرضية لهم مع التحليل الكامل ووضع خطط التحسين.</t>
  </si>
  <si>
    <t>خطة تحسين أداء أعضاء هيئة التدريس في ضوء عمليات التقييم.</t>
  </si>
  <si>
    <t>5-0-1</t>
  </si>
  <si>
    <t>يتحقق البرنامج من كفاية ومناسبة مصادر التعلم والخدمات المقدمة بما يتناسب مع احتياجاته وأعداد الطالب، ويتم تحديثها بصورة دورية.</t>
  </si>
  <si>
    <t>قائمة بالكتب المقررة والمراجع مع عدد النسخ المتوفرة بالمكتبة.</t>
  </si>
  <si>
    <t>رابط المكتبة الرقمية السعودية.</t>
  </si>
  <si>
    <t>تقرير تقييم الطلبة وأعضاء هيئة التدريس عن كفاية ومناسبة مصادر التعلم والخدمات المقدمة.</t>
  </si>
  <si>
    <t>5-0-2</t>
  </si>
  <si>
    <t>يتوفر لهيئة التدريس والطالب والموظفين في البرنامج التهيئة والدعم الفني المناسبين للاستخدام الفعال لمصادر ووسائل التعلم.</t>
  </si>
  <si>
    <t>قائمة بخدمات التدريب والتهيئة المقدمة من المكتبة المركزية والمكتبة الرقمية السعودية لهيئة التدريس والطلبة والموظفين بالبرنامج حول الاستخدام الفعال لمصادر التعلم.</t>
  </si>
  <si>
    <t>حصر خدمات الدعم الفني المتوفرة في المكتبة المركزية للطلبة وأعضاء هيئة التدريس في البرنامج.</t>
  </si>
  <si>
    <t>تقرير رضا المستفيدين (طلبة، أعضاء هيئة تدريس، موظفين) عن خدمات التدريب والتهيئة حول الاستخدام الفعال لمصادر التعلم.</t>
  </si>
  <si>
    <t>5-0-3</t>
  </si>
  <si>
    <t>تُطبَّق معايير السلامة والحفاظ على البيئة والتخلص من النفايات الخطرة بكفاءة وفاعلية، مع توفر جميع متطلبات الصحة والسلامة العامة والمهنية في المرافق والتجهيزات، والأنشطة التعليمية والبحثية.</t>
  </si>
  <si>
    <t>دليل إدارة المخاطر بالبرنامج / المؤسسة.</t>
  </si>
  <si>
    <t>قائمة بمتطلبات الصحة والسلامة العامة والمهنية في المرافق والتجهيزات، والأنشطة التعليمية والبحثية في البرنامج/الكلية.</t>
  </si>
  <si>
    <t>صور توضيحية لمتطلبات الصحة والسلامة العامة والمهنية في المرافق والتجهيزات، والأنشطة التعليمية والبحثية في البرنامج/الكلية.</t>
  </si>
  <si>
    <t>نماذج من تقارير مراجعة كفاءة وسائل الصحة، والسلامة العامة، والمهنية.</t>
  </si>
  <si>
    <t>عقد الشركة المسؤولة عن التخلص من النفايات الخطرة.</t>
  </si>
  <si>
    <t>سجل التخلص الآمن من النفايات الخطرة.</t>
  </si>
  <si>
    <t>5-0-4</t>
  </si>
  <si>
    <t>يتوفر للبرنامج التقنيات والخدمات والبيئة المناسبة للمقررات التي تُقدَّم إلكترونياً أو عن بُعد وفق المعايير الخاصة بها.</t>
  </si>
  <si>
    <t>قائمة بالخدمات التقنية ووسائل الاستخدام التي يقدمها نظام التعلم الإلكتروني للطلبة وأعضاء هيئة التدريس.</t>
  </si>
  <si>
    <t>أمثلة من تقارير حضور الطلبة من خلال نظام التعلم الإلكتروني ونماذج من تكليفات الطلبة والمنتديات.</t>
  </si>
  <si>
    <t>بيان بالمعامل الإلكترونية بالبرنامج / الكلية.</t>
  </si>
  <si>
    <t>الخدمات التي تقدمها المكتبة الرقمية لطلبة البرنامج وأعضاء هيئة التدريس.</t>
  </si>
  <si>
    <t>استطلاع رأي الطلبة حول التقنيات والخدمات والبيئة المناسبة للمقررات التي تقدم إلكترونياً أو عن بُعد.</t>
  </si>
  <si>
    <t>5-0-5</t>
  </si>
  <si>
    <t>يعمل البرنامج على تقويم فاعلية وكفاءة مصادر التعلم والمرافق والتجهيزات بأنواعها، ويُستفاد من ذلك في التحسين.</t>
  </si>
  <si>
    <t>تقارير استطلاعات رأي الطلبة وأعضاء هيئة التدريس حول فاعلية وكفاءة مصادر التعلم والمرافق والتجهيزات.</t>
  </si>
  <si>
    <t>مناقشة مجلس القسم للتقرير السنوي للبرنامج وخطط التحسين والقرارات المبنية عليها.</t>
  </si>
  <si>
    <t>من دليل البكالوريوس</t>
  </si>
  <si>
    <t>يتابع البرنامج التزام هيئة التدريس باستراتيجيات التعليم والتعلم وطرق التقييم الواردة في توصيفات البرنامج والمقررات وفق آليات محددة.</t>
  </si>
  <si>
    <t>2-3-7</t>
  </si>
  <si>
    <t>6-0-1</t>
  </si>
  <si>
    <t>يتابع البرنامج معدلات نشاطه البحثي بما يتسق مع دوره في الخطة البحثية المؤسسية، وفق مؤشرات أداء واضحة ومحددة، ويعمل على تطوير أدائه.</t>
  </si>
  <si>
    <t>خطة البحث العلمي للبرنامج مرتبطة بالخطة البحثية للمؤسسة.</t>
  </si>
  <si>
    <t>مقترح – يعتمده رئيسة الجودة</t>
  </si>
  <si>
    <t>تقرير سنوي عن النشاط البحثي ومؤشراته (KPI-PG-9 إلى KPI-PG-13) مع المقارنة المرجعية.</t>
  </si>
  <si>
    <t>إجراءات التحسين المتخذة بناءً على نتائج المؤشرات البحثية.</t>
  </si>
  <si>
    <t>6-0-2</t>
  </si>
  <si>
    <t>يحدد البرنامج أولويات بحثية تتسق مع رسالة المؤسسة والتوجهات الوطنية وخطط التنمية.</t>
  </si>
  <si>
    <t>وثيقة الأولويات البحثية للبرنامج معتمدة من المجلس.</t>
  </si>
  <si>
    <t>مصفوفة ربط الأولويات البحثية برسالة المؤسسة والتوجهات الوطنية.</t>
  </si>
  <si>
    <t>نماذج من عناوين الرسائل والمشاريع المرتبطة بالأولويات البحثية.</t>
  </si>
  <si>
    <t>6-0-3</t>
  </si>
  <si>
    <t>تتوفر في البرنامج بيئة داعمة ومحفزة ودعم مالي وتجهيزات للأنشطة البحثية.</t>
  </si>
  <si>
    <t>قائمة بالمعامل والتجهيزات والبرمجيات وقواعد البيانات المتاحة للبحث.</t>
  </si>
  <si>
    <t>بيانات الدعم المالي للبحوث (منح داخلية وخارجية).</t>
  </si>
  <si>
    <t>استطلاع رأي هيئة التدريس والطلاب حول البيئة البحثية.</t>
  </si>
  <si>
    <t>6-0-4</t>
  </si>
  <si>
    <t>يطبق البرنامج آليات متنوعة لتنمية المهارات البحثية ومهارات النشر لدى منسوبيه، وتبادل الخبرات ونتائج البحوث، ويطوّر هذه الآليات ويحسّنها.</t>
  </si>
  <si>
    <t>خطة وسجل الورش والدورات في المهارات البحثية والنشر العلمي.</t>
  </si>
  <si>
    <t>نماذج من الحلقات العلمية (السمنارات) ولقاءات تبادل الخبرات.</t>
  </si>
  <si>
    <t>تقرير تقييم فاعلية هذه الآليات وتطويرها.</t>
  </si>
  <si>
    <t>6-0-5</t>
  </si>
  <si>
    <t>يطبق البرنامج آليات متنوعة لتوليد التمويل للأنشطة البحثية من الجهات المانحة والاستثمارية.</t>
  </si>
  <si>
    <t>قائمة بالمشاريع البحثية الممولة من جهات خارجية.</t>
  </si>
  <si>
    <t>اتفاقيات وشراكات التمويل البحثي.</t>
  </si>
  <si>
    <t>آليات البرنامج للتقديم على المنح البحثية.</t>
  </si>
  <si>
    <t>6-0-6</t>
  </si>
  <si>
    <t>تُطبَّق في البرنامج إجراءات أكاديمية وإدارية محددة لاعتماد الرسائل العلمية والمشاريع البحثية في إطار زمني مناسب.</t>
  </si>
  <si>
    <t>الإجراءات المعتمدة لتسجيل مقترحات الرسائل واعتمادها ومددها الزمنية.</t>
  </si>
  <si>
    <t>نماذج من محاضر اعتماد خطط الرسائل.</t>
  </si>
  <si>
    <t>إحصاء بمتوسط مدة اعتماد مقترحات الرسائل.</t>
  </si>
  <si>
    <t>6-0-7</t>
  </si>
  <si>
    <t>يتوفر لدى البرنامج تعليمات وأدلة واضحة ومعلنة ومتاحة لإعداد البحوث والرسائل والمشاريع وتقويمها.</t>
  </si>
  <si>
    <t>دليل إعداد الرسائل العلمية وتقويمها.</t>
  </si>
  <si>
    <t>دليل طالب الدراسات العليا.</t>
  </si>
  <si>
    <t>روابط نشر الأدلة على الموقع الإلكتروني.</t>
  </si>
  <si>
    <t>6-0-8</t>
  </si>
  <si>
    <t>يطبق البرنامج آليات محددة لمتابعة كفاءة الإشراف العلمي على الرسائل والبحوث والمشاريع، ويقوّم هذه الآليات ويطورها.</t>
  </si>
  <si>
    <t>لائحة أو معايير الإشراف العلمي وعبء الإشراف.</t>
  </si>
  <si>
    <t>نماذج تقارير متابعة تقدم الطالب البحثي.</t>
  </si>
  <si>
    <t>نتائج تقييم الطلاب لجودة الإشراف (KPI-PG-3) وإجراءات التحسين.</t>
  </si>
  <si>
    <t>6-0-9</t>
  </si>
  <si>
    <t>يتابع البرنامج عدالة وموضوعية ومصداقية تقويم البحوث ومناقشة الرسائل العلمية وإجازتها.</t>
  </si>
  <si>
    <t>إجراءات تشكيل لجان المناقشة ومعايير اختيار الممتحنين الداخليين والخارجيين.</t>
  </si>
  <si>
    <t>نماذج من تقارير التحكيم ومحاضر المناقشة.</t>
  </si>
  <si>
    <t>نماذج استمارات التقويم وسلالم التقدير.</t>
  </si>
  <si>
    <t>6-0-10</t>
  </si>
  <si>
    <t>يتحقق البرنامج من أصالة البحوث وإثرائها المعرفي والابتكار في أنشطته البحثية بما يتناسب مع مستوى المؤهل والمعايير الدولية.</t>
  </si>
  <si>
    <t>تقارير فحص الاستلال (الانتحال) للرسائل والبحوث.</t>
  </si>
  <si>
    <t>قائمة الأبحاث المنشورة للطلاب وهيئة التدريس في أوعية محكمة.</t>
  </si>
  <si>
    <t>براءات الاختراع والجوائز (KPI-PG-13).</t>
  </si>
  <si>
    <t>6-0-11</t>
  </si>
  <si>
    <t>يطبق البرنامج سياسات واضحة لأخلاقيات البحث وضوابطه، ويتحقق من التزام الباحثين بها وفق آليات مناسبة ويطورها.</t>
  </si>
  <si>
    <t>سياسة أخلاقيات البحث العلمي المعتمدة.</t>
  </si>
  <si>
    <t>موافقات لجنة أخلاقيات البحث على الأبحاث.</t>
  </si>
  <si>
    <t>نماذج تعهدات الباحثين وآليات التحقق من الالتزام.</t>
  </si>
  <si>
    <t>اجتماع الانطلاق مع اللجنة (الاثنين): شرح المعايير وأوراق الفحص وطريقة التقييم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</si>
</sst>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sz val="10"/>
      <name val="Arial"/>
      <family val="2"/>
    </font>
    <font>
      <b/>
      <sz val="15"/>
      <color rgb="FF1F3864"/>
      <name val="Arial"/>
      <family val="2"/>
    </font>
    <font>
      <b/>
      <sz val="10"/>
      <name val="Arial"/>
      <family val="2"/>
    </font>
    <font>
      <b/>
      <sz val="10"/>
      <color rgb="FFFFFFFF"/>
      <name val="Arial"/>
      <family val="2"/>
    </font>
    <font>
      <sz val="10"/>
      <name val="Arial"/>
      <family val="2"/>
    </font>
    <font>
      <b/>
      <sz val="11"/>
      <color rgb="FFFFFFFF"/>
      <name val="Arial"/>
      <family val="2"/>
    </font>
    <font>
      <b/>
      <sz val="12"/>
      <color rgb="FFFFFFFF"/>
      <name val="Arial"/>
      <family val="2"/>
    </font>
    <font>
      <b/>
      <sz val="14"/>
      <color rgb="FF1F3864"/>
      <name val="Arial"/>
      <family val="2"/>
    </font>
    <font>
      <b/>
      <sz val="9"/>
      <name val="Arial"/>
      <family val="2"/>
    </font>
    <font>
      <sz val="8"/>
      <color rgb="FF595959"/>
      <name val="Arial"/>
      <family val="2"/>
    </font>
    <font>
      <sz val="9"/>
      <name val="Arial"/>
      <family val="2"/>
    </font>
    <font>
      <b/>
      <sz val="10"/>
      <color rgb="FFC00000"/>
      <name val="Arial"/>
      <family val="2"/>
    </font>
    <font>
      <b/>
      <sz val="8"/>
      <color rgb="FFC00000"/>
      <name val="Arial"/>
      <family val="2"/>
    </font>
  </fonts>
  <fills count="12">
    <fill>
      <patternFill patternType="none"/>
    </fill>
    <fill>
      <patternFill patternType="gray125"/>
    </fill>
    <fill>
      <patternFill patternType="solid">
        <fgColor rgb="FF1F3864"/>
        <bgColor rgb="FF333333"/>
      </patternFill>
    </fill>
    <fill>
      <patternFill patternType="solid">
        <fgColor rgb="FFF2F2F2"/>
        <bgColor rgb="FFFFF9DB"/>
      </patternFill>
    </fill>
    <fill>
      <patternFill patternType="solid">
        <fgColor rgb="FFFFF9DB"/>
        <bgColor rgb="FFFFF2CC"/>
      </patternFill>
    </fill>
    <fill>
      <patternFill patternType="solid">
        <fgColor rgb="FFDDEBF7"/>
        <bgColor rgb="FFD9E2F3"/>
      </patternFill>
    </fill>
    <fill>
      <patternFill patternType="solid">
        <fgColor rgb="FFE2EFDA"/>
        <bgColor rgb="FFDDEBF7"/>
      </patternFill>
    </fill>
    <fill>
      <patternFill patternType="solid">
        <fgColor rgb="FFFCE4D6"/>
        <bgColor rgb="FFFFF2CC"/>
      </patternFill>
    </fill>
    <fill>
      <patternFill patternType="solid">
        <fgColor rgb="FF2E5395"/>
        <bgColor rgb="FF1F3864"/>
      </patternFill>
    </fill>
    <fill>
      <patternFill patternType="solid">
        <fgColor rgb="FFD9E2F3"/>
        <bgColor rgb="FFDDEBF7"/>
      </patternFill>
    </fill>
    <fill>
      <patternFill patternType="solid">
        <fgColor rgb="FFFFF2CC"/>
        <bgColor rgb="FFFFF9DB"/>
      </patternFill>
    </fill>
    <fill>
      <patternFill patternType="solid">
        <fgColor rgb="FFFFFF00"/>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medium">
        <color rgb="FF8EA9DB"/>
      </top>
      <bottom style="thin">
        <color rgb="FFBFBFBF"/>
      </bottom>
      <diagonal/>
    </border>
  </borders>
  <cellStyleXfs count="1">
    <xf numFmtId="0" fontId="0" fillId="0" borderId="0"/>
  </cellStyleXfs>
  <cellXfs count="56">
    <xf numFmtId="0" fontId="0" fillId="0" borderId="0" xfId="0"/>
    <xf numFmtId="0" fontId="8" fillId="0" borderId="0" xfId="0" applyFont="1"/>
    <xf numFmtId="0" fontId="4" fillId="2" borderId="1" xfId="0" applyFont="1" applyFill="1" applyBorder="1" applyAlignment="1">
      <alignment horizontal="center" vertical="center" wrapText="1"/>
    </xf>
    <xf numFmtId="0" fontId="5" fillId="0" borderId="1" xfId="0" applyFont="1" applyBorder="1" applyAlignment="1">
      <alignment horizontal="right" vertical="center" wrapText="1"/>
    </xf>
    <xf numFmtId="0" fontId="7" fillId="8" borderId="0" xfId="0" applyFont="1" applyFill="1"/>
    <xf numFmtId="0" fontId="3" fillId="4" borderId="1" xfId="0" applyFont="1" applyFill="1" applyBorder="1" applyAlignment="1">
      <alignment horizontal="right" vertical="center" wrapText="1"/>
    </xf>
    <xf numFmtId="0" fontId="5" fillId="0" borderId="0" xfId="0" applyFont="1" applyAlignment="1">
      <alignment horizontal="right" vertical="center" wrapText="1"/>
    </xf>
    <xf numFmtId="0" fontId="6" fillId="8" borderId="0" xfId="0" applyFont="1" applyFill="1" applyAlignment="1">
      <alignment horizontal="right" vertical="center" wrapText="1"/>
    </xf>
    <xf numFmtId="0" fontId="3" fillId="0" borderId="0" xfId="0" applyFont="1" applyAlignment="1">
      <alignment horizontal="right" vertical="center" wrapText="1"/>
    </xf>
    <xf numFmtId="0" fontId="2" fillId="0" borderId="0" xfId="0" applyFont="1" applyAlignment="1">
      <alignment horizontal="right" vertical="center" wrapText="1"/>
    </xf>
    <xf numFmtId="0" fontId="4"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5" fillId="3" borderId="1" xfId="0" applyFont="1" applyFill="1" applyBorder="1" applyAlignment="1">
      <alignment horizontal="center" vertical="center" wrapText="1"/>
    </xf>
    <xf numFmtId="0" fontId="5" fillId="0" borderId="1" xfId="0" applyFont="1" applyBorder="1" applyAlignment="1">
      <alignment horizontal="right" vertical="center" wrapText="1"/>
    </xf>
    <xf numFmtId="0" fontId="5"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5" fillId="4" borderId="1" xfId="0" applyFont="1" applyFill="1" applyBorder="1" applyAlignment="1">
      <alignment horizontal="right" vertical="center" wrapText="1"/>
    </xf>
    <xf numFmtId="0" fontId="5"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3" fillId="9" borderId="1" xfId="0" applyFont="1" applyFill="1" applyBorder="1" applyAlignment="1">
      <alignment horizontal="right" vertical="center" wrapText="1"/>
    </xf>
    <xf numFmtId="0" fontId="3" fillId="4" borderId="1" xfId="0" applyFont="1" applyFill="1" applyBorder="1" applyAlignment="1">
      <alignment horizontal="right" vertical="center" wrapText="1"/>
    </xf>
    <xf numFmtId="0" fontId="3" fillId="0" borderId="1" xfId="0" applyFont="1" applyBorder="1" applyAlignment="1">
      <alignment horizontal="right" vertical="center" wrapText="1"/>
    </xf>
    <xf numFmtId="9" fontId="5" fillId="0" borderId="1" xfId="0" applyNumberFormat="1" applyFont="1" applyBorder="1" applyAlignment="1">
      <alignment horizontal="center" vertical="center" wrapText="1"/>
    </xf>
    <xf numFmtId="0" fontId="5" fillId="9" borderId="1" xfId="0" applyFont="1" applyFill="1" applyBorder="1" applyAlignment="1">
      <alignment horizontal="center" vertical="center" wrapText="1"/>
    </xf>
    <xf numFmtId="9" fontId="5" fillId="9" borderId="1" xfId="0" applyNumberFormat="1" applyFont="1" applyFill="1" applyBorder="1" applyAlignment="1">
      <alignment horizontal="center" vertical="center" wrapText="1"/>
    </xf>
    <xf numFmtId="0" fontId="3" fillId="3" borderId="1" xfId="0" applyFont="1" applyFill="1" applyBorder="1" applyAlignment="1">
      <alignment horizontal="right" vertical="center" wrapText="1"/>
    </xf>
    <xf numFmtId="0" fontId="9" fillId="0" borderId="1" xfId="0" applyFont="1" applyBorder="1" applyAlignment="1">
      <alignment horizontal="center" vertical="center" wrapText="1"/>
    </xf>
    <xf numFmtId="0" fontId="10" fillId="0" borderId="1" xfId="0" applyFont="1" applyBorder="1" applyAlignment="1">
      <alignment horizontal="right" vertical="center" wrapText="1"/>
    </xf>
    <xf numFmtId="0" fontId="11" fillId="0" borderId="1" xfId="0" applyFont="1" applyBorder="1" applyAlignment="1">
      <alignment horizontal="right" vertical="center" wrapText="1"/>
    </xf>
    <xf numFmtId="0" fontId="12"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1" fillId="4" borderId="1" xfId="0" applyFont="1" applyFill="1" applyBorder="1" applyAlignment="1">
      <alignment horizontal="center" vertical="center" wrapText="1"/>
    </xf>
    <xf numFmtId="0" fontId="11" fillId="4" borderId="1" xfId="0" applyFont="1" applyFill="1" applyBorder="1" applyAlignment="1">
      <alignment horizontal="right" vertical="center" wrapText="1"/>
    </xf>
    <xf numFmtId="0" fontId="9" fillId="10" borderId="2" xfId="0" applyFont="1" applyFill="1" applyBorder="1" applyAlignment="1">
      <alignment horizontal="center" vertical="center" wrapText="1"/>
    </xf>
    <xf numFmtId="0" fontId="10" fillId="10" borderId="2" xfId="0" applyFont="1" applyFill="1" applyBorder="1" applyAlignment="1">
      <alignment horizontal="right" vertical="center" wrapText="1"/>
    </xf>
    <xf numFmtId="0" fontId="11" fillId="10" borderId="2" xfId="0" applyFont="1" applyFill="1" applyBorder="1" applyAlignment="1">
      <alignment horizontal="right" vertical="center" wrapText="1"/>
    </xf>
    <xf numFmtId="0" fontId="12" fillId="10" borderId="2" xfId="0" applyFont="1" applyFill="1" applyBorder="1" applyAlignment="1">
      <alignment horizontal="center" vertical="center" wrapText="1"/>
    </xf>
    <xf numFmtId="0" fontId="11" fillId="10" borderId="2" xfId="0" applyFont="1" applyFill="1" applyBorder="1" applyAlignment="1">
      <alignment horizontal="center" vertical="center" wrapText="1"/>
    </xf>
    <xf numFmtId="0" fontId="10" fillId="0" borderId="2" xfId="0" applyFont="1" applyBorder="1" applyAlignment="1">
      <alignment horizontal="center" vertical="center" wrapText="1"/>
    </xf>
    <xf numFmtId="0" fontId="11" fillId="0" borderId="2" xfId="0" applyFont="1" applyBorder="1" applyAlignment="1">
      <alignment horizontal="center" vertical="center" wrapText="1"/>
    </xf>
    <xf numFmtId="0" fontId="11" fillId="4" borderId="2" xfId="0" applyFont="1" applyFill="1" applyBorder="1" applyAlignment="1">
      <alignment horizontal="center" vertical="center" wrapText="1"/>
    </xf>
    <xf numFmtId="0" fontId="11" fillId="4" borderId="2" xfId="0" applyFont="1" applyFill="1" applyBorder="1" applyAlignment="1">
      <alignment horizontal="right" vertical="center" wrapText="1"/>
    </xf>
    <xf numFmtId="0" fontId="11" fillId="10" borderId="1" xfId="0" applyFont="1" applyFill="1" applyBorder="1" applyAlignment="1">
      <alignment horizontal="center" vertical="center" wrapText="1"/>
    </xf>
    <xf numFmtId="0" fontId="10" fillId="10" borderId="1" xfId="0" applyFont="1" applyFill="1" applyBorder="1" applyAlignment="1">
      <alignment horizontal="right" vertical="center" wrapText="1"/>
    </xf>
    <xf numFmtId="0" fontId="11" fillId="10" borderId="1" xfId="0" applyFont="1" applyFill="1" applyBorder="1" applyAlignment="1">
      <alignment horizontal="right" vertical="center" wrapText="1"/>
    </xf>
    <xf numFmtId="0" fontId="12" fillId="10" borderId="1" xfId="0" applyFont="1" applyFill="1" applyBorder="1" applyAlignment="1">
      <alignment horizontal="center" vertical="center" wrapText="1"/>
    </xf>
    <xf numFmtId="0" fontId="9" fillId="0" borderId="2" xfId="0" applyFont="1" applyBorder="1" applyAlignment="1">
      <alignment horizontal="center" vertical="center" wrapText="1"/>
    </xf>
    <xf numFmtId="0" fontId="10" fillId="0" borderId="2" xfId="0" applyFont="1" applyBorder="1" applyAlignment="1">
      <alignment horizontal="right" vertical="center" wrapText="1"/>
    </xf>
    <xf numFmtId="0" fontId="11" fillId="0" borderId="2" xfId="0" applyFont="1" applyBorder="1" applyAlignment="1">
      <alignment horizontal="right" vertical="center" wrapText="1"/>
    </xf>
    <xf numFmtId="0" fontId="12" fillId="0" borderId="2"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1" xfId="0" applyFont="1" applyBorder="1" applyAlignment="1">
      <alignment horizontal="center" vertical="center" wrapText="1"/>
    </xf>
    <xf numFmtId="0" fontId="1" fillId="0" borderId="1" xfId="0" applyFont="1" applyBorder="1" applyAlignment="1">
      <alignment horizontal="right" vertical="center" wrapText="1"/>
    </xf>
    <xf numFmtId="0" fontId="5" fillId="11" borderId="1" xfId="0" applyFont="1" applyFill="1" applyBorder="1" applyAlignment="1">
      <alignment horizontal="right" vertical="center" wrapText="1"/>
    </xf>
  </cellXfs>
  <cellStyles count="1">
    <cellStyle name="Normal" xfId="0" builtinId="0"/>
  </cellStyles>
  <dxfs count="23">
    <dxf>
      <fill>
        <patternFill>
          <bgColor rgb="FFFFC7CE"/>
        </patternFill>
      </fill>
    </dxf>
    <dxf>
      <fill>
        <patternFill>
          <bgColor rgb="FFC6EFCE"/>
        </patternFill>
      </fill>
    </dxf>
    <dxf>
      <font>
        <b/>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FFC7CE"/>
        </patternFill>
      </fill>
    </dxf>
    <dxf>
      <fill>
        <patternFill>
          <bgColor rgb="FFC6EFCE"/>
        </patternFill>
      </fill>
    </dxf>
    <dxf>
      <font>
        <b/>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FFC7CE"/>
        </patternFill>
      </fill>
    </dxf>
    <dxf>
      <fill>
        <patternFill>
          <bgColor rgb="FFC6EFCE"/>
        </patternFill>
      </fill>
    </dxf>
    <dxf>
      <font>
        <b/>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C7CE"/>
        </patternFill>
      </fill>
    </dxf>
    <dxf>
      <fill>
        <patternFill>
          <bgColor rgb="FFC6EFCE"/>
        </patternFill>
      </fill>
    </dxf>
  </dxfs>
  <tableStyles count="0" defaultTableStyle="TableStyleMedium2" defaultPivotStyle="PivotStyleLight16"/>
  <colors>
    <indexedColors>
      <rgbColor rgb="FF000000"/>
      <rgbColor rgb="FFFFFFFF"/>
      <rgbColor rgb="FFC00000"/>
      <rgbColor rgb="FF00FF00"/>
      <rgbColor rgb="FF0000FF"/>
      <rgbColor rgb="FFFFF2CC"/>
      <rgbColor rgb="FFFF00FF"/>
      <rgbColor rgb="FF00FFFF"/>
      <rgbColor rgb="FF9C0006"/>
      <rgbColor rgb="FF006100"/>
      <rgbColor rgb="FF000080"/>
      <rgbColor rgb="FF548235"/>
      <rgbColor rgb="FF800080"/>
      <rgbColor rgb="FF008080"/>
      <rgbColor rgb="FFBFBFBF"/>
      <rgbColor rgb="FF808080"/>
      <rgbColor rgb="FF8EA9DB"/>
      <rgbColor rgb="FF993366"/>
      <rgbColor rgb="FFFFF9DB"/>
      <rgbColor rgb="FFDDEBF7"/>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E2EFDA"/>
      <rgbColor rgb="FFC6EFCE"/>
      <rgbColor rgb="FFFFEB9C"/>
      <rgbColor rgb="FFF2F2F2"/>
      <rgbColor rgb="FFFCE4D6"/>
      <rgbColor rgb="FFCC99FF"/>
      <rgbColor rgb="FFFFC7CE"/>
      <rgbColor rgb="FF2E75B6"/>
      <rgbColor rgb="FF33CCCC"/>
      <rgbColor rgb="FF99CC00"/>
      <rgbColor rgb="FFFFCC00"/>
      <rgbColor rgb="FFFF9900"/>
      <rgbColor rgb="FFFF6600"/>
      <rgbColor rgb="FF595959"/>
      <rgbColor rgb="FF969696"/>
      <rgbColor rgb="FF1F3864"/>
      <rgbColor rgb="FF339966"/>
      <rgbColor rgb="FF003300"/>
      <rgbColor rgb="FF333300"/>
      <rgbColor rgb="FF9C5700"/>
      <rgbColor rgb="FF993366"/>
      <rgbColor rgb="FF2E539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G44"/>
  <sheetViews>
    <sheetView rightToLeft="1" tabSelected="1" zoomScaleNormal="100" workbookViewId="0">
      <pane ySplit="4" topLeftCell="A5" activePane="bottomLeft" state="frozen"/>
      <selection pane="bottomLeft" activeCell="C10" sqref="C10"/>
    </sheetView>
  </sheetViews>
  <sheetFormatPr baseColWidth="10" defaultColWidth="8.6640625" defaultRowHeight="15" x14ac:dyDescent="0.2"/>
  <cols>
    <col min="1" max="1" width="12" customWidth="1"/>
    <col min="2" max="2" width="15" customWidth="1"/>
    <col min="3" max="3" width="60" customWidth="1"/>
    <col min="4" max="4" width="30" customWidth="1"/>
    <col min="5" max="5" width="26" customWidth="1"/>
    <col min="6" max="6" width="12" customWidth="1"/>
    <col min="7" max="7" width="20" customWidth="1"/>
  </cols>
  <sheetData>
    <row r="1" spans="1:7" ht="18.5" customHeight="1" x14ac:dyDescent="0.2">
      <c r="A1" s="9" t="s">
        <v>0</v>
      </c>
      <c r="B1" s="9"/>
      <c r="C1" s="9"/>
      <c r="D1" s="9"/>
      <c r="E1" s="9"/>
      <c r="F1" s="9"/>
      <c r="G1" s="9"/>
    </row>
    <row r="2" spans="1:7" ht="15" customHeight="1" x14ac:dyDescent="0.2">
      <c r="A2" s="8" t="s">
        <v>1</v>
      </c>
      <c r="B2" s="8"/>
      <c r="C2" s="8"/>
      <c r="D2" s="8"/>
      <c r="E2" s="8"/>
      <c r="F2" s="8"/>
      <c r="G2" s="8"/>
    </row>
    <row r="4" spans="1:7" x14ac:dyDescent="0.2">
      <c r="A4" s="10" t="s">
        <v>2</v>
      </c>
      <c r="B4" s="10" t="s">
        <v>3</v>
      </c>
      <c r="C4" s="10" t="s">
        <v>4</v>
      </c>
      <c r="D4" s="10" t="s">
        <v>5</v>
      </c>
      <c r="E4" s="10" t="s">
        <v>6</v>
      </c>
      <c r="F4" s="10" t="s">
        <v>7</v>
      </c>
      <c r="G4" s="10" t="s">
        <v>8</v>
      </c>
    </row>
    <row r="5" spans="1:7" ht="36" customHeight="1" x14ac:dyDescent="0.2">
      <c r="A5" s="11" t="s">
        <v>9</v>
      </c>
      <c r="B5" s="17" t="s">
        <v>12</v>
      </c>
      <c r="C5" s="54" t="s">
        <v>642</v>
      </c>
      <c r="D5" s="14" t="str">
        <f>'الإعدادات واللجنة'!$B$12</f>
        <v>د. نهلة بنت سعد القثامي</v>
      </c>
      <c r="E5" s="13" t="s">
        <v>13</v>
      </c>
      <c r="F5" s="15" t="s">
        <v>11</v>
      </c>
      <c r="G5" s="16"/>
    </row>
    <row r="6" spans="1:7" ht="36" customHeight="1" x14ac:dyDescent="0.2">
      <c r="A6" s="11" t="s">
        <v>9</v>
      </c>
      <c r="B6" s="17" t="s">
        <v>12</v>
      </c>
      <c r="C6" s="55" t="s">
        <v>14</v>
      </c>
      <c r="D6" s="14" t="str">
        <f>'الإعدادات واللجنة'!$B$12</f>
        <v>د. نهلة بنت سعد القثامي</v>
      </c>
      <c r="E6" s="13" t="s">
        <v>15</v>
      </c>
      <c r="F6" s="15" t="s">
        <v>11</v>
      </c>
      <c r="G6" s="16"/>
    </row>
    <row r="7" spans="1:7" ht="36" customHeight="1" x14ac:dyDescent="0.2">
      <c r="A7" s="11" t="s">
        <v>9</v>
      </c>
      <c r="B7" s="18" t="s">
        <v>16</v>
      </c>
      <c r="C7" s="13" t="s">
        <v>17</v>
      </c>
      <c r="D7" s="14" t="str">
        <f>'الإعدادات واللجنة'!$B$18</f>
        <v>د. عبدالله بن محمد البركاتي</v>
      </c>
      <c r="E7" s="13" t="s">
        <v>18</v>
      </c>
      <c r="F7" s="15" t="s">
        <v>11</v>
      </c>
      <c r="G7" s="16"/>
    </row>
    <row r="8" spans="1:7" ht="36" customHeight="1" x14ac:dyDescent="0.2">
      <c r="A8" s="11" t="s">
        <v>9</v>
      </c>
      <c r="B8" s="18" t="s">
        <v>16</v>
      </c>
      <c r="C8" s="13" t="s">
        <v>19</v>
      </c>
      <c r="D8" s="14" t="str">
        <f>'الإعدادات واللجنة'!$B$12</f>
        <v>د. نهلة بنت سعد القثامي</v>
      </c>
      <c r="E8" s="13" t="s">
        <v>20</v>
      </c>
      <c r="F8" s="15" t="s">
        <v>11</v>
      </c>
      <c r="G8" s="16"/>
    </row>
    <row r="9" spans="1:7" ht="36" customHeight="1" x14ac:dyDescent="0.2">
      <c r="A9" s="11" t="s">
        <v>21</v>
      </c>
      <c r="B9" s="19" t="s">
        <v>22</v>
      </c>
      <c r="C9" s="13" t="s">
        <v>23</v>
      </c>
      <c r="D9" s="14" t="str">
        <f>'الإعدادات واللجنة'!$B$13</f>
        <v>د. عبير بنت عبدالله راجحي</v>
      </c>
      <c r="E9" s="13" t="s">
        <v>24</v>
      </c>
      <c r="F9" s="15" t="s">
        <v>11</v>
      </c>
      <c r="G9" s="16"/>
    </row>
    <row r="10" spans="1:7" ht="36" customHeight="1" x14ac:dyDescent="0.2">
      <c r="A10" s="11" t="s">
        <v>25</v>
      </c>
      <c r="B10" s="19" t="s">
        <v>22</v>
      </c>
      <c r="C10" s="13" t="s">
        <v>26</v>
      </c>
      <c r="D10" s="14" t="str">
        <f>'الإعدادات واللجنة'!$B$13</f>
        <v>د. عبير بنت عبدالله راجحي</v>
      </c>
      <c r="E10" s="13" t="s">
        <v>27</v>
      </c>
      <c r="F10" s="15" t="s">
        <v>11</v>
      </c>
      <c r="G10" s="16"/>
    </row>
    <row r="11" spans="1:7" ht="36" customHeight="1" x14ac:dyDescent="0.2">
      <c r="A11" s="11" t="s">
        <v>28</v>
      </c>
      <c r="B11" s="17" t="s">
        <v>12</v>
      </c>
      <c r="C11" s="13" t="s">
        <v>29</v>
      </c>
      <c r="D11" s="14" t="s">
        <v>30</v>
      </c>
      <c r="E11" s="13" t="s">
        <v>31</v>
      </c>
      <c r="F11" s="15" t="s">
        <v>11</v>
      </c>
      <c r="G11" s="16"/>
    </row>
    <row r="12" spans="1:7" ht="36" customHeight="1" x14ac:dyDescent="0.2">
      <c r="A12" s="11" t="s">
        <v>28</v>
      </c>
      <c r="B12" s="17" t="s">
        <v>12</v>
      </c>
      <c r="C12" s="13" t="s">
        <v>32</v>
      </c>
      <c r="D12" s="14" t="s">
        <v>33</v>
      </c>
      <c r="E12" s="13" t="s">
        <v>34</v>
      </c>
      <c r="F12" s="15" t="s">
        <v>11</v>
      </c>
      <c r="G12" s="16"/>
    </row>
    <row r="13" spans="1:7" ht="36" customHeight="1" x14ac:dyDescent="0.2">
      <c r="A13" s="11" t="s">
        <v>35</v>
      </c>
      <c r="B13" s="18" t="s">
        <v>16</v>
      </c>
      <c r="C13" s="13" t="s">
        <v>36</v>
      </c>
      <c r="D13" s="14" t="str">
        <f>'الإعدادات واللجنة'!$B$14</f>
        <v>أ. فاطمة بنت سلمان الخزعل</v>
      </c>
      <c r="E13" s="13" t="s">
        <v>37</v>
      </c>
      <c r="F13" s="15" t="s">
        <v>11</v>
      </c>
      <c r="G13" s="16"/>
    </row>
    <row r="14" spans="1:7" ht="36" customHeight="1" x14ac:dyDescent="0.2">
      <c r="A14" s="11" t="s">
        <v>38</v>
      </c>
      <c r="B14" s="12" t="s">
        <v>10</v>
      </c>
      <c r="C14" s="13" t="s">
        <v>39</v>
      </c>
      <c r="D14" s="14" t="str">
        <f>'الإعدادات واللجنة'!$B$12</f>
        <v>د. نهلة بنت سعد القثامي</v>
      </c>
      <c r="E14" s="13" t="s">
        <v>40</v>
      </c>
      <c r="F14" s="15" t="s">
        <v>11</v>
      </c>
      <c r="G14" s="16"/>
    </row>
    <row r="15" spans="1:7" ht="36" customHeight="1" x14ac:dyDescent="0.2">
      <c r="A15" s="11" t="s">
        <v>41</v>
      </c>
      <c r="B15" s="17" t="s">
        <v>12</v>
      </c>
      <c r="C15" s="13" t="s">
        <v>42</v>
      </c>
      <c r="D15" s="14" t="s">
        <v>30</v>
      </c>
      <c r="E15" s="13" t="s">
        <v>31</v>
      </c>
      <c r="F15" s="15" t="s">
        <v>11</v>
      </c>
      <c r="G15" s="16"/>
    </row>
    <row r="16" spans="1:7" ht="36" customHeight="1" x14ac:dyDescent="0.2">
      <c r="A16" s="11" t="s">
        <v>43</v>
      </c>
      <c r="B16" s="17" t="s">
        <v>12</v>
      </c>
      <c r="C16" s="13" t="s">
        <v>44</v>
      </c>
      <c r="D16" s="14" t="s">
        <v>30</v>
      </c>
      <c r="E16" s="13" t="s">
        <v>45</v>
      </c>
      <c r="F16" s="15" t="s">
        <v>11</v>
      </c>
      <c r="G16" s="16"/>
    </row>
    <row r="17" spans="1:7" ht="36" customHeight="1" x14ac:dyDescent="0.2">
      <c r="A17" s="11" t="s">
        <v>43</v>
      </c>
      <c r="B17" s="12" t="s">
        <v>10</v>
      </c>
      <c r="C17" s="13" t="s">
        <v>46</v>
      </c>
      <c r="D17" s="14" t="str">
        <f>'الإعدادات واللجنة'!$B$12</f>
        <v>د. نهلة بنت سعد القثامي</v>
      </c>
      <c r="E17" s="13" t="s">
        <v>47</v>
      </c>
      <c r="F17" s="15" t="s">
        <v>11</v>
      </c>
      <c r="G17" s="16"/>
    </row>
    <row r="18" spans="1:7" ht="36" customHeight="1" x14ac:dyDescent="0.2">
      <c r="A18" s="11" t="s">
        <v>48</v>
      </c>
      <c r="B18" s="17" t="s">
        <v>12</v>
      </c>
      <c r="C18" s="13" t="s">
        <v>49</v>
      </c>
      <c r="D18" s="14" t="s">
        <v>30</v>
      </c>
      <c r="E18" s="13" t="s">
        <v>50</v>
      </c>
      <c r="F18" s="15" t="s">
        <v>11</v>
      </c>
      <c r="G18" s="16"/>
    </row>
    <row r="19" spans="1:7" ht="36" customHeight="1" x14ac:dyDescent="0.2">
      <c r="A19" s="11" t="s">
        <v>48</v>
      </c>
      <c r="B19" s="12" t="s">
        <v>10</v>
      </c>
      <c r="C19" s="13" t="s">
        <v>51</v>
      </c>
      <c r="D19" s="14" t="str">
        <f>'الإعدادات واللجنة'!$B$12</f>
        <v>د. نهلة بنت سعد القثامي</v>
      </c>
      <c r="E19" s="13" t="s">
        <v>40</v>
      </c>
      <c r="F19" s="15" t="s">
        <v>11</v>
      </c>
      <c r="G19" s="16"/>
    </row>
    <row r="20" spans="1:7" ht="36" customHeight="1" x14ac:dyDescent="0.2">
      <c r="A20" s="11" t="s">
        <v>48</v>
      </c>
      <c r="B20" s="18" t="s">
        <v>16</v>
      </c>
      <c r="C20" s="13" t="s">
        <v>52</v>
      </c>
      <c r="D20" s="14" t="str">
        <f>'الإعدادات واللجنة'!$B$18</f>
        <v>د. عبدالله بن محمد البركاتي</v>
      </c>
      <c r="E20" s="13" t="s">
        <v>53</v>
      </c>
      <c r="F20" s="15" t="s">
        <v>11</v>
      </c>
      <c r="G20" s="16"/>
    </row>
    <row r="21" spans="1:7" ht="36" customHeight="1" x14ac:dyDescent="0.2">
      <c r="A21" s="11" t="s">
        <v>54</v>
      </c>
      <c r="B21" s="12" t="s">
        <v>10</v>
      </c>
      <c r="C21" s="13" t="s">
        <v>55</v>
      </c>
      <c r="D21" s="14" t="str">
        <f>'الإعدادات واللجنة'!$B$12&amp;" + "&amp;'الإعدادات واللجنة'!$B$14&amp;" + "&amp;'الإعدادات واللجنة'!$B$13</f>
        <v>د. نهلة بنت سعد القثامي + أ. فاطمة بنت سلمان الخزعل + د. عبير بنت عبدالله راجحي</v>
      </c>
      <c r="E21" s="13" t="s">
        <v>56</v>
      </c>
      <c r="F21" s="15" t="s">
        <v>11</v>
      </c>
      <c r="G21" s="16"/>
    </row>
    <row r="22" spans="1:7" ht="36" customHeight="1" x14ac:dyDescent="0.2">
      <c r="A22" s="11" t="s">
        <v>54</v>
      </c>
      <c r="B22" s="12" t="s">
        <v>10</v>
      </c>
      <c r="C22" s="13" t="s">
        <v>57</v>
      </c>
      <c r="D22" s="14" t="str">
        <f>'الإعدادات واللجنة'!$B$12</f>
        <v>د. نهلة بنت سعد القثامي</v>
      </c>
      <c r="E22" s="13" t="s">
        <v>58</v>
      </c>
      <c r="F22" s="15" t="s">
        <v>11</v>
      </c>
      <c r="G22" s="16"/>
    </row>
    <row r="24" spans="1:7" ht="15" customHeight="1" x14ac:dyDescent="0.2">
      <c r="A24" s="7" t="s">
        <v>59</v>
      </c>
      <c r="B24" s="7"/>
      <c r="C24" s="7"/>
      <c r="D24" s="7"/>
      <c r="E24" s="7"/>
      <c r="F24" s="7"/>
      <c r="G24" s="7"/>
    </row>
    <row r="25" spans="1:7" ht="15" customHeight="1" x14ac:dyDescent="0.2">
      <c r="A25" s="6" t="s">
        <v>60</v>
      </c>
      <c r="B25" s="6"/>
      <c r="C25" s="6"/>
      <c r="D25" s="6"/>
      <c r="E25" s="6"/>
      <c r="F25" s="6"/>
      <c r="G25" s="6"/>
    </row>
    <row r="26" spans="1:7" ht="15" customHeight="1" x14ac:dyDescent="0.2">
      <c r="A26" s="6" t="s">
        <v>61</v>
      </c>
      <c r="B26" s="6"/>
      <c r="C26" s="6"/>
      <c r="D26" s="6"/>
      <c r="E26" s="6"/>
      <c r="F26" s="6"/>
      <c r="G26" s="6"/>
    </row>
    <row r="27" spans="1:7" ht="15" customHeight="1" x14ac:dyDescent="0.2">
      <c r="A27" s="6" t="s">
        <v>62</v>
      </c>
      <c r="B27" s="6"/>
      <c r="C27" s="6"/>
      <c r="D27" s="6"/>
      <c r="E27" s="6"/>
      <c r="F27" s="6"/>
      <c r="G27" s="6"/>
    </row>
    <row r="29" spans="1:7" ht="15" customHeight="1" x14ac:dyDescent="0.2">
      <c r="A29" s="7" t="s">
        <v>63</v>
      </c>
      <c r="B29" s="7"/>
      <c r="C29" s="7"/>
      <c r="D29" s="7"/>
      <c r="E29" s="7"/>
      <c r="F29" s="7"/>
      <c r="G29" s="7"/>
    </row>
    <row r="30" spans="1:7" ht="15" customHeight="1" x14ac:dyDescent="0.2">
      <c r="A30" s="6" t="s">
        <v>64</v>
      </c>
      <c r="B30" s="6"/>
      <c r="C30" s="6"/>
      <c r="D30" s="6"/>
      <c r="E30" s="6"/>
      <c r="F30" s="6"/>
      <c r="G30" s="6"/>
    </row>
    <row r="31" spans="1:7" ht="27.75" customHeight="1" x14ac:dyDescent="0.2">
      <c r="A31" s="6" t="s">
        <v>65</v>
      </c>
      <c r="B31" s="6"/>
      <c r="C31" s="6"/>
      <c r="D31" s="6"/>
      <c r="E31" s="6"/>
      <c r="F31" s="6"/>
      <c r="G31" s="6"/>
    </row>
    <row r="32" spans="1:7" ht="15" customHeight="1" x14ac:dyDescent="0.2">
      <c r="A32" s="6" t="s">
        <v>66</v>
      </c>
      <c r="B32" s="6"/>
      <c r="C32" s="6"/>
      <c r="D32" s="6"/>
      <c r="E32" s="6"/>
      <c r="F32" s="6"/>
      <c r="G32" s="6"/>
    </row>
    <row r="33" spans="1:7" ht="15" customHeight="1" x14ac:dyDescent="0.2">
      <c r="A33" s="6" t="s">
        <v>67</v>
      </c>
      <c r="B33" s="6"/>
      <c r="C33" s="6"/>
      <c r="D33" s="6"/>
      <c r="E33" s="6"/>
      <c r="F33" s="6"/>
      <c r="G33" s="6"/>
    </row>
    <row r="34" spans="1:7" ht="27.75" customHeight="1" x14ac:dyDescent="0.2">
      <c r="A34" s="6" t="s">
        <v>68</v>
      </c>
      <c r="B34" s="6"/>
      <c r="C34" s="6"/>
      <c r="D34" s="6"/>
      <c r="E34" s="6"/>
      <c r="F34" s="6"/>
      <c r="G34" s="6"/>
    </row>
    <row r="35" spans="1:7" ht="27.75" customHeight="1" x14ac:dyDescent="0.2">
      <c r="A35" s="6" t="s">
        <v>69</v>
      </c>
      <c r="B35" s="6"/>
      <c r="C35" s="6"/>
      <c r="D35" s="6"/>
      <c r="E35" s="6"/>
      <c r="F35" s="6"/>
      <c r="G35" s="6"/>
    </row>
    <row r="36" spans="1:7" ht="15" customHeight="1" x14ac:dyDescent="0.2">
      <c r="A36" s="6" t="s">
        <v>70</v>
      </c>
      <c r="B36" s="6"/>
      <c r="C36" s="6"/>
      <c r="D36" s="6"/>
      <c r="E36" s="6"/>
      <c r="F36" s="6"/>
      <c r="G36" s="6"/>
    </row>
    <row r="38" spans="1:7" ht="15" customHeight="1" x14ac:dyDescent="0.2">
      <c r="A38" s="7" t="s">
        <v>71</v>
      </c>
      <c r="B38" s="7"/>
      <c r="C38" s="7"/>
      <c r="D38" s="7"/>
      <c r="E38" s="7"/>
      <c r="F38" s="7"/>
      <c r="G38" s="7"/>
    </row>
    <row r="39" spans="1:7" ht="15" customHeight="1" x14ac:dyDescent="0.2">
      <c r="A39" s="6" t="s">
        <v>72</v>
      </c>
      <c r="B39" s="6"/>
      <c r="C39" s="6"/>
      <c r="D39" s="6"/>
      <c r="E39" s="6"/>
      <c r="F39" s="6"/>
      <c r="G39" s="6"/>
    </row>
    <row r="40" spans="1:7" ht="15" customHeight="1" x14ac:dyDescent="0.2">
      <c r="A40" s="6" t="s">
        <v>73</v>
      </c>
      <c r="B40" s="6"/>
      <c r="C40" s="6"/>
      <c r="D40" s="6"/>
      <c r="E40" s="6"/>
      <c r="F40" s="6"/>
      <c r="G40" s="6"/>
    </row>
    <row r="41" spans="1:7" ht="27.75" customHeight="1" x14ac:dyDescent="0.2">
      <c r="A41" s="6" t="s">
        <v>74</v>
      </c>
      <c r="B41" s="6"/>
      <c r="C41" s="6"/>
      <c r="D41" s="6"/>
      <c r="E41" s="6"/>
      <c r="F41" s="6"/>
      <c r="G41" s="6"/>
    </row>
    <row r="43" spans="1:7" ht="15" customHeight="1" x14ac:dyDescent="0.2">
      <c r="A43" s="7" t="s">
        <v>75</v>
      </c>
      <c r="B43" s="7"/>
      <c r="C43" s="7"/>
      <c r="D43" s="7"/>
      <c r="E43" s="7"/>
      <c r="F43" s="7"/>
      <c r="G43" s="7"/>
    </row>
    <row r="44" spans="1:7" ht="42" customHeight="1" x14ac:dyDescent="0.2">
      <c r="A44" s="6" t="s">
        <v>76</v>
      </c>
      <c r="B44" s="6"/>
      <c r="C44" s="6"/>
      <c r="D44" s="6"/>
      <c r="E44" s="6"/>
      <c r="F44" s="6"/>
      <c r="G44" s="6"/>
    </row>
  </sheetData>
  <mergeCells count="20">
    <mergeCell ref="A39:G39"/>
    <mergeCell ref="A40:G40"/>
    <mergeCell ref="A41:G41"/>
    <mergeCell ref="A43:G43"/>
    <mergeCell ref="A44:G44"/>
    <mergeCell ref="A33:G33"/>
    <mergeCell ref="A34:G34"/>
    <mergeCell ref="A35:G35"/>
    <mergeCell ref="A36:G36"/>
    <mergeCell ref="A38:G38"/>
    <mergeCell ref="A27:G27"/>
    <mergeCell ref="A29:G29"/>
    <mergeCell ref="A30:G30"/>
    <mergeCell ref="A31:G31"/>
    <mergeCell ref="A32:G32"/>
    <mergeCell ref="A1:G1"/>
    <mergeCell ref="A2:G2"/>
    <mergeCell ref="A24:G24"/>
    <mergeCell ref="A25:G25"/>
    <mergeCell ref="A26:G26"/>
  </mergeCells>
  <conditionalFormatting sqref="F5:F22">
    <cfRule type="cellIs" dxfId="22" priority="2" operator="equal">
      <formula>"مكتملة"</formula>
    </cfRule>
    <cfRule type="cellIs" dxfId="21" priority="3" operator="equal">
      <formula>"متأخرة"</formula>
    </cfRule>
  </conditionalFormatting>
  <dataValidations count="1">
    <dataValidation type="list" allowBlank="1" sqref="F5:F22" xr:uid="{00000000-0002-0000-0000-000000000000}">
      <formula1>"لم تبدأ,قيد التنفيذ,مكتملة,متأخرة"</formula1>
      <formula2>0</formula2>
    </dataValidation>
  </dataValidations>
  <pageMargins left="0.75" right="0.75" top="1" bottom="1" header="0.511811023622047" footer="0.511811023622047"/>
  <pageSetup paperSize="9" orientation="portrait" horizontalDpi="300" verticalDpi="300"/>
  <headerFooter>
    <oddFooter xml:space="preserve">&amp;L_x000D_&amp;1#&amp;"Aptos"&amp;10&amp;K000000 Restricted - مقيد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2"/>
  <sheetViews>
    <sheetView rightToLeft="1" topLeftCell="A9" zoomScaleNormal="100" workbookViewId="0">
      <selection activeCell="A21" sqref="A21"/>
    </sheetView>
  </sheetViews>
  <sheetFormatPr baseColWidth="10" defaultColWidth="8.6640625" defaultRowHeight="15" x14ac:dyDescent="0.2"/>
  <cols>
    <col min="1" max="1" width="16" customWidth="1"/>
    <col min="2" max="2" width="30" customWidth="1"/>
    <col min="3" max="3" width="22" customWidth="1"/>
    <col min="4" max="4" width="70" customWidth="1"/>
    <col min="5" max="5" width="18" customWidth="1"/>
  </cols>
  <sheetData>
    <row r="1" spans="1:5" ht="18.5" customHeight="1" x14ac:dyDescent="0.2">
      <c r="A1" s="9" t="s">
        <v>77</v>
      </c>
      <c r="B1" s="9"/>
      <c r="C1" s="9"/>
      <c r="D1" s="9"/>
      <c r="E1" s="9"/>
    </row>
    <row r="2" spans="1:5" ht="15" customHeight="1" x14ac:dyDescent="0.2">
      <c r="A2" s="6" t="s">
        <v>78</v>
      </c>
      <c r="B2" s="6"/>
      <c r="C2" s="6"/>
      <c r="D2" s="6"/>
      <c r="E2" s="6"/>
    </row>
    <row r="4" spans="1:5" ht="15" customHeight="1" x14ac:dyDescent="0.2">
      <c r="A4" s="7" t="s">
        <v>79</v>
      </c>
      <c r="B4" s="7"/>
      <c r="C4" s="7"/>
      <c r="D4" s="7"/>
      <c r="E4" s="7"/>
    </row>
    <row r="5" spans="1:5" ht="15" customHeight="1" x14ac:dyDescent="0.2">
      <c r="A5" s="20" t="s">
        <v>80</v>
      </c>
      <c r="B5" s="5" t="s">
        <v>81</v>
      </c>
      <c r="C5" s="5"/>
    </row>
    <row r="6" spans="1:5" ht="15" customHeight="1" x14ac:dyDescent="0.2">
      <c r="A6" s="20" t="s">
        <v>82</v>
      </c>
      <c r="B6" s="5" t="s">
        <v>83</v>
      </c>
      <c r="C6" s="5"/>
    </row>
    <row r="7" spans="1:5" ht="15" customHeight="1" x14ac:dyDescent="0.2">
      <c r="A7" s="20" t="s">
        <v>84</v>
      </c>
      <c r="B7" s="5" t="s">
        <v>85</v>
      </c>
      <c r="C7" s="5"/>
    </row>
    <row r="8" spans="1:5" ht="15" customHeight="1" x14ac:dyDescent="0.2">
      <c r="A8" s="8" t="s">
        <v>86</v>
      </c>
      <c r="B8" s="8"/>
      <c r="C8" s="8"/>
      <c r="D8" s="8"/>
      <c r="E8" s="8"/>
    </row>
    <row r="10" spans="1:5" ht="15" customHeight="1" x14ac:dyDescent="0.2">
      <c r="A10" s="7" t="s">
        <v>87</v>
      </c>
      <c r="B10" s="7"/>
      <c r="C10" s="7"/>
      <c r="D10" s="7"/>
      <c r="E10" s="7"/>
    </row>
    <row r="11" spans="1:5" x14ac:dyDescent="0.2">
      <c r="A11" s="10" t="s">
        <v>88</v>
      </c>
      <c r="B11" s="10" t="s">
        <v>89</v>
      </c>
      <c r="C11" s="10" t="s">
        <v>90</v>
      </c>
      <c r="D11" s="10" t="s">
        <v>91</v>
      </c>
      <c r="E11" s="10" t="s">
        <v>92</v>
      </c>
    </row>
    <row r="12" spans="1:5" ht="42" customHeight="1" x14ac:dyDescent="0.2">
      <c r="A12" s="14">
        <v>1</v>
      </c>
      <c r="B12" s="21" t="s">
        <v>93</v>
      </c>
      <c r="C12" s="14" t="s">
        <v>94</v>
      </c>
      <c r="D12" s="13" t="s">
        <v>95</v>
      </c>
      <c r="E12" s="14">
        <f>COUNTIF('فحص-حاسب-بكالوريوس'!$H:$H,B12)+COUNTIF('فحص-بيانات-بكالوريوس'!$H:$H,B12)+COUNTIF('فحص-بيانات-ماجستير'!$H:$H,B12)</f>
        <v>0</v>
      </c>
    </row>
    <row r="13" spans="1:5" ht="42" customHeight="1" x14ac:dyDescent="0.2">
      <c r="A13" s="14">
        <v>2</v>
      </c>
      <c r="B13" s="21" t="s">
        <v>96</v>
      </c>
      <c r="C13" s="14" t="s">
        <v>97</v>
      </c>
      <c r="D13" s="13" t="s">
        <v>98</v>
      </c>
      <c r="E13" s="14">
        <f>COUNTIF('فحص-حاسب-بكالوريوس'!$H:$H,B13)+COUNTIF('فحص-بيانات-بكالوريوس'!$H:$H,B13)+COUNTIF('فحص-بيانات-ماجستير'!$H:$H,B13)</f>
        <v>0</v>
      </c>
    </row>
    <row r="14" spans="1:5" ht="42" customHeight="1" x14ac:dyDescent="0.2">
      <c r="A14" s="14">
        <v>3</v>
      </c>
      <c r="B14" s="21" t="s">
        <v>99</v>
      </c>
      <c r="C14" s="14" t="s">
        <v>100</v>
      </c>
      <c r="D14" s="13" t="s">
        <v>101</v>
      </c>
      <c r="E14" s="14">
        <f>COUNTIF('فحص-حاسب-بكالوريوس'!$H:$H,B14)+COUNTIF('فحص-بيانات-بكالوريوس'!$H:$H,B14)+COUNTIF('فحص-بيانات-ماجستير'!$H:$H,B14)</f>
        <v>0</v>
      </c>
    </row>
    <row r="15" spans="1:5" ht="42" customHeight="1" x14ac:dyDescent="0.2">
      <c r="A15" s="14">
        <v>4</v>
      </c>
      <c r="B15" s="21" t="s">
        <v>102</v>
      </c>
      <c r="C15" s="14" t="s">
        <v>103</v>
      </c>
      <c r="D15" s="13" t="s">
        <v>104</v>
      </c>
      <c r="E15" s="14">
        <f>COUNTIF('فحص-حاسب-بكالوريوس'!$H:$H,B15)+COUNTIF('فحص-بيانات-بكالوريوس'!$H:$H,B15)+COUNTIF('فحص-بيانات-ماجستير'!$H:$H,B15)</f>
        <v>117</v>
      </c>
    </row>
    <row r="16" spans="1:5" ht="42" customHeight="1" x14ac:dyDescent="0.2">
      <c r="A16" s="14">
        <v>5</v>
      </c>
      <c r="B16" s="21" t="s">
        <v>105</v>
      </c>
      <c r="C16" s="14" t="s">
        <v>103</v>
      </c>
      <c r="D16" s="13" t="s">
        <v>106</v>
      </c>
      <c r="E16" s="14">
        <f>COUNTIF('فحص-حاسب-بكالوريوس'!$H:$H,B16)+COUNTIF('فحص-بيانات-بكالوريوس'!$H:$H,B16)+COUNTIF('فحص-بيانات-ماجستير'!$H:$H,B16)</f>
        <v>141</v>
      </c>
    </row>
    <row r="17" spans="1:5" ht="42" customHeight="1" x14ac:dyDescent="0.2">
      <c r="A17" s="14">
        <v>6</v>
      </c>
      <c r="B17" s="21" t="s">
        <v>107</v>
      </c>
      <c r="C17" s="14" t="s">
        <v>103</v>
      </c>
      <c r="D17" s="13" t="s">
        <v>108</v>
      </c>
      <c r="E17" s="14">
        <f>COUNTIF('فحص-حاسب-بكالوريوس'!$H:$H,B17)+COUNTIF('فحص-بيانات-بكالوريوس'!$H:$H,B17)+COUNTIF('فحص-بيانات-ماجستير'!$H:$H,B17)</f>
        <v>77</v>
      </c>
    </row>
    <row r="18" spans="1:5" ht="42" customHeight="1" x14ac:dyDescent="0.2">
      <c r="A18" s="14">
        <v>7</v>
      </c>
      <c r="B18" s="21" t="s">
        <v>109</v>
      </c>
      <c r="C18" s="14" t="s">
        <v>110</v>
      </c>
      <c r="D18" s="13" t="s">
        <v>111</v>
      </c>
      <c r="E18" s="14">
        <f>COUNTIF('فحص-حاسب-بكالوريوس'!$H:$H,B18)+COUNTIF('فحص-بيانات-بكالوريوس'!$H:$H,B18)+COUNTIF('فحص-بيانات-ماجستير'!$H:$H,B18)</f>
        <v>92</v>
      </c>
    </row>
    <row r="19" spans="1:5" ht="42" customHeight="1" x14ac:dyDescent="0.2">
      <c r="A19" s="14">
        <v>8</v>
      </c>
      <c r="B19" s="21" t="s">
        <v>112</v>
      </c>
      <c r="C19" s="14" t="s">
        <v>103</v>
      </c>
      <c r="D19" s="13" t="s">
        <v>113</v>
      </c>
      <c r="E19" s="14">
        <f>COUNTIF('فحص-حاسب-بكالوريوس'!$H:$H,B19)+COUNTIF('فحص-بيانات-بكالوريوس'!$H:$H,B19)+COUNTIF('فحص-بيانات-ماجستير'!$H:$H,B19)</f>
        <v>111</v>
      </c>
    </row>
    <row r="20" spans="1:5" ht="42" customHeight="1" x14ac:dyDescent="0.2">
      <c r="A20" s="14">
        <v>9</v>
      </c>
      <c r="B20" s="21" t="s">
        <v>114</v>
      </c>
      <c r="C20" s="14" t="s">
        <v>103</v>
      </c>
      <c r="D20" s="13" t="s">
        <v>115</v>
      </c>
      <c r="E20" s="14">
        <f>COUNTIF('فحص-حاسب-بكالوريوس'!$H:$H,B20)+COUNTIF('فحص-بيانات-بكالوريوس'!$H:$H,B20)+COUNTIF('فحص-بيانات-ماجستير'!$H:$H,B20)</f>
        <v>96</v>
      </c>
    </row>
    <row r="22" spans="1:5" ht="15" customHeight="1" x14ac:dyDescent="0.2">
      <c r="A22" s="7" t="s">
        <v>116</v>
      </c>
      <c r="B22" s="7"/>
      <c r="C22" s="7"/>
      <c r="D22" s="7"/>
      <c r="E22" s="7"/>
    </row>
    <row r="23" spans="1:5" x14ac:dyDescent="0.2">
      <c r="A23" s="10" t="s">
        <v>117</v>
      </c>
      <c r="B23" s="10" t="s">
        <v>118</v>
      </c>
      <c r="C23" s="10" t="s">
        <v>5</v>
      </c>
      <c r="D23" s="10" t="s">
        <v>119</v>
      </c>
      <c r="E23" s="10" t="s">
        <v>120</v>
      </c>
    </row>
    <row r="24" spans="1:5" x14ac:dyDescent="0.2">
      <c r="A24" s="11" t="s">
        <v>121</v>
      </c>
      <c r="B24" s="13" t="s">
        <v>122</v>
      </c>
      <c r="C24" s="15" t="str">
        <f>'الإعدادات واللجنة'!$B$15</f>
        <v>د. سلطان بن سعيد الشمراني</v>
      </c>
      <c r="D24" s="14">
        <f>COUNTIFS('فحص-حاسب-بكالوريوس'!$A:$A,A24&amp;"-*",'فحص-حاسب-بكالوريوس'!$C:$C,"&lt;&gt;")+COUNTIFS('فحص-بيانات-بكالوريوس'!$A:$A,A24&amp;"-*",'فحص-بيانات-بكالوريوس'!$C:$C,"&lt;&gt;")+COUNTIFS('فحص-بيانات-ماجستير'!$A:$A,A24&amp;"-*",'فحص-بيانات-ماجستير'!$C:$C,"&lt;&gt;")</f>
        <v>27</v>
      </c>
      <c r="E24" s="14">
        <f>COUNTIF('فحص-حاسب-بكالوريوس'!$A:$A,A24&amp;"-*")+COUNTIF('فحص-بيانات-بكالوريوس'!$A:$A,A24&amp;"-*")+COUNTIF('فحص-بيانات-ماجستير'!$A:$A,A24&amp;"-*")</f>
        <v>117</v>
      </c>
    </row>
    <row r="25" spans="1:5" x14ac:dyDescent="0.2">
      <c r="A25" s="11" t="s">
        <v>123</v>
      </c>
      <c r="B25" s="13" t="s">
        <v>124</v>
      </c>
      <c r="C25" s="15" t="str">
        <f>'الإعدادات واللجنة'!$B$20</f>
        <v>د. حسن بن سعد القحطاني</v>
      </c>
      <c r="D25" s="14">
        <f>COUNTIFS('فحص-حاسب-بكالوريوس'!$A:$A,A25&amp;"-*",'فحص-حاسب-بكالوريوس'!$C:$C,"&lt;&gt;")+COUNTIFS('فحص-بيانات-بكالوريوس'!$A:$A,A25&amp;"-*",'فحص-بيانات-بكالوريوس'!$C:$C,"&lt;&gt;")+COUNTIFS('فحص-بيانات-ماجستير'!$A:$A,A25&amp;"-*",'فحص-بيانات-ماجستير'!$C:$C,"&lt;&gt;")</f>
        <v>9</v>
      </c>
      <c r="E25" s="14">
        <f>COUNTIF('فحص-حاسب-بكالوريوس'!$A:$A,A25&amp;"-*")+COUNTIF('فحص-بيانات-بكالوريوس'!$A:$A,A25&amp;"-*")+COUNTIF('فحص-بيانات-ماجستير'!$A:$A,A25&amp;"-*")</f>
        <v>39</v>
      </c>
    </row>
    <row r="26" spans="1:5" x14ac:dyDescent="0.2">
      <c r="A26" s="11" t="s">
        <v>125</v>
      </c>
      <c r="B26" s="13" t="s">
        <v>126</v>
      </c>
      <c r="C26" s="15" t="str">
        <f>'الإعدادات واللجنة'!$B$16</f>
        <v>د. احمد بن عوض البشري</v>
      </c>
      <c r="D26" s="14">
        <f>COUNTIFS('فحص-حاسب-بكالوريوس'!$A:$A,A26&amp;"-*",'فحص-حاسب-بكالوريوس'!$C:$C,"&lt;&gt;")+COUNTIFS('فحص-بيانات-بكالوريوس'!$A:$A,A26&amp;"-*",'فحص-بيانات-بكالوريوس'!$C:$C,"&lt;&gt;")+COUNTIFS('فحص-بيانات-ماجستير'!$A:$A,A26&amp;"-*",'فحص-بيانات-ماجستير'!$C:$C,"&lt;&gt;")</f>
        <v>15</v>
      </c>
      <c r="E26" s="14">
        <f>COUNTIF('فحص-حاسب-بكالوريوس'!$A:$A,A26&amp;"-*")+COUNTIF('فحص-بيانات-بكالوريوس'!$A:$A,A26&amp;"-*")+COUNTIF('فحص-بيانات-ماجستير'!$A:$A,A26&amp;"-*")</f>
        <v>75</v>
      </c>
    </row>
    <row r="27" spans="1:5" x14ac:dyDescent="0.2">
      <c r="A27" s="11" t="s">
        <v>127</v>
      </c>
      <c r="B27" s="13" t="s">
        <v>128</v>
      </c>
      <c r="C27" s="15" t="str">
        <f>'الإعدادات واللجنة'!$B$16</f>
        <v>د. احمد بن عوض البشري</v>
      </c>
      <c r="D27" s="14">
        <f>COUNTIFS('فحص-حاسب-بكالوريوس'!$A:$A,A27&amp;"-*",'فحص-حاسب-بكالوريوس'!$C:$C,"&lt;&gt;")+COUNTIFS('فحص-بيانات-بكالوريوس'!$A:$A,A27&amp;"-*",'فحص-بيانات-بكالوريوس'!$C:$C,"&lt;&gt;")+COUNTIFS('فحص-بيانات-ماجستير'!$A:$A,A27&amp;"-*",'فحص-بيانات-ماجستير'!$C:$C,"&lt;&gt;")</f>
        <v>18</v>
      </c>
      <c r="E27" s="14">
        <f>COUNTIF('فحص-حاسب-بكالوريوس'!$A:$A,A27&amp;"-*")+COUNTIF('فحص-بيانات-بكالوريوس'!$A:$A,A27&amp;"-*")+COUNTIF('فحص-بيانات-ماجستير'!$A:$A,A27&amp;"-*")</f>
        <v>66</v>
      </c>
    </row>
    <row r="28" spans="1:5" x14ac:dyDescent="0.2">
      <c r="A28" s="11" t="s">
        <v>129</v>
      </c>
      <c r="B28" s="13" t="s">
        <v>130</v>
      </c>
      <c r="C28" s="15" t="str">
        <f>'الإعدادات واللجنة'!$B$17</f>
        <v>د. يثرب بنت سعد القحطاني</v>
      </c>
      <c r="D28" s="14">
        <f>COUNTIFS('فحص-حاسب-بكالوريوس'!$A:$A,A28&amp;"-*",'فحص-حاسب-بكالوريوس'!$C:$C,"&lt;&gt;")+COUNTIFS('فحص-بيانات-بكالوريوس'!$A:$A,A28&amp;"-*",'فحص-بيانات-بكالوريوس'!$C:$C,"&lt;&gt;")+COUNTIFS('فحص-بيانات-ماجستير'!$A:$A,A28&amp;"-*",'فحص-بيانات-ماجستير'!$C:$C,"&lt;&gt;")</f>
        <v>19</v>
      </c>
      <c r="E28" s="14">
        <f>COUNTIF('فحص-حاسب-بكالوريوس'!$A:$A,A28&amp;"-*")+COUNTIF('فحص-بيانات-بكالوريوس'!$A:$A,A28&amp;"-*")+COUNTIF('فحص-بيانات-ماجستير'!$A:$A,A28&amp;"-*")</f>
        <v>77</v>
      </c>
    </row>
    <row r="29" spans="1:5" x14ac:dyDescent="0.2">
      <c r="A29" s="11" t="s">
        <v>131</v>
      </c>
      <c r="B29" s="13" t="s">
        <v>132</v>
      </c>
      <c r="C29" s="15" t="str">
        <f>'الإعدادات واللجنة'!$B$18</f>
        <v>د. عبدالله بن محمد البركاتي</v>
      </c>
      <c r="D29" s="14">
        <f>COUNTIFS('فحص-حاسب-بكالوريوس'!$A:$A,A29&amp;"-*",'فحص-حاسب-بكالوريوس'!$C:$C,"&lt;&gt;")+COUNTIFS('فحص-بيانات-بكالوريوس'!$A:$A,A29&amp;"-*",'فحص-بيانات-بكالوريوس'!$C:$C,"&lt;&gt;")+COUNTIFS('فحص-بيانات-ماجستير'!$A:$A,A29&amp;"-*",'فحص-بيانات-ماجستير'!$C:$C,"&lt;&gt;")</f>
        <v>20</v>
      </c>
      <c r="E29" s="14">
        <f>COUNTIF('فحص-حاسب-بكالوريوس'!$A:$A,A29&amp;"-*")+COUNTIF('فحص-بيانات-بكالوريوس'!$A:$A,A29&amp;"-*")+COUNTIF('فحص-بيانات-ماجستير'!$A:$A,A29&amp;"-*")</f>
        <v>92</v>
      </c>
    </row>
    <row r="30" spans="1:5" x14ac:dyDescent="0.2">
      <c r="A30" s="11" t="s">
        <v>133</v>
      </c>
      <c r="B30" s="13" t="s">
        <v>134</v>
      </c>
      <c r="C30" s="15" t="str">
        <f>'الإعدادات واللجنة'!$B$19</f>
        <v>د. عمر بن محمد موسى</v>
      </c>
      <c r="D30" s="14">
        <f>COUNTIFS('فحص-حاسب-بكالوريوس'!$A:$A,A30&amp;"-*",'فحص-حاسب-بكالوريوس'!$C:$C,"&lt;&gt;")+COUNTIFS('فحص-بيانات-بكالوريوس'!$A:$A,A30&amp;"-*",'فحص-بيانات-بكالوريوس'!$C:$C,"&lt;&gt;")+COUNTIFS('فحص-بيانات-ماجستير'!$A:$A,A30&amp;"-*",'فحص-بيانات-ماجستير'!$C:$C,"&lt;&gt;")</f>
        <v>18</v>
      </c>
      <c r="E30" s="14">
        <f>COUNTIF('فحص-حاسب-بكالوريوس'!$A:$A,A30&amp;"-*")+COUNTIF('فحص-بيانات-بكالوريوس'!$A:$A,A30&amp;"-*")+COUNTIF('فحص-بيانات-ماجستير'!$A:$A,A30&amp;"-*")</f>
        <v>78</v>
      </c>
    </row>
    <row r="31" spans="1:5" x14ac:dyDescent="0.2">
      <c r="A31" s="11" t="s">
        <v>135</v>
      </c>
      <c r="B31" s="13" t="s">
        <v>136</v>
      </c>
      <c r="C31" s="15" t="str">
        <f>'الإعدادات واللجنة'!$B$20</f>
        <v>د. حسن بن سعد القحطاني</v>
      </c>
      <c r="D31" s="14">
        <f>COUNTIFS('فحص-حاسب-بكالوريوس'!$A:$A,A31&amp;"-*",'فحص-حاسب-بكالوريوس'!$C:$C,"&lt;&gt;")+COUNTIFS('فحص-بيانات-بكالوريوس'!$A:$A,A31&amp;"-*",'فحص-بيانات-بكالوريوس'!$C:$C,"&lt;&gt;")+COUNTIFS('فحص-بيانات-ماجستير'!$A:$A,A31&amp;"-*",'فحص-بيانات-ماجستير'!$C:$C,"&lt;&gt;")</f>
        <v>15</v>
      </c>
      <c r="E31" s="14">
        <f>COUNTIF('فحص-حاسب-بكالوريوس'!$A:$A,A31&amp;"-*")+COUNTIF('فحص-بيانات-بكالوريوس'!$A:$A,A31&amp;"-*")+COUNTIF('فحص-بيانات-ماجستير'!$A:$A,A31&amp;"-*")</f>
        <v>57</v>
      </c>
    </row>
    <row r="32" spans="1:5" x14ac:dyDescent="0.2">
      <c r="A32" s="11" t="s">
        <v>137</v>
      </c>
      <c r="B32" s="13" t="s">
        <v>138</v>
      </c>
      <c r="C32" s="15" t="str">
        <f>'الإعدادات واللجنة'!$B$19</f>
        <v>د. عمر بن محمد موسى</v>
      </c>
      <c r="D32" s="14">
        <f>COUNTIFS('فحص-حاسب-بكالوريوس'!$A:$A,A32&amp;"-*",'فحص-حاسب-بكالوريوس'!$C:$C,"&lt;&gt;")+COUNTIFS('فحص-بيانات-بكالوريوس'!$A:$A,A32&amp;"-*",'فحص-بيانات-بكالوريوس'!$C:$C,"&lt;&gt;")+COUNTIFS('فحص-بيانات-ماجستير'!$A:$A,A32&amp;"-*",'فحص-بيانات-ماجستير'!$C:$C,"&lt;&gt;")</f>
        <v>11</v>
      </c>
      <c r="E32" s="14">
        <f>COUNTIF('فحص-حاسب-بكالوريوس'!$A:$A,A32&amp;"-*")+COUNTIF('فحص-بيانات-بكالوريوس'!$A:$A,A32&amp;"-*")+COUNTIF('فحص-بيانات-ماجستير'!$A:$A,A32&amp;"-*")</f>
        <v>33</v>
      </c>
    </row>
  </sheetData>
  <mergeCells count="9">
    <mergeCell ref="B7:C7"/>
    <mergeCell ref="A8:E8"/>
    <mergeCell ref="A10:E10"/>
    <mergeCell ref="A22:E22"/>
    <mergeCell ref="A1:E1"/>
    <mergeCell ref="A2:E2"/>
    <mergeCell ref="A4:E4"/>
    <mergeCell ref="B5:C5"/>
    <mergeCell ref="B6:C6"/>
  </mergeCells>
  <dataValidations count="1">
    <dataValidation type="list" allowBlank="1" sqref="C24:C32" xr:uid="{00000000-0002-0000-0100-000000000000}">
      <formula1>$B$12:$B$20</formula1>
      <formula2>0</formula2>
    </dataValidation>
  </dataValidations>
  <pageMargins left="0.75" right="0.75" top="1" bottom="1" header="0.511811023622047" footer="0.511811023622047"/>
  <pageSetup paperSize="9" orientation="portrait" horizontalDpi="300" verticalDpi="300"/>
  <headerFooter>
    <oddFooter xml:space="preserve">&amp;L_x000D_&amp;1#&amp;"Aptos"&amp;10&amp;K000000 Restricted - مقيد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sheetPr>
  <dimension ref="A1:I50"/>
  <sheetViews>
    <sheetView rightToLeft="1" zoomScaleNormal="100" workbookViewId="0"/>
  </sheetViews>
  <sheetFormatPr baseColWidth="10" defaultColWidth="8.6640625" defaultRowHeight="15" x14ac:dyDescent="0.2"/>
  <cols>
    <col min="1" max="1" width="42" customWidth="1"/>
    <col min="2" max="4" width="14" customWidth="1"/>
    <col min="5" max="6" width="11" customWidth="1"/>
    <col min="7" max="7" width="13" customWidth="1"/>
    <col min="8" max="8" width="12" customWidth="1"/>
    <col min="9" max="9" width="15" customWidth="1"/>
  </cols>
  <sheetData>
    <row r="1" spans="1:9" ht="18.5" customHeight="1" x14ac:dyDescent="0.2">
      <c r="A1" s="9" t="s">
        <v>139</v>
      </c>
      <c r="B1" s="9"/>
      <c r="C1" s="9"/>
      <c r="D1" s="9"/>
      <c r="E1" s="9"/>
      <c r="F1" s="9"/>
      <c r="G1" s="9"/>
      <c r="H1" s="9"/>
      <c r="I1" s="9"/>
    </row>
    <row r="2" spans="1:9" ht="15" customHeight="1" x14ac:dyDescent="0.2">
      <c r="A2" s="6" t="s">
        <v>140</v>
      </c>
      <c r="B2" s="6"/>
      <c r="C2" s="6"/>
      <c r="D2" s="6"/>
      <c r="E2" s="6"/>
      <c r="F2" s="6"/>
      <c r="G2" s="6"/>
      <c r="H2" s="6"/>
      <c r="I2" s="6"/>
    </row>
    <row r="4" spans="1:9" ht="16" x14ac:dyDescent="0.2">
      <c r="A4" s="4" t="str">
        <f>'الإعدادات واللجنة'!$B$5</f>
        <v>بكالوريوس علوم الحاسب</v>
      </c>
      <c r="B4" s="4"/>
      <c r="C4" s="4"/>
      <c r="D4" s="4"/>
      <c r="E4" s="4"/>
      <c r="F4" s="4"/>
      <c r="G4" s="4"/>
      <c r="H4" s="4"/>
      <c r="I4" s="4"/>
    </row>
    <row r="5" spans="1:9" x14ac:dyDescent="0.2">
      <c r="A5" s="10" t="s">
        <v>141</v>
      </c>
      <c r="B5" s="10" t="s">
        <v>142</v>
      </c>
      <c r="C5" s="10" t="s">
        <v>143</v>
      </c>
      <c r="D5" s="10" t="s">
        <v>144</v>
      </c>
      <c r="E5" s="10" t="s">
        <v>145</v>
      </c>
      <c r="F5" s="10" t="s">
        <v>146</v>
      </c>
      <c r="G5" s="10" t="s">
        <v>147</v>
      </c>
      <c r="H5" s="10" t="s">
        <v>148</v>
      </c>
      <c r="I5" s="10" t="s">
        <v>149</v>
      </c>
    </row>
    <row r="6" spans="1:9" x14ac:dyDescent="0.2">
      <c r="A6" s="22" t="s">
        <v>150</v>
      </c>
      <c r="B6" s="14">
        <f>COUNTIF('فحص-حاسب-بكالوريوس'!$B$5:$B$208,"1. إدارة البرنامج وضمان جودته")</f>
        <v>52</v>
      </c>
      <c r="C6" s="14">
        <f>COUNTIFS('فحص-حاسب-بكالوريوس'!$B$5:$B$208,"1. إدارة البرنامج وضمان جودته",'فحص-حاسب-بكالوريوس'!$I$5:$I$208,"متوفر ومكتمل")</f>
        <v>0</v>
      </c>
      <c r="D6" s="14">
        <f>COUNTIFS('فحص-حاسب-بكالوريوس'!$B$5:$B$208,"1. إدارة البرنامج وضمان جودته",'فحص-حاسب-بكالوريوس'!$I$5:$I$208,"متوفر ويحتاج تحسين")</f>
        <v>0</v>
      </c>
      <c r="E6" s="14">
        <f>COUNTIFS('فحص-حاسب-بكالوريوس'!$B$5:$B$208,"1. إدارة البرنامج وضمان جودته",'فحص-حاسب-بكالوريوس'!$I$5:$I$208,"غير متوفر")</f>
        <v>0</v>
      </c>
      <c r="F6" s="14">
        <f t="shared" ref="F6:F12" si="0">B6-SUM(C6:E6)</f>
        <v>52</v>
      </c>
      <c r="G6" s="23">
        <f t="shared" ref="G6:G12" si="1">IF(B6=0,0,C6/B6)</f>
        <v>0</v>
      </c>
      <c r="H6" s="14">
        <f>COUNTIFS('فحص-حاسب-بكالوريوس'!$B$5:$B$208,"1. إدارة البرنامج وضمان جودته",'فحص-حاسب-بكالوريوس'!$K$5:$K$208,"عالية")</f>
        <v>0</v>
      </c>
      <c r="I6" s="14">
        <f>COUNTIFS('فحص-حاسب-بكالوريوس'!$B$5:$B$208,"1. إدارة البرنامج وضمان جودته",'فحص-حاسب-بكالوريوس'!$P$5:$P$208,"&lt;&gt;")</f>
        <v>0</v>
      </c>
    </row>
    <row r="7" spans="1:9" x14ac:dyDescent="0.2">
      <c r="A7" s="22" t="s">
        <v>151</v>
      </c>
      <c r="B7" s="14">
        <f>COUNTIF('فحص-حاسب-بكالوريوس'!$B$5:$B$208,"2. التعليم والتعلم")</f>
        <v>75</v>
      </c>
      <c r="C7" s="14">
        <f>COUNTIFS('فحص-حاسب-بكالوريوس'!$B$5:$B$208,"2. التعليم والتعلم",'فحص-حاسب-بكالوريوس'!$I$5:$I$208,"متوفر ومكتمل")</f>
        <v>0</v>
      </c>
      <c r="D7" s="14">
        <f>COUNTIFS('فحص-حاسب-بكالوريوس'!$B$5:$B$208,"2. التعليم والتعلم",'فحص-حاسب-بكالوريوس'!$I$5:$I$208,"متوفر ويحتاج تحسين")</f>
        <v>0</v>
      </c>
      <c r="E7" s="14">
        <f>COUNTIFS('فحص-حاسب-بكالوريوس'!$B$5:$B$208,"2. التعليم والتعلم",'فحص-حاسب-بكالوريوس'!$I$5:$I$208,"غير متوفر")</f>
        <v>0</v>
      </c>
      <c r="F7" s="14">
        <f t="shared" si="0"/>
        <v>75</v>
      </c>
      <c r="G7" s="23">
        <f t="shared" si="1"/>
        <v>0</v>
      </c>
      <c r="H7" s="14">
        <f>COUNTIFS('فحص-حاسب-بكالوريوس'!$B$5:$B$208,"2. التعليم والتعلم",'فحص-حاسب-بكالوريوس'!$K$5:$K$208,"عالية")</f>
        <v>0</v>
      </c>
      <c r="I7" s="14">
        <f>COUNTIFS('فحص-حاسب-بكالوريوس'!$B$5:$B$208,"2. التعليم والتعلم",'فحص-حاسب-بكالوريوس'!$P$5:$P$208,"&lt;&gt;")</f>
        <v>0</v>
      </c>
    </row>
    <row r="8" spans="1:9" x14ac:dyDescent="0.2">
      <c r="A8" s="22" t="s">
        <v>152</v>
      </c>
      <c r="B8" s="14">
        <f>COUNTIF('فحص-حاسب-بكالوريوس'!$B$5:$B$208,"3. الطالب")</f>
        <v>32</v>
      </c>
      <c r="C8" s="14">
        <f>COUNTIFS('فحص-حاسب-بكالوريوس'!$B$5:$B$208,"3. الطالب",'فحص-حاسب-بكالوريوس'!$I$5:$I$208,"متوفر ومكتمل")</f>
        <v>0</v>
      </c>
      <c r="D8" s="14">
        <f>COUNTIFS('فحص-حاسب-بكالوريوس'!$B$5:$B$208,"3. الطالب",'فحص-حاسب-بكالوريوس'!$I$5:$I$208,"متوفر ويحتاج تحسين")</f>
        <v>0</v>
      </c>
      <c r="E8" s="14">
        <f>COUNTIFS('فحص-حاسب-بكالوريوس'!$B$5:$B$208,"3. الطالب",'فحص-حاسب-بكالوريوس'!$I$5:$I$208,"غير متوفر")</f>
        <v>0</v>
      </c>
      <c r="F8" s="14">
        <f t="shared" si="0"/>
        <v>32</v>
      </c>
      <c r="G8" s="23">
        <f t="shared" si="1"/>
        <v>0</v>
      </c>
      <c r="H8" s="14">
        <f>COUNTIFS('فحص-حاسب-بكالوريوس'!$B$5:$B$208,"3. الطالب",'فحص-حاسب-بكالوريوس'!$K$5:$K$208,"عالية")</f>
        <v>0</v>
      </c>
      <c r="I8" s="14">
        <f>COUNTIFS('فحص-حاسب-بكالوريوس'!$B$5:$B$208,"3. الطالب",'فحص-حاسب-بكالوريوس'!$P$5:$P$208,"&lt;&gt;")</f>
        <v>0</v>
      </c>
    </row>
    <row r="9" spans="1:9" x14ac:dyDescent="0.2">
      <c r="A9" s="22" t="s">
        <v>153</v>
      </c>
      <c r="B9" s="14">
        <f>COUNTIF('فحص-حاسب-بكالوريوس'!$B$5:$B$208,"4. هيئة التدريس")</f>
        <v>26</v>
      </c>
      <c r="C9" s="14">
        <f>COUNTIFS('فحص-حاسب-بكالوريوس'!$B$5:$B$208,"4. هيئة التدريس",'فحص-حاسب-بكالوريوس'!$I$5:$I$208,"متوفر ومكتمل")</f>
        <v>0</v>
      </c>
      <c r="D9" s="14">
        <f>COUNTIFS('فحص-حاسب-بكالوريوس'!$B$5:$B$208,"4. هيئة التدريس",'فحص-حاسب-بكالوريوس'!$I$5:$I$208,"متوفر ويحتاج تحسين")</f>
        <v>0</v>
      </c>
      <c r="E9" s="14">
        <f>COUNTIFS('فحص-حاسب-بكالوريوس'!$B$5:$B$208,"4. هيئة التدريس",'فحص-حاسب-بكالوريوس'!$I$5:$I$208,"غير متوفر")</f>
        <v>0</v>
      </c>
      <c r="F9" s="14">
        <f t="shared" si="0"/>
        <v>26</v>
      </c>
      <c r="G9" s="23">
        <f t="shared" si="1"/>
        <v>0</v>
      </c>
      <c r="H9" s="14">
        <f>COUNTIFS('فحص-حاسب-بكالوريوس'!$B$5:$B$208,"4. هيئة التدريس",'فحص-حاسب-بكالوريوس'!$K$5:$K$208,"عالية")</f>
        <v>0</v>
      </c>
      <c r="I9" s="14">
        <f>COUNTIFS('فحص-حاسب-بكالوريوس'!$B$5:$B$208,"4. هيئة التدريس",'فحص-حاسب-بكالوريوس'!$P$5:$P$208,"&lt;&gt;")</f>
        <v>0</v>
      </c>
    </row>
    <row r="10" spans="1:9" x14ac:dyDescent="0.2">
      <c r="A10" s="22" t="s">
        <v>154</v>
      </c>
      <c r="B10" s="14">
        <f>COUNTIF('فحص-حاسب-بكالوريوس'!$B$5:$B$208,"5. مصادر التعلم والمرافق والتجهيزات")</f>
        <v>19</v>
      </c>
      <c r="C10" s="14">
        <f>COUNTIFS('فحص-حاسب-بكالوريوس'!$B$5:$B$208,"5. مصادر التعلم والمرافق والتجهيزات",'فحص-حاسب-بكالوريوس'!$I$5:$I$208,"متوفر ومكتمل")</f>
        <v>0</v>
      </c>
      <c r="D10" s="14">
        <f>COUNTIFS('فحص-حاسب-بكالوريوس'!$B$5:$B$208,"5. مصادر التعلم والمرافق والتجهيزات",'فحص-حاسب-بكالوريوس'!$I$5:$I$208,"متوفر ويحتاج تحسين")</f>
        <v>0</v>
      </c>
      <c r="E10" s="14">
        <f>COUNTIFS('فحص-حاسب-بكالوريوس'!$B$5:$B$208,"5. مصادر التعلم والمرافق والتجهيزات",'فحص-حاسب-بكالوريوس'!$I$5:$I$208,"غير متوفر")</f>
        <v>0</v>
      </c>
      <c r="F10" s="14">
        <f t="shared" si="0"/>
        <v>19</v>
      </c>
      <c r="G10" s="23">
        <f t="shared" si="1"/>
        <v>0</v>
      </c>
      <c r="H10" s="14">
        <f>COUNTIFS('فحص-حاسب-بكالوريوس'!$B$5:$B$208,"5. مصادر التعلم والمرافق والتجهيزات",'فحص-حاسب-بكالوريوس'!$K$5:$K$208,"عالية")</f>
        <v>0</v>
      </c>
      <c r="I10" s="14">
        <f>COUNTIFS('فحص-حاسب-بكالوريوس'!$B$5:$B$208,"5. مصادر التعلم والمرافق والتجهيزات",'فحص-حاسب-بكالوريوس'!$P$5:$P$208,"&lt;&gt;")</f>
        <v>0</v>
      </c>
    </row>
    <row r="11" spans="1:9" x14ac:dyDescent="0.2">
      <c r="A11" s="20" t="s">
        <v>155</v>
      </c>
      <c r="B11" s="24">
        <f>COUNTIF('فحص-حاسب-بكالوريوس'!$D$5:$D$208,"★")</f>
        <v>63</v>
      </c>
      <c r="C11" s="24">
        <f>COUNTIFS('فحص-حاسب-بكالوريوس'!$D$5:$D$208,"★",'فحص-حاسب-بكالوريوس'!$I$5:$I$208,"متوفر ومكتمل")</f>
        <v>0</v>
      </c>
      <c r="D11" s="24">
        <f>COUNTIFS('فحص-حاسب-بكالوريوس'!$D$5:$D$208,"★",'فحص-حاسب-بكالوريوس'!$I$5:$I$208,"متوفر ويحتاج تحسين")</f>
        <v>0</v>
      </c>
      <c r="E11" s="24">
        <f>COUNTIFS('فحص-حاسب-بكالوريوس'!$D$5:$D$208,"★",'فحص-حاسب-بكالوريوس'!$I$5:$I$208,"غير متوفر")</f>
        <v>0</v>
      </c>
      <c r="F11" s="24">
        <f t="shared" si="0"/>
        <v>63</v>
      </c>
      <c r="G11" s="25">
        <f t="shared" si="1"/>
        <v>0</v>
      </c>
      <c r="H11" s="24">
        <f>COUNTIFS('فحص-حاسب-بكالوريوس'!$D$5:$D$208,"★",'فحص-حاسب-بكالوريوس'!$K$5:$K$208,"عالية")</f>
        <v>0</v>
      </c>
      <c r="I11" s="24">
        <f>COUNTIFS('فحص-حاسب-بكالوريوس'!$D$5:$D$208,"★",'فحص-حاسب-بكالوريوس'!$P$5:$P$208,"&lt;&gt;")</f>
        <v>0</v>
      </c>
    </row>
    <row r="12" spans="1:9" x14ac:dyDescent="0.2">
      <c r="A12" s="20" t="s">
        <v>156</v>
      </c>
      <c r="B12" s="24">
        <f>COUNTIF('فحص-حاسب-بكالوريوس'!$A$5:$A$208,"*")</f>
        <v>204</v>
      </c>
      <c r="C12" s="24">
        <f>COUNTIFS('فحص-حاسب-بكالوريوس'!$A$5:$A$208,"*",'فحص-حاسب-بكالوريوس'!$I$5:$I$208,"متوفر ومكتمل")</f>
        <v>0</v>
      </c>
      <c r="D12" s="24">
        <f>COUNTIFS('فحص-حاسب-بكالوريوس'!$A$5:$A$208,"*",'فحص-حاسب-بكالوريوس'!$I$5:$I$208,"متوفر ويحتاج تحسين")</f>
        <v>0</v>
      </c>
      <c r="E12" s="24">
        <f>COUNTIFS('فحص-حاسب-بكالوريوس'!$A$5:$A$208,"*",'فحص-حاسب-بكالوريوس'!$I$5:$I$208,"غير متوفر")</f>
        <v>0</v>
      </c>
      <c r="F12" s="24">
        <f t="shared" si="0"/>
        <v>204</v>
      </c>
      <c r="G12" s="25">
        <f t="shared" si="1"/>
        <v>0</v>
      </c>
      <c r="H12" s="24">
        <f>COUNTIFS('فحص-حاسب-بكالوريوس'!$A$5:$A$208,"*",'فحص-حاسب-بكالوريوس'!$K$5:$K$208,"عالية")</f>
        <v>0</v>
      </c>
      <c r="I12" s="24">
        <f>COUNTIFS('فحص-حاسب-بكالوريوس'!$A$5:$A$208,"*",'فحص-حاسب-بكالوريوس'!$P$5:$P$208,"&lt;&gt;")</f>
        <v>0</v>
      </c>
    </row>
    <row r="14" spans="1:9" ht="16" x14ac:dyDescent="0.2">
      <c r="A14" s="4" t="str">
        <f>'الإعدادات واللجنة'!$B$6</f>
        <v>بكالوريوس علوم البيانات</v>
      </c>
      <c r="B14" s="4"/>
      <c r="C14" s="4"/>
      <c r="D14" s="4"/>
      <c r="E14" s="4"/>
      <c r="F14" s="4"/>
      <c r="G14" s="4"/>
      <c r="H14" s="4"/>
      <c r="I14" s="4"/>
    </row>
    <row r="15" spans="1:9" x14ac:dyDescent="0.2">
      <c r="A15" s="10" t="s">
        <v>141</v>
      </c>
      <c r="B15" s="10" t="s">
        <v>142</v>
      </c>
      <c r="C15" s="10" t="s">
        <v>143</v>
      </c>
      <c r="D15" s="10" t="s">
        <v>144</v>
      </c>
      <c r="E15" s="10" t="s">
        <v>145</v>
      </c>
      <c r="F15" s="10" t="s">
        <v>146</v>
      </c>
      <c r="G15" s="10" t="s">
        <v>147</v>
      </c>
      <c r="H15" s="10" t="s">
        <v>148</v>
      </c>
      <c r="I15" s="10" t="s">
        <v>149</v>
      </c>
    </row>
    <row r="16" spans="1:9" x14ac:dyDescent="0.2">
      <c r="A16" s="22" t="s">
        <v>150</v>
      </c>
      <c r="B16" s="14">
        <f>COUNTIF('فحص-بيانات-بكالوريوس'!$B$5:$B$208,"1. إدارة البرنامج وضمان جودته")</f>
        <v>52</v>
      </c>
      <c r="C16" s="14">
        <f>COUNTIFS('فحص-بيانات-بكالوريوس'!$B$5:$B$208,"1. إدارة البرنامج وضمان جودته",'فحص-بيانات-بكالوريوس'!$I$5:$I$208,"متوفر ومكتمل")</f>
        <v>0</v>
      </c>
      <c r="D16" s="14">
        <f>COUNTIFS('فحص-بيانات-بكالوريوس'!$B$5:$B$208,"1. إدارة البرنامج وضمان جودته",'فحص-بيانات-بكالوريوس'!$I$5:$I$208,"متوفر ويحتاج تحسين")</f>
        <v>0</v>
      </c>
      <c r="E16" s="14">
        <f>COUNTIFS('فحص-بيانات-بكالوريوس'!$B$5:$B$208,"1. إدارة البرنامج وضمان جودته",'فحص-بيانات-بكالوريوس'!$I$5:$I$208,"غير متوفر")</f>
        <v>0</v>
      </c>
      <c r="F16" s="14">
        <f t="shared" ref="F16:F22" si="2">B16-SUM(C16:E16)</f>
        <v>52</v>
      </c>
      <c r="G16" s="23">
        <f t="shared" ref="G16:G22" si="3">IF(B16=0,0,C16/B16)</f>
        <v>0</v>
      </c>
      <c r="H16" s="14">
        <f>COUNTIFS('فحص-بيانات-بكالوريوس'!$B$5:$B$208,"1. إدارة البرنامج وضمان جودته",'فحص-بيانات-بكالوريوس'!$K$5:$K$208,"عالية")</f>
        <v>0</v>
      </c>
      <c r="I16" s="14">
        <f>COUNTIFS('فحص-بيانات-بكالوريوس'!$B$5:$B$208,"1. إدارة البرنامج وضمان جودته",'فحص-بيانات-بكالوريوس'!$P$5:$P$208,"&lt;&gt;")</f>
        <v>0</v>
      </c>
    </row>
    <row r="17" spans="1:9" x14ac:dyDescent="0.2">
      <c r="A17" s="22" t="s">
        <v>151</v>
      </c>
      <c r="B17" s="14">
        <f>COUNTIF('فحص-بيانات-بكالوريوس'!$B$5:$B$208,"2. التعليم والتعلم")</f>
        <v>75</v>
      </c>
      <c r="C17" s="14">
        <f>COUNTIFS('فحص-بيانات-بكالوريوس'!$B$5:$B$208,"2. التعليم والتعلم",'فحص-بيانات-بكالوريوس'!$I$5:$I$208,"متوفر ومكتمل")</f>
        <v>0</v>
      </c>
      <c r="D17" s="14">
        <f>COUNTIFS('فحص-بيانات-بكالوريوس'!$B$5:$B$208,"2. التعليم والتعلم",'فحص-بيانات-بكالوريوس'!$I$5:$I$208,"متوفر ويحتاج تحسين")</f>
        <v>0</v>
      </c>
      <c r="E17" s="14">
        <f>COUNTIFS('فحص-بيانات-بكالوريوس'!$B$5:$B$208,"2. التعليم والتعلم",'فحص-بيانات-بكالوريوس'!$I$5:$I$208,"غير متوفر")</f>
        <v>0</v>
      </c>
      <c r="F17" s="14">
        <f t="shared" si="2"/>
        <v>75</v>
      </c>
      <c r="G17" s="23">
        <f t="shared" si="3"/>
        <v>0</v>
      </c>
      <c r="H17" s="14">
        <f>COUNTIFS('فحص-بيانات-بكالوريوس'!$B$5:$B$208,"2. التعليم والتعلم",'فحص-بيانات-بكالوريوس'!$K$5:$K$208,"عالية")</f>
        <v>0</v>
      </c>
      <c r="I17" s="14">
        <f>COUNTIFS('فحص-بيانات-بكالوريوس'!$B$5:$B$208,"2. التعليم والتعلم",'فحص-بيانات-بكالوريوس'!$P$5:$P$208,"&lt;&gt;")</f>
        <v>0</v>
      </c>
    </row>
    <row r="18" spans="1:9" x14ac:dyDescent="0.2">
      <c r="A18" s="22" t="s">
        <v>152</v>
      </c>
      <c r="B18" s="14">
        <f>COUNTIF('فحص-بيانات-بكالوريوس'!$B$5:$B$208,"3. الطالب")</f>
        <v>32</v>
      </c>
      <c r="C18" s="14">
        <f>COUNTIFS('فحص-بيانات-بكالوريوس'!$B$5:$B$208,"3. الطالب",'فحص-بيانات-بكالوريوس'!$I$5:$I$208,"متوفر ومكتمل")</f>
        <v>0</v>
      </c>
      <c r="D18" s="14">
        <f>COUNTIFS('فحص-بيانات-بكالوريوس'!$B$5:$B$208,"3. الطالب",'فحص-بيانات-بكالوريوس'!$I$5:$I$208,"متوفر ويحتاج تحسين")</f>
        <v>0</v>
      </c>
      <c r="E18" s="14">
        <f>COUNTIFS('فحص-بيانات-بكالوريوس'!$B$5:$B$208,"3. الطالب",'فحص-بيانات-بكالوريوس'!$I$5:$I$208,"غير متوفر")</f>
        <v>0</v>
      </c>
      <c r="F18" s="14">
        <f t="shared" si="2"/>
        <v>32</v>
      </c>
      <c r="G18" s="23">
        <f t="shared" si="3"/>
        <v>0</v>
      </c>
      <c r="H18" s="14">
        <f>COUNTIFS('فحص-بيانات-بكالوريوس'!$B$5:$B$208,"3. الطالب",'فحص-بيانات-بكالوريوس'!$K$5:$K$208,"عالية")</f>
        <v>0</v>
      </c>
      <c r="I18" s="14">
        <f>COUNTIFS('فحص-بيانات-بكالوريوس'!$B$5:$B$208,"3. الطالب",'فحص-بيانات-بكالوريوس'!$P$5:$P$208,"&lt;&gt;")</f>
        <v>0</v>
      </c>
    </row>
    <row r="19" spans="1:9" x14ac:dyDescent="0.2">
      <c r="A19" s="22" t="s">
        <v>153</v>
      </c>
      <c r="B19" s="14">
        <f>COUNTIF('فحص-بيانات-بكالوريوس'!$B$5:$B$208,"4. هيئة التدريس")</f>
        <v>26</v>
      </c>
      <c r="C19" s="14">
        <f>COUNTIFS('فحص-بيانات-بكالوريوس'!$B$5:$B$208,"4. هيئة التدريس",'فحص-بيانات-بكالوريوس'!$I$5:$I$208,"متوفر ومكتمل")</f>
        <v>0</v>
      </c>
      <c r="D19" s="14">
        <f>COUNTIFS('فحص-بيانات-بكالوريوس'!$B$5:$B$208,"4. هيئة التدريس",'فحص-بيانات-بكالوريوس'!$I$5:$I$208,"متوفر ويحتاج تحسين")</f>
        <v>0</v>
      </c>
      <c r="E19" s="14">
        <f>COUNTIFS('فحص-بيانات-بكالوريوس'!$B$5:$B$208,"4. هيئة التدريس",'فحص-بيانات-بكالوريوس'!$I$5:$I$208,"غير متوفر")</f>
        <v>0</v>
      </c>
      <c r="F19" s="14">
        <f t="shared" si="2"/>
        <v>26</v>
      </c>
      <c r="G19" s="23">
        <f t="shared" si="3"/>
        <v>0</v>
      </c>
      <c r="H19" s="14">
        <f>COUNTIFS('فحص-بيانات-بكالوريوس'!$B$5:$B$208,"4. هيئة التدريس",'فحص-بيانات-بكالوريوس'!$K$5:$K$208,"عالية")</f>
        <v>0</v>
      </c>
      <c r="I19" s="14">
        <f>COUNTIFS('فحص-بيانات-بكالوريوس'!$B$5:$B$208,"4. هيئة التدريس",'فحص-بيانات-بكالوريوس'!$P$5:$P$208,"&lt;&gt;")</f>
        <v>0</v>
      </c>
    </row>
    <row r="20" spans="1:9" x14ac:dyDescent="0.2">
      <c r="A20" s="22" t="s">
        <v>154</v>
      </c>
      <c r="B20" s="14">
        <f>COUNTIF('فحص-بيانات-بكالوريوس'!$B$5:$B$208,"5. مصادر التعلم والمرافق والتجهيزات")</f>
        <v>19</v>
      </c>
      <c r="C20" s="14">
        <f>COUNTIFS('فحص-بيانات-بكالوريوس'!$B$5:$B$208,"5. مصادر التعلم والمرافق والتجهيزات",'فحص-بيانات-بكالوريوس'!$I$5:$I$208,"متوفر ومكتمل")</f>
        <v>0</v>
      </c>
      <c r="D20" s="14">
        <f>COUNTIFS('فحص-بيانات-بكالوريوس'!$B$5:$B$208,"5. مصادر التعلم والمرافق والتجهيزات",'فحص-بيانات-بكالوريوس'!$I$5:$I$208,"متوفر ويحتاج تحسين")</f>
        <v>0</v>
      </c>
      <c r="E20" s="14">
        <f>COUNTIFS('فحص-بيانات-بكالوريوس'!$B$5:$B$208,"5. مصادر التعلم والمرافق والتجهيزات",'فحص-بيانات-بكالوريوس'!$I$5:$I$208,"غير متوفر")</f>
        <v>0</v>
      </c>
      <c r="F20" s="14">
        <f t="shared" si="2"/>
        <v>19</v>
      </c>
      <c r="G20" s="23">
        <f t="shared" si="3"/>
        <v>0</v>
      </c>
      <c r="H20" s="14">
        <f>COUNTIFS('فحص-بيانات-بكالوريوس'!$B$5:$B$208,"5. مصادر التعلم والمرافق والتجهيزات",'فحص-بيانات-بكالوريوس'!$K$5:$K$208,"عالية")</f>
        <v>0</v>
      </c>
      <c r="I20" s="14">
        <f>COUNTIFS('فحص-بيانات-بكالوريوس'!$B$5:$B$208,"5. مصادر التعلم والمرافق والتجهيزات",'فحص-بيانات-بكالوريوس'!$P$5:$P$208,"&lt;&gt;")</f>
        <v>0</v>
      </c>
    </row>
    <row r="21" spans="1:9" x14ac:dyDescent="0.2">
      <c r="A21" s="20" t="s">
        <v>155</v>
      </c>
      <c r="B21" s="24">
        <f>COUNTIF('فحص-بيانات-بكالوريوس'!$D$5:$D$208,"★")</f>
        <v>63</v>
      </c>
      <c r="C21" s="24">
        <f>COUNTIFS('فحص-بيانات-بكالوريوس'!$D$5:$D$208,"★",'فحص-بيانات-بكالوريوس'!$I$5:$I$208,"متوفر ومكتمل")</f>
        <v>0</v>
      </c>
      <c r="D21" s="24">
        <f>COUNTIFS('فحص-بيانات-بكالوريوس'!$D$5:$D$208,"★",'فحص-بيانات-بكالوريوس'!$I$5:$I$208,"متوفر ويحتاج تحسين")</f>
        <v>0</v>
      </c>
      <c r="E21" s="24">
        <f>COUNTIFS('فحص-بيانات-بكالوريوس'!$D$5:$D$208,"★",'فحص-بيانات-بكالوريوس'!$I$5:$I$208,"غير متوفر")</f>
        <v>0</v>
      </c>
      <c r="F21" s="24">
        <f t="shared" si="2"/>
        <v>63</v>
      </c>
      <c r="G21" s="25">
        <f t="shared" si="3"/>
        <v>0</v>
      </c>
      <c r="H21" s="24">
        <f>COUNTIFS('فحص-بيانات-بكالوريوس'!$D$5:$D$208,"★",'فحص-بيانات-بكالوريوس'!$K$5:$K$208,"عالية")</f>
        <v>0</v>
      </c>
      <c r="I21" s="24">
        <f>COUNTIFS('فحص-بيانات-بكالوريوس'!$D$5:$D$208,"★",'فحص-بيانات-بكالوريوس'!$P$5:$P$208,"&lt;&gt;")</f>
        <v>0</v>
      </c>
    </row>
    <row r="22" spans="1:9" x14ac:dyDescent="0.2">
      <c r="A22" s="20" t="s">
        <v>156</v>
      </c>
      <c r="B22" s="24">
        <f>COUNTIF('فحص-بيانات-بكالوريوس'!$A$5:$A$208,"*")</f>
        <v>204</v>
      </c>
      <c r="C22" s="24">
        <f>COUNTIFS('فحص-بيانات-بكالوريوس'!$A$5:$A$208,"*",'فحص-بيانات-بكالوريوس'!$I$5:$I$208,"متوفر ومكتمل")</f>
        <v>0</v>
      </c>
      <c r="D22" s="24">
        <f>COUNTIFS('فحص-بيانات-بكالوريوس'!$A$5:$A$208,"*",'فحص-بيانات-بكالوريوس'!$I$5:$I$208,"متوفر ويحتاج تحسين")</f>
        <v>0</v>
      </c>
      <c r="E22" s="24">
        <f>COUNTIFS('فحص-بيانات-بكالوريوس'!$A$5:$A$208,"*",'فحص-بيانات-بكالوريوس'!$I$5:$I$208,"غير متوفر")</f>
        <v>0</v>
      </c>
      <c r="F22" s="24">
        <f t="shared" si="2"/>
        <v>204</v>
      </c>
      <c r="G22" s="25">
        <f t="shared" si="3"/>
        <v>0</v>
      </c>
      <c r="H22" s="24">
        <f>COUNTIFS('فحص-بيانات-بكالوريوس'!$A$5:$A$208,"*",'فحص-بيانات-بكالوريوس'!$K$5:$K$208,"عالية")</f>
        <v>0</v>
      </c>
      <c r="I22" s="24">
        <f>COUNTIFS('فحص-بيانات-بكالوريوس'!$A$5:$A$208,"*",'فحص-بيانات-بكالوريوس'!$P$5:$P$208,"&lt;&gt;")</f>
        <v>0</v>
      </c>
    </row>
    <row r="24" spans="1:9" ht="16" x14ac:dyDescent="0.2">
      <c r="A24" s="4" t="str">
        <f>'الإعدادات واللجنة'!$B$7</f>
        <v>ماجستير علوم البيانات</v>
      </c>
      <c r="B24" s="4"/>
      <c r="C24" s="4"/>
      <c r="D24" s="4"/>
      <c r="E24" s="4"/>
      <c r="F24" s="4"/>
      <c r="G24" s="4"/>
      <c r="H24" s="4"/>
      <c r="I24" s="4"/>
    </row>
    <row r="25" spans="1:9" x14ac:dyDescent="0.2">
      <c r="A25" s="10" t="s">
        <v>141</v>
      </c>
      <c r="B25" s="10" t="s">
        <v>142</v>
      </c>
      <c r="C25" s="10" t="s">
        <v>143</v>
      </c>
      <c r="D25" s="10" t="s">
        <v>144</v>
      </c>
      <c r="E25" s="10" t="s">
        <v>145</v>
      </c>
      <c r="F25" s="10" t="s">
        <v>146</v>
      </c>
      <c r="G25" s="10" t="s">
        <v>147</v>
      </c>
      <c r="H25" s="10" t="s">
        <v>148</v>
      </c>
      <c r="I25" s="10" t="s">
        <v>149</v>
      </c>
    </row>
    <row r="26" spans="1:9" x14ac:dyDescent="0.2">
      <c r="A26" s="22" t="s">
        <v>150</v>
      </c>
      <c r="B26" s="14">
        <f>COUNTIF('فحص-بيانات-ماجستير'!$B$5:$B$230,"1. إدارة البرنامج وضمان جودته")</f>
        <v>52</v>
      </c>
      <c r="C26" s="14">
        <f>COUNTIFS('فحص-بيانات-ماجستير'!$B$5:$B$230,"1. إدارة البرنامج وضمان جودته",'فحص-بيانات-ماجستير'!$I$5:$I$230,"متوفر ومكتمل")</f>
        <v>0</v>
      </c>
      <c r="D26" s="14">
        <f>COUNTIFS('فحص-بيانات-ماجستير'!$B$5:$B$230,"1. إدارة البرنامج وضمان جودته",'فحص-بيانات-ماجستير'!$I$5:$I$230,"متوفر ويحتاج تحسين")</f>
        <v>0</v>
      </c>
      <c r="E26" s="14">
        <f>COUNTIFS('فحص-بيانات-ماجستير'!$B$5:$B$230,"1. إدارة البرنامج وضمان جودته",'فحص-بيانات-ماجستير'!$I$5:$I$230,"غير متوفر")</f>
        <v>0</v>
      </c>
      <c r="F26" s="14">
        <f t="shared" ref="F26:F33" si="4">B26-SUM(C26:E26)</f>
        <v>52</v>
      </c>
      <c r="G26" s="23">
        <f t="shared" ref="G26:G33" si="5">IF(B26=0,0,C26/B26)</f>
        <v>0</v>
      </c>
      <c r="H26" s="14">
        <f>COUNTIFS('فحص-بيانات-ماجستير'!$B$5:$B$230,"1. إدارة البرنامج وضمان جودته",'فحص-بيانات-ماجستير'!$K$5:$K$230,"عالية")</f>
        <v>0</v>
      </c>
      <c r="I26" s="14">
        <f>COUNTIFS('فحص-بيانات-ماجستير'!$B$5:$B$230,"1. إدارة البرنامج وضمان جودته",'فحص-بيانات-ماجستير'!$P$5:$P$230,"&lt;&gt;")</f>
        <v>0</v>
      </c>
    </row>
    <row r="27" spans="1:9" x14ac:dyDescent="0.2">
      <c r="A27" s="22" t="s">
        <v>151</v>
      </c>
      <c r="B27" s="14">
        <f>COUNTIF('فحص-بيانات-ماجستير'!$B$5:$B$230,"2. التعليم والتعلم")</f>
        <v>68</v>
      </c>
      <c r="C27" s="14">
        <f>COUNTIFS('فحص-بيانات-ماجستير'!$B$5:$B$230,"2. التعليم والتعلم",'فحص-بيانات-ماجستير'!$I$5:$I$230,"متوفر ومكتمل")</f>
        <v>0</v>
      </c>
      <c r="D27" s="14">
        <f>COUNTIFS('فحص-بيانات-ماجستير'!$B$5:$B$230,"2. التعليم والتعلم",'فحص-بيانات-ماجستير'!$I$5:$I$230,"متوفر ويحتاج تحسين")</f>
        <v>0</v>
      </c>
      <c r="E27" s="14">
        <f>COUNTIFS('فحص-بيانات-ماجستير'!$B$5:$B$230,"2. التعليم والتعلم",'فحص-بيانات-ماجستير'!$I$5:$I$230,"غير متوفر")</f>
        <v>0</v>
      </c>
      <c r="F27" s="14">
        <f t="shared" si="4"/>
        <v>68</v>
      </c>
      <c r="G27" s="23">
        <f t="shared" si="5"/>
        <v>0</v>
      </c>
      <c r="H27" s="14">
        <f>COUNTIFS('فحص-بيانات-ماجستير'!$B$5:$B$230,"2. التعليم والتعلم",'فحص-بيانات-ماجستير'!$K$5:$K$230,"عالية")</f>
        <v>0</v>
      </c>
      <c r="I27" s="14">
        <f>COUNTIFS('فحص-بيانات-ماجستير'!$B$5:$B$230,"2. التعليم والتعلم",'فحص-بيانات-ماجستير'!$P$5:$P$230,"&lt;&gt;")</f>
        <v>0</v>
      </c>
    </row>
    <row r="28" spans="1:9" x14ac:dyDescent="0.2">
      <c r="A28" s="22" t="s">
        <v>152</v>
      </c>
      <c r="B28" s="14">
        <f>COUNTIF('فحص-بيانات-ماجستير'!$B$5:$B$230,"3. الطالب")</f>
        <v>28</v>
      </c>
      <c r="C28" s="14">
        <f>COUNTIFS('فحص-بيانات-ماجستير'!$B$5:$B$230,"3. الطالب",'فحص-بيانات-ماجستير'!$I$5:$I$230,"متوفر ومكتمل")</f>
        <v>0</v>
      </c>
      <c r="D28" s="14">
        <f>COUNTIFS('فحص-بيانات-ماجستير'!$B$5:$B$230,"3. الطالب",'فحص-بيانات-ماجستير'!$I$5:$I$230,"متوفر ويحتاج تحسين")</f>
        <v>0</v>
      </c>
      <c r="E28" s="14">
        <f>COUNTIFS('فحص-بيانات-ماجستير'!$B$5:$B$230,"3. الطالب",'فحص-بيانات-ماجستير'!$I$5:$I$230,"غير متوفر")</f>
        <v>0</v>
      </c>
      <c r="F28" s="14">
        <f t="shared" si="4"/>
        <v>28</v>
      </c>
      <c r="G28" s="23">
        <f t="shared" si="5"/>
        <v>0</v>
      </c>
      <c r="H28" s="14">
        <f>COUNTIFS('فحص-بيانات-ماجستير'!$B$5:$B$230,"3. الطالب",'فحص-بيانات-ماجستير'!$K$5:$K$230,"عالية")</f>
        <v>0</v>
      </c>
      <c r="I28" s="14">
        <f>COUNTIFS('فحص-بيانات-ماجستير'!$B$5:$B$230,"3. الطالب",'فحص-بيانات-ماجستير'!$P$5:$P$230,"&lt;&gt;")</f>
        <v>0</v>
      </c>
    </row>
    <row r="29" spans="1:9" x14ac:dyDescent="0.2">
      <c r="A29" s="22" t="s">
        <v>153</v>
      </c>
      <c r="B29" s="14">
        <f>COUNTIF('فحص-بيانات-ماجستير'!$B$5:$B$230,"4. هيئة التدريس")</f>
        <v>26</v>
      </c>
      <c r="C29" s="14">
        <f>COUNTIFS('فحص-بيانات-ماجستير'!$B$5:$B$230,"4. هيئة التدريس",'فحص-بيانات-ماجستير'!$I$5:$I$230,"متوفر ومكتمل")</f>
        <v>0</v>
      </c>
      <c r="D29" s="14">
        <f>COUNTIFS('فحص-بيانات-ماجستير'!$B$5:$B$230,"4. هيئة التدريس",'فحص-بيانات-ماجستير'!$I$5:$I$230,"متوفر ويحتاج تحسين")</f>
        <v>0</v>
      </c>
      <c r="E29" s="14">
        <f>COUNTIFS('فحص-بيانات-ماجستير'!$B$5:$B$230,"4. هيئة التدريس",'فحص-بيانات-ماجستير'!$I$5:$I$230,"غير متوفر")</f>
        <v>0</v>
      </c>
      <c r="F29" s="14">
        <f t="shared" si="4"/>
        <v>26</v>
      </c>
      <c r="G29" s="23">
        <f t="shared" si="5"/>
        <v>0</v>
      </c>
      <c r="H29" s="14">
        <f>COUNTIFS('فحص-بيانات-ماجستير'!$B$5:$B$230,"4. هيئة التدريس",'فحص-بيانات-ماجستير'!$K$5:$K$230,"عالية")</f>
        <v>0</v>
      </c>
      <c r="I29" s="14">
        <f>COUNTIFS('فحص-بيانات-ماجستير'!$B$5:$B$230,"4. هيئة التدريس",'فحص-بيانات-ماجستير'!$P$5:$P$230,"&lt;&gt;")</f>
        <v>0</v>
      </c>
    </row>
    <row r="30" spans="1:9" x14ac:dyDescent="0.2">
      <c r="A30" s="22" t="s">
        <v>154</v>
      </c>
      <c r="B30" s="14">
        <f>COUNTIF('فحص-بيانات-ماجستير'!$B$5:$B$230,"5. مصادر التعلم والمرافق والتجهيزات")</f>
        <v>19</v>
      </c>
      <c r="C30" s="14">
        <f>COUNTIFS('فحص-بيانات-ماجستير'!$B$5:$B$230,"5. مصادر التعلم والمرافق والتجهيزات",'فحص-بيانات-ماجستير'!$I$5:$I$230,"متوفر ومكتمل")</f>
        <v>0</v>
      </c>
      <c r="D30" s="14">
        <f>COUNTIFS('فحص-بيانات-ماجستير'!$B$5:$B$230,"5. مصادر التعلم والمرافق والتجهيزات",'فحص-بيانات-ماجستير'!$I$5:$I$230,"متوفر ويحتاج تحسين")</f>
        <v>0</v>
      </c>
      <c r="E30" s="14">
        <f>COUNTIFS('فحص-بيانات-ماجستير'!$B$5:$B$230,"5. مصادر التعلم والمرافق والتجهيزات",'فحص-بيانات-ماجستير'!$I$5:$I$230,"غير متوفر")</f>
        <v>0</v>
      </c>
      <c r="F30" s="14">
        <f t="shared" si="4"/>
        <v>19</v>
      </c>
      <c r="G30" s="23">
        <f t="shared" si="5"/>
        <v>0</v>
      </c>
      <c r="H30" s="14">
        <f>COUNTIFS('فحص-بيانات-ماجستير'!$B$5:$B$230,"5. مصادر التعلم والمرافق والتجهيزات",'فحص-بيانات-ماجستير'!$K$5:$K$230,"عالية")</f>
        <v>0</v>
      </c>
      <c r="I30" s="14">
        <f>COUNTIFS('فحص-بيانات-ماجستير'!$B$5:$B$230,"5. مصادر التعلم والمرافق والتجهيزات",'فحص-بيانات-ماجستير'!$P$5:$P$230,"&lt;&gt;")</f>
        <v>0</v>
      </c>
    </row>
    <row r="31" spans="1:9" x14ac:dyDescent="0.2">
      <c r="A31" s="22" t="s">
        <v>157</v>
      </c>
      <c r="B31" s="14">
        <f>COUNTIF('فحص-بيانات-ماجستير'!$B$5:$B$230,"6. البحث والمشاريع")</f>
        <v>33</v>
      </c>
      <c r="C31" s="14">
        <f>COUNTIFS('فحص-بيانات-ماجستير'!$B$5:$B$230,"6. البحث والمشاريع",'فحص-بيانات-ماجستير'!$I$5:$I$230,"متوفر ومكتمل")</f>
        <v>0</v>
      </c>
      <c r="D31" s="14">
        <f>COUNTIFS('فحص-بيانات-ماجستير'!$B$5:$B$230,"6. البحث والمشاريع",'فحص-بيانات-ماجستير'!$I$5:$I$230,"متوفر ويحتاج تحسين")</f>
        <v>0</v>
      </c>
      <c r="E31" s="14">
        <f>COUNTIFS('فحص-بيانات-ماجستير'!$B$5:$B$230,"6. البحث والمشاريع",'فحص-بيانات-ماجستير'!$I$5:$I$230,"غير متوفر")</f>
        <v>0</v>
      </c>
      <c r="F31" s="14">
        <f t="shared" si="4"/>
        <v>33</v>
      </c>
      <c r="G31" s="23">
        <f t="shared" si="5"/>
        <v>0</v>
      </c>
      <c r="H31" s="14">
        <f>COUNTIFS('فحص-بيانات-ماجستير'!$B$5:$B$230,"6. البحث والمشاريع",'فحص-بيانات-ماجستير'!$K$5:$K$230,"عالية")</f>
        <v>0</v>
      </c>
      <c r="I31" s="14">
        <f>COUNTIFS('فحص-بيانات-ماجستير'!$B$5:$B$230,"6. البحث والمشاريع",'فحص-بيانات-ماجستير'!$P$5:$P$230,"&lt;&gt;")</f>
        <v>0</v>
      </c>
    </row>
    <row r="32" spans="1:9" x14ac:dyDescent="0.2">
      <c r="A32" s="20" t="s">
        <v>155</v>
      </c>
      <c r="B32" s="24">
        <f>COUNTIF('فحص-بيانات-ماجستير'!$D$5:$D$230,"★")</f>
        <v>69</v>
      </c>
      <c r="C32" s="24">
        <f>COUNTIFS('فحص-بيانات-ماجستير'!$D$5:$D$230,"★",'فحص-بيانات-ماجستير'!$I$5:$I$230,"متوفر ومكتمل")</f>
        <v>0</v>
      </c>
      <c r="D32" s="24">
        <f>COUNTIFS('فحص-بيانات-ماجستير'!$D$5:$D$230,"★",'فحص-بيانات-ماجستير'!$I$5:$I$230,"متوفر ويحتاج تحسين")</f>
        <v>0</v>
      </c>
      <c r="E32" s="24">
        <f>COUNTIFS('فحص-بيانات-ماجستير'!$D$5:$D$230,"★",'فحص-بيانات-ماجستير'!$I$5:$I$230,"غير متوفر")</f>
        <v>0</v>
      </c>
      <c r="F32" s="24">
        <f t="shared" si="4"/>
        <v>69</v>
      </c>
      <c r="G32" s="25">
        <f t="shared" si="5"/>
        <v>0</v>
      </c>
      <c r="H32" s="24">
        <f>COUNTIFS('فحص-بيانات-ماجستير'!$D$5:$D$230,"★",'فحص-بيانات-ماجستير'!$K$5:$K$230,"عالية")</f>
        <v>0</v>
      </c>
      <c r="I32" s="24">
        <f>COUNTIFS('فحص-بيانات-ماجستير'!$D$5:$D$230,"★",'فحص-بيانات-ماجستير'!$P$5:$P$230,"&lt;&gt;")</f>
        <v>0</v>
      </c>
    </row>
    <row r="33" spans="1:9" x14ac:dyDescent="0.2">
      <c r="A33" s="20" t="s">
        <v>156</v>
      </c>
      <c r="B33" s="24">
        <f>COUNTIF('فحص-بيانات-ماجستير'!$A$5:$A$230,"*")</f>
        <v>226</v>
      </c>
      <c r="C33" s="24">
        <f>COUNTIFS('فحص-بيانات-ماجستير'!$A$5:$A$230,"*",'فحص-بيانات-ماجستير'!$I$5:$I$230,"متوفر ومكتمل")</f>
        <v>0</v>
      </c>
      <c r="D33" s="24">
        <f>COUNTIFS('فحص-بيانات-ماجستير'!$A$5:$A$230,"*",'فحص-بيانات-ماجستير'!$I$5:$I$230,"متوفر ويحتاج تحسين")</f>
        <v>0</v>
      </c>
      <c r="E33" s="24">
        <f>COUNTIFS('فحص-بيانات-ماجستير'!$A$5:$A$230,"*",'فحص-بيانات-ماجستير'!$I$5:$I$230,"غير متوفر")</f>
        <v>0</v>
      </c>
      <c r="F33" s="24">
        <f t="shared" si="4"/>
        <v>226</v>
      </c>
      <c r="G33" s="25">
        <f t="shared" si="5"/>
        <v>0</v>
      </c>
      <c r="H33" s="24">
        <f>COUNTIFS('فحص-بيانات-ماجستير'!$A$5:$A$230,"*",'فحص-بيانات-ماجستير'!$K$5:$K$230,"عالية")</f>
        <v>0</v>
      </c>
      <c r="I33" s="24">
        <f>COUNTIFS('فحص-بيانات-ماجستير'!$A$5:$A$230,"*",'فحص-بيانات-ماجستير'!$P$5:$P$230,"&lt;&gt;")</f>
        <v>0</v>
      </c>
    </row>
    <row r="35" spans="1:9" ht="15" customHeight="1" x14ac:dyDescent="0.2">
      <c r="A35" s="7" t="s">
        <v>158</v>
      </c>
      <c r="B35" s="7"/>
      <c r="C35" s="7"/>
      <c r="D35" s="7"/>
      <c r="E35" s="7"/>
      <c r="F35" s="7"/>
      <c r="G35" s="7"/>
      <c r="H35" s="7"/>
      <c r="I35" s="7"/>
    </row>
    <row r="36" spans="1:9" x14ac:dyDescent="0.2">
      <c r="A36" s="10" t="s">
        <v>89</v>
      </c>
      <c r="B36" s="10" t="s">
        <v>159</v>
      </c>
      <c r="C36" s="10" t="s">
        <v>160</v>
      </c>
      <c r="D36" s="10" t="s">
        <v>161</v>
      </c>
      <c r="E36" s="10" t="s">
        <v>149</v>
      </c>
      <c r="F36" s="10" t="s">
        <v>162</v>
      </c>
      <c r="G36" s="10"/>
      <c r="H36" s="10"/>
      <c r="I36" s="10"/>
    </row>
    <row r="37" spans="1:9" x14ac:dyDescent="0.2">
      <c r="A37" s="22" t="str">
        <f>'الإعدادات واللجنة'!$B$15</f>
        <v>د. سلطان بن سعيد الشمراني</v>
      </c>
      <c r="B37" s="14">
        <f>COUNTIFS('فحص-حاسب-بكالوريوس'!$H$5:$H$208,'الإعدادات واللجنة'!$B$15)+COUNTIFS('فحص-بيانات-بكالوريوس'!$H$5:$H$208,'الإعدادات واللجنة'!$B$15)+COUNTIFS('فحص-بيانات-ماجستير'!$H$5:$H$230,'الإعدادات واللجنة'!$B$15)</f>
        <v>117</v>
      </c>
      <c r="C37" s="14">
        <f>COUNTIFS('فحص-حاسب-بكالوريوس'!$H$5:$H$208,'الإعدادات واللجنة'!$B$15,'فحص-حاسب-بكالوريوس'!$I$5:$I$208,"&lt;&gt;")+COUNTIFS('فحص-بيانات-بكالوريوس'!$H$5:$H$208,'الإعدادات واللجنة'!$B$15,'فحص-بيانات-بكالوريوس'!$I$5:$I$208,"&lt;&gt;")+COUNTIFS('فحص-بيانات-ماجستير'!$H$5:$H$230,'الإعدادات واللجنة'!$B$15,'فحص-بيانات-ماجستير'!$I$5:$I$230,"&lt;&gt;")</f>
        <v>0</v>
      </c>
      <c r="D37" s="23">
        <f t="shared" ref="D37:D42" si="6">IF(B37=0,0,C37/B37)</f>
        <v>0</v>
      </c>
      <c r="E37" s="14">
        <f>COUNTIFS('فحص-حاسب-بكالوريوس'!$H$5:$H$208,'الإعدادات واللجنة'!$B$15,'فحص-حاسب-بكالوريوس'!$P$5:$P$208,"&lt;&gt;")+COUNTIFS('فحص-بيانات-بكالوريوس'!$H$5:$H$208,'الإعدادات واللجنة'!$B$15,'فحص-بيانات-بكالوريوس'!$P$5:$P$208,"&lt;&gt;")+COUNTIFS('فحص-بيانات-ماجستير'!$H$5:$H$230,'الإعدادات واللجنة'!$B$15,'فحص-بيانات-ماجستير'!$P$5:$P$230,"&lt;&gt;")</f>
        <v>0</v>
      </c>
      <c r="F37" s="14">
        <f>COUNTIFS('فحص-حاسب-بكالوريوس'!$H$5:$H$208,'الإعدادات واللجنة'!$B$15,'فحص-حاسب-بكالوريوس'!$P$5:$P$208,"تحتاج تعديل")+COUNTIFS('فحص-بيانات-بكالوريوس'!$H$5:$H$208,'الإعدادات واللجنة'!$B$15,'فحص-بيانات-بكالوريوس'!$P$5:$P$208,"تحتاج تعديل")+COUNTIFS('فحص-بيانات-ماجستير'!$H$5:$H$230,'الإعدادات واللجنة'!$B$15,'فحص-بيانات-ماجستير'!$P$5:$P$230,"تحتاج تعديل")</f>
        <v>0</v>
      </c>
    </row>
    <row r="38" spans="1:9" x14ac:dyDescent="0.2">
      <c r="A38" s="22" t="str">
        <f>'الإعدادات واللجنة'!$B$16</f>
        <v>د. احمد بن عوض البشري</v>
      </c>
      <c r="B38" s="14">
        <f>COUNTIFS('فحص-حاسب-بكالوريوس'!$H$5:$H$208,'الإعدادات واللجنة'!$B$16)+COUNTIFS('فحص-بيانات-بكالوريوس'!$H$5:$H$208,'الإعدادات واللجنة'!$B$16)+COUNTIFS('فحص-بيانات-ماجستير'!$H$5:$H$230,'الإعدادات واللجنة'!$B$16)</f>
        <v>141</v>
      </c>
      <c r="C38" s="14">
        <f>COUNTIFS('فحص-حاسب-بكالوريوس'!$H$5:$H$208,'الإعدادات واللجنة'!$B$16,'فحص-حاسب-بكالوريوس'!$I$5:$I$208,"&lt;&gt;")+COUNTIFS('فحص-بيانات-بكالوريوس'!$H$5:$H$208,'الإعدادات واللجنة'!$B$16,'فحص-بيانات-بكالوريوس'!$I$5:$I$208,"&lt;&gt;")+COUNTIFS('فحص-بيانات-ماجستير'!$H$5:$H$230,'الإعدادات واللجنة'!$B$16,'فحص-بيانات-ماجستير'!$I$5:$I$230,"&lt;&gt;")</f>
        <v>0</v>
      </c>
      <c r="D38" s="23">
        <f t="shared" si="6"/>
        <v>0</v>
      </c>
      <c r="E38" s="14">
        <f>COUNTIFS('فحص-حاسب-بكالوريوس'!$H$5:$H$208,'الإعدادات واللجنة'!$B$16,'فحص-حاسب-بكالوريوس'!$P$5:$P$208,"&lt;&gt;")+COUNTIFS('فحص-بيانات-بكالوريوس'!$H$5:$H$208,'الإعدادات واللجنة'!$B$16,'فحص-بيانات-بكالوريوس'!$P$5:$P$208,"&lt;&gt;")+COUNTIFS('فحص-بيانات-ماجستير'!$H$5:$H$230,'الإعدادات واللجنة'!$B$16,'فحص-بيانات-ماجستير'!$P$5:$P$230,"&lt;&gt;")</f>
        <v>0</v>
      </c>
      <c r="F38" s="14">
        <f>COUNTIFS('فحص-حاسب-بكالوريوس'!$H$5:$H$208,'الإعدادات واللجنة'!$B$16,'فحص-حاسب-بكالوريوس'!$P$5:$P$208,"تحتاج تعديل")+COUNTIFS('فحص-بيانات-بكالوريوس'!$H$5:$H$208,'الإعدادات واللجنة'!$B$16,'فحص-بيانات-بكالوريوس'!$P$5:$P$208,"تحتاج تعديل")+COUNTIFS('فحص-بيانات-ماجستير'!$H$5:$H$230,'الإعدادات واللجنة'!$B$16,'فحص-بيانات-ماجستير'!$P$5:$P$230,"تحتاج تعديل")</f>
        <v>0</v>
      </c>
    </row>
    <row r="39" spans="1:9" x14ac:dyDescent="0.2">
      <c r="A39" s="22" t="str">
        <f>'الإعدادات واللجنة'!$B$17</f>
        <v>د. يثرب بنت سعد القحطاني</v>
      </c>
      <c r="B39" s="14">
        <f>COUNTIFS('فحص-حاسب-بكالوريوس'!$H$5:$H$208,'الإعدادات واللجنة'!$B$17)+COUNTIFS('فحص-بيانات-بكالوريوس'!$H$5:$H$208,'الإعدادات واللجنة'!$B$17)+COUNTIFS('فحص-بيانات-ماجستير'!$H$5:$H$230,'الإعدادات واللجنة'!$B$17)</f>
        <v>77</v>
      </c>
      <c r="C39" s="14">
        <f>COUNTIFS('فحص-حاسب-بكالوريوس'!$H$5:$H$208,'الإعدادات واللجنة'!$B$17,'فحص-حاسب-بكالوريوس'!$I$5:$I$208,"&lt;&gt;")+COUNTIFS('فحص-بيانات-بكالوريوس'!$H$5:$H$208,'الإعدادات واللجنة'!$B$17,'فحص-بيانات-بكالوريوس'!$I$5:$I$208,"&lt;&gt;")+COUNTIFS('فحص-بيانات-ماجستير'!$H$5:$H$230,'الإعدادات واللجنة'!$B$17,'فحص-بيانات-ماجستير'!$I$5:$I$230,"&lt;&gt;")</f>
        <v>0</v>
      </c>
      <c r="D39" s="23">
        <f t="shared" si="6"/>
        <v>0</v>
      </c>
      <c r="E39" s="14">
        <f>COUNTIFS('فحص-حاسب-بكالوريوس'!$H$5:$H$208,'الإعدادات واللجنة'!$B$17,'فحص-حاسب-بكالوريوس'!$P$5:$P$208,"&lt;&gt;")+COUNTIFS('فحص-بيانات-بكالوريوس'!$H$5:$H$208,'الإعدادات واللجنة'!$B$17,'فحص-بيانات-بكالوريوس'!$P$5:$P$208,"&lt;&gt;")+COUNTIFS('فحص-بيانات-ماجستير'!$H$5:$H$230,'الإعدادات واللجنة'!$B$17,'فحص-بيانات-ماجستير'!$P$5:$P$230,"&lt;&gt;")</f>
        <v>0</v>
      </c>
      <c r="F39" s="14">
        <f>COUNTIFS('فحص-حاسب-بكالوريوس'!$H$5:$H$208,'الإعدادات واللجنة'!$B$17,'فحص-حاسب-بكالوريوس'!$P$5:$P$208,"تحتاج تعديل")+COUNTIFS('فحص-بيانات-بكالوريوس'!$H$5:$H$208,'الإعدادات واللجنة'!$B$17,'فحص-بيانات-بكالوريوس'!$P$5:$P$208,"تحتاج تعديل")+COUNTIFS('فحص-بيانات-ماجستير'!$H$5:$H$230,'الإعدادات واللجنة'!$B$17,'فحص-بيانات-ماجستير'!$P$5:$P$230,"تحتاج تعديل")</f>
        <v>0</v>
      </c>
    </row>
    <row r="40" spans="1:9" x14ac:dyDescent="0.2">
      <c r="A40" s="22" t="str">
        <f>'الإعدادات واللجنة'!$B$18</f>
        <v>د. عبدالله بن محمد البركاتي</v>
      </c>
      <c r="B40" s="14">
        <f>COUNTIFS('فحص-حاسب-بكالوريوس'!$H$5:$H$208,'الإعدادات واللجنة'!$B$18)+COUNTIFS('فحص-بيانات-بكالوريوس'!$H$5:$H$208,'الإعدادات واللجنة'!$B$18)+COUNTIFS('فحص-بيانات-ماجستير'!$H$5:$H$230,'الإعدادات واللجنة'!$B$18)</f>
        <v>92</v>
      </c>
      <c r="C40" s="14">
        <f>COUNTIFS('فحص-حاسب-بكالوريوس'!$H$5:$H$208,'الإعدادات واللجنة'!$B$18,'فحص-حاسب-بكالوريوس'!$I$5:$I$208,"&lt;&gt;")+COUNTIFS('فحص-بيانات-بكالوريوس'!$H$5:$H$208,'الإعدادات واللجنة'!$B$18,'فحص-بيانات-بكالوريوس'!$I$5:$I$208,"&lt;&gt;")+COUNTIFS('فحص-بيانات-ماجستير'!$H$5:$H$230,'الإعدادات واللجنة'!$B$18,'فحص-بيانات-ماجستير'!$I$5:$I$230,"&lt;&gt;")</f>
        <v>0</v>
      </c>
      <c r="D40" s="23">
        <f t="shared" si="6"/>
        <v>0</v>
      </c>
      <c r="E40" s="14">
        <f>COUNTIFS('فحص-حاسب-بكالوريوس'!$H$5:$H$208,'الإعدادات واللجنة'!$B$18,'فحص-حاسب-بكالوريوس'!$P$5:$P$208,"&lt;&gt;")+COUNTIFS('فحص-بيانات-بكالوريوس'!$H$5:$H$208,'الإعدادات واللجنة'!$B$18,'فحص-بيانات-بكالوريوس'!$P$5:$P$208,"&lt;&gt;")+COUNTIFS('فحص-بيانات-ماجستير'!$H$5:$H$230,'الإعدادات واللجنة'!$B$18,'فحص-بيانات-ماجستير'!$P$5:$P$230,"&lt;&gt;")</f>
        <v>0</v>
      </c>
      <c r="F40" s="14">
        <f>COUNTIFS('فحص-حاسب-بكالوريوس'!$H$5:$H$208,'الإعدادات واللجنة'!$B$18,'فحص-حاسب-بكالوريوس'!$P$5:$P$208,"تحتاج تعديل")+COUNTIFS('فحص-بيانات-بكالوريوس'!$H$5:$H$208,'الإعدادات واللجنة'!$B$18,'فحص-بيانات-بكالوريوس'!$P$5:$P$208,"تحتاج تعديل")+COUNTIFS('فحص-بيانات-ماجستير'!$H$5:$H$230,'الإعدادات واللجنة'!$B$18,'فحص-بيانات-ماجستير'!$P$5:$P$230,"تحتاج تعديل")</f>
        <v>0</v>
      </c>
    </row>
    <row r="41" spans="1:9" x14ac:dyDescent="0.2">
      <c r="A41" s="22" t="str">
        <f>'الإعدادات واللجنة'!$B$19</f>
        <v>د. عمر بن محمد موسى</v>
      </c>
      <c r="B41" s="14">
        <f>COUNTIFS('فحص-حاسب-بكالوريوس'!$H$5:$H$208,'الإعدادات واللجنة'!$B$19)+COUNTIFS('فحص-بيانات-بكالوريوس'!$H$5:$H$208,'الإعدادات واللجنة'!$B$19)+COUNTIFS('فحص-بيانات-ماجستير'!$H$5:$H$230,'الإعدادات واللجنة'!$B$19)</f>
        <v>111</v>
      </c>
      <c r="C41" s="14">
        <f>COUNTIFS('فحص-حاسب-بكالوريوس'!$H$5:$H$208,'الإعدادات واللجنة'!$B$19,'فحص-حاسب-بكالوريوس'!$I$5:$I$208,"&lt;&gt;")+COUNTIFS('فحص-بيانات-بكالوريوس'!$H$5:$H$208,'الإعدادات واللجنة'!$B$19,'فحص-بيانات-بكالوريوس'!$I$5:$I$208,"&lt;&gt;")+COUNTIFS('فحص-بيانات-ماجستير'!$H$5:$H$230,'الإعدادات واللجنة'!$B$19,'فحص-بيانات-ماجستير'!$I$5:$I$230,"&lt;&gt;")</f>
        <v>0</v>
      </c>
      <c r="D41" s="23">
        <f t="shared" si="6"/>
        <v>0</v>
      </c>
      <c r="E41" s="14">
        <f>COUNTIFS('فحص-حاسب-بكالوريوس'!$H$5:$H$208,'الإعدادات واللجنة'!$B$19,'فحص-حاسب-بكالوريوس'!$P$5:$P$208,"&lt;&gt;")+COUNTIFS('فحص-بيانات-بكالوريوس'!$H$5:$H$208,'الإعدادات واللجنة'!$B$19,'فحص-بيانات-بكالوريوس'!$P$5:$P$208,"&lt;&gt;")+COUNTIFS('فحص-بيانات-ماجستير'!$H$5:$H$230,'الإعدادات واللجنة'!$B$19,'فحص-بيانات-ماجستير'!$P$5:$P$230,"&lt;&gt;")</f>
        <v>0</v>
      </c>
      <c r="F41" s="14">
        <f>COUNTIFS('فحص-حاسب-بكالوريوس'!$H$5:$H$208,'الإعدادات واللجنة'!$B$19,'فحص-حاسب-بكالوريوس'!$P$5:$P$208,"تحتاج تعديل")+COUNTIFS('فحص-بيانات-بكالوريوس'!$H$5:$H$208,'الإعدادات واللجنة'!$B$19,'فحص-بيانات-بكالوريوس'!$P$5:$P$208,"تحتاج تعديل")+COUNTIFS('فحص-بيانات-ماجستير'!$H$5:$H$230,'الإعدادات واللجنة'!$B$19,'فحص-بيانات-ماجستير'!$P$5:$P$230,"تحتاج تعديل")</f>
        <v>0</v>
      </c>
    </row>
    <row r="42" spans="1:9" x14ac:dyDescent="0.2">
      <c r="A42" s="22" t="str">
        <f>'الإعدادات واللجنة'!$B$20</f>
        <v>د. حسن بن سعد القحطاني</v>
      </c>
      <c r="B42" s="14">
        <f>COUNTIFS('فحص-حاسب-بكالوريوس'!$H$5:$H$208,'الإعدادات واللجنة'!$B$20)+COUNTIFS('فحص-بيانات-بكالوريوس'!$H$5:$H$208,'الإعدادات واللجنة'!$B$20)+COUNTIFS('فحص-بيانات-ماجستير'!$H$5:$H$230,'الإعدادات واللجنة'!$B$20)</f>
        <v>96</v>
      </c>
      <c r="C42" s="14">
        <f>COUNTIFS('فحص-حاسب-بكالوريوس'!$H$5:$H$208,'الإعدادات واللجنة'!$B$20,'فحص-حاسب-بكالوريوس'!$I$5:$I$208,"&lt;&gt;")+COUNTIFS('فحص-بيانات-بكالوريوس'!$H$5:$H$208,'الإعدادات واللجنة'!$B$20,'فحص-بيانات-بكالوريوس'!$I$5:$I$208,"&lt;&gt;")+COUNTIFS('فحص-بيانات-ماجستير'!$H$5:$H$230,'الإعدادات واللجنة'!$B$20,'فحص-بيانات-ماجستير'!$I$5:$I$230,"&lt;&gt;")</f>
        <v>0</v>
      </c>
      <c r="D42" s="23">
        <f t="shared" si="6"/>
        <v>0</v>
      </c>
      <c r="E42" s="14">
        <f>COUNTIFS('فحص-حاسب-بكالوريوس'!$H$5:$H$208,'الإعدادات واللجنة'!$B$20,'فحص-حاسب-بكالوريوس'!$P$5:$P$208,"&lt;&gt;")+COUNTIFS('فحص-بيانات-بكالوريوس'!$H$5:$H$208,'الإعدادات واللجنة'!$B$20,'فحص-بيانات-بكالوريوس'!$P$5:$P$208,"&lt;&gt;")+COUNTIFS('فحص-بيانات-ماجستير'!$H$5:$H$230,'الإعدادات واللجنة'!$B$20,'فحص-بيانات-ماجستير'!$P$5:$P$230,"&lt;&gt;")</f>
        <v>0</v>
      </c>
      <c r="F42" s="14">
        <f>COUNTIFS('فحص-حاسب-بكالوريوس'!$H$5:$H$208,'الإعدادات واللجنة'!$B$20,'فحص-حاسب-بكالوريوس'!$P$5:$P$208,"تحتاج تعديل")+COUNTIFS('فحص-بيانات-بكالوريوس'!$H$5:$H$208,'الإعدادات واللجنة'!$B$20,'فحص-بيانات-بكالوريوس'!$P$5:$P$208,"تحتاج تعديل")+COUNTIFS('فحص-بيانات-ماجستير'!$H$5:$H$230,'الإعدادات واللجنة'!$B$20,'فحص-بيانات-ماجستير'!$P$5:$P$230,"تحتاج تعديل")</f>
        <v>0</v>
      </c>
    </row>
    <row r="44" spans="1:9" ht="15" customHeight="1" x14ac:dyDescent="0.2">
      <c r="A44" s="7" t="s">
        <v>163</v>
      </c>
      <c r="B44" s="7"/>
      <c r="C44" s="7"/>
      <c r="D44" s="7"/>
      <c r="E44" s="7"/>
      <c r="F44" s="7"/>
      <c r="G44" s="7"/>
      <c r="H44" s="7"/>
      <c r="I44" s="7"/>
    </row>
    <row r="45" spans="1:9" ht="28" x14ac:dyDescent="0.2">
      <c r="A45" s="10" t="s">
        <v>164</v>
      </c>
      <c r="B45" s="10" t="str">
        <f>'الإعدادات واللجنة'!$B$5</f>
        <v>بكالوريوس علوم الحاسب</v>
      </c>
      <c r="C45" s="10" t="str">
        <f>'الإعدادات واللجنة'!$B$6</f>
        <v>بكالوريوس علوم البيانات</v>
      </c>
      <c r="D45" s="10" t="str">
        <f>'الإعدادات واللجنة'!$B$7</f>
        <v>ماجستير علوم البيانات</v>
      </c>
    </row>
    <row r="46" spans="1:9" x14ac:dyDescent="0.2">
      <c r="A46" s="22" t="s">
        <v>165</v>
      </c>
      <c r="B46" s="14">
        <f>COUNTIF('فحص-حاسب-بكالوريوس'!$J$5:$J$208,"غير معتمد")</f>
        <v>0</v>
      </c>
      <c r="C46" s="14">
        <f>COUNTIF('فحص-بيانات-بكالوريوس'!$J$5:$J$208,"غير معتمد")</f>
        <v>0</v>
      </c>
      <c r="D46" s="14">
        <f>COUNTIF('فحص-بيانات-ماجستير'!$J$5:$J$230,"غير معتمد")</f>
        <v>0</v>
      </c>
    </row>
    <row r="47" spans="1:9" x14ac:dyDescent="0.2">
      <c r="A47" s="22" t="s">
        <v>166</v>
      </c>
      <c r="B47" s="14">
        <f>COUNTIF('فحص-حاسب-بكالوريوس'!$J$5:$J$208,"غير محدّث")</f>
        <v>0</v>
      </c>
      <c r="C47" s="14">
        <f>COUNTIF('فحص-بيانات-بكالوريوس'!$J$5:$J$208,"غير محدّث")</f>
        <v>0</v>
      </c>
      <c r="D47" s="14">
        <f>COUNTIF('فحص-بيانات-ماجستير'!$J$5:$J$230,"غير محدّث")</f>
        <v>0</v>
      </c>
    </row>
    <row r="48" spans="1:9" x14ac:dyDescent="0.2">
      <c r="A48" s="22" t="s">
        <v>167</v>
      </c>
      <c r="B48" s="14">
        <f>COUNTIF('فحص-حاسب-بكالوريوس'!$J$5:$J$208,"لا يغطي المحك كاملاً")</f>
        <v>0</v>
      </c>
      <c r="C48" s="14">
        <f>COUNTIF('فحص-بيانات-بكالوريوس'!$J$5:$J$208,"لا يغطي المحك كاملاً")</f>
        <v>0</v>
      </c>
      <c r="D48" s="14">
        <f>COUNTIF('فحص-بيانات-ماجستير'!$J$5:$J$230,"لا يغطي المحك كاملاً")</f>
        <v>0</v>
      </c>
    </row>
    <row r="49" spans="1:4" x14ac:dyDescent="0.2">
      <c r="A49" s="22" t="s">
        <v>168</v>
      </c>
      <c r="B49" s="14">
        <f>COUNTIF('فحص-حاسب-بكالوريوس'!$J$5:$J$208,"لا يثبت التطبيق الفعلي")</f>
        <v>0</v>
      </c>
      <c r="C49" s="14">
        <f>COUNTIF('فحص-بيانات-بكالوريوس'!$J$5:$J$208,"لا يثبت التطبيق الفعلي")</f>
        <v>0</v>
      </c>
      <c r="D49" s="14">
        <f>COUNTIF('فحص-بيانات-ماجستير'!$J$5:$J$230,"لا يثبت التطبيق الفعلي")</f>
        <v>0</v>
      </c>
    </row>
    <row r="50" spans="1:4" x14ac:dyDescent="0.2">
      <c r="A50" s="22" t="s">
        <v>169</v>
      </c>
      <c r="B50" s="14">
        <f>COUNTIF('فحص-حاسب-بكالوريوس'!$J$5:$J$208,"لا توجد نتائج وتحسين")</f>
        <v>0</v>
      </c>
      <c r="C50" s="14">
        <f>COUNTIF('فحص-بيانات-بكالوريوس'!$J$5:$J$208,"لا توجد نتائج وتحسين")</f>
        <v>0</v>
      </c>
      <c r="D50" s="14">
        <f>COUNTIF('فحص-بيانات-ماجستير'!$J$5:$J$230,"لا توجد نتائج وتحسين")</f>
        <v>0</v>
      </c>
    </row>
  </sheetData>
  <mergeCells count="7">
    <mergeCell ref="A35:I35"/>
    <mergeCell ref="A44:I44"/>
    <mergeCell ref="A1:I1"/>
    <mergeCell ref="A2:I2"/>
    <mergeCell ref="A4:I4"/>
    <mergeCell ref="A14:I14"/>
    <mergeCell ref="A24:I24"/>
  </mergeCells>
  <conditionalFormatting sqref="D37:D42">
    <cfRule type="dataBar" priority="5">
      <dataBar>
        <cfvo type="num" val="0"/>
        <cfvo type="num" val="1"/>
        <color rgb="FF70AD47"/>
      </dataBar>
      <extLst>
        <ext xmlns:x14="http://schemas.microsoft.com/office/spreadsheetml/2009/9/main" uri="{B025F937-C7B1-47D3-B67F-A62EFF666E3E}">
          <x14:id>{5FB871AB-4E2D-48DD-9AE0-C8FD87A9AD7D}</x14:id>
        </ext>
      </extLst>
    </cfRule>
  </conditionalFormatting>
  <conditionalFormatting sqref="G6:G12">
    <cfRule type="dataBar" priority="2">
      <dataBar>
        <cfvo type="num" val="0"/>
        <cfvo type="num" val="1"/>
        <color rgb="FF5B9BD5"/>
      </dataBar>
      <extLst>
        <ext xmlns:x14="http://schemas.microsoft.com/office/spreadsheetml/2009/9/main" uri="{B025F937-C7B1-47D3-B67F-A62EFF666E3E}">
          <x14:id>{3385169E-CA70-4B7D-8470-29DC1E962E10}</x14:id>
        </ext>
      </extLst>
    </cfRule>
  </conditionalFormatting>
  <conditionalFormatting sqref="G16:G22">
    <cfRule type="dataBar" priority="3">
      <dataBar>
        <cfvo type="num" val="0"/>
        <cfvo type="num" val="1"/>
        <color rgb="FF5B9BD5"/>
      </dataBar>
      <extLst>
        <ext xmlns:x14="http://schemas.microsoft.com/office/spreadsheetml/2009/9/main" uri="{B025F937-C7B1-47D3-B67F-A62EFF666E3E}">
          <x14:id>{BFE9761E-F0C6-40F7-997F-A4177A875D6C}</x14:id>
        </ext>
      </extLst>
    </cfRule>
  </conditionalFormatting>
  <conditionalFormatting sqref="G26:G33">
    <cfRule type="dataBar" priority="4">
      <dataBar>
        <cfvo type="num" val="0"/>
        <cfvo type="num" val="1"/>
        <color rgb="FF5B9BD5"/>
      </dataBar>
      <extLst>
        <ext xmlns:x14="http://schemas.microsoft.com/office/spreadsheetml/2009/9/main" uri="{B025F937-C7B1-47D3-B67F-A62EFF666E3E}">
          <x14:id>{89BBA577-6837-4B9C-B61B-62FF5024EAF4}</x14:id>
        </ext>
      </extLst>
    </cfRule>
  </conditionalFormatting>
  <pageMargins left="0.75" right="0.75" top="1" bottom="1" header="0.511811023622047" footer="0.511811023622047"/>
  <pageSetup paperSize="9" orientation="portrait" horizontalDpi="300" verticalDpi="300"/>
  <headerFooter>
    <oddFooter xml:space="preserve">&amp;L_x000D_&amp;1#&amp;"Aptos"&amp;10&amp;K000000 Restricted - مقيد </oddFooter>
  </headerFooter>
  <extLst>
    <ext xmlns:x14="http://schemas.microsoft.com/office/spreadsheetml/2009/9/main" uri="{78C0D931-6437-407d-A8EE-F0AAD7539E65}">
      <x14:conditionalFormattings>
        <x14:conditionalFormatting xmlns:xm="http://schemas.microsoft.com/office/excel/2006/main">
          <x14:cfRule type="dataBar" id="{5FB871AB-4E2D-48DD-9AE0-C8FD87A9AD7D}">
            <x14:dataBar axisPosition="none">
              <x14:cfvo type="num">
                <xm:f>0</xm:f>
              </x14:cfvo>
              <x14:cfvo type="num">
                <xm:f>1</xm:f>
              </x14:cfvo>
              <x14:negativeFillColor rgb="FF70AD47"/>
            </x14:dataBar>
          </x14:cfRule>
          <xm:sqref>D37:D42</xm:sqref>
        </x14:conditionalFormatting>
        <x14:conditionalFormatting xmlns:xm="http://schemas.microsoft.com/office/excel/2006/main">
          <x14:cfRule type="dataBar" id="{3385169E-CA70-4B7D-8470-29DC1E962E10}">
            <x14:dataBar axisPosition="none">
              <x14:cfvo type="num">
                <xm:f>0</xm:f>
              </x14:cfvo>
              <x14:cfvo type="num">
                <xm:f>1</xm:f>
              </x14:cfvo>
              <x14:negativeFillColor rgb="FF5B9BD5"/>
            </x14:dataBar>
          </x14:cfRule>
          <xm:sqref>G6:G12</xm:sqref>
        </x14:conditionalFormatting>
        <x14:conditionalFormatting xmlns:xm="http://schemas.microsoft.com/office/excel/2006/main">
          <x14:cfRule type="dataBar" id="{BFE9761E-F0C6-40F7-997F-A4177A875D6C}">
            <x14:dataBar axisPosition="none">
              <x14:cfvo type="num">
                <xm:f>0</xm:f>
              </x14:cfvo>
              <x14:cfvo type="num">
                <xm:f>1</xm:f>
              </x14:cfvo>
              <x14:negativeFillColor rgb="FF5B9BD5"/>
            </x14:dataBar>
          </x14:cfRule>
          <xm:sqref>G16:G22</xm:sqref>
        </x14:conditionalFormatting>
        <x14:conditionalFormatting xmlns:xm="http://schemas.microsoft.com/office/excel/2006/main">
          <x14:cfRule type="dataBar" id="{89BBA577-6837-4B9C-B61B-62FF5024EAF4}">
            <x14:dataBar axisPosition="none">
              <x14:cfvo type="num">
                <xm:f>0</xm:f>
              </x14:cfvo>
              <x14:cfvo type="num">
                <xm:f>1</xm:f>
              </x14:cfvo>
              <x14:negativeFillColor rgb="FF5B9BD5"/>
            </x14:dataBar>
          </x14:cfRule>
          <xm:sqref>G26:G33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A1:F19"/>
  <sheetViews>
    <sheetView rightToLeft="1" topLeftCell="A6" zoomScaleNormal="100" workbookViewId="0">
      <selection activeCell="B19" sqref="B19"/>
    </sheetView>
  </sheetViews>
  <sheetFormatPr baseColWidth="10" defaultColWidth="8.6640625" defaultRowHeight="15" x14ac:dyDescent="0.2"/>
  <cols>
    <col min="1" max="1" width="5" customWidth="1"/>
    <col min="2" max="2" width="32" customWidth="1"/>
    <col min="3" max="3" width="44" customWidth="1"/>
    <col min="4" max="5" width="26" customWidth="1"/>
    <col min="6" max="6" width="36" customWidth="1"/>
  </cols>
  <sheetData>
    <row r="1" spans="1:6" ht="18.5" customHeight="1" x14ac:dyDescent="0.2">
      <c r="A1" s="9" t="s">
        <v>170</v>
      </c>
      <c r="B1" s="9"/>
      <c r="C1" s="9"/>
      <c r="D1" s="9"/>
      <c r="E1" s="9"/>
      <c r="F1" s="9"/>
    </row>
    <row r="2" spans="1:6" ht="30" customHeight="1" x14ac:dyDescent="0.2">
      <c r="A2" s="6" t="s">
        <v>171</v>
      </c>
      <c r="B2" s="6"/>
      <c r="C2" s="6"/>
      <c r="D2" s="6"/>
      <c r="E2" s="6"/>
      <c r="F2" s="6"/>
    </row>
    <row r="4" spans="1:6" x14ac:dyDescent="0.2">
      <c r="A4" s="10" t="s">
        <v>88</v>
      </c>
      <c r="B4" s="10" t="s">
        <v>172</v>
      </c>
      <c r="C4" s="10" t="s">
        <v>173</v>
      </c>
      <c r="D4" s="10" t="s">
        <v>174</v>
      </c>
      <c r="E4" s="10" t="s">
        <v>5</v>
      </c>
      <c r="F4" s="10" t="s">
        <v>175</v>
      </c>
    </row>
    <row r="5" spans="1:6" ht="15" customHeight="1" x14ac:dyDescent="0.2">
      <c r="A5" s="7" t="s">
        <v>176</v>
      </c>
      <c r="B5" s="7"/>
      <c r="C5" s="7"/>
      <c r="D5" s="7"/>
      <c r="E5" s="7"/>
      <c r="F5" s="7"/>
    </row>
    <row r="6" spans="1:6" ht="31.5" customHeight="1" x14ac:dyDescent="0.2">
      <c r="A6" s="14">
        <v>1</v>
      </c>
      <c r="B6" s="22" t="s">
        <v>177</v>
      </c>
      <c r="C6" s="13" t="s">
        <v>178</v>
      </c>
      <c r="D6" s="18" t="s">
        <v>179</v>
      </c>
      <c r="E6" s="14" t="str">
        <f>'الإعدادات واللجنة'!$B$12</f>
        <v>د. نهلة بنت سعد القثامي</v>
      </c>
      <c r="F6" s="13" t="s">
        <v>180</v>
      </c>
    </row>
    <row r="7" spans="1:6" ht="31.5" customHeight="1" x14ac:dyDescent="0.2">
      <c r="A7" s="14">
        <v>2</v>
      </c>
      <c r="B7" s="22" t="s">
        <v>181</v>
      </c>
      <c r="C7" s="13" t="s">
        <v>182</v>
      </c>
      <c r="D7" s="18" t="s">
        <v>183</v>
      </c>
      <c r="E7" s="14" t="s">
        <v>184</v>
      </c>
      <c r="F7" s="13" t="s">
        <v>185</v>
      </c>
    </row>
    <row r="8" spans="1:6" ht="15" customHeight="1" x14ac:dyDescent="0.2">
      <c r="A8" s="7" t="s">
        <v>186</v>
      </c>
      <c r="B8" s="7"/>
      <c r="C8" s="7"/>
      <c r="D8" s="7"/>
      <c r="E8" s="7"/>
      <c r="F8" s="7"/>
    </row>
    <row r="9" spans="1:6" ht="31.5" customHeight="1" x14ac:dyDescent="0.2">
      <c r="A9" s="14">
        <v>3</v>
      </c>
      <c r="B9" s="22" t="s">
        <v>187</v>
      </c>
      <c r="C9" s="13" t="s">
        <v>188</v>
      </c>
      <c r="D9" s="19" t="s">
        <v>189</v>
      </c>
      <c r="E9" s="14" t="str">
        <f>'الإعدادات واللجنة'!$B$13</f>
        <v>د. عبير بنت عبدالله راجحي</v>
      </c>
      <c r="F9" s="13" t="s">
        <v>190</v>
      </c>
    </row>
    <row r="10" spans="1:6" ht="31.5" customHeight="1" x14ac:dyDescent="0.2">
      <c r="A10" s="14">
        <v>4</v>
      </c>
      <c r="B10" s="22" t="s">
        <v>191</v>
      </c>
      <c r="C10" s="13" t="s">
        <v>192</v>
      </c>
      <c r="D10" s="19" t="s">
        <v>189</v>
      </c>
      <c r="E10" s="14" t="str">
        <f>'الإعدادات واللجنة'!$B$13</f>
        <v>د. عبير بنت عبدالله راجحي</v>
      </c>
      <c r="F10" s="13" t="s">
        <v>193</v>
      </c>
    </row>
    <row r="11" spans="1:6" ht="31.5" customHeight="1" x14ac:dyDescent="0.2">
      <c r="A11" s="14">
        <v>5</v>
      </c>
      <c r="B11" s="22" t="s">
        <v>194</v>
      </c>
      <c r="C11" s="13" t="s">
        <v>195</v>
      </c>
      <c r="D11" s="19" t="s">
        <v>189</v>
      </c>
      <c r="E11" s="14" t="str">
        <f>'الإعدادات واللجنة'!$B$13</f>
        <v>د. عبير بنت عبدالله راجحي</v>
      </c>
      <c r="F11" s="13" t="s">
        <v>193</v>
      </c>
    </row>
    <row r="12" spans="1:6" ht="31.5" customHeight="1" x14ac:dyDescent="0.2">
      <c r="A12" s="14">
        <v>6</v>
      </c>
      <c r="B12" s="22" t="s">
        <v>126</v>
      </c>
      <c r="C12" s="13" t="s">
        <v>196</v>
      </c>
      <c r="D12" s="19" t="s">
        <v>189</v>
      </c>
      <c r="E12" s="14" t="str">
        <f>'الإعدادات واللجنة'!$B$13</f>
        <v>د. عبير بنت عبدالله راجحي</v>
      </c>
      <c r="F12" s="13" t="s">
        <v>193</v>
      </c>
    </row>
    <row r="13" spans="1:6" ht="31.5" customHeight="1" x14ac:dyDescent="0.2">
      <c r="A13" s="14">
        <v>7</v>
      </c>
      <c r="B13" s="22" t="s">
        <v>197</v>
      </c>
      <c r="C13" s="13" t="s">
        <v>198</v>
      </c>
      <c r="D13" s="19" t="s">
        <v>189</v>
      </c>
      <c r="E13" s="14" t="str">
        <f>'الإعدادات واللجنة'!$B$13</f>
        <v>د. عبير بنت عبدالله راجحي</v>
      </c>
      <c r="F13" s="13" t="s">
        <v>193</v>
      </c>
    </row>
    <row r="14" spans="1:6" ht="31.5" customHeight="1" x14ac:dyDescent="0.2">
      <c r="A14" s="14">
        <v>8</v>
      </c>
      <c r="B14" s="22" t="s">
        <v>199</v>
      </c>
      <c r="C14" s="13" t="s">
        <v>200</v>
      </c>
      <c r="D14" s="12" t="s">
        <v>201</v>
      </c>
      <c r="E14" s="14" t="s">
        <v>184</v>
      </c>
      <c r="F14" s="13" t="s">
        <v>202</v>
      </c>
    </row>
    <row r="15" spans="1:6" ht="15" customHeight="1" x14ac:dyDescent="0.2">
      <c r="A15" s="7" t="s">
        <v>203</v>
      </c>
      <c r="B15" s="7"/>
      <c r="C15" s="7"/>
      <c r="D15" s="7"/>
      <c r="E15" s="7"/>
      <c r="F15" s="7"/>
    </row>
    <row r="16" spans="1:6" ht="31.5" customHeight="1" x14ac:dyDescent="0.2">
      <c r="A16" s="14">
        <v>9</v>
      </c>
      <c r="B16" s="22" t="s">
        <v>204</v>
      </c>
      <c r="C16" s="13" t="s">
        <v>205</v>
      </c>
      <c r="D16" s="17" t="s">
        <v>206</v>
      </c>
      <c r="E16" s="14" t="s">
        <v>207</v>
      </c>
      <c r="F16" s="13" t="s">
        <v>208</v>
      </c>
    </row>
    <row r="17" spans="1:6" ht="31.5" customHeight="1" x14ac:dyDescent="0.2">
      <c r="A17" s="14">
        <v>10</v>
      </c>
      <c r="B17" s="22" t="s">
        <v>209</v>
      </c>
      <c r="C17" s="13" t="s">
        <v>210</v>
      </c>
      <c r="D17" s="17" t="s">
        <v>211</v>
      </c>
      <c r="E17" s="14" t="str">
        <f>'الإعدادات واللجنة'!$B$20</f>
        <v>د. حسن بن سعد القحطاني</v>
      </c>
      <c r="F17" s="13"/>
    </row>
    <row r="18" spans="1:6" ht="31.5" customHeight="1" x14ac:dyDescent="0.2">
      <c r="A18" s="14">
        <v>11</v>
      </c>
      <c r="B18" s="22" t="s">
        <v>212</v>
      </c>
      <c r="C18" s="13" t="s">
        <v>213</v>
      </c>
      <c r="D18" s="17" t="s">
        <v>214</v>
      </c>
      <c r="E18" s="14" t="str">
        <f>'الإعدادات واللجنة'!$B$15</f>
        <v>د. سلطان بن سعيد الشمراني</v>
      </c>
      <c r="F18" s="13"/>
    </row>
    <row r="19" spans="1:6" ht="31.5" customHeight="1" x14ac:dyDescent="0.2">
      <c r="A19" s="14">
        <v>12</v>
      </c>
      <c r="B19" s="22" t="s">
        <v>215</v>
      </c>
      <c r="C19" s="13" t="s">
        <v>216</v>
      </c>
      <c r="D19" s="18" t="s">
        <v>183</v>
      </c>
      <c r="E19" s="14" t="s">
        <v>184</v>
      </c>
      <c r="F19" s="13" t="s">
        <v>217</v>
      </c>
    </row>
  </sheetData>
  <mergeCells count="5">
    <mergeCell ref="A1:F1"/>
    <mergeCell ref="A2:F2"/>
    <mergeCell ref="A5:F5"/>
    <mergeCell ref="A8:F8"/>
    <mergeCell ref="A15:F15"/>
  </mergeCells>
  <pageMargins left="0.75" right="0.75" top="1" bottom="1" header="0.511811023622047" footer="0.511811023622047"/>
  <pageSetup paperSize="9" orientation="portrait" horizontalDpi="300" verticalDpi="300"/>
  <headerFooter>
    <oddFooter xml:space="preserve">&amp;L_x000D_&amp;1#&amp;"Aptos"&amp;10&amp;K000000 Restricted - مقيد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48235"/>
  </sheetPr>
  <dimension ref="A1:F46"/>
  <sheetViews>
    <sheetView rightToLeft="1" zoomScaleNormal="100" workbookViewId="0"/>
  </sheetViews>
  <sheetFormatPr baseColWidth="10" defaultColWidth="8.6640625" defaultRowHeight="15" x14ac:dyDescent="0.2"/>
  <cols>
    <col min="1" max="1" width="5" customWidth="1"/>
    <col min="2" max="2" width="34" customWidth="1"/>
    <col min="3" max="3" width="30" customWidth="1"/>
    <col min="4" max="6" width="18" customWidth="1"/>
  </cols>
  <sheetData>
    <row r="1" spans="1:6" ht="18.5" customHeight="1" x14ac:dyDescent="0.2">
      <c r="A1" s="9" t="s">
        <v>218</v>
      </c>
      <c r="B1" s="9"/>
      <c r="C1" s="9"/>
      <c r="D1" s="9"/>
      <c r="E1" s="9"/>
      <c r="F1" s="9"/>
    </row>
    <row r="2" spans="1:6" ht="31.5" customHeight="1" x14ac:dyDescent="0.2">
      <c r="A2" s="6" t="s">
        <v>219</v>
      </c>
      <c r="B2" s="6"/>
      <c r="C2" s="6"/>
      <c r="D2" s="6"/>
      <c r="E2" s="6"/>
      <c r="F2" s="6"/>
    </row>
    <row r="3" spans="1:6" ht="30" customHeight="1" x14ac:dyDescent="0.2">
      <c r="A3" s="6" t="s">
        <v>220</v>
      </c>
      <c r="B3" s="6"/>
      <c r="C3" s="6"/>
      <c r="D3" s="6"/>
      <c r="E3" s="6"/>
      <c r="F3" s="6"/>
    </row>
    <row r="5" spans="1:6" ht="15" customHeight="1" x14ac:dyDescent="0.2">
      <c r="A5" s="7" t="s">
        <v>221</v>
      </c>
      <c r="B5" s="7"/>
      <c r="C5" s="7"/>
      <c r="D5" s="7"/>
      <c r="E5" s="7"/>
      <c r="F5" s="7"/>
    </row>
    <row r="6" spans="1:6" ht="15" customHeight="1" x14ac:dyDescent="0.2">
      <c r="A6" s="14">
        <v>1</v>
      </c>
      <c r="B6" s="26" t="s">
        <v>222</v>
      </c>
      <c r="C6" s="3" t="s">
        <v>223</v>
      </c>
      <c r="D6" s="3"/>
      <c r="E6" s="3"/>
      <c r="F6" s="3"/>
    </row>
    <row r="7" spans="1:6" ht="15" customHeight="1" x14ac:dyDescent="0.2">
      <c r="A7" s="14">
        <v>2</v>
      </c>
      <c r="B7" s="26" t="s">
        <v>224</v>
      </c>
      <c r="C7" s="3" t="s">
        <v>225</v>
      </c>
      <c r="D7" s="3"/>
      <c r="E7" s="3"/>
      <c r="F7" s="3"/>
    </row>
    <row r="8" spans="1:6" ht="15" customHeight="1" x14ac:dyDescent="0.2">
      <c r="A8" s="14">
        <v>3</v>
      </c>
      <c r="B8" s="26" t="s">
        <v>226</v>
      </c>
      <c r="C8" s="3" t="s">
        <v>227</v>
      </c>
      <c r="D8" s="3"/>
      <c r="E8" s="3"/>
      <c r="F8" s="3"/>
    </row>
    <row r="10" spans="1:6" ht="15" customHeight="1" x14ac:dyDescent="0.2">
      <c r="A10" s="7" t="s">
        <v>228</v>
      </c>
      <c r="B10" s="7"/>
      <c r="C10" s="7"/>
      <c r="D10" s="7"/>
      <c r="E10" s="7"/>
      <c r="F10" s="7"/>
    </row>
    <row r="11" spans="1:6" x14ac:dyDescent="0.2">
      <c r="A11" s="10" t="s">
        <v>88</v>
      </c>
      <c r="B11" s="10" t="s">
        <v>229</v>
      </c>
      <c r="C11" s="10" t="s">
        <v>6</v>
      </c>
      <c r="D11" s="10" t="str">
        <f>'الإعدادات واللجنة'!$B$5</f>
        <v>بكالوريوس علوم الحاسب</v>
      </c>
      <c r="E11" s="10" t="str">
        <f>'الإعدادات واللجنة'!$B$6</f>
        <v>بكالوريوس علوم البيانات</v>
      </c>
      <c r="F11" s="10" t="str">
        <f>'الإعدادات واللجنة'!$B$7</f>
        <v>ماجستير علوم البيانات</v>
      </c>
    </row>
    <row r="12" spans="1:6" ht="30" customHeight="1" x14ac:dyDescent="0.2">
      <c r="A12" s="14">
        <v>1</v>
      </c>
      <c r="B12" s="13" t="s">
        <v>230</v>
      </c>
      <c r="C12" s="13" t="s">
        <v>231</v>
      </c>
      <c r="D12" s="15" t="s">
        <v>11</v>
      </c>
      <c r="E12" s="15" t="s">
        <v>11</v>
      </c>
      <c r="F12" s="15" t="s">
        <v>11</v>
      </c>
    </row>
    <row r="13" spans="1:6" ht="30" customHeight="1" x14ac:dyDescent="0.2">
      <c r="A13" s="14">
        <v>2</v>
      </c>
      <c r="B13" s="13" t="s">
        <v>232</v>
      </c>
      <c r="C13" s="13" t="s">
        <v>233</v>
      </c>
      <c r="D13" s="15" t="s">
        <v>11</v>
      </c>
      <c r="E13" s="15" t="s">
        <v>11</v>
      </c>
      <c r="F13" s="15" t="s">
        <v>11</v>
      </c>
    </row>
    <row r="14" spans="1:6" ht="30" customHeight="1" x14ac:dyDescent="0.2">
      <c r="A14" s="14">
        <v>3</v>
      </c>
      <c r="B14" s="13" t="s">
        <v>234</v>
      </c>
      <c r="C14" s="13" t="s">
        <v>235</v>
      </c>
      <c r="D14" s="15" t="s">
        <v>11</v>
      </c>
      <c r="E14" s="15" t="s">
        <v>11</v>
      </c>
      <c r="F14" s="15" t="s">
        <v>11</v>
      </c>
    </row>
    <row r="15" spans="1:6" ht="30" customHeight="1" x14ac:dyDescent="0.2">
      <c r="A15" s="14">
        <v>4</v>
      </c>
      <c r="B15" s="13" t="s">
        <v>236</v>
      </c>
      <c r="C15" s="13" t="s">
        <v>237</v>
      </c>
      <c r="D15" s="15" t="s">
        <v>11</v>
      </c>
      <c r="E15" s="15" t="s">
        <v>11</v>
      </c>
      <c r="F15" s="15" t="s">
        <v>11</v>
      </c>
    </row>
    <row r="16" spans="1:6" ht="30" customHeight="1" x14ac:dyDescent="0.2">
      <c r="A16" s="14">
        <v>5</v>
      </c>
      <c r="B16" s="13" t="s">
        <v>238</v>
      </c>
      <c r="C16" s="13" t="s">
        <v>239</v>
      </c>
      <c r="D16" s="15" t="s">
        <v>11</v>
      </c>
      <c r="E16" s="15" t="s">
        <v>11</v>
      </c>
      <c r="F16" s="15" t="s">
        <v>11</v>
      </c>
    </row>
    <row r="17" spans="1:6" ht="30" customHeight="1" x14ac:dyDescent="0.2">
      <c r="A17" s="14">
        <v>6</v>
      </c>
      <c r="B17" s="13" t="s">
        <v>240</v>
      </c>
      <c r="C17" s="13" t="s">
        <v>241</v>
      </c>
      <c r="D17" s="15" t="s">
        <v>11</v>
      </c>
      <c r="E17" s="15" t="s">
        <v>11</v>
      </c>
      <c r="F17" s="15" t="s">
        <v>11</v>
      </c>
    </row>
    <row r="18" spans="1:6" ht="30" customHeight="1" x14ac:dyDescent="0.2">
      <c r="A18" s="14">
        <v>7</v>
      </c>
      <c r="B18" s="13" t="s">
        <v>242</v>
      </c>
      <c r="C18" s="13" t="s">
        <v>243</v>
      </c>
      <c r="D18" s="15" t="s">
        <v>11</v>
      </c>
      <c r="E18" s="15" t="s">
        <v>11</v>
      </c>
      <c r="F18" s="15" t="s">
        <v>11</v>
      </c>
    </row>
    <row r="20" spans="1:6" ht="15" customHeight="1" x14ac:dyDescent="0.2">
      <c r="A20" s="7" t="s">
        <v>244</v>
      </c>
      <c r="B20" s="7"/>
      <c r="C20" s="7"/>
      <c r="D20" s="7"/>
      <c r="E20" s="7"/>
      <c r="F20" s="7"/>
    </row>
    <row r="21" spans="1:6" ht="15" customHeight="1" x14ac:dyDescent="0.2">
      <c r="A21" s="10" t="s">
        <v>88</v>
      </c>
      <c r="B21" s="2" t="s">
        <v>245</v>
      </c>
      <c r="C21" s="2"/>
      <c r="D21" s="10" t="str">
        <f>'الإعدادات واللجنة'!$B$5</f>
        <v>بكالوريوس علوم الحاسب</v>
      </c>
      <c r="E21" s="10" t="str">
        <f>'الإعدادات واللجنة'!$B$6</f>
        <v>بكالوريوس علوم البيانات</v>
      </c>
      <c r="F21" s="10" t="str">
        <f>'الإعدادات واللجنة'!$B$7</f>
        <v>ماجستير علوم البيانات</v>
      </c>
    </row>
    <row r="22" spans="1:6" ht="15" customHeight="1" x14ac:dyDescent="0.2">
      <c r="A22" s="14">
        <v>1</v>
      </c>
      <c r="B22" s="3" t="s">
        <v>246</v>
      </c>
      <c r="C22" s="3"/>
      <c r="D22" s="15"/>
      <c r="E22" s="15"/>
      <c r="F22" s="15"/>
    </row>
    <row r="23" spans="1:6" ht="15" customHeight="1" x14ac:dyDescent="0.2">
      <c r="A23" s="14">
        <v>2</v>
      </c>
      <c r="B23" s="3" t="s">
        <v>247</v>
      </c>
      <c r="C23" s="3"/>
      <c r="D23" s="15"/>
      <c r="E23" s="15"/>
      <c r="F23" s="15"/>
    </row>
    <row r="24" spans="1:6" ht="15" customHeight="1" x14ac:dyDescent="0.2">
      <c r="A24" s="14">
        <v>3</v>
      </c>
      <c r="B24" s="3" t="s">
        <v>248</v>
      </c>
      <c r="C24" s="3"/>
      <c r="D24" s="15"/>
      <c r="E24" s="15"/>
      <c r="F24" s="15"/>
    </row>
    <row r="25" spans="1:6" ht="15" customHeight="1" x14ac:dyDescent="0.2">
      <c r="A25" s="14">
        <v>4</v>
      </c>
      <c r="B25" s="3" t="s">
        <v>249</v>
      </c>
      <c r="C25" s="3"/>
      <c r="D25" s="15"/>
      <c r="E25" s="15"/>
      <c r="F25" s="15"/>
    </row>
    <row r="26" spans="1:6" ht="15" customHeight="1" x14ac:dyDescent="0.2">
      <c r="A26" s="14">
        <v>5</v>
      </c>
      <c r="B26" s="3" t="s">
        <v>250</v>
      </c>
      <c r="C26" s="3"/>
      <c r="D26" s="15"/>
      <c r="E26" s="15"/>
      <c r="F26" s="15"/>
    </row>
    <row r="27" spans="1:6" ht="15" customHeight="1" x14ac:dyDescent="0.2">
      <c r="A27" s="14">
        <v>6</v>
      </c>
      <c r="B27" s="3" t="s">
        <v>251</v>
      </c>
      <c r="C27" s="3"/>
      <c r="D27" s="15"/>
      <c r="E27" s="15"/>
      <c r="F27" s="15"/>
    </row>
    <row r="28" spans="1:6" ht="15" customHeight="1" x14ac:dyDescent="0.2">
      <c r="A28" s="14">
        <v>7</v>
      </c>
      <c r="B28" s="3" t="s">
        <v>252</v>
      </c>
      <c r="C28" s="3"/>
      <c r="D28" s="15"/>
      <c r="E28" s="15"/>
      <c r="F28" s="15"/>
    </row>
    <row r="29" spans="1:6" ht="15" customHeight="1" x14ac:dyDescent="0.2">
      <c r="A29" s="14">
        <v>8</v>
      </c>
      <c r="B29" s="3" t="s">
        <v>253</v>
      </c>
      <c r="C29" s="3"/>
      <c r="D29" s="15"/>
      <c r="E29" s="15"/>
      <c r="F29" s="15"/>
    </row>
    <row r="30" spans="1:6" ht="15" customHeight="1" x14ac:dyDescent="0.2">
      <c r="A30" s="14">
        <v>9</v>
      </c>
      <c r="B30" s="3" t="s">
        <v>254</v>
      </c>
      <c r="C30" s="3"/>
      <c r="D30" s="15"/>
      <c r="E30" s="15"/>
      <c r="F30" s="15"/>
    </row>
    <row r="32" spans="1:6" ht="15" customHeight="1" x14ac:dyDescent="0.2">
      <c r="A32" s="7" t="s">
        <v>255</v>
      </c>
      <c r="B32" s="7"/>
      <c r="C32" s="7"/>
      <c r="D32" s="7"/>
      <c r="E32" s="7"/>
      <c r="F32" s="7"/>
    </row>
    <row r="33" spans="1:6" x14ac:dyDescent="0.2">
      <c r="A33" s="10" t="s">
        <v>88</v>
      </c>
      <c r="B33" s="10" t="s">
        <v>256</v>
      </c>
      <c r="C33" s="10" t="s">
        <v>257</v>
      </c>
      <c r="D33" s="10" t="s">
        <v>257</v>
      </c>
      <c r="E33" s="10" t="s">
        <v>258</v>
      </c>
      <c r="F33" s="10" t="s">
        <v>258</v>
      </c>
    </row>
    <row r="34" spans="1:6" x14ac:dyDescent="0.2">
      <c r="A34" s="14">
        <v>1</v>
      </c>
      <c r="B34" s="16" t="s">
        <v>259</v>
      </c>
      <c r="C34" s="15"/>
      <c r="D34" s="15"/>
      <c r="E34" s="15"/>
      <c r="F34" s="15"/>
    </row>
    <row r="35" spans="1:6" x14ac:dyDescent="0.2">
      <c r="A35" s="14">
        <v>2</v>
      </c>
      <c r="B35" s="16" t="s">
        <v>260</v>
      </c>
      <c r="C35" s="15"/>
      <c r="D35" s="15"/>
      <c r="E35" s="15"/>
      <c r="F35" s="15"/>
    </row>
    <row r="36" spans="1:6" x14ac:dyDescent="0.2">
      <c r="A36" s="14">
        <v>3</v>
      </c>
      <c r="B36" s="16" t="s">
        <v>261</v>
      </c>
      <c r="C36" s="15"/>
      <c r="D36" s="15"/>
      <c r="E36" s="15"/>
      <c r="F36" s="15"/>
    </row>
    <row r="37" spans="1:6" x14ac:dyDescent="0.2">
      <c r="A37" s="14">
        <v>4</v>
      </c>
      <c r="B37" s="16" t="s">
        <v>262</v>
      </c>
      <c r="C37" s="15"/>
      <c r="D37" s="15"/>
      <c r="E37" s="15"/>
      <c r="F37" s="15"/>
    </row>
    <row r="38" spans="1:6" x14ac:dyDescent="0.2">
      <c r="A38" s="14">
        <v>5</v>
      </c>
      <c r="B38" s="16" t="s">
        <v>263</v>
      </c>
      <c r="C38" s="15"/>
      <c r="D38" s="15"/>
      <c r="E38" s="15"/>
      <c r="F38" s="15"/>
    </row>
    <row r="40" spans="1:6" ht="15" customHeight="1" x14ac:dyDescent="0.2">
      <c r="A40" s="7" t="s">
        <v>264</v>
      </c>
      <c r="B40" s="7"/>
      <c r="C40" s="7"/>
      <c r="D40" s="7"/>
      <c r="E40" s="7"/>
      <c r="F40" s="7"/>
    </row>
    <row r="41" spans="1:6" ht="15" customHeight="1" x14ac:dyDescent="0.2">
      <c r="A41" s="14">
        <v>1</v>
      </c>
      <c r="B41" s="3" t="s">
        <v>265</v>
      </c>
      <c r="C41" s="3"/>
      <c r="D41" s="3"/>
      <c r="E41" s="3"/>
      <c r="F41" s="3"/>
    </row>
    <row r="42" spans="1:6" ht="15" customHeight="1" x14ac:dyDescent="0.2">
      <c r="A42" s="14">
        <v>2</v>
      </c>
      <c r="B42" s="3" t="s">
        <v>266</v>
      </c>
      <c r="C42" s="3"/>
      <c r="D42" s="3"/>
      <c r="E42" s="3"/>
      <c r="F42" s="3"/>
    </row>
    <row r="43" spans="1:6" ht="15" customHeight="1" x14ac:dyDescent="0.2">
      <c r="A43" s="14">
        <v>3</v>
      </c>
      <c r="B43" s="3" t="s">
        <v>267</v>
      </c>
      <c r="C43" s="3"/>
      <c r="D43" s="3"/>
      <c r="E43" s="3"/>
      <c r="F43" s="3"/>
    </row>
    <row r="44" spans="1:6" ht="15" customHeight="1" x14ac:dyDescent="0.2">
      <c r="A44" s="14">
        <v>4</v>
      </c>
      <c r="B44" s="3" t="s">
        <v>268</v>
      </c>
      <c r="C44" s="3"/>
      <c r="D44" s="3"/>
      <c r="E44" s="3"/>
      <c r="F44" s="3"/>
    </row>
    <row r="45" spans="1:6" ht="15" customHeight="1" x14ac:dyDescent="0.2">
      <c r="A45" s="14">
        <v>5</v>
      </c>
      <c r="B45" s="3" t="s">
        <v>269</v>
      </c>
      <c r="C45" s="3"/>
      <c r="D45" s="3"/>
      <c r="E45" s="3"/>
      <c r="F45" s="3"/>
    </row>
    <row r="46" spans="1:6" ht="15" customHeight="1" x14ac:dyDescent="0.2">
      <c r="A46" s="14">
        <v>6</v>
      </c>
      <c r="B46" s="3" t="s">
        <v>270</v>
      </c>
      <c r="C46" s="3"/>
      <c r="D46" s="3"/>
      <c r="E46" s="3"/>
      <c r="F46" s="3"/>
    </row>
  </sheetData>
  <mergeCells count="27">
    <mergeCell ref="B45:F45"/>
    <mergeCell ref="B46:F46"/>
    <mergeCell ref="A40:F40"/>
    <mergeCell ref="B41:F41"/>
    <mergeCell ref="B42:F42"/>
    <mergeCell ref="B43:F43"/>
    <mergeCell ref="B44:F44"/>
    <mergeCell ref="B27:C27"/>
    <mergeCell ref="B28:C28"/>
    <mergeCell ref="B29:C29"/>
    <mergeCell ref="B30:C30"/>
    <mergeCell ref="A32:F32"/>
    <mergeCell ref="B22:C22"/>
    <mergeCell ref="B23:C23"/>
    <mergeCell ref="B24:C24"/>
    <mergeCell ref="B25:C25"/>
    <mergeCell ref="B26:C26"/>
    <mergeCell ref="C7:F7"/>
    <mergeCell ref="C8:F8"/>
    <mergeCell ref="A10:F10"/>
    <mergeCell ref="A20:F20"/>
    <mergeCell ref="B21:C21"/>
    <mergeCell ref="A1:F1"/>
    <mergeCell ref="A2:F2"/>
    <mergeCell ref="A3:F3"/>
    <mergeCell ref="A5:F5"/>
    <mergeCell ref="C6:F6"/>
  </mergeCells>
  <conditionalFormatting sqref="D22:F30">
    <cfRule type="cellIs" dxfId="20" priority="2" operator="equal">
      <formula>"نعم"</formula>
    </cfRule>
    <cfRule type="cellIs" dxfId="19" priority="3" operator="equal">
      <formula>"جزئياً"</formula>
    </cfRule>
    <cfRule type="cellIs" dxfId="18" priority="4" operator="equal">
      <formula>"لا"</formula>
    </cfRule>
  </conditionalFormatting>
  <dataValidations count="2">
    <dataValidation type="list" allowBlank="1" sqref="D12:F18" xr:uid="{00000000-0002-0000-0400-000000000000}">
      <formula1>"لم تبدأ,قيد التنفيذ,مكتملة"</formula1>
      <formula2>0</formula2>
    </dataValidation>
    <dataValidation type="list" allowBlank="1" sqref="D22:F30" xr:uid="{00000000-0002-0000-0400-000001000000}">
      <formula1>"نعم,جزئياً,لا"</formula1>
      <formula2>0</formula2>
    </dataValidation>
  </dataValidations>
  <pageMargins left="0.75" right="0.75" top="1" bottom="1" header="0.511811023622047" footer="0.511811023622047"/>
  <pageSetup paperSize="9" orientation="portrait" horizontalDpi="300" verticalDpi="300"/>
  <headerFooter>
    <oddFooter xml:space="preserve">&amp;L_x000D_&amp;1#&amp;"Aptos"&amp;10&amp;K000000 Restricted - مقيد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EA9DB"/>
  </sheetPr>
  <dimension ref="A1:Q208"/>
  <sheetViews>
    <sheetView rightToLeft="1" zoomScaleNormal="100" workbookViewId="0">
      <pane xSplit="6" ySplit="4" topLeftCell="G5" activePane="bottomRight" state="frozen"/>
      <selection pane="topRight" activeCell="G1" sqref="G1"/>
      <selection pane="bottomLeft" activeCell="A5" sqref="A5"/>
      <selection pane="bottomRight"/>
    </sheetView>
  </sheetViews>
  <sheetFormatPr baseColWidth="10" defaultColWidth="8.6640625" defaultRowHeight="15" x14ac:dyDescent="0.2"/>
  <cols>
    <col min="1" max="1" width="8" customWidth="1"/>
    <col min="2" max="2" width="14" customWidth="1"/>
    <col min="3" max="3" width="40" customWidth="1"/>
    <col min="4" max="4" width="6" customWidth="1"/>
    <col min="5" max="5" width="4" customWidth="1"/>
    <col min="6" max="6" width="44" customWidth="1"/>
    <col min="7" max="7" width="14" customWidth="1"/>
    <col min="8" max="8" width="16" customWidth="1"/>
    <col min="9" max="9" width="17" customWidth="1"/>
    <col min="10" max="10" width="19" customWidth="1"/>
    <col min="11" max="11" width="9" customWidth="1"/>
    <col min="12" max="12" width="30" customWidth="1"/>
    <col min="13" max="13" width="12" customWidth="1"/>
    <col min="14" max="14" width="26" customWidth="1"/>
    <col min="15" max="15" width="22" customWidth="1"/>
    <col min="16" max="16" width="13" customWidth="1"/>
    <col min="17" max="17" width="22" customWidth="1"/>
  </cols>
  <sheetData>
    <row r="1" spans="1:17" ht="18" x14ac:dyDescent="0.2">
      <c r="A1" s="1" t="str">
        <f>"فحص الأدلة – "&amp;'الإعدادات واللجنة'!$B$5</f>
        <v>فحص الأدلة – بكالوريوس علوم الحاسب</v>
      </c>
      <c r="B1" s="1"/>
      <c r="C1" s="1"/>
      <c r="D1" s="1"/>
      <c r="E1" s="1"/>
      <c r="F1" s="1"/>
      <c r="G1" s="1"/>
      <c r="H1" s="1"/>
    </row>
    <row r="2" spans="1:17" ht="15" customHeight="1" x14ac:dyDescent="0.2">
      <c r="A2" s="6" t="s">
        <v>271</v>
      </c>
      <c r="B2" s="6"/>
      <c r="C2" s="6"/>
      <c r="D2" s="6"/>
      <c r="E2" s="6"/>
      <c r="F2" s="6"/>
      <c r="G2" s="6"/>
      <c r="H2" s="6"/>
      <c r="I2" s="6"/>
      <c r="J2" s="6"/>
      <c r="K2" s="6"/>
      <c r="L2" s="6"/>
      <c r="M2" s="6"/>
      <c r="N2" s="6"/>
      <c r="O2" s="6"/>
      <c r="P2" s="6"/>
      <c r="Q2" s="6"/>
    </row>
    <row r="4" spans="1:17" ht="30" customHeight="1" x14ac:dyDescent="0.2">
      <c r="A4" s="10" t="s">
        <v>117</v>
      </c>
      <c r="B4" s="10" t="s">
        <v>141</v>
      </c>
      <c r="C4" s="10" t="s">
        <v>272</v>
      </c>
      <c r="D4" s="10" t="s">
        <v>273</v>
      </c>
      <c r="E4" s="10" t="s">
        <v>88</v>
      </c>
      <c r="F4" s="10" t="s">
        <v>274</v>
      </c>
      <c r="G4" s="10" t="s">
        <v>275</v>
      </c>
      <c r="H4" s="10" t="s">
        <v>5</v>
      </c>
      <c r="I4" s="10" t="s">
        <v>276</v>
      </c>
      <c r="J4" s="10" t="s">
        <v>164</v>
      </c>
      <c r="K4" s="10" t="s">
        <v>277</v>
      </c>
      <c r="L4" s="10" t="s">
        <v>278</v>
      </c>
      <c r="M4" s="10" t="s">
        <v>279</v>
      </c>
      <c r="N4" s="10" t="s">
        <v>280</v>
      </c>
      <c r="O4" s="10" t="s">
        <v>281</v>
      </c>
      <c r="P4" s="10" t="s">
        <v>282</v>
      </c>
      <c r="Q4" s="10" t="s">
        <v>283</v>
      </c>
    </row>
    <row r="5" spans="1:17" ht="26" x14ac:dyDescent="0.2">
      <c r="A5" s="27" t="s">
        <v>284</v>
      </c>
      <c r="B5" s="28" t="s">
        <v>150</v>
      </c>
      <c r="C5" s="29" t="s">
        <v>285</v>
      </c>
      <c r="D5" s="30"/>
      <c r="E5" s="31">
        <v>1</v>
      </c>
      <c r="F5" s="29" t="s">
        <v>286</v>
      </c>
      <c r="G5" s="32" t="s">
        <v>287</v>
      </c>
      <c r="H5" s="31" t="str">
        <f>IFERROR(INDEX('الإعدادات واللجنة'!$C$24:$C$32,MATCH(LEFT(A5,3),'الإعدادات واللجنة'!$A$24:$A$32,0)),"")</f>
        <v>د. سلطان بن سعيد الشمراني</v>
      </c>
      <c r="I5" s="33"/>
      <c r="J5" s="33"/>
      <c r="K5" s="31" t="str">
        <f t="shared" ref="K5:K68" si="0">IF(OR(I5="",I5="متوفر ومكتمل"),"",IF(OR(D5="★",I5="غير متوفر"),"عالية","متوسطة"))</f>
        <v/>
      </c>
      <c r="L5" s="34"/>
      <c r="M5" s="33"/>
      <c r="N5" s="34"/>
      <c r="O5" s="34"/>
      <c r="P5" s="33"/>
      <c r="Q5" s="34"/>
    </row>
    <row r="6" spans="1:17" ht="24" x14ac:dyDescent="0.2">
      <c r="A6" s="31" t="s">
        <v>284</v>
      </c>
      <c r="B6" s="28" t="s">
        <v>150</v>
      </c>
      <c r="C6" s="29"/>
      <c r="D6" s="30"/>
      <c r="E6" s="31">
        <v>2</v>
      </c>
      <c r="F6" s="29" t="s">
        <v>288</v>
      </c>
      <c r="G6" s="32" t="s">
        <v>287</v>
      </c>
      <c r="H6" s="31" t="str">
        <f>IFERROR(INDEX('الإعدادات واللجنة'!$C$24:$C$32,MATCH(LEFT(A6,3),'الإعدادات واللجنة'!$A$24:$A$32,0)),"")</f>
        <v>د. سلطان بن سعيد الشمراني</v>
      </c>
      <c r="I6" s="33"/>
      <c r="J6" s="33"/>
      <c r="K6" s="31" t="str">
        <f t="shared" si="0"/>
        <v/>
      </c>
      <c r="L6" s="34"/>
      <c r="M6" s="33"/>
      <c r="N6" s="34"/>
      <c r="O6" s="34"/>
      <c r="P6" s="33"/>
      <c r="Q6" s="34"/>
    </row>
    <row r="7" spans="1:17" ht="24" x14ac:dyDescent="0.2">
      <c r="A7" s="31" t="s">
        <v>284</v>
      </c>
      <c r="B7" s="28" t="s">
        <v>150</v>
      </c>
      <c r="C7" s="29"/>
      <c r="D7" s="30"/>
      <c r="E7" s="31">
        <v>3</v>
      </c>
      <c r="F7" s="29" t="s">
        <v>289</v>
      </c>
      <c r="G7" s="32" t="s">
        <v>287</v>
      </c>
      <c r="H7" s="31" t="str">
        <f>IFERROR(INDEX('الإعدادات واللجنة'!$C$24:$C$32,MATCH(LEFT(A7,3),'الإعدادات واللجنة'!$A$24:$A$32,0)),"")</f>
        <v>د. سلطان بن سعيد الشمراني</v>
      </c>
      <c r="I7" s="33"/>
      <c r="J7" s="33"/>
      <c r="K7" s="31" t="str">
        <f t="shared" si="0"/>
        <v/>
      </c>
      <c r="L7" s="34"/>
      <c r="M7" s="33"/>
      <c r="N7" s="34"/>
      <c r="O7" s="34"/>
      <c r="P7" s="33"/>
      <c r="Q7" s="34"/>
    </row>
    <row r="8" spans="1:17" ht="24" x14ac:dyDescent="0.2">
      <c r="A8" s="31" t="s">
        <v>284</v>
      </c>
      <c r="B8" s="28" t="s">
        <v>150</v>
      </c>
      <c r="C8" s="29"/>
      <c r="D8" s="30"/>
      <c r="E8" s="31">
        <v>4</v>
      </c>
      <c r="F8" s="29" t="s">
        <v>290</v>
      </c>
      <c r="G8" s="32" t="s">
        <v>287</v>
      </c>
      <c r="H8" s="31" t="str">
        <f>IFERROR(INDEX('الإعدادات واللجنة'!$C$24:$C$32,MATCH(LEFT(A8,3),'الإعدادات واللجنة'!$A$24:$A$32,0)),"")</f>
        <v>د. سلطان بن سعيد الشمراني</v>
      </c>
      <c r="I8" s="33"/>
      <c r="J8" s="33"/>
      <c r="K8" s="31" t="str">
        <f t="shared" si="0"/>
        <v/>
      </c>
      <c r="L8" s="34"/>
      <c r="M8" s="33"/>
      <c r="N8" s="34"/>
      <c r="O8" s="34"/>
      <c r="P8" s="33"/>
      <c r="Q8" s="34"/>
    </row>
    <row r="9" spans="1:17" ht="26" x14ac:dyDescent="0.2">
      <c r="A9" s="35" t="s">
        <v>291</v>
      </c>
      <c r="B9" s="36" t="s">
        <v>150</v>
      </c>
      <c r="C9" s="37" t="s">
        <v>292</v>
      </c>
      <c r="D9" s="38" t="s">
        <v>293</v>
      </c>
      <c r="E9" s="39">
        <v>1</v>
      </c>
      <c r="F9" s="37" t="s">
        <v>294</v>
      </c>
      <c r="G9" s="40" t="s">
        <v>287</v>
      </c>
      <c r="H9" s="41" t="str">
        <f>IFERROR(INDEX('الإعدادات واللجنة'!$C$24:$C$32,MATCH(LEFT(A9,3),'الإعدادات واللجنة'!$A$24:$A$32,0)),"")</f>
        <v>د. سلطان بن سعيد الشمراني</v>
      </c>
      <c r="I9" s="42"/>
      <c r="J9" s="42"/>
      <c r="K9" s="41" t="str">
        <f t="shared" si="0"/>
        <v/>
      </c>
      <c r="L9" s="43"/>
      <c r="M9" s="42"/>
      <c r="N9" s="43"/>
      <c r="O9" s="43"/>
      <c r="P9" s="42"/>
      <c r="Q9" s="43"/>
    </row>
    <row r="10" spans="1:17" ht="24" x14ac:dyDescent="0.2">
      <c r="A10" s="44" t="s">
        <v>291</v>
      </c>
      <c r="B10" s="45" t="s">
        <v>150</v>
      </c>
      <c r="C10" s="46"/>
      <c r="D10" s="47" t="s">
        <v>293</v>
      </c>
      <c r="E10" s="44">
        <v>2</v>
      </c>
      <c r="F10" s="46" t="s">
        <v>295</v>
      </c>
      <c r="G10" s="32" t="s">
        <v>287</v>
      </c>
      <c r="H10" s="31" t="str">
        <f>IFERROR(INDEX('الإعدادات واللجنة'!$C$24:$C$32,MATCH(LEFT(A10,3),'الإعدادات واللجنة'!$A$24:$A$32,0)),"")</f>
        <v>د. سلطان بن سعيد الشمراني</v>
      </c>
      <c r="I10" s="33"/>
      <c r="J10" s="33"/>
      <c r="K10" s="31" t="str">
        <f t="shared" si="0"/>
        <v/>
      </c>
      <c r="L10" s="34"/>
      <c r="M10" s="33"/>
      <c r="N10" s="34"/>
      <c r="O10" s="34"/>
      <c r="P10" s="33"/>
      <c r="Q10" s="34"/>
    </row>
    <row r="11" spans="1:17" ht="24" x14ac:dyDescent="0.2">
      <c r="A11" s="44" t="s">
        <v>291</v>
      </c>
      <c r="B11" s="45" t="s">
        <v>150</v>
      </c>
      <c r="C11" s="46"/>
      <c r="D11" s="47" t="s">
        <v>293</v>
      </c>
      <c r="E11" s="44">
        <v>3</v>
      </c>
      <c r="F11" s="46" t="s">
        <v>296</v>
      </c>
      <c r="G11" s="32" t="s">
        <v>287</v>
      </c>
      <c r="H11" s="31" t="str">
        <f>IFERROR(INDEX('الإعدادات واللجنة'!$C$24:$C$32,MATCH(LEFT(A11,3),'الإعدادات واللجنة'!$A$24:$A$32,0)),"")</f>
        <v>د. سلطان بن سعيد الشمراني</v>
      </c>
      <c r="I11" s="33"/>
      <c r="J11" s="33"/>
      <c r="K11" s="31" t="str">
        <f t="shared" si="0"/>
        <v/>
      </c>
      <c r="L11" s="34"/>
      <c r="M11" s="33"/>
      <c r="N11" s="34"/>
      <c r="O11" s="34"/>
      <c r="P11" s="33"/>
      <c r="Q11" s="34"/>
    </row>
    <row r="12" spans="1:17" ht="24" x14ac:dyDescent="0.2">
      <c r="A12" s="44" t="s">
        <v>291</v>
      </c>
      <c r="B12" s="45" t="s">
        <v>150</v>
      </c>
      <c r="C12" s="46"/>
      <c r="D12" s="47" t="s">
        <v>293</v>
      </c>
      <c r="E12" s="44">
        <v>4</v>
      </c>
      <c r="F12" s="46" t="s">
        <v>297</v>
      </c>
      <c r="G12" s="32" t="s">
        <v>287</v>
      </c>
      <c r="H12" s="31" t="str">
        <f>IFERROR(INDEX('الإعدادات واللجنة'!$C$24:$C$32,MATCH(LEFT(A12,3),'الإعدادات واللجنة'!$A$24:$A$32,0)),"")</f>
        <v>د. سلطان بن سعيد الشمراني</v>
      </c>
      <c r="I12" s="33"/>
      <c r="J12" s="33"/>
      <c r="K12" s="31" t="str">
        <f t="shared" si="0"/>
        <v/>
      </c>
      <c r="L12" s="34"/>
      <c r="M12" s="33"/>
      <c r="N12" s="34"/>
      <c r="O12" s="34"/>
      <c r="P12" s="33"/>
      <c r="Q12" s="34"/>
    </row>
    <row r="13" spans="1:17" ht="24" x14ac:dyDescent="0.2">
      <c r="A13" s="44" t="s">
        <v>291</v>
      </c>
      <c r="B13" s="45" t="s">
        <v>150</v>
      </c>
      <c r="C13" s="46"/>
      <c r="D13" s="47" t="s">
        <v>293</v>
      </c>
      <c r="E13" s="44">
        <v>5</v>
      </c>
      <c r="F13" s="46" t="s">
        <v>298</v>
      </c>
      <c r="G13" s="32" t="s">
        <v>287</v>
      </c>
      <c r="H13" s="31" t="str">
        <f>IFERROR(INDEX('الإعدادات واللجنة'!$C$24:$C$32,MATCH(LEFT(A13,3),'الإعدادات واللجنة'!$A$24:$A$32,0)),"")</f>
        <v>د. سلطان بن سعيد الشمراني</v>
      </c>
      <c r="I13" s="33"/>
      <c r="J13" s="33"/>
      <c r="K13" s="31" t="str">
        <f t="shared" si="0"/>
        <v/>
      </c>
      <c r="L13" s="34"/>
      <c r="M13" s="33"/>
      <c r="N13" s="34"/>
      <c r="O13" s="34"/>
      <c r="P13" s="33"/>
      <c r="Q13" s="34"/>
    </row>
    <row r="14" spans="1:17" ht="24" x14ac:dyDescent="0.2">
      <c r="A14" s="48" t="s">
        <v>299</v>
      </c>
      <c r="B14" s="49" t="s">
        <v>150</v>
      </c>
      <c r="C14" s="50" t="s">
        <v>300</v>
      </c>
      <c r="D14" s="51"/>
      <c r="E14" s="41">
        <v>1</v>
      </c>
      <c r="F14" s="50" t="s">
        <v>301</v>
      </c>
      <c r="G14" s="40" t="s">
        <v>287</v>
      </c>
      <c r="H14" s="41" t="str">
        <f>IFERROR(INDEX('الإعدادات واللجنة'!$C$24:$C$32,MATCH(LEFT(A14,3),'الإعدادات واللجنة'!$A$24:$A$32,0)),"")</f>
        <v>د. سلطان بن سعيد الشمراني</v>
      </c>
      <c r="I14" s="42"/>
      <c r="J14" s="42"/>
      <c r="K14" s="41" t="str">
        <f t="shared" si="0"/>
        <v/>
      </c>
      <c r="L14" s="43"/>
      <c r="M14" s="42"/>
      <c r="N14" s="43"/>
      <c r="O14" s="43"/>
      <c r="P14" s="42"/>
      <c r="Q14" s="43"/>
    </row>
    <row r="15" spans="1:17" ht="24" x14ac:dyDescent="0.2">
      <c r="A15" s="31" t="s">
        <v>299</v>
      </c>
      <c r="B15" s="28" t="s">
        <v>150</v>
      </c>
      <c r="C15" s="29"/>
      <c r="D15" s="30"/>
      <c r="E15" s="31">
        <v>2</v>
      </c>
      <c r="F15" s="29" t="s">
        <v>302</v>
      </c>
      <c r="G15" s="32" t="s">
        <v>287</v>
      </c>
      <c r="H15" s="31" t="str">
        <f>IFERROR(INDEX('الإعدادات واللجنة'!$C$24:$C$32,MATCH(LEFT(A15,3),'الإعدادات واللجنة'!$A$24:$A$32,0)),"")</f>
        <v>د. سلطان بن سعيد الشمراني</v>
      </c>
      <c r="I15" s="33"/>
      <c r="J15" s="33"/>
      <c r="K15" s="31" t="str">
        <f t="shared" si="0"/>
        <v/>
      </c>
      <c r="L15" s="34"/>
      <c r="M15" s="33"/>
      <c r="N15" s="34"/>
      <c r="O15" s="34"/>
      <c r="P15" s="33"/>
      <c r="Q15" s="34"/>
    </row>
    <row r="16" spans="1:17" ht="24" x14ac:dyDescent="0.2">
      <c r="A16" s="31" t="s">
        <v>299</v>
      </c>
      <c r="B16" s="28" t="s">
        <v>150</v>
      </c>
      <c r="C16" s="29"/>
      <c r="D16" s="30"/>
      <c r="E16" s="31">
        <v>3</v>
      </c>
      <c r="F16" s="29" t="s">
        <v>303</v>
      </c>
      <c r="G16" s="32" t="s">
        <v>287</v>
      </c>
      <c r="H16" s="31" t="str">
        <f>IFERROR(INDEX('الإعدادات واللجنة'!$C$24:$C$32,MATCH(LEFT(A16,3),'الإعدادات واللجنة'!$A$24:$A$32,0)),"")</f>
        <v>د. سلطان بن سعيد الشمراني</v>
      </c>
      <c r="I16" s="33"/>
      <c r="J16" s="33"/>
      <c r="K16" s="31" t="str">
        <f t="shared" si="0"/>
        <v/>
      </c>
      <c r="L16" s="34"/>
      <c r="M16" s="33"/>
      <c r="N16" s="34"/>
      <c r="O16" s="34"/>
      <c r="P16" s="33"/>
      <c r="Q16" s="34"/>
    </row>
    <row r="17" spans="1:17" ht="24" x14ac:dyDescent="0.2">
      <c r="A17" s="31" t="s">
        <v>299</v>
      </c>
      <c r="B17" s="28" t="s">
        <v>150</v>
      </c>
      <c r="C17" s="29"/>
      <c r="D17" s="30"/>
      <c r="E17" s="31">
        <v>4</v>
      </c>
      <c r="F17" s="29" t="s">
        <v>304</v>
      </c>
      <c r="G17" s="32" t="s">
        <v>287</v>
      </c>
      <c r="H17" s="31" t="str">
        <f>IFERROR(INDEX('الإعدادات واللجنة'!$C$24:$C$32,MATCH(LEFT(A17,3),'الإعدادات واللجنة'!$A$24:$A$32,0)),"")</f>
        <v>د. سلطان بن سعيد الشمراني</v>
      </c>
      <c r="I17" s="33"/>
      <c r="J17" s="33"/>
      <c r="K17" s="31" t="str">
        <f t="shared" si="0"/>
        <v/>
      </c>
      <c r="L17" s="34"/>
      <c r="M17" s="33"/>
      <c r="N17" s="34"/>
      <c r="O17" s="34"/>
      <c r="P17" s="33"/>
      <c r="Q17" s="34"/>
    </row>
    <row r="18" spans="1:17" ht="26" x14ac:dyDescent="0.2">
      <c r="A18" s="31" t="s">
        <v>299</v>
      </c>
      <c r="B18" s="28" t="s">
        <v>150</v>
      </c>
      <c r="C18" s="29"/>
      <c r="D18" s="30"/>
      <c r="E18" s="31">
        <v>5</v>
      </c>
      <c r="F18" s="29" t="s">
        <v>305</v>
      </c>
      <c r="G18" s="32" t="s">
        <v>287</v>
      </c>
      <c r="H18" s="31" t="str">
        <f>IFERROR(INDEX('الإعدادات واللجنة'!$C$24:$C$32,MATCH(LEFT(A18,3),'الإعدادات واللجنة'!$A$24:$A$32,0)),"")</f>
        <v>د. سلطان بن سعيد الشمراني</v>
      </c>
      <c r="I18" s="33"/>
      <c r="J18" s="33"/>
      <c r="K18" s="31" t="str">
        <f t="shared" si="0"/>
        <v/>
      </c>
      <c r="L18" s="34"/>
      <c r="M18" s="33"/>
      <c r="N18" s="34"/>
      <c r="O18" s="34"/>
      <c r="P18" s="33"/>
      <c r="Q18" s="34"/>
    </row>
    <row r="19" spans="1:17" ht="26" x14ac:dyDescent="0.2">
      <c r="A19" s="48" t="s">
        <v>306</v>
      </c>
      <c r="B19" s="49" t="s">
        <v>150</v>
      </c>
      <c r="C19" s="50" t="s">
        <v>307</v>
      </c>
      <c r="D19" s="51"/>
      <c r="E19" s="41">
        <v>1</v>
      </c>
      <c r="F19" s="50" t="s">
        <v>308</v>
      </c>
      <c r="G19" s="40" t="s">
        <v>287</v>
      </c>
      <c r="H19" s="41" t="str">
        <f>IFERROR(INDEX('الإعدادات واللجنة'!$C$24:$C$32,MATCH(LEFT(A19,3),'الإعدادات واللجنة'!$A$24:$A$32,0)),"")</f>
        <v>د. سلطان بن سعيد الشمراني</v>
      </c>
      <c r="I19" s="42"/>
      <c r="J19" s="42"/>
      <c r="K19" s="41" t="str">
        <f t="shared" si="0"/>
        <v/>
      </c>
      <c r="L19" s="43"/>
      <c r="M19" s="42"/>
      <c r="N19" s="43"/>
      <c r="O19" s="43"/>
      <c r="P19" s="42"/>
      <c r="Q19" s="43"/>
    </row>
    <row r="20" spans="1:17" ht="24" x14ac:dyDescent="0.2">
      <c r="A20" s="31" t="s">
        <v>306</v>
      </c>
      <c r="B20" s="28" t="s">
        <v>150</v>
      </c>
      <c r="C20" s="29"/>
      <c r="D20" s="30"/>
      <c r="E20" s="31">
        <v>2</v>
      </c>
      <c r="F20" s="29" t="s">
        <v>309</v>
      </c>
      <c r="G20" s="32" t="s">
        <v>287</v>
      </c>
      <c r="H20" s="31" t="str">
        <f>IFERROR(INDEX('الإعدادات واللجنة'!$C$24:$C$32,MATCH(LEFT(A20,3),'الإعدادات واللجنة'!$A$24:$A$32,0)),"")</f>
        <v>د. سلطان بن سعيد الشمراني</v>
      </c>
      <c r="I20" s="33"/>
      <c r="J20" s="33"/>
      <c r="K20" s="31" t="str">
        <f t="shared" si="0"/>
        <v/>
      </c>
      <c r="L20" s="34"/>
      <c r="M20" s="33"/>
      <c r="N20" s="34"/>
      <c r="O20" s="34"/>
      <c r="P20" s="33"/>
      <c r="Q20" s="34"/>
    </row>
    <row r="21" spans="1:17" ht="39" x14ac:dyDescent="0.2">
      <c r="A21" s="48" t="s">
        <v>310</v>
      </c>
      <c r="B21" s="49" t="s">
        <v>150</v>
      </c>
      <c r="C21" s="50" t="s">
        <v>311</v>
      </c>
      <c r="D21" s="51"/>
      <c r="E21" s="41">
        <v>1</v>
      </c>
      <c r="F21" s="50" t="s">
        <v>312</v>
      </c>
      <c r="G21" s="40" t="s">
        <v>287</v>
      </c>
      <c r="H21" s="41" t="str">
        <f>IFERROR(INDEX('الإعدادات واللجنة'!$C$24:$C$32,MATCH(LEFT(A21,3),'الإعدادات واللجنة'!$A$24:$A$32,0)),"")</f>
        <v>د. سلطان بن سعيد الشمراني</v>
      </c>
      <c r="I21" s="42"/>
      <c r="J21" s="42"/>
      <c r="K21" s="41" t="str">
        <f t="shared" si="0"/>
        <v/>
      </c>
      <c r="L21" s="43"/>
      <c r="M21" s="42"/>
      <c r="N21" s="43"/>
      <c r="O21" s="43"/>
      <c r="P21" s="42"/>
      <c r="Q21" s="43"/>
    </row>
    <row r="22" spans="1:17" ht="26" x14ac:dyDescent="0.2">
      <c r="A22" s="31" t="s">
        <v>310</v>
      </c>
      <c r="B22" s="28" t="s">
        <v>150</v>
      </c>
      <c r="C22" s="29"/>
      <c r="D22" s="30"/>
      <c r="E22" s="31">
        <v>2</v>
      </c>
      <c r="F22" s="29" t="s">
        <v>313</v>
      </c>
      <c r="G22" s="32" t="s">
        <v>287</v>
      </c>
      <c r="H22" s="31" t="str">
        <f>IFERROR(INDEX('الإعدادات واللجنة'!$C$24:$C$32,MATCH(LEFT(A22,3),'الإعدادات واللجنة'!$A$24:$A$32,0)),"")</f>
        <v>د. سلطان بن سعيد الشمراني</v>
      </c>
      <c r="I22" s="33"/>
      <c r="J22" s="33"/>
      <c r="K22" s="31" t="str">
        <f t="shared" si="0"/>
        <v/>
      </c>
      <c r="L22" s="34"/>
      <c r="M22" s="33"/>
      <c r="N22" s="34"/>
      <c r="O22" s="34"/>
      <c r="P22" s="33"/>
      <c r="Q22" s="34"/>
    </row>
    <row r="23" spans="1:17" ht="24" x14ac:dyDescent="0.2">
      <c r="A23" s="31" t="s">
        <v>310</v>
      </c>
      <c r="B23" s="28" t="s">
        <v>150</v>
      </c>
      <c r="C23" s="29"/>
      <c r="D23" s="30"/>
      <c r="E23" s="31">
        <v>3</v>
      </c>
      <c r="F23" s="29" t="s">
        <v>314</v>
      </c>
      <c r="G23" s="32" t="s">
        <v>287</v>
      </c>
      <c r="H23" s="31" t="str">
        <f>IFERROR(INDEX('الإعدادات واللجنة'!$C$24:$C$32,MATCH(LEFT(A23,3),'الإعدادات واللجنة'!$A$24:$A$32,0)),"")</f>
        <v>د. سلطان بن سعيد الشمراني</v>
      </c>
      <c r="I23" s="33"/>
      <c r="J23" s="33"/>
      <c r="K23" s="31" t="str">
        <f t="shared" si="0"/>
        <v/>
      </c>
      <c r="L23" s="34"/>
      <c r="M23" s="33"/>
      <c r="N23" s="34"/>
      <c r="O23" s="34"/>
      <c r="P23" s="33"/>
      <c r="Q23" s="34"/>
    </row>
    <row r="24" spans="1:17" ht="26" x14ac:dyDescent="0.2">
      <c r="A24" s="31" t="s">
        <v>310</v>
      </c>
      <c r="B24" s="28" t="s">
        <v>150</v>
      </c>
      <c r="C24" s="29"/>
      <c r="D24" s="30"/>
      <c r="E24" s="31">
        <v>4</v>
      </c>
      <c r="F24" s="29" t="s">
        <v>315</v>
      </c>
      <c r="G24" s="32" t="s">
        <v>287</v>
      </c>
      <c r="H24" s="31" t="str">
        <f>IFERROR(INDEX('الإعدادات واللجنة'!$C$24:$C$32,MATCH(LEFT(A24,3),'الإعدادات واللجنة'!$A$24:$A$32,0)),"")</f>
        <v>د. سلطان بن سعيد الشمراني</v>
      </c>
      <c r="I24" s="33"/>
      <c r="J24" s="33"/>
      <c r="K24" s="31" t="str">
        <f t="shared" si="0"/>
        <v/>
      </c>
      <c r="L24" s="34"/>
      <c r="M24" s="33"/>
      <c r="N24" s="34"/>
      <c r="O24" s="34"/>
      <c r="P24" s="33"/>
      <c r="Q24" s="34"/>
    </row>
    <row r="25" spans="1:17" ht="39" x14ac:dyDescent="0.2">
      <c r="A25" s="48" t="s">
        <v>316</v>
      </c>
      <c r="B25" s="49" t="s">
        <v>150</v>
      </c>
      <c r="C25" s="50" t="s">
        <v>317</v>
      </c>
      <c r="D25" s="51"/>
      <c r="E25" s="41">
        <v>1</v>
      </c>
      <c r="F25" s="50" t="s">
        <v>318</v>
      </c>
      <c r="G25" s="40" t="s">
        <v>287</v>
      </c>
      <c r="H25" s="41" t="str">
        <f>IFERROR(INDEX('الإعدادات واللجنة'!$C$24:$C$32,MATCH(LEFT(A25,3),'الإعدادات واللجنة'!$A$24:$A$32,0)),"")</f>
        <v>د. سلطان بن سعيد الشمراني</v>
      </c>
      <c r="I25" s="42"/>
      <c r="J25" s="42"/>
      <c r="K25" s="41" t="str">
        <f t="shared" si="0"/>
        <v/>
      </c>
      <c r="L25" s="43"/>
      <c r="M25" s="42"/>
      <c r="N25" s="43"/>
      <c r="O25" s="43"/>
      <c r="P25" s="42"/>
      <c r="Q25" s="43"/>
    </row>
    <row r="26" spans="1:17" ht="24" x14ac:dyDescent="0.2">
      <c r="A26" s="31" t="s">
        <v>316</v>
      </c>
      <c r="B26" s="28" t="s">
        <v>150</v>
      </c>
      <c r="C26" s="29"/>
      <c r="D26" s="30"/>
      <c r="E26" s="31">
        <v>2</v>
      </c>
      <c r="F26" s="29" t="s">
        <v>319</v>
      </c>
      <c r="G26" s="32" t="s">
        <v>287</v>
      </c>
      <c r="H26" s="31" t="str">
        <f>IFERROR(INDEX('الإعدادات واللجنة'!$C$24:$C$32,MATCH(LEFT(A26,3),'الإعدادات واللجنة'!$A$24:$A$32,0)),"")</f>
        <v>د. سلطان بن سعيد الشمراني</v>
      </c>
      <c r="I26" s="33"/>
      <c r="J26" s="33"/>
      <c r="K26" s="31" t="str">
        <f t="shared" si="0"/>
        <v/>
      </c>
      <c r="L26" s="34"/>
      <c r="M26" s="33"/>
      <c r="N26" s="34"/>
      <c r="O26" s="34"/>
      <c r="P26" s="33"/>
      <c r="Q26" s="34"/>
    </row>
    <row r="27" spans="1:17" ht="24" x14ac:dyDescent="0.2">
      <c r="A27" s="31" t="s">
        <v>316</v>
      </c>
      <c r="B27" s="28" t="s">
        <v>150</v>
      </c>
      <c r="C27" s="29"/>
      <c r="D27" s="30"/>
      <c r="E27" s="31">
        <v>3</v>
      </c>
      <c r="F27" s="29" t="s">
        <v>320</v>
      </c>
      <c r="G27" s="32" t="s">
        <v>287</v>
      </c>
      <c r="H27" s="31" t="str">
        <f>IFERROR(INDEX('الإعدادات واللجنة'!$C$24:$C$32,MATCH(LEFT(A27,3),'الإعدادات واللجنة'!$A$24:$A$32,0)),"")</f>
        <v>د. سلطان بن سعيد الشمراني</v>
      </c>
      <c r="I27" s="33"/>
      <c r="J27" s="33"/>
      <c r="K27" s="31" t="str">
        <f t="shared" si="0"/>
        <v/>
      </c>
      <c r="L27" s="34"/>
      <c r="M27" s="33"/>
      <c r="N27" s="34"/>
      <c r="O27" s="34"/>
      <c r="P27" s="33"/>
      <c r="Q27" s="34"/>
    </row>
    <row r="28" spans="1:17" ht="26" x14ac:dyDescent="0.2">
      <c r="A28" s="31" t="s">
        <v>316</v>
      </c>
      <c r="B28" s="28" t="s">
        <v>150</v>
      </c>
      <c r="C28" s="29"/>
      <c r="D28" s="30"/>
      <c r="E28" s="31">
        <v>4</v>
      </c>
      <c r="F28" s="29" t="s">
        <v>321</v>
      </c>
      <c r="G28" s="32" t="s">
        <v>287</v>
      </c>
      <c r="H28" s="31" t="str">
        <f>IFERROR(INDEX('الإعدادات واللجنة'!$C$24:$C$32,MATCH(LEFT(A28,3),'الإعدادات واللجنة'!$A$24:$A$32,0)),"")</f>
        <v>د. سلطان بن سعيد الشمراني</v>
      </c>
      <c r="I28" s="33"/>
      <c r="J28" s="33"/>
      <c r="K28" s="31" t="str">
        <f t="shared" si="0"/>
        <v/>
      </c>
      <c r="L28" s="34"/>
      <c r="M28" s="33"/>
      <c r="N28" s="34"/>
      <c r="O28" s="34"/>
      <c r="P28" s="33"/>
      <c r="Q28" s="34"/>
    </row>
    <row r="29" spans="1:17" ht="26" x14ac:dyDescent="0.2">
      <c r="A29" s="48" t="s">
        <v>322</v>
      </c>
      <c r="B29" s="49" t="s">
        <v>150</v>
      </c>
      <c r="C29" s="50" t="s">
        <v>323</v>
      </c>
      <c r="D29" s="51"/>
      <c r="E29" s="41">
        <v>1</v>
      </c>
      <c r="F29" s="50" t="s">
        <v>324</v>
      </c>
      <c r="G29" s="40" t="s">
        <v>287</v>
      </c>
      <c r="H29" s="41" t="str">
        <f>IFERROR(INDEX('الإعدادات واللجنة'!$C$24:$C$32,MATCH(LEFT(A29,3),'الإعدادات واللجنة'!$A$24:$A$32,0)),"")</f>
        <v>د. سلطان بن سعيد الشمراني</v>
      </c>
      <c r="I29" s="42"/>
      <c r="J29" s="42"/>
      <c r="K29" s="41" t="str">
        <f t="shared" si="0"/>
        <v/>
      </c>
      <c r="L29" s="43"/>
      <c r="M29" s="42"/>
      <c r="N29" s="43"/>
      <c r="O29" s="43"/>
      <c r="P29" s="42"/>
      <c r="Q29" s="43"/>
    </row>
    <row r="30" spans="1:17" ht="26" x14ac:dyDescent="0.2">
      <c r="A30" s="31" t="s">
        <v>322</v>
      </c>
      <c r="B30" s="28" t="s">
        <v>150</v>
      </c>
      <c r="C30" s="29"/>
      <c r="D30" s="30"/>
      <c r="E30" s="31">
        <v>2</v>
      </c>
      <c r="F30" s="29" t="s">
        <v>325</v>
      </c>
      <c r="G30" s="32" t="s">
        <v>287</v>
      </c>
      <c r="H30" s="31" t="str">
        <f>IFERROR(INDEX('الإعدادات واللجنة'!$C$24:$C$32,MATCH(LEFT(A30,3),'الإعدادات واللجنة'!$A$24:$A$32,0)),"")</f>
        <v>د. سلطان بن سعيد الشمراني</v>
      </c>
      <c r="I30" s="33"/>
      <c r="J30" s="33"/>
      <c r="K30" s="31" t="str">
        <f t="shared" si="0"/>
        <v/>
      </c>
      <c r="L30" s="34"/>
      <c r="M30" s="33"/>
      <c r="N30" s="34"/>
      <c r="O30" s="34"/>
      <c r="P30" s="33"/>
      <c r="Q30" s="34"/>
    </row>
    <row r="31" spans="1:17" ht="26" x14ac:dyDescent="0.2">
      <c r="A31" s="31" t="s">
        <v>322</v>
      </c>
      <c r="B31" s="28" t="s">
        <v>150</v>
      </c>
      <c r="C31" s="29"/>
      <c r="D31" s="30"/>
      <c r="E31" s="31">
        <v>3</v>
      </c>
      <c r="F31" s="29" t="s">
        <v>326</v>
      </c>
      <c r="G31" s="32" t="s">
        <v>287</v>
      </c>
      <c r="H31" s="31" t="str">
        <f>IFERROR(INDEX('الإعدادات واللجنة'!$C$24:$C$32,MATCH(LEFT(A31,3),'الإعدادات واللجنة'!$A$24:$A$32,0)),"")</f>
        <v>د. سلطان بن سعيد الشمراني</v>
      </c>
      <c r="I31" s="33"/>
      <c r="J31" s="33"/>
      <c r="K31" s="31" t="str">
        <f t="shared" si="0"/>
        <v/>
      </c>
      <c r="L31" s="34"/>
      <c r="M31" s="33"/>
      <c r="N31" s="34"/>
      <c r="O31" s="34"/>
      <c r="P31" s="33"/>
      <c r="Q31" s="34"/>
    </row>
    <row r="32" spans="1:17" ht="24" x14ac:dyDescent="0.2">
      <c r="A32" s="31" t="s">
        <v>322</v>
      </c>
      <c r="B32" s="28" t="s">
        <v>150</v>
      </c>
      <c r="C32" s="29"/>
      <c r="D32" s="30"/>
      <c r="E32" s="31">
        <v>4</v>
      </c>
      <c r="F32" s="29" t="s">
        <v>327</v>
      </c>
      <c r="G32" s="32" t="s">
        <v>287</v>
      </c>
      <c r="H32" s="31" t="str">
        <f>IFERROR(INDEX('الإعدادات واللجنة'!$C$24:$C$32,MATCH(LEFT(A32,3),'الإعدادات واللجنة'!$A$24:$A$32,0)),"")</f>
        <v>د. سلطان بن سعيد الشمراني</v>
      </c>
      <c r="I32" s="33"/>
      <c r="J32" s="33"/>
      <c r="K32" s="31" t="str">
        <f t="shared" si="0"/>
        <v/>
      </c>
      <c r="L32" s="34"/>
      <c r="M32" s="33"/>
      <c r="N32" s="34"/>
      <c r="O32" s="34"/>
      <c r="P32" s="33"/>
      <c r="Q32" s="34"/>
    </row>
    <row r="33" spans="1:17" ht="24" x14ac:dyDescent="0.2">
      <c r="A33" s="31" t="s">
        <v>322</v>
      </c>
      <c r="B33" s="28" t="s">
        <v>150</v>
      </c>
      <c r="C33" s="29"/>
      <c r="D33" s="30"/>
      <c r="E33" s="31">
        <v>5</v>
      </c>
      <c r="F33" s="29" t="s">
        <v>328</v>
      </c>
      <c r="G33" s="32" t="s">
        <v>287</v>
      </c>
      <c r="H33" s="31" t="str">
        <f>IFERROR(INDEX('الإعدادات واللجنة'!$C$24:$C$32,MATCH(LEFT(A33,3),'الإعدادات واللجنة'!$A$24:$A$32,0)),"")</f>
        <v>د. سلطان بن سعيد الشمراني</v>
      </c>
      <c r="I33" s="33"/>
      <c r="J33" s="33"/>
      <c r="K33" s="31" t="str">
        <f t="shared" si="0"/>
        <v/>
      </c>
      <c r="L33" s="34"/>
      <c r="M33" s="33"/>
      <c r="N33" s="34"/>
      <c r="O33" s="34"/>
      <c r="P33" s="33"/>
      <c r="Q33" s="34"/>
    </row>
    <row r="34" spans="1:17" ht="39" x14ac:dyDescent="0.2">
      <c r="A34" s="35" t="s">
        <v>329</v>
      </c>
      <c r="B34" s="36" t="s">
        <v>150</v>
      </c>
      <c r="C34" s="37" t="s">
        <v>330</v>
      </c>
      <c r="D34" s="38" t="s">
        <v>293</v>
      </c>
      <c r="E34" s="39">
        <v>1</v>
      </c>
      <c r="F34" s="37" t="s">
        <v>331</v>
      </c>
      <c r="G34" s="40" t="s">
        <v>287</v>
      </c>
      <c r="H34" s="41" t="str">
        <f>IFERROR(INDEX('الإعدادات واللجنة'!$C$24:$C$32,MATCH(LEFT(A34,3),'الإعدادات واللجنة'!$A$24:$A$32,0)),"")</f>
        <v>د. سلطان بن سعيد الشمراني</v>
      </c>
      <c r="I34" s="42"/>
      <c r="J34" s="42"/>
      <c r="K34" s="41" t="str">
        <f t="shared" si="0"/>
        <v/>
      </c>
      <c r="L34" s="43"/>
      <c r="M34" s="42"/>
      <c r="N34" s="43"/>
      <c r="O34" s="43"/>
      <c r="P34" s="42"/>
      <c r="Q34" s="43"/>
    </row>
    <row r="35" spans="1:17" ht="24" x14ac:dyDescent="0.2">
      <c r="A35" s="44" t="s">
        <v>329</v>
      </c>
      <c r="B35" s="45" t="s">
        <v>150</v>
      </c>
      <c r="C35" s="46"/>
      <c r="D35" s="47" t="s">
        <v>293</v>
      </c>
      <c r="E35" s="44">
        <v>2</v>
      </c>
      <c r="F35" s="46" t="s">
        <v>332</v>
      </c>
      <c r="G35" s="32" t="s">
        <v>287</v>
      </c>
      <c r="H35" s="31" t="str">
        <f>IFERROR(INDEX('الإعدادات واللجنة'!$C$24:$C$32,MATCH(LEFT(A35,3),'الإعدادات واللجنة'!$A$24:$A$32,0)),"")</f>
        <v>د. سلطان بن سعيد الشمراني</v>
      </c>
      <c r="I35" s="33"/>
      <c r="J35" s="33"/>
      <c r="K35" s="31" t="str">
        <f t="shared" si="0"/>
        <v/>
      </c>
      <c r="L35" s="34"/>
      <c r="M35" s="33"/>
      <c r="N35" s="34"/>
      <c r="O35" s="34"/>
      <c r="P35" s="33"/>
      <c r="Q35" s="34"/>
    </row>
    <row r="36" spans="1:17" ht="24" x14ac:dyDescent="0.2">
      <c r="A36" s="44" t="s">
        <v>329</v>
      </c>
      <c r="B36" s="45" t="s">
        <v>150</v>
      </c>
      <c r="C36" s="46"/>
      <c r="D36" s="47" t="s">
        <v>293</v>
      </c>
      <c r="E36" s="44">
        <v>3</v>
      </c>
      <c r="F36" s="46" t="s">
        <v>333</v>
      </c>
      <c r="G36" s="32" t="s">
        <v>287</v>
      </c>
      <c r="H36" s="31" t="str">
        <f>IFERROR(INDEX('الإعدادات واللجنة'!$C$24:$C$32,MATCH(LEFT(A36,3),'الإعدادات واللجنة'!$A$24:$A$32,0)),"")</f>
        <v>د. سلطان بن سعيد الشمراني</v>
      </c>
      <c r="I36" s="33"/>
      <c r="J36" s="33"/>
      <c r="K36" s="31" t="str">
        <f t="shared" si="0"/>
        <v/>
      </c>
      <c r="L36" s="34"/>
      <c r="M36" s="33"/>
      <c r="N36" s="34"/>
      <c r="O36" s="34"/>
      <c r="P36" s="33"/>
      <c r="Q36" s="34"/>
    </row>
    <row r="37" spans="1:17" ht="26" x14ac:dyDescent="0.2">
      <c r="A37" s="44" t="s">
        <v>329</v>
      </c>
      <c r="B37" s="45" t="s">
        <v>150</v>
      </c>
      <c r="C37" s="46"/>
      <c r="D37" s="47" t="s">
        <v>293</v>
      </c>
      <c r="E37" s="44">
        <v>4</v>
      </c>
      <c r="F37" s="46" t="s">
        <v>334</v>
      </c>
      <c r="G37" s="32" t="s">
        <v>287</v>
      </c>
      <c r="H37" s="31" t="str">
        <f>IFERROR(INDEX('الإعدادات واللجنة'!$C$24:$C$32,MATCH(LEFT(A37,3),'الإعدادات واللجنة'!$A$24:$A$32,0)),"")</f>
        <v>د. سلطان بن سعيد الشمراني</v>
      </c>
      <c r="I37" s="33"/>
      <c r="J37" s="33"/>
      <c r="K37" s="31" t="str">
        <f t="shared" si="0"/>
        <v/>
      </c>
      <c r="L37" s="34"/>
      <c r="M37" s="33"/>
      <c r="N37" s="34"/>
      <c r="O37" s="34"/>
      <c r="P37" s="33"/>
      <c r="Q37" s="34"/>
    </row>
    <row r="38" spans="1:17" ht="26" x14ac:dyDescent="0.2">
      <c r="A38" s="44" t="s">
        <v>329</v>
      </c>
      <c r="B38" s="45" t="s">
        <v>150</v>
      </c>
      <c r="C38" s="46"/>
      <c r="D38" s="47" t="s">
        <v>293</v>
      </c>
      <c r="E38" s="44">
        <v>5</v>
      </c>
      <c r="F38" s="46" t="s">
        <v>335</v>
      </c>
      <c r="G38" s="32" t="s">
        <v>287</v>
      </c>
      <c r="H38" s="31" t="str">
        <f>IFERROR(INDEX('الإعدادات واللجنة'!$C$24:$C$32,MATCH(LEFT(A38,3),'الإعدادات واللجنة'!$A$24:$A$32,0)),"")</f>
        <v>د. سلطان بن سعيد الشمراني</v>
      </c>
      <c r="I38" s="33"/>
      <c r="J38" s="33"/>
      <c r="K38" s="31" t="str">
        <f t="shared" si="0"/>
        <v/>
      </c>
      <c r="L38" s="34"/>
      <c r="M38" s="33"/>
      <c r="N38" s="34"/>
      <c r="O38" s="34"/>
      <c r="P38" s="33"/>
      <c r="Q38" s="34"/>
    </row>
    <row r="39" spans="1:17" ht="24" x14ac:dyDescent="0.2">
      <c r="A39" s="44" t="s">
        <v>329</v>
      </c>
      <c r="B39" s="45" t="s">
        <v>150</v>
      </c>
      <c r="C39" s="46"/>
      <c r="D39" s="47" t="s">
        <v>293</v>
      </c>
      <c r="E39" s="44">
        <v>6</v>
      </c>
      <c r="F39" s="46" t="s">
        <v>336</v>
      </c>
      <c r="G39" s="32" t="s">
        <v>287</v>
      </c>
      <c r="H39" s="31" t="str">
        <f>IFERROR(INDEX('الإعدادات واللجنة'!$C$24:$C$32,MATCH(LEFT(A39,3),'الإعدادات واللجنة'!$A$24:$A$32,0)),"")</f>
        <v>د. سلطان بن سعيد الشمراني</v>
      </c>
      <c r="I39" s="33"/>
      <c r="J39" s="33"/>
      <c r="K39" s="31" t="str">
        <f t="shared" si="0"/>
        <v/>
      </c>
      <c r="L39" s="34"/>
      <c r="M39" s="33"/>
      <c r="N39" s="34"/>
      <c r="O39" s="34"/>
      <c r="P39" s="33"/>
      <c r="Q39" s="34"/>
    </row>
    <row r="40" spans="1:17" ht="26" x14ac:dyDescent="0.2">
      <c r="A40" s="48" t="s">
        <v>337</v>
      </c>
      <c r="B40" s="49" t="s">
        <v>150</v>
      </c>
      <c r="C40" s="50" t="s">
        <v>338</v>
      </c>
      <c r="D40" s="51"/>
      <c r="E40" s="41">
        <v>1</v>
      </c>
      <c r="F40" s="50" t="s">
        <v>339</v>
      </c>
      <c r="G40" s="40" t="s">
        <v>287</v>
      </c>
      <c r="H40" s="41" t="str">
        <f>IFERROR(INDEX('الإعدادات واللجنة'!$C$24:$C$32,MATCH(LEFT(A40,3),'الإعدادات واللجنة'!$A$24:$A$32,0)),"")</f>
        <v>د. سلطان بن سعيد الشمراني</v>
      </c>
      <c r="I40" s="42"/>
      <c r="J40" s="42"/>
      <c r="K40" s="41" t="str">
        <f t="shared" si="0"/>
        <v/>
      </c>
      <c r="L40" s="43"/>
      <c r="M40" s="42"/>
      <c r="N40" s="43"/>
      <c r="O40" s="43"/>
      <c r="P40" s="42"/>
      <c r="Q40" s="43"/>
    </row>
    <row r="41" spans="1:17" ht="24" x14ac:dyDescent="0.2">
      <c r="A41" s="31" t="s">
        <v>337</v>
      </c>
      <c r="B41" s="28" t="s">
        <v>150</v>
      </c>
      <c r="C41" s="29"/>
      <c r="D41" s="30"/>
      <c r="E41" s="31">
        <v>2</v>
      </c>
      <c r="F41" s="29" t="s">
        <v>340</v>
      </c>
      <c r="G41" s="32" t="s">
        <v>287</v>
      </c>
      <c r="H41" s="31" t="str">
        <f>IFERROR(INDEX('الإعدادات واللجنة'!$C$24:$C$32,MATCH(LEFT(A41,3),'الإعدادات واللجنة'!$A$24:$A$32,0)),"")</f>
        <v>د. سلطان بن سعيد الشمراني</v>
      </c>
      <c r="I41" s="33"/>
      <c r="J41" s="33"/>
      <c r="K41" s="31" t="str">
        <f t="shared" si="0"/>
        <v/>
      </c>
      <c r="L41" s="34"/>
      <c r="M41" s="33"/>
      <c r="N41" s="34"/>
      <c r="O41" s="34"/>
      <c r="P41" s="33"/>
      <c r="Q41" s="34"/>
    </row>
    <row r="42" spans="1:17" ht="24" x14ac:dyDescent="0.2">
      <c r="A42" s="31" t="s">
        <v>337</v>
      </c>
      <c r="B42" s="28" t="s">
        <v>150</v>
      </c>
      <c r="C42" s="29"/>
      <c r="D42" s="30"/>
      <c r="E42" s="31">
        <v>3</v>
      </c>
      <c r="F42" s="29" t="s">
        <v>341</v>
      </c>
      <c r="G42" s="32" t="s">
        <v>287</v>
      </c>
      <c r="H42" s="31" t="str">
        <f>IFERROR(INDEX('الإعدادات واللجنة'!$C$24:$C$32,MATCH(LEFT(A42,3),'الإعدادات واللجنة'!$A$24:$A$32,0)),"")</f>
        <v>د. سلطان بن سعيد الشمراني</v>
      </c>
      <c r="I42" s="33"/>
      <c r="J42" s="33"/>
      <c r="K42" s="31" t="str">
        <f t="shared" si="0"/>
        <v/>
      </c>
      <c r="L42" s="34"/>
      <c r="M42" s="33"/>
      <c r="N42" s="34"/>
      <c r="O42" s="34"/>
      <c r="P42" s="33"/>
      <c r="Q42" s="34"/>
    </row>
    <row r="43" spans="1:17" ht="24" x14ac:dyDescent="0.2">
      <c r="A43" s="31" t="s">
        <v>337</v>
      </c>
      <c r="B43" s="28" t="s">
        <v>150</v>
      </c>
      <c r="C43" s="29"/>
      <c r="D43" s="30"/>
      <c r="E43" s="31">
        <v>4</v>
      </c>
      <c r="F43" s="29" t="s">
        <v>342</v>
      </c>
      <c r="G43" s="32" t="s">
        <v>287</v>
      </c>
      <c r="H43" s="31" t="str">
        <f>IFERROR(INDEX('الإعدادات واللجنة'!$C$24:$C$32,MATCH(LEFT(A43,3),'الإعدادات واللجنة'!$A$24:$A$32,0)),"")</f>
        <v>د. سلطان بن سعيد الشمراني</v>
      </c>
      <c r="I43" s="33"/>
      <c r="J43" s="33"/>
      <c r="K43" s="31" t="str">
        <f t="shared" si="0"/>
        <v/>
      </c>
      <c r="L43" s="34"/>
      <c r="M43" s="33"/>
      <c r="N43" s="34"/>
      <c r="O43" s="34"/>
      <c r="P43" s="33"/>
      <c r="Q43" s="34"/>
    </row>
    <row r="44" spans="1:17" ht="26" x14ac:dyDescent="0.2">
      <c r="A44" s="48" t="s">
        <v>343</v>
      </c>
      <c r="B44" s="49" t="s">
        <v>150</v>
      </c>
      <c r="C44" s="50" t="s">
        <v>344</v>
      </c>
      <c r="D44" s="51"/>
      <c r="E44" s="41">
        <v>1</v>
      </c>
      <c r="F44" s="50" t="s">
        <v>345</v>
      </c>
      <c r="G44" s="40" t="s">
        <v>287</v>
      </c>
      <c r="H44" s="41" t="str">
        <f>IFERROR(INDEX('الإعدادات واللجنة'!$C$24:$C$32,MATCH(LEFT(A44,3),'الإعدادات واللجنة'!$A$24:$A$32,0)),"")</f>
        <v>د. حسن بن سعد القحطاني</v>
      </c>
      <c r="I44" s="42"/>
      <c r="J44" s="42"/>
      <c r="K44" s="41" t="str">
        <f t="shared" si="0"/>
        <v/>
      </c>
      <c r="L44" s="43"/>
      <c r="M44" s="42"/>
      <c r="N44" s="43"/>
      <c r="O44" s="43"/>
      <c r="P44" s="42"/>
      <c r="Q44" s="43"/>
    </row>
    <row r="45" spans="1:17" ht="24" x14ac:dyDescent="0.2">
      <c r="A45" s="31" t="s">
        <v>343</v>
      </c>
      <c r="B45" s="28" t="s">
        <v>150</v>
      </c>
      <c r="C45" s="29"/>
      <c r="D45" s="30"/>
      <c r="E45" s="31">
        <v>2</v>
      </c>
      <c r="F45" s="29" t="s">
        <v>346</v>
      </c>
      <c r="G45" s="32" t="s">
        <v>287</v>
      </c>
      <c r="H45" s="31" t="str">
        <f>IFERROR(INDEX('الإعدادات واللجنة'!$C$24:$C$32,MATCH(LEFT(A45,3),'الإعدادات واللجنة'!$A$24:$A$32,0)),"")</f>
        <v>د. حسن بن سعد القحطاني</v>
      </c>
      <c r="I45" s="33"/>
      <c r="J45" s="33"/>
      <c r="K45" s="31" t="str">
        <f t="shared" si="0"/>
        <v/>
      </c>
      <c r="L45" s="34"/>
      <c r="M45" s="33"/>
      <c r="N45" s="34"/>
      <c r="O45" s="34"/>
      <c r="P45" s="33"/>
      <c r="Q45" s="34"/>
    </row>
    <row r="46" spans="1:17" ht="24" x14ac:dyDescent="0.2">
      <c r="A46" s="31" t="s">
        <v>343</v>
      </c>
      <c r="B46" s="28" t="s">
        <v>150</v>
      </c>
      <c r="C46" s="29"/>
      <c r="D46" s="30"/>
      <c r="E46" s="31">
        <v>3</v>
      </c>
      <c r="F46" s="29" t="s">
        <v>347</v>
      </c>
      <c r="G46" s="32" t="s">
        <v>287</v>
      </c>
      <c r="H46" s="31" t="str">
        <f>IFERROR(INDEX('الإعدادات واللجنة'!$C$24:$C$32,MATCH(LEFT(A46,3),'الإعدادات واللجنة'!$A$24:$A$32,0)),"")</f>
        <v>د. حسن بن سعد القحطاني</v>
      </c>
      <c r="I46" s="33"/>
      <c r="J46" s="33"/>
      <c r="K46" s="31" t="str">
        <f t="shared" si="0"/>
        <v/>
      </c>
      <c r="L46" s="34"/>
      <c r="M46" s="33"/>
      <c r="N46" s="34"/>
      <c r="O46" s="34"/>
      <c r="P46" s="33"/>
      <c r="Q46" s="34"/>
    </row>
    <row r="47" spans="1:17" ht="24" x14ac:dyDescent="0.2">
      <c r="A47" s="31" t="s">
        <v>343</v>
      </c>
      <c r="B47" s="28" t="s">
        <v>150</v>
      </c>
      <c r="C47" s="29"/>
      <c r="D47" s="30"/>
      <c r="E47" s="31">
        <v>4</v>
      </c>
      <c r="F47" s="29" t="s">
        <v>348</v>
      </c>
      <c r="G47" s="32" t="s">
        <v>287</v>
      </c>
      <c r="H47" s="31" t="str">
        <f>IFERROR(INDEX('الإعدادات واللجنة'!$C$24:$C$32,MATCH(LEFT(A47,3),'الإعدادات واللجنة'!$A$24:$A$32,0)),"")</f>
        <v>د. حسن بن سعد القحطاني</v>
      </c>
      <c r="I47" s="33"/>
      <c r="J47" s="33"/>
      <c r="K47" s="31" t="str">
        <f t="shared" si="0"/>
        <v/>
      </c>
      <c r="L47" s="34"/>
      <c r="M47" s="33"/>
      <c r="N47" s="34"/>
      <c r="O47" s="34"/>
      <c r="P47" s="33"/>
      <c r="Q47" s="34"/>
    </row>
    <row r="48" spans="1:17" ht="26" x14ac:dyDescent="0.2">
      <c r="A48" s="35" t="s">
        <v>349</v>
      </c>
      <c r="B48" s="36" t="s">
        <v>150</v>
      </c>
      <c r="C48" s="37" t="s">
        <v>350</v>
      </c>
      <c r="D48" s="38" t="s">
        <v>293</v>
      </c>
      <c r="E48" s="39">
        <v>1</v>
      </c>
      <c r="F48" s="37" t="s">
        <v>351</v>
      </c>
      <c r="G48" s="40" t="s">
        <v>287</v>
      </c>
      <c r="H48" s="41" t="str">
        <f>IFERROR(INDEX('الإعدادات واللجنة'!$C$24:$C$32,MATCH(LEFT(A48,3),'الإعدادات واللجنة'!$A$24:$A$32,0)),"")</f>
        <v>د. حسن بن سعد القحطاني</v>
      </c>
      <c r="I48" s="42"/>
      <c r="J48" s="42"/>
      <c r="K48" s="41" t="str">
        <f t="shared" si="0"/>
        <v/>
      </c>
      <c r="L48" s="43"/>
      <c r="M48" s="42"/>
      <c r="N48" s="43"/>
      <c r="O48" s="43"/>
      <c r="P48" s="42"/>
      <c r="Q48" s="43"/>
    </row>
    <row r="49" spans="1:17" ht="26" x14ac:dyDescent="0.2">
      <c r="A49" s="44" t="s">
        <v>349</v>
      </c>
      <c r="B49" s="45" t="s">
        <v>150</v>
      </c>
      <c r="C49" s="46"/>
      <c r="D49" s="47" t="s">
        <v>293</v>
      </c>
      <c r="E49" s="44">
        <v>2</v>
      </c>
      <c r="F49" s="46" t="s">
        <v>352</v>
      </c>
      <c r="G49" s="32" t="s">
        <v>287</v>
      </c>
      <c r="H49" s="31" t="str">
        <f>IFERROR(INDEX('الإعدادات واللجنة'!$C$24:$C$32,MATCH(LEFT(A49,3),'الإعدادات واللجنة'!$A$24:$A$32,0)),"")</f>
        <v>د. حسن بن سعد القحطاني</v>
      </c>
      <c r="I49" s="33"/>
      <c r="J49" s="33"/>
      <c r="K49" s="31" t="str">
        <f t="shared" si="0"/>
        <v/>
      </c>
      <c r="L49" s="34"/>
      <c r="M49" s="33"/>
      <c r="N49" s="34"/>
      <c r="O49" s="34"/>
      <c r="P49" s="33"/>
      <c r="Q49" s="34"/>
    </row>
    <row r="50" spans="1:17" ht="24" x14ac:dyDescent="0.2">
      <c r="A50" s="44" t="s">
        <v>349</v>
      </c>
      <c r="B50" s="45" t="s">
        <v>150</v>
      </c>
      <c r="C50" s="46"/>
      <c r="D50" s="47" t="s">
        <v>293</v>
      </c>
      <c r="E50" s="44">
        <v>3</v>
      </c>
      <c r="F50" s="46" t="s">
        <v>353</v>
      </c>
      <c r="G50" s="32" t="s">
        <v>287</v>
      </c>
      <c r="H50" s="31" t="str">
        <f>IFERROR(INDEX('الإعدادات واللجنة'!$C$24:$C$32,MATCH(LEFT(A50,3),'الإعدادات واللجنة'!$A$24:$A$32,0)),"")</f>
        <v>د. حسن بن سعد القحطاني</v>
      </c>
      <c r="I50" s="33"/>
      <c r="J50" s="33"/>
      <c r="K50" s="31" t="str">
        <f t="shared" si="0"/>
        <v/>
      </c>
      <c r="L50" s="34"/>
      <c r="M50" s="33"/>
      <c r="N50" s="34"/>
      <c r="O50" s="34"/>
      <c r="P50" s="33"/>
      <c r="Q50" s="34"/>
    </row>
    <row r="51" spans="1:17" ht="24" x14ac:dyDescent="0.2">
      <c r="A51" s="48" t="s">
        <v>354</v>
      </c>
      <c r="B51" s="49" t="s">
        <v>150</v>
      </c>
      <c r="C51" s="50" t="s">
        <v>355</v>
      </c>
      <c r="D51" s="51"/>
      <c r="E51" s="41">
        <v>1</v>
      </c>
      <c r="F51" s="50" t="s">
        <v>356</v>
      </c>
      <c r="G51" s="40" t="s">
        <v>287</v>
      </c>
      <c r="H51" s="41" t="str">
        <f>IFERROR(INDEX('الإعدادات واللجنة'!$C$24:$C$32,MATCH(LEFT(A51,3),'الإعدادات واللجنة'!$A$24:$A$32,0)),"")</f>
        <v>د. حسن بن سعد القحطاني</v>
      </c>
      <c r="I51" s="42"/>
      <c r="J51" s="42"/>
      <c r="K51" s="41" t="str">
        <f t="shared" si="0"/>
        <v/>
      </c>
      <c r="L51" s="43"/>
      <c r="M51" s="42"/>
      <c r="N51" s="43"/>
      <c r="O51" s="43"/>
      <c r="P51" s="42"/>
      <c r="Q51" s="43"/>
    </row>
    <row r="52" spans="1:17" ht="24" x14ac:dyDescent="0.2">
      <c r="A52" s="31" t="s">
        <v>354</v>
      </c>
      <c r="B52" s="28" t="s">
        <v>150</v>
      </c>
      <c r="C52" s="29"/>
      <c r="D52" s="30"/>
      <c r="E52" s="31">
        <v>2</v>
      </c>
      <c r="F52" s="29" t="s">
        <v>357</v>
      </c>
      <c r="G52" s="32" t="s">
        <v>287</v>
      </c>
      <c r="H52" s="31" t="str">
        <f>IFERROR(INDEX('الإعدادات واللجنة'!$C$24:$C$32,MATCH(LEFT(A52,3),'الإعدادات واللجنة'!$A$24:$A$32,0)),"")</f>
        <v>د. حسن بن سعد القحطاني</v>
      </c>
      <c r="I52" s="33"/>
      <c r="J52" s="33"/>
      <c r="K52" s="31" t="str">
        <f t="shared" si="0"/>
        <v/>
      </c>
      <c r="L52" s="34"/>
      <c r="M52" s="33"/>
      <c r="N52" s="34"/>
      <c r="O52" s="34"/>
      <c r="P52" s="33"/>
      <c r="Q52" s="34"/>
    </row>
    <row r="53" spans="1:17" ht="24" x14ac:dyDescent="0.2">
      <c r="A53" s="31" t="s">
        <v>354</v>
      </c>
      <c r="B53" s="28" t="s">
        <v>150</v>
      </c>
      <c r="C53" s="29"/>
      <c r="D53" s="30"/>
      <c r="E53" s="31">
        <v>3</v>
      </c>
      <c r="F53" s="29" t="s">
        <v>358</v>
      </c>
      <c r="G53" s="32" t="s">
        <v>287</v>
      </c>
      <c r="H53" s="31" t="str">
        <f>IFERROR(INDEX('الإعدادات واللجنة'!$C$24:$C$32,MATCH(LEFT(A53,3),'الإعدادات واللجنة'!$A$24:$A$32,0)),"")</f>
        <v>د. حسن بن سعد القحطاني</v>
      </c>
      <c r="I53" s="33"/>
      <c r="J53" s="33"/>
      <c r="K53" s="31" t="str">
        <f t="shared" si="0"/>
        <v/>
      </c>
      <c r="L53" s="34"/>
      <c r="M53" s="33"/>
      <c r="N53" s="34"/>
      <c r="O53" s="34"/>
      <c r="P53" s="33"/>
      <c r="Q53" s="34"/>
    </row>
    <row r="54" spans="1:17" ht="24" x14ac:dyDescent="0.2">
      <c r="A54" s="31" t="s">
        <v>354</v>
      </c>
      <c r="B54" s="28" t="s">
        <v>150</v>
      </c>
      <c r="C54" s="29"/>
      <c r="D54" s="30"/>
      <c r="E54" s="31">
        <v>4</v>
      </c>
      <c r="F54" s="29" t="s">
        <v>359</v>
      </c>
      <c r="G54" s="32" t="s">
        <v>287</v>
      </c>
      <c r="H54" s="31" t="str">
        <f>IFERROR(INDEX('الإعدادات واللجنة'!$C$24:$C$32,MATCH(LEFT(A54,3),'الإعدادات واللجنة'!$A$24:$A$32,0)),"")</f>
        <v>د. حسن بن سعد القحطاني</v>
      </c>
      <c r="I54" s="33"/>
      <c r="J54" s="33"/>
      <c r="K54" s="31" t="str">
        <f t="shared" si="0"/>
        <v/>
      </c>
      <c r="L54" s="34"/>
      <c r="M54" s="33"/>
      <c r="N54" s="34"/>
      <c r="O54" s="34"/>
      <c r="P54" s="33"/>
      <c r="Q54" s="34"/>
    </row>
    <row r="55" spans="1:17" ht="24" x14ac:dyDescent="0.2">
      <c r="A55" s="31" t="s">
        <v>354</v>
      </c>
      <c r="B55" s="28" t="s">
        <v>150</v>
      </c>
      <c r="C55" s="29"/>
      <c r="D55" s="30"/>
      <c r="E55" s="31">
        <v>5</v>
      </c>
      <c r="F55" s="29" t="s">
        <v>360</v>
      </c>
      <c r="G55" s="32" t="s">
        <v>287</v>
      </c>
      <c r="H55" s="31" t="str">
        <f>IFERROR(INDEX('الإعدادات واللجنة'!$C$24:$C$32,MATCH(LEFT(A55,3),'الإعدادات واللجنة'!$A$24:$A$32,0)),"")</f>
        <v>د. حسن بن سعد القحطاني</v>
      </c>
      <c r="I55" s="33"/>
      <c r="J55" s="33"/>
      <c r="K55" s="31" t="str">
        <f t="shared" si="0"/>
        <v/>
      </c>
      <c r="L55" s="34"/>
      <c r="M55" s="33"/>
      <c r="N55" s="34"/>
      <c r="O55" s="34"/>
      <c r="P55" s="33"/>
      <c r="Q55" s="34"/>
    </row>
    <row r="56" spans="1:17" ht="24" x14ac:dyDescent="0.2">
      <c r="A56" s="31" t="s">
        <v>354</v>
      </c>
      <c r="B56" s="28" t="s">
        <v>150</v>
      </c>
      <c r="C56" s="29"/>
      <c r="D56" s="30"/>
      <c r="E56" s="31">
        <v>6</v>
      </c>
      <c r="F56" s="29" t="s">
        <v>361</v>
      </c>
      <c r="G56" s="32" t="s">
        <v>287</v>
      </c>
      <c r="H56" s="31" t="str">
        <f>IFERROR(INDEX('الإعدادات واللجنة'!$C$24:$C$32,MATCH(LEFT(A56,3),'الإعدادات واللجنة'!$A$24:$A$32,0)),"")</f>
        <v>د. حسن بن سعد القحطاني</v>
      </c>
      <c r="I56" s="33"/>
      <c r="J56" s="33"/>
      <c r="K56" s="31" t="str">
        <f t="shared" si="0"/>
        <v/>
      </c>
      <c r="L56" s="34"/>
      <c r="M56" s="33"/>
      <c r="N56" s="34"/>
      <c r="O56" s="34"/>
      <c r="P56" s="33"/>
      <c r="Q56" s="34"/>
    </row>
    <row r="57" spans="1:17" ht="26" x14ac:dyDescent="0.2">
      <c r="A57" s="48" t="s">
        <v>362</v>
      </c>
      <c r="B57" s="49" t="s">
        <v>151</v>
      </c>
      <c r="C57" s="50" t="s">
        <v>363</v>
      </c>
      <c r="D57" s="51"/>
      <c r="E57" s="41">
        <v>1</v>
      </c>
      <c r="F57" s="50" t="s">
        <v>364</v>
      </c>
      <c r="G57" s="40" t="s">
        <v>287</v>
      </c>
      <c r="H57" s="41" t="str">
        <f>IFERROR(INDEX('الإعدادات واللجنة'!$C$24:$C$32,MATCH(LEFT(A57,3),'الإعدادات واللجنة'!$A$24:$A$32,0)),"")</f>
        <v>د. احمد بن عوض البشري</v>
      </c>
      <c r="I57" s="42"/>
      <c r="J57" s="42"/>
      <c r="K57" s="41" t="str">
        <f t="shared" si="0"/>
        <v/>
      </c>
      <c r="L57" s="43"/>
      <c r="M57" s="42"/>
      <c r="N57" s="43"/>
      <c r="O57" s="43"/>
      <c r="P57" s="42"/>
      <c r="Q57" s="43"/>
    </row>
    <row r="58" spans="1:17" x14ac:dyDescent="0.2">
      <c r="A58" s="31" t="s">
        <v>362</v>
      </c>
      <c r="B58" s="28" t="s">
        <v>151</v>
      </c>
      <c r="C58" s="29"/>
      <c r="D58" s="30"/>
      <c r="E58" s="31">
        <v>2</v>
      </c>
      <c r="F58" s="29" t="s">
        <v>365</v>
      </c>
      <c r="G58" s="32" t="s">
        <v>287</v>
      </c>
      <c r="H58" s="31" t="str">
        <f>IFERROR(INDEX('الإعدادات واللجنة'!$C$24:$C$32,MATCH(LEFT(A58,3),'الإعدادات واللجنة'!$A$24:$A$32,0)),"")</f>
        <v>د. احمد بن عوض البشري</v>
      </c>
      <c r="I58" s="33"/>
      <c r="J58" s="33"/>
      <c r="K58" s="31" t="str">
        <f t="shared" si="0"/>
        <v/>
      </c>
      <c r="L58" s="34"/>
      <c r="M58" s="33"/>
      <c r="N58" s="34"/>
      <c r="O58" s="34"/>
      <c r="P58" s="33"/>
      <c r="Q58" s="34"/>
    </row>
    <row r="59" spans="1:17" ht="26" x14ac:dyDescent="0.2">
      <c r="A59" s="31" t="s">
        <v>362</v>
      </c>
      <c r="B59" s="28" t="s">
        <v>151</v>
      </c>
      <c r="C59" s="29"/>
      <c r="D59" s="30"/>
      <c r="E59" s="31">
        <v>3</v>
      </c>
      <c r="F59" s="29" t="s">
        <v>366</v>
      </c>
      <c r="G59" s="32" t="s">
        <v>287</v>
      </c>
      <c r="H59" s="31" t="str">
        <f>IFERROR(INDEX('الإعدادات واللجنة'!$C$24:$C$32,MATCH(LEFT(A59,3),'الإعدادات واللجنة'!$A$24:$A$32,0)),"")</f>
        <v>د. احمد بن عوض البشري</v>
      </c>
      <c r="I59" s="33"/>
      <c r="J59" s="33"/>
      <c r="K59" s="31" t="str">
        <f t="shared" si="0"/>
        <v/>
      </c>
      <c r="L59" s="34"/>
      <c r="M59" s="33"/>
      <c r="N59" s="34"/>
      <c r="O59" s="34"/>
      <c r="P59" s="33"/>
      <c r="Q59" s="34"/>
    </row>
    <row r="60" spans="1:17" x14ac:dyDescent="0.2">
      <c r="A60" s="31" t="s">
        <v>362</v>
      </c>
      <c r="B60" s="28" t="s">
        <v>151</v>
      </c>
      <c r="C60" s="29"/>
      <c r="D60" s="30"/>
      <c r="E60" s="31">
        <v>4</v>
      </c>
      <c r="F60" s="29" t="s">
        <v>367</v>
      </c>
      <c r="G60" s="32" t="s">
        <v>287</v>
      </c>
      <c r="H60" s="31" t="str">
        <f>IFERROR(INDEX('الإعدادات واللجنة'!$C$24:$C$32,MATCH(LEFT(A60,3),'الإعدادات واللجنة'!$A$24:$A$32,0)),"")</f>
        <v>د. احمد بن عوض البشري</v>
      </c>
      <c r="I60" s="33"/>
      <c r="J60" s="33"/>
      <c r="K60" s="31" t="str">
        <f t="shared" si="0"/>
        <v/>
      </c>
      <c r="L60" s="34"/>
      <c r="M60" s="33"/>
      <c r="N60" s="34"/>
      <c r="O60" s="34"/>
      <c r="P60" s="33"/>
      <c r="Q60" s="34"/>
    </row>
    <row r="61" spans="1:17" x14ac:dyDescent="0.2">
      <c r="A61" s="31" t="s">
        <v>362</v>
      </c>
      <c r="B61" s="28" t="s">
        <v>151</v>
      </c>
      <c r="C61" s="29"/>
      <c r="D61" s="30"/>
      <c r="E61" s="31">
        <v>5</v>
      </c>
      <c r="F61" s="29" t="s">
        <v>368</v>
      </c>
      <c r="G61" s="32" t="s">
        <v>287</v>
      </c>
      <c r="H61" s="31" t="str">
        <f>IFERROR(INDEX('الإعدادات واللجنة'!$C$24:$C$32,MATCH(LEFT(A61,3),'الإعدادات واللجنة'!$A$24:$A$32,0)),"")</f>
        <v>د. احمد بن عوض البشري</v>
      </c>
      <c r="I61" s="33"/>
      <c r="J61" s="33"/>
      <c r="K61" s="31" t="str">
        <f t="shared" si="0"/>
        <v/>
      </c>
      <c r="L61" s="34"/>
      <c r="M61" s="33"/>
      <c r="N61" s="34"/>
      <c r="O61" s="34"/>
      <c r="P61" s="33"/>
      <c r="Q61" s="34"/>
    </row>
    <row r="62" spans="1:17" x14ac:dyDescent="0.2">
      <c r="A62" s="31" t="s">
        <v>362</v>
      </c>
      <c r="B62" s="28" t="s">
        <v>151</v>
      </c>
      <c r="C62" s="29"/>
      <c r="D62" s="30"/>
      <c r="E62" s="31">
        <v>6</v>
      </c>
      <c r="F62" s="29" t="s">
        <v>369</v>
      </c>
      <c r="G62" s="32" t="s">
        <v>287</v>
      </c>
      <c r="H62" s="31" t="str">
        <f>IFERROR(INDEX('الإعدادات واللجنة'!$C$24:$C$32,MATCH(LEFT(A62,3),'الإعدادات واللجنة'!$A$24:$A$32,0)),"")</f>
        <v>د. احمد بن عوض البشري</v>
      </c>
      <c r="I62" s="33"/>
      <c r="J62" s="33"/>
      <c r="K62" s="31" t="str">
        <f t="shared" si="0"/>
        <v/>
      </c>
      <c r="L62" s="34"/>
      <c r="M62" s="33"/>
      <c r="N62" s="34"/>
      <c r="O62" s="34"/>
      <c r="P62" s="33"/>
      <c r="Q62" s="34"/>
    </row>
    <row r="63" spans="1:17" x14ac:dyDescent="0.2">
      <c r="A63" s="31" t="s">
        <v>362</v>
      </c>
      <c r="B63" s="28" t="s">
        <v>151</v>
      </c>
      <c r="C63" s="29"/>
      <c r="D63" s="30"/>
      <c r="E63" s="31">
        <v>7</v>
      </c>
      <c r="F63" s="29" t="s">
        <v>370</v>
      </c>
      <c r="G63" s="32" t="s">
        <v>287</v>
      </c>
      <c r="H63" s="31" t="str">
        <f>IFERROR(INDEX('الإعدادات واللجنة'!$C$24:$C$32,MATCH(LEFT(A63,3),'الإعدادات واللجنة'!$A$24:$A$32,0)),"")</f>
        <v>د. احمد بن عوض البشري</v>
      </c>
      <c r="I63" s="33"/>
      <c r="J63" s="33"/>
      <c r="K63" s="31" t="str">
        <f t="shared" si="0"/>
        <v/>
      </c>
      <c r="L63" s="34"/>
      <c r="M63" s="33"/>
      <c r="N63" s="34"/>
      <c r="O63" s="34"/>
      <c r="P63" s="33"/>
      <c r="Q63" s="34"/>
    </row>
    <row r="64" spans="1:17" x14ac:dyDescent="0.2">
      <c r="A64" s="31" t="s">
        <v>362</v>
      </c>
      <c r="B64" s="28" t="s">
        <v>151</v>
      </c>
      <c r="C64" s="29"/>
      <c r="D64" s="30"/>
      <c r="E64" s="31">
        <v>8</v>
      </c>
      <c r="F64" s="29" t="s">
        <v>371</v>
      </c>
      <c r="G64" s="32" t="s">
        <v>287</v>
      </c>
      <c r="H64" s="31" t="str">
        <f>IFERROR(INDEX('الإعدادات واللجنة'!$C$24:$C$32,MATCH(LEFT(A64,3),'الإعدادات واللجنة'!$A$24:$A$32,0)),"")</f>
        <v>د. احمد بن عوض البشري</v>
      </c>
      <c r="I64" s="33"/>
      <c r="J64" s="33"/>
      <c r="K64" s="31" t="str">
        <f t="shared" si="0"/>
        <v/>
      </c>
      <c r="L64" s="34"/>
      <c r="M64" s="33"/>
      <c r="N64" s="34"/>
      <c r="O64" s="34"/>
      <c r="P64" s="33"/>
      <c r="Q64" s="34"/>
    </row>
    <row r="65" spans="1:17" ht="26" x14ac:dyDescent="0.2">
      <c r="A65" s="31" t="s">
        <v>362</v>
      </c>
      <c r="B65" s="28" t="s">
        <v>151</v>
      </c>
      <c r="C65" s="29"/>
      <c r="D65" s="30"/>
      <c r="E65" s="31">
        <v>9</v>
      </c>
      <c r="F65" s="29" t="s">
        <v>372</v>
      </c>
      <c r="G65" s="32" t="s">
        <v>287</v>
      </c>
      <c r="H65" s="31" t="str">
        <f>IFERROR(INDEX('الإعدادات واللجنة'!$C$24:$C$32,MATCH(LEFT(A65,3),'الإعدادات واللجنة'!$A$24:$A$32,0)),"")</f>
        <v>د. احمد بن عوض البشري</v>
      </c>
      <c r="I65" s="33"/>
      <c r="J65" s="33"/>
      <c r="K65" s="31" t="str">
        <f t="shared" si="0"/>
        <v/>
      </c>
      <c r="L65" s="34"/>
      <c r="M65" s="33"/>
      <c r="N65" s="34"/>
      <c r="O65" s="34"/>
      <c r="P65" s="33"/>
      <c r="Q65" s="34"/>
    </row>
    <row r="66" spans="1:17" ht="26" x14ac:dyDescent="0.2">
      <c r="A66" s="31" t="s">
        <v>362</v>
      </c>
      <c r="B66" s="28" t="s">
        <v>151</v>
      </c>
      <c r="C66" s="29"/>
      <c r="D66" s="30"/>
      <c r="E66" s="31">
        <v>10</v>
      </c>
      <c r="F66" s="29" t="s">
        <v>373</v>
      </c>
      <c r="G66" s="32" t="s">
        <v>287</v>
      </c>
      <c r="H66" s="31" t="str">
        <f>IFERROR(INDEX('الإعدادات واللجنة'!$C$24:$C$32,MATCH(LEFT(A66,3),'الإعدادات واللجنة'!$A$24:$A$32,0)),"")</f>
        <v>د. احمد بن عوض البشري</v>
      </c>
      <c r="I66" s="33"/>
      <c r="J66" s="33"/>
      <c r="K66" s="31" t="str">
        <f t="shared" si="0"/>
        <v/>
      </c>
      <c r="L66" s="34"/>
      <c r="M66" s="33"/>
      <c r="N66" s="34"/>
      <c r="O66" s="34"/>
      <c r="P66" s="33"/>
      <c r="Q66" s="34"/>
    </row>
    <row r="67" spans="1:17" ht="26" x14ac:dyDescent="0.2">
      <c r="A67" s="35" t="s">
        <v>374</v>
      </c>
      <c r="B67" s="36" t="s">
        <v>151</v>
      </c>
      <c r="C67" s="37" t="s">
        <v>375</v>
      </c>
      <c r="D67" s="38" t="s">
        <v>293</v>
      </c>
      <c r="E67" s="39">
        <v>1</v>
      </c>
      <c r="F67" s="37" t="s">
        <v>376</v>
      </c>
      <c r="G67" s="40" t="s">
        <v>287</v>
      </c>
      <c r="H67" s="41" t="str">
        <f>IFERROR(INDEX('الإعدادات واللجنة'!$C$24:$C$32,MATCH(LEFT(A67,3),'الإعدادات واللجنة'!$A$24:$A$32,0)),"")</f>
        <v>د. احمد بن عوض البشري</v>
      </c>
      <c r="I67" s="42"/>
      <c r="J67" s="42"/>
      <c r="K67" s="41" t="str">
        <f t="shared" si="0"/>
        <v/>
      </c>
      <c r="L67" s="43"/>
      <c r="M67" s="42"/>
      <c r="N67" s="43"/>
      <c r="O67" s="43"/>
      <c r="P67" s="42"/>
      <c r="Q67" s="43"/>
    </row>
    <row r="68" spans="1:17" ht="26" x14ac:dyDescent="0.2">
      <c r="A68" s="44" t="s">
        <v>374</v>
      </c>
      <c r="B68" s="45" t="s">
        <v>151</v>
      </c>
      <c r="C68" s="46"/>
      <c r="D68" s="47" t="s">
        <v>293</v>
      </c>
      <c r="E68" s="44">
        <v>2</v>
      </c>
      <c r="F68" s="46" t="s">
        <v>377</v>
      </c>
      <c r="G68" s="32" t="s">
        <v>287</v>
      </c>
      <c r="H68" s="31" t="str">
        <f>IFERROR(INDEX('الإعدادات واللجنة'!$C$24:$C$32,MATCH(LEFT(A68,3),'الإعدادات واللجنة'!$A$24:$A$32,0)),"")</f>
        <v>د. احمد بن عوض البشري</v>
      </c>
      <c r="I68" s="33"/>
      <c r="J68" s="33"/>
      <c r="K68" s="31" t="str">
        <f t="shared" si="0"/>
        <v/>
      </c>
      <c r="L68" s="34"/>
      <c r="M68" s="33"/>
      <c r="N68" s="34"/>
      <c r="O68" s="34"/>
      <c r="P68" s="33"/>
      <c r="Q68" s="34"/>
    </row>
    <row r="69" spans="1:17" ht="26" x14ac:dyDescent="0.2">
      <c r="A69" s="44" t="s">
        <v>374</v>
      </c>
      <c r="B69" s="45" t="s">
        <v>151</v>
      </c>
      <c r="C69" s="46"/>
      <c r="D69" s="47" t="s">
        <v>293</v>
      </c>
      <c r="E69" s="44">
        <v>3</v>
      </c>
      <c r="F69" s="46" t="s">
        <v>378</v>
      </c>
      <c r="G69" s="32" t="s">
        <v>287</v>
      </c>
      <c r="H69" s="31" t="str">
        <f>IFERROR(INDEX('الإعدادات واللجنة'!$C$24:$C$32,MATCH(LEFT(A69,3),'الإعدادات واللجنة'!$A$24:$A$32,0)),"")</f>
        <v>د. احمد بن عوض البشري</v>
      </c>
      <c r="I69" s="33"/>
      <c r="J69" s="33"/>
      <c r="K69" s="31" t="str">
        <f t="shared" ref="K69:K132" si="1">IF(OR(I69="",I69="متوفر ومكتمل"),"",IF(OR(D69="★",I69="غير متوفر"),"عالية","متوسطة"))</f>
        <v/>
      </c>
      <c r="L69" s="34"/>
      <c r="M69" s="33"/>
      <c r="N69" s="34"/>
      <c r="O69" s="34"/>
      <c r="P69" s="33"/>
      <c r="Q69" s="34"/>
    </row>
    <row r="70" spans="1:17" ht="26" x14ac:dyDescent="0.2">
      <c r="A70" s="48" t="s">
        <v>379</v>
      </c>
      <c r="B70" s="49" t="s">
        <v>151</v>
      </c>
      <c r="C70" s="50" t="s">
        <v>380</v>
      </c>
      <c r="D70" s="51"/>
      <c r="E70" s="41">
        <v>1</v>
      </c>
      <c r="F70" s="50" t="s">
        <v>381</v>
      </c>
      <c r="G70" s="40" t="s">
        <v>287</v>
      </c>
      <c r="H70" s="41" t="str">
        <f>IFERROR(INDEX('الإعدادات واللجنة'!$C$24:$C$32,MATCH(LEFT(A70,3),'الإعدادات واللجنة'!$A$24:$A$32,0)),"")</f>
        <v>د. احمد بن عوض البشري</v>
      </c>
      <c r="I70" s="42"/>
      <c r="J70" s="42"/>
      <c r="K70" s="41" t="str">
        <f t="shared" si="1"/>
        <v/>
      </c>
      <c r="L70" s="43"/>
      <c r="M70" s="42"/>
      <c r="N70" s="43"/>
      <c r="O70" s="43"/>
      <c r="P70" s="42"/>
      <c r="Q70" s="43"/>
    </row>
    <row r="71" spans="1:17" ht="26" x14ac:dyDescent="0.2">
      <c r="A71" s="31" t="s">
        <v>379</v>
      </c>
      <c r="B71" s="28" t="s">
        <v>151</v>
      </c>
      <c r="C71" s="29"/>
      <c r="D71" s="30"/>
      <c r="E71" s="31">
        <v>2</v>
      </c>
      <c r="F71" s="29" t="s">
        <v>382</v>
      </c>
      <c r="G71" s="32" t="s">
        <v>287</v>
      </c>
      <c r="H71" s="31" t="str">
        <f>IFERROR(INDEX('الإعدادات واللجنة'!$C$24:$C$32,MATCH(LEFT(A71,3),'الإعدادات واللجنة'!$A$24:$A$32,0)),"")</f>
        <v>د. احمد بن عوض البشري</v>
      </c>
      <c r="I71" s="33"/>
      <c r="J71" s="33"/>
      <c r="K71" s="31" t="str">
        <f t="shared" si="1"/>
        <v/>
      </c>
      <c r="L71" s="34"/>
      <c r="M71" s="33"/>
      <c r="N71" s="34"/>
      <c r="O71" s="34"/>
      <c r="P71" s="33"/>
      <c r="Q71" s="34"/>
    </row>
    <row r="72" spans="1:17" ht="26" x14ac:dyDescent="0.2">
      <c r="A72" s="31" t="s">
        <v>379</v>
      </c>
      <c r="B72" s="28" t="s">
        <v>151</v>
      </c>
      <c r="C72" s="29"/>
      <c r="D72" s="30"/>
      <c r="E72" s="31">
        <v>3</v>
      </c>
      <c r="F72" s="29" t="s">
        <v>383</v>
      </c>
      <c r="G72" s="32" t="s">
        <v>287</v>
      </c>
      <c r="H72" s="31" t="str">
        <f>IFERROR(INDEX('الإعدادات واللجنة'!$C$24:$C$32,MATCH(LEFT(A72,3),'الإعدادات واللجنة'!$A$24:$A$32,0)),"")</f>
        <v>د. احمد بن عوض البشري</v>
      </c>
      <c r="I72" s="33"/>
      <c r="J72" s="33"/>
      <c r="K72" s="31" t="str">
        <f t="shared" si="1"/>
        <v/>
      </c>
      <c r="L72" s="34"/>
      <c r="M72" s="33"/>
      <c r="N72" s="34"/>
      <c r="O72" s="34"/>
      <c r="P72" s="33"/>
      <c r="Q72" s="34"/>
    </row>
    <row r="73" spans="1:17" ht="26" x14ac:dyDescent="0.2">
      <c r="A73" s="31" t="s">
        <v>379</v>
      </c>
      <c r="B73" s="28" t="s">
        <v>151</v>
      </c>
      <c r="C73" s="29"/>
      <c r="D73" s="30"/>
      <c r="E73" s="31">
        <v>4</v>
      </c>
      <c r="F73" s="29" t="s">
        <v>384</v>
      </c>
      <c r="G73" s="32" t="s">
        <v>287</v>
      </c>
      <c r="H73" s="31" t="str">
        <f>IFERROR(INDEX('الإعدادات واللجنة'!$C$24:$C$32,MATCH(LEFT(A73,3),'الإعدادات واللجنة'!$A$24:$A$32,0)),"")</f>
        <v>د. احمد بن عوض البشري</v>
      </c>
      <c r="I73" s="33"/>
      <c r="J73" s="33"/>
      <c r="K73" s="31" t="str">
        <f t="shared" si="1"/>
        <v/>
      </c>
      <c r="L73" s="34"/>
      <c r="M73" s="33"/>
      <c r="N73" s="34"/>
      <c r="O73" s="34"/>
      <c r="P73" s="33"/>
      <c r="Q73" s="34"/>
    </row>
    <row r="74" spans="1:17" ht="26" x14ac:dyDescent="0.2">
      <c r="A74" s="35" t="s">
        <v>385</v>
      </c>
      <c r="B74" s="36" t="s">
        <v>151</v>
      </c>
      <c r="C74" s="37" t="s">
        <v>386</v>
      </c>
      <c r="D74" s="38" t="s">
        <v>293</v>
      </c>
      <c r="E74" s="39">
        <v>1</v>
      </c>
      <c r="F74" s="37" t="s">
        <v>365</v>
      </c>
      <c r="G74" s="40" t="s">
        <v>287</v>
      </c>
      <c r="H74" s="41" t="str">
        <f>IFERROR(INDEX('الإعدادات واللجنة'!$C$24:$C$32,MATCH(LEFT(A74,3),'الإعدادات واللجنة'!$A$24:$A$32,0)),"")</f>
        <v>د. احمد بن عوض البشري</v>
      </c>
      <c r="I74" s="42"/>
      <c r="J74" s="42"/>
      <c r="K74" s="41" t="str">
        <f t="shared" si="1"/>
        <v/>
      </c>
      <c r="L74" s="43"/>
      <c r="M74" s="42"/>
      <c r="N74" s="43"/>
      <c r="O74" s="43"/>
      <c r="P74" s="42"/>
      <c r="Q74" s="43"/>
    </row>
    <row r="75" spans="1:17" x14ac:dyDescent="0.2">
      <c r="A75" s="44" t="s">
        <v>385</v>
      </c>
      <c r="B75" s="45" t="s">
        <v>151</v>
      </c>
      <c r="C75" s="46"/>
      <c r="D75" s="47" t="s">
        <v>293</v>
      </c>
      <c r="E75" s="44">
        <v>2</v>
      </c>
      <c r="F75" s="46" t="s">
        <v>387</v>
      </c>
      <c r="G75" s="32" t="s">
        <v>287</v>
      </c>
      <c r="H75" s="31" t="str">
        <f>IFERROR(INDEX('الإعدادات واللجنة'!$C$24:$C$32,MATCH(LEFT(A75,3),'الإعدادات واللجنة'!$A$24:$A$32,0)),"")</f>
        <v>د. احمد بن عوض البشري</v>
      </c>
      <c r="I75" s="33"/>
      <c r="J75" s="33"/>
      <c r="K75" s="31" t="str">
        <f t="shared" si="1"/>
        <v/>
      </c>
      <c r="L75" s="34"/>
      <c r="M75" s="33"/>
      <c r="N75" s="34"/>
      <c r="O75" s="34"/>
      <c r="P75" s="33"/>
      <c r="Q75" s="34"/>
    </row>
    <row r="76" spans="1:17" ht="26" x14ac:dyDescent="0.2">
      <c r="A76" s="44" t="s">
        <v>385</v>
      </c>
      <c r="B76" s="45" t="s">
        <v>151</v>
      </c>
      <c r="C76" s="46"/>
      <c r="D76" s="47" t="s">
        <v>293</v>
      </c>
      <c r="E76" s="44">
        <v>3</v>
      </c>
      <c r="F76" s="46" t="s">
        <v>388</v>
      </c>
      <c r="G76" s="32" t="s">
        <v>287</v>
      </c>
      <c r="H76" s="31" t="str">
        <f>IFERROR(INDEX('الإعدادات واللجنة'!$C$24:$C$32,MATCH(LEFT(A76,3),'الإعدادات واللجنة'!$A$24:$A$32,0)),"")</f>
        <v>د. احمد بن عوض البشري</v>
      </c>
      <c r="I76" s="33"/>
      <c r="J76" s="33"/>
      <c r="K76" s="31" t="str">
        <f t="shared" si="1"/>
        <v/>
      </c>
      <c r="L76" s="34"/>
      <c r="M76" s="33"/>
      <c r="N76" s="34"/>
      <c r="O76" s="34"/>
      <c r="P76" s="33"/>
      <c r="Q76" s="34"/>
    </row>
    <row r="77" spans="1:17" x14ac:dyDescent="0.2">
      <c r="A77" s="44" t="s">
        <v>385</v>
      </c>
      <c r="B77" s="45" t="s">
        <v>151</v>
      </c>
      <c r="C77" s="46"/>
      <c r="D77" s="47" t="s">
        <v>293</v>
      </c>
      <c r="E77" s="44">
        <v>4</v>
      </c>
      <c r="F77" s="46" t="s">
        <v>389</v>
      </c>
      <c r="G77" s="32" t="s">
        <v>287</v>
      </c>
      <c r="H77" s="31" t="str">
        <f>IFERROR(INDEX('الإعدادات واللجنة'!$C$24:$C$32,MATCH(LEFT(A77,3),'الإعدادات واللجنة'!$A$24:$A$32,0)),"")</f>
        <v>د. احمد بن عوض البشري</v>
      </c>
      <c r="I77" s="33"/>
      <c r="J77" s="33"/>
      <c r="K77" s="31" t="str">
        <f t="shared" si="1"/>
        <v/>
      </c>
      <c r="L77" s="34"/>
      <c r="M77" s="33"/>
      <c r="N77" s="34"/>
      <c r="O77" s="34"/>
      <c r="P77" s="33"/>
      <c r="Q77" s="34"/>
    </row>
    <row r="78" spans="1:17" ht="26" x14ac:dyDescent="0.2">
      <c r="A78" s="48" t="s">
        <v>390</v>
      </c>
      <c r="B78" s="49" t="s">
        <v>151</v>
      </c>
      <c r="C78" s="50" t="s">
        <v>391</v>
      </c>
      <c r="D78" s="51"/>
      <c r="E78" s="41">
        <v>1</v>
      </c>
      <c r="F78" s="50" t="s">
        <v>392</v>
      </c>
      <c r="G78" s="40" t="s">
        <v>287</v>
      </c>
      <c r="H78" s="41" t="str">
        <f>IFERROR(INDEX('الإعدادات واللجنة'!$C$24:$C$32,MATCH(LEFT(A78,3),'الإعدادات واللجنة'!$A$24:$A$32,0)),"")</f>
        <v>د. احمد بن عوض البشري</v>
      </c>
      <c r="I78" s="42"/>
      <c r="J78" s="42"/>
      <c r="K78" s="41" t="str">
        <f t="shared" si="1"/>
        <v/>
      </c>
      <c r="L78" s="43"/>
      <c r="M78" s="42"/>
      <c r="N78" s="43"/>
      <c r="O78" s="43"/>
      <c r="P78" s="42"/>
      <c r="Q78" s="43"/>
    </row>
    <row r="79" spans="1:17" ht="26" x14ac:dyDescent="0.2">
      <c r="A79" s="31" t="s">
        <v>390</v>
      </c>
      <c r="B79" s="28" t="s">
        <v>151</v>
      </c>
      <c r="C79" s="29"/>
      <c r="D79" s="30"/>
      <c r="E79" s="31">
        <v>2</v>
      </c>
      <c r="F79" s="29" t="s">
        <v>393</v>
      </c>
      <c r="G79" s="32" t="s">
        <v>287</v>
      </c>
      <c r="H79" s="31" t="str">
        <f>IFERROR(INDEX('الإعدادات واللجنة'!$C$24:$C$32,MATCH(LEFT(A79,3),'الإعدادات واللجنة'!$A$24:$A$32,0)),"")</f>
        <v>د. احمد بن عوض البشري</v>
      </c>
      <c r="I79" s="33"/>
      <c r="J79" s="33"/>
      <c r="K79" s="31" t="str">
        <f t="shared" si="1"/>
        <v/>
      </c>
      <c r="L79" s="34"/>
      <c r="M79" s="33"/>
      <c r="N79" s="34"/>
      <c r="O79" s="34"/>
      <c r="P79" s="33"/>
      <c r="Q79" s="34"/>
    </row>
    <row r="80" spans="1:17" ht="26" x14ac:dyDescent="0.2">
      <c r="A80" s="31" t="s">
        <v>390</v>
      </c>
      <c r="B80" s="28" t="s">
        <v>151</v>
      </c>
      <c r="C80" s="29"/>
      <c r="D80" s="30"/>
      <c r="E80" s="31">
        <v>3</v>
      </c>
      <c r="F80" s="29" t="s">
        <v>394</v>
      </c>
      <c r="G80" s="32" t="s">
        <v>287</v>
      </c>
      <c r="H80" s="31" t="str">
        <f>IFERROR(INDEX('الإعدادات واللجنة'!$C$24:$C$32,MATCH(LEFT(A80,3),'الإعدادات واللجنة'!$A$24:$A$32,0)),"")</f>
        <v>د. احمد بن عوض البشري</v>
      </c>
      <c r="I80" s="33"/>
      <c r="J80" s="33"/>
      <c r="K80" s="31" t="str">
        <f t="shared" si="1"/>
        <v/>
      </c>
      <c r="L80" s="34"/>
      <c r="M80" s="33"/>
      <c r="N80" s="34"/>
      <c r="O80" s="34"/>
      <c r="P80" s="33"/>
      <c r="Q80" s="34"/>
    </row>
    <row r="81" spans="1:17" x14ac:dyDescent="0.2">
      <c r="A81" s="31" t="s">
        <v>390</v>
      </c>
      <c r="B81" s="28" t="s">
        <v>151</v>
      </c>
      <c r="C81" s="29"/>
      <c r="D81" s="30"/>
      <c r="E81" s="31">
        <v>4</v>
      </c>
      <c r="F81" s="29" t="s">
        <v>395</v>
      </c>
      <c r="G81" s="32" t="s">
        <v>287</v>
      </c>
      <c r="H81" s="31" t="str">
        <f>IFERROR(INDEX('الإعدادات واللجنة'!$C$24:$C$32,MATCH(LEFT(A81,3),'الإعدادات واللجنة'!$A$24:$A$32,0)),"")</f>
        <v>د. احمد بن عوض البشري</v>
      </c>
      <c r="I81" s="33"/>
      <c r="J81" s="33"/>
      <c r="K81" s="31" t="str">
        <f t="shared" si="1"/>
        <v/>
      </c>
      <c r="L81" s="34"/>
      <c r="M81" s="33"/>
      <c r="N81" s="34"/>
      <c r="O81" s="34"/>
      <c r="P81" s="33"/>
      <c r="Q81" s="34"/>
    </row>
    <row r="82" spans="1:17" ht="26" x14ac:dyDescent="0.2">
      <c r="A82" s="35" t="s">
        <v>396</v>
      </c>
      <c r="B82" s="36" t="s">
        <v>151</v>
      </c>
      <c r="C82" s="37" t="s">
        <v>397</v>
      </c>
      <c r="D82" s="38" t="s">
        <v>293</v>
      </c>
      <c r="E82" s="39">
        <v>1</v>
      </c>
      <c r="F82" s="37" t="s">
        <v>398</v>
      </c>
      <c r="G82" s="40" t="s">
        <v>287</v>
      </c>
      <c r="H82" s="41" t="str">
        <f>IFERROR(INDEX('الإعدادات واللجنة'!$C$24:$C$32,MATCH(LEFT(A82,3),'الإعدادات واللجنة'!$A$24:$A$32,0)),"")</f>
        <v>د. احمد بن عوض البشري</v>
      </c>
      <c r="I82" s="42"/>
      <c r="J82" s="42"/>
      <c r="K82" s="41" t="str">
        <f t="shared" si="1"/>
        <v/>
      </c>
      <c r="L82" s="43"/>
      <c r="M82" s="42"/>
      <c r="N82" s="43"/>
      <c r="O82" s="43"/>
      <c r="P82" s="42"/>
      <c r="Q82" s="43"/>
    </row>
    <row r="83" spans="1:17" ht="26" x14ac:dyDescent="0.2">
      <c r="A83" s="44" t="s">
        <v>396</v>
      </c>
      <c r="B83" s="45" t="s">
        <v>151</v>
      </c>
      <c r="C83" s="46"/>
      <c r="D83" s="47" t="s">
        <v>293</v>
      </c>
      <c r="E83" s="44">
        <v>2</v>
      </c>
      <c r="F83" s="46" t="s">
        <v>399</v>
      </c>
      <c r="G83" s="32" t="s">
        <v>287</v>
      </c>
      <c r="H83" s="31" t="str">
        <f>IFERROR(INDEX('الإعدادات واللجنة'!$C$24:$C$32,MATCH(LEFT(A83,3),'الإعدادات واللجنة'!$A$24:$A$32,0)),"")</f>
        <v>د. احمد بن عوض البشري</v>
      </c>
      <c r="I83" s="33"/>
      <c r="J83" s="33"/>
      <c r="K83" s="31" t="str">
        <f t="shared" si="1"/>
        <v/>
      </c>
      <c r="L83" s="34"/>
      <c r="M83" s="33"/>
      <c r="N83" s="34"/>
      <c r="O83" s="34"/>
      <c r="P83" s="33"/>
      <c r="Q83" s="34"/>
    </row>
    <row r="84" spans="1:17" x14ac:dyDescent="0.2">
      <c r="A84" s="44" t="s">
        <v>396</v>
      </c>
      <c r="B84" s="45" t="s">
        <v>151</v>
      </c>
      <c r="C84" s="46"/>
      <c r="D84" s="47" t="s">
        <v>293</v>
      </c>
      <c r="E84" s="44">
        <v>3</v>
      </c>
      <c r="F84" s="46" t="s">
        <v>400</v>
      </c>
      <c r="G84" s="32" t="s">
        <v>287</v>
      </c>
      <c r="H84" s="31" t="str">
        <f>IFERROR(INDEX('الإعدادات واللجنة'!$C$24:$C$32,MATCH(LEFT(A84,3),'الإعدادات واللجنة'!$A$24:$A$32,0)),"")</f>
        <v>د. احمد بن عوض البشري</v>
      </c>
      <c r="I84" s="33"/>
      <c r="J84" s="33"/>
      <c r="K84" s="31" t="str">
        <f t="shared" si="1"/>
        <v/>
      </c>
      <c r="L84" s="34"/>
      <c r="M84" s="33"/>
      <c r="N84" s="34"/>
      <c r="O84" s="34"/>
      <c r="P84" s="33"/>
      <c r="Q84" s="34"/>
    </row>
    <row r="85" spans="1:17" ht="26" x14ac:dyDescent="0.2">
      <c r="A85" s="44" t="s">
        <v>396</v>
      </c>
      <c r="B85" s="45" t="s">
        <v>151</v>
      </c>
      <c r="C85" s="46"/>
      <c r="D85" s="47" t="s">
        <v>293</v>
      </c>
      <c r="E85" s="44">
        <v>4</v>
      </c>
      <c r="F85" s="46" t="s">
        <v>401</v>
      </c>
      <c r="G85" s="32" t="s">
        <v>287</v>
      </c>
      <c r="H85" s="31" t="str">
        <f>IFERROR(INDEX('الإعدادات واللجنة'!$C$24:$C$32,MATCH(LEFT(A85,3),'الإعدادات واللجنة'!$A$24:$A$32,0)),"")</f>
        <v>د. احمد بن عوض البشري</v>
      </c>
      <c r="I85" s="33"/>
      <c r="J85" s="33"/>
      <c r="K85" s="31" t="str">
        <f t="shared" si="1"/>
        <v/>
      </c>
      <c r="L85" s="34"/>
      <c r="M85" s="33"/>
      <c r="N85" s="34"/>
      <c r="O85" s="34"/>
      <c r="P85" s="33"/>
      <c r="Q85" s="34"/>
    </row>
    <row r="86" spans="1:17" ht="26" x14ac:dyDescent="0.2">
      <c r="A86" s="44" t="s">
        <v>396</v>
      </c>
      <c r="B86" s="45" t="s">
        <v>151</v>
      </c>
      <c r="C86" s="46"/>
      <c r="D86" s="47" t="s">
        <v>293</v>
      </c>
      <c r="E86" s="44">
        <v>5</v>
      </c>
      <c r="F86" s="46" t="s">
        <v>402</v>
      </c>
      <c r="G86" s="32" t="s">
        <v>287</v>
      </c>
      <c r="H86" s="31" t="str">
        <f>IFERROR(INDEX('الإعدادات واللجنة'!$C$24:$C$32,MATCH(LEFT(A86,3),'الإعدادات واللجنة'!$A$24:$A$32,0)),"")</f>
        <v>د. احمد بن عوض البشري</v>
      </c>
      <c r="I86" s="33"/>
      <c r="J86" s="33"/>
      <c r="K86" s="31" t="str">
        <f t="shared" si="1"/>
        <v/>
      </c>
      <c r="L86" s="34"/>
      <c r="M86" s="33"/>
      <c r="N86" s="34"/>
      <c r="O86" s="34"/>
      <c r="P86" s="33"/>
      <c r="Q86" s="34"/>
    </row>
    <row r="87" spans="1:17" ht="26" x14ac:dyDescent="0.2">
      <c r="A87" s="44" t="s">
        <v>396</v>
      </c>
      <c r="B87" s="45" t="s">
        <v>151</v>
      </c>
      <c r="C87" s="46"/>
      <c r="D87" s="47" t="s">
        <v>293</v>
      </c>
      <c r="E87" s="44">
        <v>6</v>
      </c>
      <c r="F87" s="46" t="s">
        <v>403</v>
      </c>
      <c r="G87" s="32" t="s">
        <v>287</v>
      </c>
      <c r="H87" s="31" t="str">
        <f>IFERROR(INDEX('الإعدادات واللجنة'!$C$24:$C$32,MATCH(LEFT(A87,3),'الإعدادات واللجنة'!$A$24:$A$32,0)),"")</f>
        <v>د. احمد بن عوض البشري</v>
      </c>
      <c r="I87" s="33"/>
      <c r="J87" s="33"/>
      <c r="K87" s="31" t="str">
        <f t="shared" si="1"/>
        <v/>
      </c>
      <c r="L87" s="34"/>
      <c r="M87" s="33"/>
      <c r="N87" s="34"/>
      <c r="O87" s="34"/>
      <c r="P87" s="33"/>
      <c r="Q87" s="34"/>
    </row>
    <row r="88" spans="1:17" ht="39" x14ac:dyDescent="0.2">
      <c r="A88" s="35" t="s">
        <v>404</v>
      </c>
      <c r="B88" s="36" t="s">
        <v>151</v>
      </c>
      <c r="C88" s="37" t="s">
        <v>405</v>
      </c>
      <c r="D88" s="38" t="s">
        <v>293</v>
      </c>
      <c r="E88" s="39">
        <v>1</v>
      </c>
      <c r="F88" s="37" t="s">
        <v>406</v>
      </c>
      <c r="G88" s="40" t="s">
        <v>287</v>
      </c>
      <c r="H88" s="41" t="str">
        <f>IFERROR(INDEX('الإعدادات واللجنة'!$C$24:$C$32,MATCH(LEFT(A88,3),'الإعدادات واللجنة'!$A$24:$A$32,0)),"")</f>
        <v>د. احمد بن عوض البشري</v>
      </c>
      <c r="I88" s="42"/>
      <c r="J88" s="42"/>
      <c r="K88" s="41" t="str">
        <f t="shared" si="1"/>
        <v/>
      </c>
      <c r="L88" s="43"/>
      <c r="M88" s="42"/>
      <c r="N88" s="43"/>
      <c r="O88" s="43"/>
      <c r="P88" s="42"/>
      <c r="Q88" s="43"/>
    </row>
    <row r="89" spans="1:17" ht="26" x14ac:dyDescent="0.2">
      <c r="A89" s="44" t="s">
        <v>404</v>
      </c>
      <c r="B89" s="45" t="s">
        <v>151</v>
      </c>
      <c r="C89" s="46"/>
      <c r="D89" s="47" t="s">
        <v>293</v>
      </c>
      <c r="E89" s="44">
        <v>2</v>
      </c>
      <c r="F89" s="46" t="s">
        <v>407</v>
      </c>
      <c r="G89" s="32" t="s">
        <v>287</v>
      </c>
      <c r="H89" s="31" t="str">
        <f>IFERROR(INDEX('الإعدادات واللجنة'!$C$24:$C$32,MATCH(LEFT(A89,3),'الإعدادات واللجنة'!$A$24:$A$32,0)),"")</f>
        <v>د. احمد بن عوض البشري</v>
      </c>
      <c r="I89" s="33"/>
      <c r="J89" s="33"/>
      <c r="K89" s="31" t="str">
        <f t="shared" si="1"/>
        <v/>
      </c>
      <c r="L89" s="34"/>
      <c r="M89" s="33"/>
      <c r="N89" s="34"/>
      <c r="O89" s="34"/>
      <c r="P89" s="33"/>
      <c r="Q89" s="34"/>
    </row>
    <row r="90" spans="1:17" ht="26" x14ac:dyDescent="0.2">
      <c r="A90" s="44" t="s">
        <v>404</v>
      </c>
      <c r="B90" s="45" t="s">
        <v>151</v>
      </c>
      <c r="C90" s="46"/>
      <c r="D90" s="47" t="s">
        <v>293</v>
      </c>
      <c r="E90" s="44">
        <v>3</v>
      </c>
      <c r="F90" s="46" t="s">
        <v>401</v>
      </c>
      <c r="G90" s="32" t="s">
        <v>287</v>
      </c>
      <c r="H90" s="31" t="str">
        <f>IFERROR(INDEX('الإعدادات واللجنة'!$C$24:$C$32,MATCH(LEFT(A90,3),'الإعدادات واللجنة'!$A$24:$A$32,0)),"")</f>
        <v>د. احمد بن عوض البشري</v>
      </c>
      <c r="I90" s="33"/>
      <c r="J90" s="33"/>
      <c r="K90" s="31" t="str">
        <f t="shared" si="1"/>
        <v/>
      </c>
      <c r="L90" s="34"/>
      <c r="M90" s="33"/>
      <c r="N90" s="34"/>
      <c r="O90" s="34"/>
      <c r="P90" s="33"/>
      <c r="Q90" s="34"/>
    </row>
    <row r="91" spans="1:17" x14ac:dyDescent="0.2">
      <c r="A91" s="44" t="s">
        <v>404</v>
      </c>
      <c r="B91" s="45" t="s">
        <v>151</v>
      </c>
      <c r="C91" s="46"/>
      <c r="D91" s="47" t="s">
        <v>293</v>
      </c>
      <c r="E91" s="44">
        <v>4</v>
      </c>
      <c r="F91" s="46" t="s">
        <v>408</v>
      </c>
      <c r="G91" s="32" t="s">
        <v>287</v>
      </c>
      <c r="H91" s="31" t="str">
        <f>IFERROR(INDEX('الإعدادات واللجنة'!$C$24:$C$32,MATCH(LEFT(A91,3),'الإعدادات واللجنة'!$A$24:$A$32,0)),"")</f>
        <v>د. احمد بن عوض البشري</v>
      </c>
      <c r="I91" s="33"/>
      <c r="J91" s="33"/>
      <c r="K91" s="31" t="str">
        <f t="shared" si="1"/>
        <v/>
      </c>
      <c r="L91" s="34"/>
      <c r="M91" s="33"/>
      <c r="N91" s="34"/>
      <c r="O91" s="34"/>
      <c r="P91" s="33"/>
      <c r="Q91" s="34"/>
    </row>
    <row r="92" spans="1:17" ht="26" x14ac:dyDescent="0.2">
      <c r="A92" s="48" t="s">
        <v>409</v>
      </c>
      <c r="B92" s="49" t="s">
        <v>151</v>
      </c>
      <c r="C92" s="50" t="s">
        <v>410</v>
      </c>
      <c r="D92" s="51"/>
      <c r="E92" s="41">
        <v>1</v>
      </c>
      <c r="F92" s="50" t="s">
        <v>411</v>
      </c>
      <c r="G92" s="40" t="s">
        <v>287</v>
      </c>
      <c r="H92" s="41" t="str">
        <f>IFERROR(INDEX('الإعدادات واللجنة'!$C$24:$C$32,MATCH(LEFT(A92,3),'الإعدادات واللجنة'!$A$24:$A$32,0)),"")</f>
        <v>د. احمد بن عوض البشري</v>
      </c>
      <c r="I92" s="42"/>
      <c r="J92" s="42"/>
      <c r="K92" s="41" t="str">
        <f t="shared" si="1"/>
        <v/>
      </c>
      <c r="L92" s="43"/>
      <c r="M92" s="42"/>
      <c r="N92" s="43"/>
      <c r="O92" s="43"/>
      <c r="P92" s="42"/>
      <c r="Q92" s="43"/>
    </row>
    <row r="93" spans="1:17" x14ac:dyDescent="0.2">
      <c r="A93" s="31" t="s">
        <v>409</v>
      </c>
      <c r="B93" s="28" t="s">
        <v>151</v>
      </c>
      <c r="C93" s="29"/>
      <c r="D93" s="30"/>
      <c r="E93" s="31">
        <v>2</v>
      </c>
      <c r="F93" s="29" t="s">
        <v>412</v>
      </c>
      <c r="G93" s="32" t="s">
        <v>287</v>
      </c>
      <c r="H93" s="31" t="str">
        <f>IFERROR(INDEX('الإعدادات واللجنة'!$C$24:$C$32,MATCH(LEFT(A93,3),'الإعدادات واللجنة'!$A$24:$A$32,0)),"")</f>
        <v>د. احمد بن عوض البشري</v>
      </c>
      <c r="I93" s="33"/>
      <c r="J93" s="33"/>
      <c r="K93" s="31" t="str">
        <f t="shared" si="1"/>
        <v/>
      </c>
      <c r="L93" s="34"/>
      <c r="M93" s="33"/>
      <c r="N93" s="34"/>
      <c r="O93" s="34"/>
      <c r="P93" s="33"/>
      <c r="Q93" s="34"/>
    </row>
    <row r="94" spans="1:17" x14ac:dyDescent="0.2">
      <c r="A94" s="31" t="s">
        <v>409</v>
      </c>
      <c r="B94" s="28" t="s">
        <v>151</v>
      </c>
      <c r="C94" s="29"/>
      <c r="D94" s="30"/>
      <c r="E94" s="31">
        <v>3</v>
      </c>
      <c r="F94" s="29" t="s">
        <v>413</v>
      </c>
      <c r="G94" s="32" t="s">
        <v>287</v>
      </c>
      <c r="H94" s="31" t="str">
        <f>IFERROR(INDEX('الإعدادات واللجنة'!$C$24:$C$32,MATCH(LEFT(A94,3),'الإعدادات واللجنة'!$A$24:$A$32,0)),"")</f>
        <v>د. احمد بن عوض البشري</v>
      </c>
      <c r="I94" s="33"/>
      <c r="J94" s="33"/>
      <c r="K94" s="31" t="str">
        <f t="shared" si="1"/>
        <v/>
      </c>
      <c r="L94" s="34"/>
      <c r="M94" s="33"/>
      <c r="N94" s="34"/>
      <c r="O94" s="34"/>
      <c r="P94" s="33"/>
      <c r="Q94" s="34"/>
    </row>
    <row r="95" spans="1:17" x14ac:dyDescent="0.2">
      <c r="A95" s="31" t="s">
        <v>409</v>
      </c>
      <c r="B95" s="28" t="s">
        <v>151</v>
      </c>
      <c r="C95" s="29"/>
      <c r="D95" s="30"/>
      <c r="E95" s="31">
        <v>4</v>
      </c>
      <c r="F95" s="29" t="s">
        <v>414</v>
      </c>
      <c r="G95" s="32" t="s">
        <v>287</v>
      </c>
      <c r="H95" s="31" t="str">
        <f>IFERROR(INDEX('الإعدادات واللجنة'!$C$24:$C$32,MATCH(LEFT(A95,3),'الإعدادات واللجنة'!$A$24:$A$32,0)),"")</f>
        <v>د. احمد بن عوض البشري</v>
      </c>
      <c r="I95" s="33"/>
      <c r="J95" s="33"/>
      <c r="K95" s="31" t="str">
        <f t="shared" si="1"/>
        <v/>
      </c>
      <c r="L95" s="34"/>
      <c r="M95" s="33"/>
      <c r="N95" s="34"/>
      <c r="O95" s="34"/>
      <c r="P95" s="33"/>
      <c r="Q95" s="34"/>
    </row>
    <row r="96" spans="1:17" ht="26" x14ac:dyDescent="0.2">
      <c r="A96" s="48" t="s">
        <v>415</v>
      </c>
      <c r="B96" s="49" t="s">
        <v>151</v>
      </c>
      <c r="C96" s="50" t="s">
        <v>416</v>
      </c>
      <c r="D96" s="51"/>
      <c r="E96" s="41">
        <v>1</v>
      </c>
      <c r="F96" s="50" t="s">
        <v>399</v>
      </c>
      <c r="G96" s="40" t="s">
        <v>287</v>
      </c>
      <c r="H96" s="41" t="str">
        <f>IFERROR(INDEX('الإعدادات واللجنة'!$C$24:$C$32,MATCH(LEFT(A96,3),'الإعدادات واللجنة'!$A$24:$A$32,0)),"")</f>
        <v>د. احمد بن عوض البشري</v>
      </c>
      <c r="I96" s="42"/>
      <c r="J96" s="42"/>
      <c r="K96" s="41" t="str">
        <f t="shared" si="1"/>
        <v/>
      </c>
      <c r="L96" s="43"/>
      <c r="M96" s="42"/>
      <c r="N96" s="43"/>
      <c r="O96" s="43"/>
      <c r="P96" s="42"/>
      <c r="Q96" s="43"/>
    </row>
    <row r="97" spans="1:17" x14ac:dyDescent="0.2">
      <c r="A97" s="31" t="s">
        <v>415</v>
      </c>
      <c r="B97" s="28" t="s">
        <v>151</v>
      </c>
      <c r="C97" s="29"/>
      <c r="D97" s="30"/>
      <c r="E97" s="31">
        <v>2</v>
      </c>
      <c r="F97" s="29" t="s">
        <v>417</v>
      </c>
      <c r="G97" s="32" t="s">
        <v>287</v>
      </c>
      <c r="H97" s="31" t="str">
        <f>IFERROR(INDEX('الإعدادات واللجنة'!$C$24:$C$32,MATCH(LEFT(A97,3),'الإعدادات واللجنة'!$A$24:$A$32,0)),"")</f>
        <v>د. احمد بن عوض البشري</v>
      </c>
      <c r="I97" s="33"/>
      <c r="J97" s="33"/>
      <c r="K97" s="31" t="str">
        <f t="shared" si="1"/>
        <v/>
      </c>
      <c r="L97" s="34"/>
      <c r="M97" s="33"/>
      <c r="N97" s="34"/>
      <c r="O97" s="34"/>
      <c r="P97" s="33"/>
      <c r="Q97" s="34"/>
    </row>
    <row r="98" spans="1:17" x14ac:dyDescent="0.2">
      <c r="A98" s="31" t="s">
        <v>415</v>
      </c>
      <c r="B98" s="28" t="s">
        <v>151</v>
      </c>
      <c r="C98" s="29"/>
      <c r="D98" s="30"/>
      <c r="E98" s="31">
        <v>3</v>
      </c>
      <c r="F98" s="29" t="s">
        <v>418</v>
      </c>
      <c r="G98" s="32" t="s">
        <v>287</v>
      </c>
      <c r="H98" s="31" t="str">
        <f>IFERROR(INDEX('الإعدادات واللجنة'!$C$24:$C$32,MATCH(LEFT(A98,3),'الإعدادات واللجنة'!$A$24:$A$32,0)),"")</f>
        <v>د. احمد بن عوض البشري</v>
      </c>
      <c r="I98" s="33"/>
      <c r="J98" s="33"/>
      <c r="K98" s="31" t="str">
        <f t="shared" si="1"/>
        <v/>
      </c>
      <c r="L98" s="34"/>
      <c r="M98" s="33"/>
      <c r="N98" s="34"/>
      <c r="O98" s="34"/>
      <c r="P98" s="33"/>
      <c r="Q98" s="34"/>
    </row>
    <row r="99" spans="1:17" ht="39" x14ac:dyDescent="0.2">
      <c r="A99" s="31" t="s">
        <v>415</v>
      </c>
      <c r="B99" s="28" t="s">
        <v>151</v>
      </c>
      <c r="C99" s="29"/>
      <c r="D99" s="30"/>
      <c r="E99" s="31">
        <v>4</v>
      </c>
      <c r="F99" s="29" t="s">
        <v>419</v>
      </c>
      <c r="G99" s="32" t="s">
        <v>287</v>
      </c>
      <c r="H99" s="31" t="str">
        <f>IFERROR(INDEX('الإعدادات واللجنة'!$C$24:$C$32,MATCH(LEFT(A99,3),'الإعدادات واللجنة'!$A$24:$A$32,0)),"")</f>
        <v>د. احمد بن عوض البشري</v>
      </c>
      <c r="I99" s="33"/>
      <c r="J99" s="33"/>
      <c r="K99" s="31" t="str">
        <f t="shared" si="1"/>
        <v/>
      </c>
      <c r="L99" s="34"/>
      <c r="M99" s="33"/>
      <c r="N99" s="34"/>
      <c r="O99" s="34"/>
      <c r="P99" s="33"/>
      <c r="Q99" s="34"/>
    </row>
    <row r="100" spans="1:17" ht="39" x14ac:dyDescent="0.2">
      <c r="A100" s="48" t="s">
        <v>420</v>
      </c>
      <c r="B100" s="49" t="s">
        <v>151</v>
      </c>
      <c r="C100" s="50" t="s">
        <v>421</v>
      </c>
      <c r="D100" s="51"/>
      <c r="E100" s="41">
        <v>1</v>
      </c>
      <c r="F100" s="50" t="s">
        <v>422</v>
      </c>
      <c r="G100" s="40" t="s">
        <v>287</v>
      </c>
      <c r="H100" s="41" t="str">
        <f>IFERROR(INDEX('الإعدادات واللجنة'!$C$24:$C$32,MATCH(LEFT(A100,3),'الإعدادات واللجنة'!$A$24:$A$32,0)),"")</f>
        <v>د. احمد بن عوض البشري</v>
      </c>
      <c r="I100" s="42"/>
      <c r="J100" s="42"/>
      <c r="K100" s="41" t="str">
        <f t="shared" si="1"/>
        <v/>
      </c>
      <c r="L100" s="43"/>
      <c r="M100" s="42"/>
      <c r="N100" s="43"/>
      <c r="O100" s="43"/>
      <c r="P100" s="42"/>
      <c r="Q100" s="43"/>
    </row>
    <row r="101" spans="1:17" x14ac:dyDescent="0.2">
      <c r="A101" s="31" t="s">
        <v>420</v>
      </c>
      <c r="B101" s="28" t="s">
        <v>151</v>
      </c>
      <c r="C101" s="29"/>
      <c r="D101" s="30"/>
      <c r="E101" s="31">
        <v>2</v>
      </c>
      <c r="F101" s="29" t="s">
        <v>423</v>
      </c>
      <c r="G101" s="32" t="s">
        <v>287</v>
      </c>
      <c r="H101" s="31" t="str">
        <f>IFERROR(INDEX('الإعدادات واللجنة'!$C$24:$C$32,MATCH(LEFT(A101,3),'الإعدادات واللجنة'!$A$24:$A$32,0)),"")</f>
        <v>د. احمد بن عوض البشري</v>
      </c>
      <c r="I101" s="33"/>
      <c r="J101" s="33"/>
      <c r="K101" s="31" t="str">
        <f t="shared" si="1"/>
        <v/>
      </c>
      <c r="L101" s="34"/>
      <c r="M101" s="33"/>
      <c r="N101" s="34"/>
      <c r="O101" s="34"/>
      <c r="P101" s="33"/>
      <c r="Q101" s="34"/>
    </row>
    <row r="102" spans="1:17" ht="26" x14ac:dyDescent="0.2">
      <c r="A102" s="48" t="s">
        <v>424</v>
      </c>
      <c r="B102" s="49" t="s">
        <v>151</v>
      </c>
      <c r="C102" s="50" t="s">
        <v>425</v>
      </c>
      <c r="D102" s="51"/>
      <c r="E102" s="41">
        <v>1</v>
      </c>
      <c r="F102" s="50" t="s">
        <v>426</v>
      </c>
      <c r="G102" s="40" t="s">
        <v>287</v>
      </c>
      <c r="H102" s="41" t="str">
        <f>IFERROR(INDEX('الإعدادات واللجنة'!$C$24:$C$32,MATCH(LEFT(A102,3),'الإعدادات واللجنة'!$A$24:$A$32,0)),"")</f>
        <v>د. احمد بن عوض البشري</v>
      </c>
      <c r="I102" s="42"/>
      <c r="J102" s="42"/>
      <c r="K102" s="41" t="str">
        <f t="shared" si="1"/>
        <v/>
      </c>
      <c r="L102" s="43"/>
      <c r="M102" s="42"/>
      <c r="N102" s="43"/>
      <c r="O102" s="43"/>
      <c r="P102" s="42"/>
      <c r="Q102" s="43"/>
    </row>
    <row r="103" spans="1:17" x14ac:dyDescent="0.2">
      <c r="A103" s="31" t="s">
        <v>424</v>
      </c>
      <c r="B103" s="28" t="s">
        <v>151</v>
      </c>
      <c r="C103" s="29"/>
      <c r="D103" s="30"/>
      <c r="E103" s="31">
        <v>2</v>
      </c>
      <c r="F103" s="29" t="s">
        <v>427</v>
      </c>
      <c r="G103" s="32" t="s">
        <v>287</v>
      </c>
      <c r="H103" s="31" t="str">
        <f>IFERROR(INDEX('الإعدادات واللجنة'!$C$24:$C$32,MATCH(LEFT(A103,3),'الإعدادات واللجنة'!$A$24:$A$32,0)),"")</f>
        <v>د. احمد بن عوض البشري</v>
      </c>
      <c r="I103" s="33"/>
      <c r="J103" s="33"/>
      <c r="K103" s="31" t="str">
        <f t="shared" si="1"/>
        <v/>
      </c>
      <c r="L103" s="34"/>
      <c r="M103" s="33"/>
      <c r="N103" s="34"/>
      <c r="O103" s="34"/>
      <c r="P103" s="33"/>
      <c r="Q103" s="34"/>
    </row>
    <row r="104" spans="1:17" x14ac:dyDescent="0.2">
      <c r="A104" s="31" t="s">
        <v>424</v>
      </c>
      <c r="B104" s="28" t="s">
        <v>151</v>
      </c>
      <c r="C104" s="29"/>
      <c r="D104" s="30"/>
      <c r="E104" s="31">
        <v>3</v>
      </c>
      <c r="F104" s="29" t="s">
        <v>428</v>
      </c>
      <c r="G104" s="32" t="s">
        <v>287</v>
      </c>
      <c r="H104" s="31" t="str">
        <f>IFERROR(INDEX('الإعدادات واللجنة'!$C$24:$C$32,MATCH(LEFT(A104,3),'الإعدادات واللجنة'!$A$24:$A$32,0)),"")</f>
        <v>د. احمد بن عوض البشري</v>
      </c>
      <c r="I104" s="33"/>
      <c r="J104" s="33"/>
      <c r="K104" s="31" t="str">
        <f t="shared" si="1"/>
        <v/>
      </c>
      <c r="L104" s="34"/>
      <c r="M104" s="33"/>
      <c r="N104" s="34"/>
      <c r="O104" s="34"/>
      <c r="P104" s="33"/>
      <c r="Q104" s="34"/>
    </row>
    <row r="105" spans="1:17" ht="26" x14ac:dyDescent="0.2">
      <c r="A105" s="35" t="s">
        <v>429</v>
      </c>
      <c r="B105" s="36" t="s">
        <v>151</v>
      </c>
      <c r="C105" s="37" t="s">
        <v>430</v>
      </c>
      <c r="D105" s="38" t="s">
        <v>293</v>
      </c>
      <c r="E105" s="39">
        <v>1</v>
      </c>
      <c r="F105" s="37" t="s">
        <v>431</v>
      </c>
      <c r="G105" s="40" t="s">
        <v>287</v>
      </c>
      <c r="H105" s="41" t="str">
        <f>IFERROR(INDEX('الإعدادات واللجنة'!$C$24:$C$32,MATCH(LEFT(A105,3),'الإعدادات واللجنة'!$A$24:$A$32,0)),"")</f>
        <v>د. احمد بن عوض البشري</v>
      </c>
      <c r="I105" s="42"/>
      <c r="J105" s="42"/>
      <c r="K105" s="41" t="str">
        <f t="shared" si="1"/>
        <v/>
      </c>
      <c r="L105" s="43"/>
      <c r="M105" s="42"/>
      <c r="N105" s="43"/>
      <c r="O105" s="43"/>
      <c r="P105" s="42"/>
      <c r="Q105" s="43"/>
    </row>
    <row r="106" spans="1:17" ht="26" x14ac:dyDescent="0.2">
      <c r="A106" s="44" t="s">
        <v>429</v>
      </c>
      <c r="B106" s="45" t="s">
        <v>151</v>
      </c>
      <c r="C106" s="46"/>
      <c r="D106" s="47" t="s">
        <v>293</v>
      </c>
      <c r="E106" s="44">
        <v>2</v>
      </c>
      <c r="F106" s="46" t="s">
        <v>432</v>
      </c>
      <c r="G106" s="32" t="s">
        <v>287</v>
      </c>
      <c r="H106" s="31" t="str">
        <f>IFERROR(INDEX('الإعدادات واللجنة'!$C$24:$C$32,MATCH(LEFT(A106,3),'الإعدادات واللجنة'!$A$24:$A$32,0)),"")</f>
        <v>د. احمد بن عوض البشري</v>
      </c>
      <c r="I106" s="33"/>
      <c r="J106" s="33"/>
      <c r="K106" s="31" t="str">
        <f t="shared" si="1"/>
        <v/>
      </c>
      <c r="L106" s="34"/>
      <c r="M106" s="33"/>
      <c r="N106" s="34"/>
      <c r="O106" s="34"/>
      <c r="P106" s="33"/>
      <c r="Q106" s="34"/>
    </row>
    <row r="107" spans="1:17" ht="39" x14ac:dyDescent="0.2">
      <c r="A107" s="35" t="s">
        <v>433</v>
      </c>
      <c r="B107" s="36" t="s">
        <v>151</v>
      </c>
      <c r="C107" s="37" t="s">
        <v>434</v>
      </c>
      <c r="D107" s="38" t="s">
        <v>293</v>
      </c>
      <c r="E107" s="39">
        <v>1</v>
      </c>
      <c r="F107" s="37" t="s">
        <v>435</v>
      </c>
      <c r="G107" s="40" t="s">
        <v>287</v>
      </c>
      <c r="H107" s="41" t="str">
        <f>IFERROR(INDEX('الإعدادات واللجنة'!$C$24:$C$32,MATCH(LEFT(A107,3),'الإعدادات واللجنة'!$A$24:$A$32,0)),"")</f>
        <v>د. يثرب بنت سعد القحطاني</v>
      </c>
      <c r="I107" s="42"/>
      <c r="J107" s="42"/>
      <c r="K107" s="41" t="str">
        <f t="shared" si="1"/>
        <v/>
      </c>
      <c r="L107" s="43"/>
      <c r="M107" s="42"/>
      <c r="N107" s="43"/>
      <c r="O107" s="43"/>
      <c r="P107" s="42"/>
      <c r="Q107" s="43"/>
    </row>
    <row r="108" spans="1:17" x14ac:dyDescent="0.2">
      <c r="A108" s="44" t="s">
        <v>433</v>
      </c>
      <c r="B108" s="45" t="s">
        <v>151</v>
      </c>
      <c r="C108" s="46"/>
      <c r="D108" s="47" t="s">
        <v>293</v>
      </c>
      <c r="E108" s="44">
        <v>2</v>
      </c>
      <c r="F108" s="46" t="s">
        <v>436</v>
      </c>
      <c r="G108" s="32" t="s">
        <v>287</v>
      </c>
      <c r="H108" s="31" t="str">
        <f>IFERROR(INDEX('الإعدادات واللجنة'!$C$24:$C$32,MATCH(LEFT(A108,3),'الإعدادات واللجنة'!$A$24:$A$32,0)),"")</f>
        <v>د. يثرب بنت سعد القحطاني</v>
      </c>
      <c r="I108" s="33"/>
      <c r="J108" s="33"/>
      <c r="K108" s="31" t="str">
        <f t="shared" si="1"/>
        <v/>
      </c>
      <c r="L108" s="34"/>
      <c r="M108" s="33"/>
      <c r="N108" s="34"/>
      <c r="O108" s="34"/>
      <c r="P108" s="33"/>
      <c r="Q108" s="34"/>
    </row>
    <row r="109" spans="1:17" ht="26" x14ac:dyDescent="0.2">
      <c r="A109" s="44" t="s">
        <v>433</v>
      </c>
      <c r="B109" s="45" t="s">
        <v>151</v>
      </c>
      <c r="C109" s="46"/>
      <c r="D109" s="47" t="s">
        <v>293</v>
      </c>
      <c r="E109" s="44">
        <v>3</v>
      </c>
      <c r="F109" s="46" t="s">
        <v>437</v>
      </c>
      <c r="G109" s="32" t="s">
        <v>287</v>
      </c>
      <c r="H109" s="31" t="str">
        <f>IFERROR(INDEX('الإعدادات واللجنة'!$C$24:$C$32,MATCH(LEFT(A109,3),'الإعدادات واللجنة'!$A$24:$A$32,0)),"")</f>
        <v>د. يثرب بنت سعد القحطاني</v>
      </c>
      <c r="I109" s="33"/>
      <c r="J109" s="33"/>
      <c r="K109" s="31" t="str">
        <f t="shared" si="1"/>
        <v/>
      </c>
      <c r="L109" s="34"/>
      <c r="M109" s="33"/>
      <c r="N109" s="34"/>
      <c r="O109" s="34"/>
      <c r="P109" s="33"/>
      <c r="Q109" s="34"/>
    </row>
    <row r="110" spans="1:17" ht="26" x14ac:dyDescent="0.2">
      <c r="A110" s="44" t="s">
        <v>433</v>
      </c>
      <c r="B110" s="45" t="s">
        <v>151</v>
      </c>
      <c r="C110" s="46"/>
      <c r="D110" s="47" t="s">
        <v>293</v>
      </c>
      <c r="E110" s="44">
        <v>4</v>
      </c>
      <c r="F110" s="46" t="s">
        <v>438</v>
      </c>
      <c r="G110" s="32" t="s">
        <v>287</v>
      </c>
      <c r="H110" s="31" t="str">
        <f>IFERROR(INDEX('الإعدادات واللجنة'!$C$24:$C$32,MATCH(LEFT(A110,3),'الإعدادات واللجنة'!$A$24:$A$32,0)),"")</f>
        <v>د. يثرب بنت سعد القحطاني</v>
      </c>
      <c r="I110" s="33"/>
      <c r="J110" s="33"/>
      <c r="K110" s="31" t="str">
        <f t="shared" si="1"/>
        <v/>
      </c>
      <c r="L110" s="34"/>
      <c r="M110" s="33"/>
      <c r="N110" s="34"/>
      <c r="O110" s="34"/>
      <c r="P110" s="33"/>
      <c r="Q110" s="34"/>
    </row>
    <row r="111" spans="1:17" ht="26" x14ac:dyDescent="0.2">
      <c r="A111" s="44" t="s">
        <v>433</v>
      </c>
      <c r="B111" s="45" t="s">
        <v>151</v>
      </c>
      <c r="C111" s="46"/>
      <c r="D111" s="47" t="s">
        <v>293</v>
      </c>
      <c r="E111" s="44">
        <v>5</v>
      </c>
      <c r="F111" s="46" t="s">
        <v>439</v>
      </c>
      <c r="G111" s="32" t="s">
        <v>287</v>
      </c>
      <c r="H111" s="31" t="str">
        <f>IFERROR(INDEX('الإعدادات واللجنة'!$C$24:$C$32,MATCH(LEFT(A111,3),'الإعدادات واللجنة'!$A$24:$A$32,0)),"")</f>
        <v>د. يثرب بنت سعد القحطاني</v>
      </c>
      <c r="I111" s="33"/>
      <c r="J111" s="33"/>
      <c r="K111" s="31" t="str">
        <f t="shared" si="1"/>
        <v/>
      </c>
      <c r="L111" s="34"/>
      <c r="M111" s="33"/>
      <c r="N111" s="34"/>
      <c r="O111" s="34"/>
      <c r="P111" s="33"/>
      <c r="Q111" s="34"/>
    </row>
    <row r="112" spans="1:17" ht="39" x14ac:dyDescent="0.2">
      <c r="A112" s="48" t="s">
        <v>440</v>
      </c>
      <c r="B112" s="49" t="s">
        <v>151</v>
      </c>
      <c r="C112" s="50" t="s">
        <v>441</v>
      </c>
      <c r="D112" s="51"/>
      <c r="E112" s="41">
        <v>1</v>
      </c>
      <c r="F112" s="50" t="s">
        <v>442</v>
      </c>
      <c r="G112" s="40" t="s">
        <v>287</v>
      </c>
      <c r="H112" s="41" t="str">
        <f>IFERROR(INDEX('الإعدادات واللجنة'!$C$24:$C$32,MATCH(LEFT(A112,3),'الإعدادات واللجنة'!$A$24:$A$32,0)),"")</f>
        <v>د. يثرب بنت سعد القحطاني</v>
      </c>
      <c r="I112" s="42"/>
      <c r="J112" s="42"/>
      <c r="K112" s="41" t="str">
        <f t="shared" si="1"/>
        <v/>
      </c>
      <c r="L112" s="43"/>
      <c r="M112" s="42"/>
      <c r="N112" s="43"/>
      <c r="O112" s="43"/>
      <c r="P112" s="42"/>
      <c r="Q112" s="43"/>
    </row>
    <row r="113" spans="1:17" x14ac:dyDescent="0.2">
      <c r="A113" s="31" t="s">
        <v>440</v>
      </c>
      <c r="B113" s="28" t="s">
        <v>151</v>
      </c>
      <c r="C113" s="29"/>
      <c r="D113" s="30"/>
      <c r="E113" s="31">
        <v>2</v>
      </c>
      <c r="F113" s="29" t="s">
        <v>443</v>
      </c>
      <c r="G113" s="32" t="s">
        <v>287</v>
      </c>
      <c r="H113" s="31" t="str">
        <f>IFERROR(INDEX('الإعدادات واللجنة'!$C$24:$C$32,MATCH(LEFT(A113,3),'الإعدادات واللجنة'!$A$24:$A$32,0)),"")</f>
        <v>د. يثرب بنت سعد القحطاني</v>
      </c>
      <c r="I113" s="33"/>
      <c r="J113" s="33"/>
      <c r="K113" s="31" t="str">
        <f t="shared" si="1"/>
        <v/>
      </c>
      <c r="L113" s="34"/>
      <c r="M113" s="33"/>
      <c r="N113" s="34"/>
      <c r="O113" s="34"/>
      <c r="P113" s="33"/>
      <c r="Q113" s="34"/>
    </row>
    <row r="114" spans="1:17" x14ac:dyDescent="0.2">
      <c r="A114" s="31" t="s">
        <v>440</v>
      </c>
      <c r="B114" s="28" t="s">
        <v>151</v>
      </c>
      <c r="C114" s="29"/>
      <c r="D114" s="30"/>
      <c r="E114" s="31">
        <v>3</v>
      </c>
      <c r="F114" s="29" t="s">
        <v>444</v>
      </c>
      <c r="G114" s="32" t="s">
        <v>287</v>
      </c>
      <c r="H114" s="31" t="str">
        <f>IFERROR(INDEX('الإعدادات واللجنة'!$C$24:$C$32,MATCH(LEFT(A114,3),'الإعدادات واللجنة'!$A$24:$A$32,0)),"")</f>
        <v>د. يثرب بنت سعد القحطاني</v>
      </c>
      <c r="I114" s="33"/>
      <c r="J114" s="33"/>
      <c r="K114" s="31" t="str">
        <f t="shared" si="1"/>
        <v/>
      </c>
      <c r="L114" s="34"/>
      <c r="M114" s="33"/>
      <c r="N114" s="34"/>
      <c r="O114" s="34"/>
      <c r="P114" s="33"/>
      <c r="Q114" s="34"/>
    </row>
    <row r="115" spans="1:17" ht="26" x14ac:dyDescent="0.2">
      <c r="A115" s="31" t="s">
        <v>440</v>
      </c>
      <c r="B115" s="28" t="s">
        <v>151</v>
      </c>
      <c r="C115" s="29"/>
      <c r="D115" s="30"/>
      <c r="E115" s="31">
        <v>4</v>
      </c>
      <c r="F115" s="29" t="s">
        <v>445</v>
      </c>
      <c r="G115" s="32" t="s">
        <v>287</v>
      </c>
      <c r="H115" s="31" t="str">
        <f>IFERROR(INDEX('الإعدادات واللجنة'!$C$24:$C$32,MATCH(LEFT(A115,3),'الإعدادات واللجنة'!$A$24:$A$32,0)),"")</f>
        <v>د. يثرب بنت سعد القحطاني</v>
      </c>
      <c r="I115" s="33"/>
      <c r="J115" s="33"/>
      <c r="K115" s="31" t="str">
        <f t="shared" si="1"/>
        <v/>
      </c>
      <c r="L115" s="34"/>
      <c r="M115" s="33"/>
      <c r="N115" s="34"/>
      <c r="O115" s="34"/>
      <c r="P115" s="33"/>
      <c r="Q115" s="34"/>
    </row>
    <row r="116" spans="1:17" ht="39" x14ac:dyDescent="0.2">
      <c r="A116" s="48" t="s">
        <v>446</v>
      </c>
      <c r="B116" s="49" t="s">
        <v>151</v>
      </c>
      <c r="C116" s="50" t="s">
        <v>447</v>
      </c>
      <c r="D116" s="51"/>
      <c r="E116" s="41">
        <v>1</v>
      </c>
      <c r="F116" s="50" t="s">
        <v>448</v>
      </c>
      <c r="G116" s="40" t="s">
        <v>287</v>
      </c>
      <c r="H116" s="41" t="str">
        <f>IFERROR(INDEX('الإعدادات واللجنة'!$C$24:$C$32,MATCH(LEFT(A116,3),'الإعدادات واللجنة'!$A$24:$A$32,0)),"")</f>
        <v>د. يثرب بنت سعد القحطاني</v>
      </c>
      <c r="I116" s="42"/>
      <c r="J116" s="42"/>
      <c r="K116" s="41" t="str">
        <f t="shared" si="1"/>
        <v/>
      </c>
      <c r="L116" s="43"/>
      <c r="M116" s="42"/>
      <c r="N116" s="43"/>
      <c r="O116" s="43"/>
      <c r="P116" s="42"/>
      <c r="Q116" s="43"/>
    </row>
    <row r="117" spans="1:17" ht="39" x14ac:dyDescent="0.2">
      <c r="A117" s="31" t="s">
        <v>446</v>
      </c>
      <c r="B117" s="28" t="s">
        <v>151</v>
      </c>
      <c r="C117" s="29"/>
      <c r="D117" s="30"/>
      <c r="E117" s="31">
        <v>2</v>
      </c>
      <c r="F117" s="29" t="s">
        <v>449</v>
      </c>
      <c r="G117" s="32" t="s">
        <v>287</v>
      </c>
      <c r="H117" s="31" t="str">
        <f>IFERROR(INDEX('الإعدادات واللجنة'!$C$24:$C$32,MATCH(LEFT(A117,3),'الإعدادات واللجنة'!$A$24:$A$32,0)),"")</f>
        <v>د. يثرب بنت سعد القحطاني</v>
      </c>
      <c r="I117" s="33"/>
      <c r="J117" s="33"/>
      <c r="K117" s="31" t="str">
        <f t="shared" si="1"/>
        <v/>
      </c>
      <c r="L117" s="34"/>
      <c r="M117" s="33"/>
      <c r="N117" s="34"/>
      <c r="O117" s="34"/>
      <c r="P117" s="33"/>
      <c r="Q117" s="34"/>
    </row>
    <row r="118" spans="1:17" x14ac:dyDescent="0.2">
      <c r="A118" s="31" t="s">
        <v>446</v>
      </c>
      <c r="B118" s="28" t="s">
        <v>151</v>
      </c>
      <c r="C118" s="29"/>
      <c r="D118" s="30"/>
      <c r="E118" s="31">
        <v>3</v>
      </c>
      <c r="F118" s="29" t="s">
        <v>450</v>
      </c>
      <c r="G118" s="32" t="s">
        <v>287</v>
      </c>
      <c r="H118" s="31" t="str">
        <f>IFERROR(INDEX('الإعدادات واللجنة'!$C$24:$C$32,MATCH(LEFT(A118,3),'الإعدادات واللجنة'!$A$24:$A$32,0)),"")</f>
        <v>د. يثرب بنت سعد القحطاني</v>
      </c>
      <c r="I118" s="33"/>
      <c r="J118" s="33"/>
      <c r="K118" s="31" t="str">
        <f t="shared" si="1"/>
        <v/>
      </c>
      <c r="L118" s="34"/>
      <c r="M118" s="33"/>
      <c r="N118" s="34"/>
      <c r="O118" s="34"/>
      <c r="P118" s="33"/>
      <c r="Q118" s="34"/>
    </row>
    <row r="119" spans="1:17" ht="26" x14ac:dyDescent="0.2">
      <c r="A119" s="48" t="s">
        <v>451</v>
      </c>
      <c r="B119" s="49" t="s">
        <v>151</v>
      </c>
      <c r="C119" s="50" t="s">
        <v>452</v>
      </c>
      <c r="D119" s="51"/>
      <c r="E119" s="41">
        <v>1</v>
      </c>
      <c r="F119" s="50" t="s">
        <v>453</v>
      </c>
      <c r="G119" s="40" t="s">
        <v>287</v>
      </c>
      <c r="H119" s="41" t="str">
        <f>IFERROR(INDEX('الإعدادات واللجنة'!$C$24:$C$32,MATCH(LEFT(A119,3),'الإعدادات واللجنة'!$A$24:$A$32,0)),"")</f>
        <v>د. يثرب بنت سعد القحطاني</v>
      </c>
      <c r="I119" s="42"/>
      <c r="J119" s="42"/>
      <c r="K119" s="41" t="str">
        <f t="shared" si="1"/>
        <v/>
      </c>
      <c r="L119" s="43"/>
      <c r="M119" s="42"/>
      <c r="N119" s="43"/>
      <c r="O119" s="43"/>
      <c r="P119" s="42"/>
      <c r="Q119" s="43"/>
    </row>
    <row r="120" spans="1:17" ht="26" x14ac:dyDescent="0.2">
      <c r="A120" s="31" t="s">
        <v>451</v>
      </c>
      <c r="B120" s="28" t="s">
        <v>151</v>
      </c>
      <c r="C120" s="29"/>
      <c r="D120" s="30"/>
      <c r="E120" s="31">
        <v>2</v>
      </c>
      <c r="F120" s="29" t="s">
        <v>454</v>
      </c>
      <c r="G120" s="32" t="s">
        <v>287</v>
      </c>
      <c r="H120" s="31" t="str">
        <f>IFERROR(INDEX('الإعدادات واللجنة'!$C$24:$C$32,MATCH(LEFT(A120,3),'الإعدادات واللجنة'!$A$24:$A$32,0)),"")</f>
        <v>د. يثرب بنت سعد القحطاني</v>
      </c>
      <c r="I120" s="33"/>
      <c r="J120" s="33"/>
      <c r="K120" s="31" t="str">
        <f t="shared" si="1"/>
        <v/>
      </c>
      <c r="L120" s="34"/>
      <c r="M120" s="33"/>
      <c r="N120" s="34"/>
      <c r="O120" s="34"/>
      <c r="P120" s="33"/>
      <c r="Q120" s="34"/>
    </row>
    <row r="121" spans="1:17" ht="26" x14ac:dyDescent="0.2">
      <c r="A121" s="31" t="s">
        <v>451</v>
      </c>
      <c r="B121" s="28" t="s">
        <v>151</v>
      </c>
      <c r="C121" s="29"/>
      <c r="D121" s="30"/>
      <c r="E121" s="31">
        <v>3</v>
      </c>
      <c r="F121" s="29" t="s">
        <v>455</v>
      </c>
      <c r="G121" s="32" t="s">
        <v>287</v>
      </c>
      <c r="H121" s="31" t="str">
        <f>IFERROR(INDEX('الإعدادات واللجنة'!$C$24:$C$32,MATCH(LEFT(A121,3),'الإعدادات واللجنة'!$A$24:$A$32,0)),"")</f>
        <v>د. يثرب بنت سعد القحطاني</v>
      </c>
      <c r="I121" s="33"/>
      <c r="J121" s="33"/>
      <c r="K121" s="31" t="str">
        <f t="shared" si="1"/>
        <v/>
      </c>
      <c r="L121" s="34"/>
      <c r="M121" s="33"/>
      <c r="N121" s="34"/>
      <c r="O121" s="34"/>
      <c r="P121" s="33"/>
      <c r="Q121" s="34"/>
    </row>
    <row r="122" spans="1:17" ht="26" x14ac:dyDescent="0.2">
      <c r="A122" s="48" t="s">
        <v>456</v>
      </c>
      <c r="B122" s="49" t="s">
        <v>151</v>
      </c>
      <c r="C122" s="50" t="s">
        <v>457</v>
      </c>
      <c r="D122" s="51"/>
      <c r="E122" s="41">
        <v>1</v>
      </c>
      <c r="F122" s="50" t="s">
        <v>458</v>
      </c>
      <c r="G122" s="40" t="s">
        <v>287</v>
      </c>
      <c r="H122" s="41" t="str">
        <f>IFERROR(INDEX('الإعدادات واللجنة'!$C$24:$C$32,MATCH(LEFT(A122,3),'الإعدادات واللجنة'!$A$24:$A$32,0)),"")</f>
        <v>د. يثرب بنت سعد القحطاني</v>
      </c>
      <c r="I122" s="42"/>
      <c r="J122" s="42"/>
      <c r="K122" s="41" t="str">
        <f t="shared" si="1"/>
        <v/>
      </c>
      <c r="L122" s="43"/>
      <c r="M122" s="42"/>
      <c r="N122" s="43"/>
      <c r="O122" s="43"/>
      <c r="P122" s="42"/>
      <c r="Q122" s="43"/>
    </row>
    <row r="123" spans="1:17" x14ac:dyDescent="0.2">
      <c r="A123" s="31" t="s">
        <v>456</v>
      </c>
      <c r="B123" s="28" t="s">
        <v>151</v>
      </c>
      <c r="C123" s="29"/>
      <c r="D123" s="30"/>
      <c r="E123" s="31">
        <v>2</v>
      </c>
      <c r="F123" s="29" t="s">
        <v>459</v>
      </c>
      <c r="G123" s="32" t="s">
        <v>287</v>
      </c>
      <c r="H123" s="31" t="str">
        <f>IFERROR(INDEX('الإعدادات واللجنة'!$C$24:$C$32,MATCH(LEFT(A123,3),'الإعدادات واللجنة'!$A$24:$A$32,0)),"")</f>
        <v>د. يثرب بنت سعد القحطاني</v>
      </c>
      <c r="I123" s="33"/>
      <c r="J123" s="33"/>
      <c r="K123" s="31" t="str">
        <f t="shared" si="1"/>
        <v/>
      </c>
      <c r="L123" s="34"/>
      <c r="M123" s="33"/>
      <c r="N123" s="34"/>
      <c r="O123" s="34"/>
      <c r="P123" s="33"/>
      <c r="Q123" s="34"/>
    </row>
    <row r="124" spans="1:17" x14ac:dyDescent="0.2">
      <c r="A124" s="31" t="s">
        <v>456</v>
      </c>
      <c r="B124" s="28" t="s">
        <v>151</v>
      </c>
      <c r="C124" s="29"/>
      <c r="D124" s="30"/>
      <c r="E124" s="31">
        <v>3</v>
      </c>
      <c r="F124" s="29" t="s">
        <v>460</v>
      </c>
      <c r="G124" s="32" t="s">
        <v>287</v>
      </c>
      <c r="H124" s="31" t="str">
        <f>IFERROR(INDEX('الإعدادات واللجنة'!$C$24:$C$32,MATCH(LEFT(A124,3),'الإعدادات واللجنة'!$A$24:$A$32,0)),"")</f>
        <v>د. يثرب بنت سعد القحطاني</v>
      </c>
      <c r="I124" s="33"/>
      <c r="J124" s="33"/>
      <c r="K124" s="31" t="str">
        <f t="shared" si="1"/>
        <v/>
      </c>
      <c r="L124" s="34"/>
      <c r="M124" s="33"/>
      <c r="N124" s="34"/>
      <c r="O124" s="34"/>
      <c r="P124" s="33"/>
      <c r="Q124" s="34"/>
    </row>
    <row r="125" spans="1:17" x14ac:dyDescent="0.2">
      <c r="A125" s="31" t="s">
        <v>456</v>
      </c>
      <c r="B125" s="28" t="s">
        <v>151</v>
      </c>
      <c r="C125" s="29"/>
      <c r="D125" s="30"/>
      <c r="E125" s="31">
        <v>4</v>
      </c>
      <c r="F125" s="29" t="s">
        <v>461</v>
      </c>
      <c r="G125" s="32" t="s">
        <v>287</v>
      </c>
      <c r="H125" s="31" t="str">
        <f>IFERROR(INDEX('الإعدادات واللجنة'!$C$24:$C$32,MATCH(LEFT(A125,3),'الإعدادات واللجنة'!$A$24:$A$32,0)),"")</f>
        <v>د. يثرب بنت سعد القحطاني</v>
      </c>
      <c r="I125" s="33"/>
      <c r="J125" s="33"/>
      <c r="K125" s="31" t="str">
        <f t="shared" si="1"/>
        <v/>
      </c>
      <c r="L125" s="34"/>
      <c r="M125" s="33"/>
      <c r="N125" s="34"/>
      <c r="O125" s="34"/>
      <c r="P125" s="33"/>
      <c r="Q125" s="34"/>
    </row>
    <row r="126" spans="1:17" x14ac:dyDescent="0.2">
      <c r="A126" s="31" t="s">
        <v>456</v>
      </c>
      <c r="B126" s="28" t="s">
        <v>151</v>
      </c>
      <c r="C126" s="29"/>
      <c r="D126" s="30"/>
      <c r="E126" s="31">
        <v>5</v>
      </c>
      <c r="F126" s="29" t="s">
        <v>462</v>
      </c>
      <c r="G126" s="32" t="s">
        <v>287</v>
      </c>
      <c r="H126" s="31" t="str">
        <f>IFERROR(INDEX('الإعدادات واللجنة'!$C$24:$C$32,MATCH(LEFT(A126,3),'الإعدادات واللجنة'!$A$24:$A$32,0)),"")</f>
        <v>د. يثرب بنت سعد القحطاني</v>
      </c>
      <c r="I126" s="33"/>
      <c r="J126" s="33"/>
      <c r="K126" s="31" t="str">
        <f t="shared" si="1"/>
        <v/>
      </c>
      <c r="L126" s="34"/>
      <c r="M126" s="33"/>
      <c r="N126" s="34"/>
      <c r="O126" s="34"/>
      <c r="P126" s="33"/>
      <c r="Q126" s="34"/>
    </row>
    <row r="127" spans="1:17" ht="26" x14ac:dyDescent="0.2">
      <c r="A127" s="35" t="s">
        <v>463</v>
      </c>
      <c r="B127" s="36" t="s">
        <v>151</v>
      </c>
      <c r="C127" s="37" t="s">
        <v>464</v>
      </c>
      <c r="D127" s="38" t="s">
        <v>293</v>
      </c>
      <c r="E127" s="39">
        <v>1</v>
      </c>
      <c r="F127" s="37" t="s">
        <v>465</v>
      </c>
      <c r="G127" s="40" t="s">
        <v>287</v>
      </c>
      <c r="H127" s="41" t="str">
        <f>IFERROR(INDEX('الإعدادات واللجنة'!$C$24:$C$32,MATCH(LEFT(A127,3),'الإعدادات واللجنة'!$A$24:$A$32,0)),"")</f>
        <v>د. يثرب بنت سعد القحطاني</v>
      </c>
      <c r="I127" s="42"/>
      <c r="J127" s="42"/>
      <c r="K127" s="41" t="str">
        <f t="shared" si="1"/>
        <v/>
      </c>
      <c r="L127" s="43"/>
      <c r="M127" s="42"/>
      <c r="N127" s="43"/>
      <c r="O127" s="43"/>
      <c r="P127" s="42"/>
      <c r="Q127" s="43"/>
    </row>
    <row r="128" spans="1:17" x14ac:dyDescent="0.2">
      <c r="A128" s="44" t="s">
        <v>463</v>
      </c>
      <c r="B128" s="45" t="s">
        <v>151</v>
      </c>
      <c r="C128" s="46"/>
      <c r="D128" s="47" t="s">
        <v>293</v>
      </c>
      <c r="E128" s="44">
        <v>2</v>
      </c>
      <c r="F128" s="46" t="s">
        <v>466</v>
      </c>
      <c r="G128" s="32" t="s">
        <v>287</v>
      </c>
      <c r="H128" s="31" t="str">
        <f>IFERROR(INDEX('الإعدادات واللجنة'!$C$24:$C$32,MATCH(LEFT(A128,3),'الإعدادات واللجنة'!$A$24:$A$32,0)),"")</f>
        <v>د. يثرب بنت سعد القحطاني</v>
      </c>
      <c r="I128" s="33"/>
      <c r="J128" s="33"/>
      <c r="K128" s="31" t="str">
        <f t="shared" si="1"/>
        <v/>
      </c>
      <c r="L128" s="34"/>
      <c r="M128" s="33"/>
      <c r="N128" s="34"/>
      <c r="O128" s="34"/>
      <c r="P128" s="33"/>
      <c r="Q128" s="34"/>
    </row>
    <row r="129" spans="1:17" ht="26" x14ac:dyDescent="0.2">
      <c r="A129" s="44" t="s">
        <v>463</v>
      </c>
      <c r="B129" s="45" t="s">
        <v>151</v>
      </c>
      <c r="C129" s="46"/>
      <c r="D129" s="47" t="s">
        <v>293</v>
      </c>
      <c r="E129" s="44">
        <v>3</v>
      </c>
      <c r="F129" s="46" t="s">
        <v>467</v>
      </c>
      <c r="G129" s="32" t="s">
        <v>287</v>
      </c>
      <c r="H129" s="31" t="str">
        <f>IFERROR(INDEX('الإعدادات واللجنة'!$C$24:$C$32,MATCH(LEFT(A129,3),'الإعدادات واللجنة'!$A$24:$A$32,0)),"")</f>
        <v>د. يثرب بنت سعد القحطاني</v>
      </c>
      <c r="I129" s="33"/>
      <c r="J129" s="33"/>
      <c r="K129" s="31" t="str">
        <f t="shared" si="1"/>
        <v/>
      </c>
      <c r="L129" s="34"/>
      <c r="M129" s="33"/>
      <c r="N129" s="34"/>
      <c r="O129" s="34"/>
      <c r="P129" s="33"/>
      <c r="Q129" s="34"/>
    </row>
    <row r="130" spans="1:17" ht="26" x14ac:dyDescent="0.2">
      <c r="A130" s="44" t="s">
        <v>463</v>
      </c>
      <c r="B130" s="45" t="s">
        <v>151</v>
      </c>
      <c r="C130" s="46"/>
      <c r="D130" s="47" t="s">
        <v>293</v>
      </c>
      <c r="E130" s="44">
        <v>4</v>
      </c>
      <c r="F130" s="46" t="s">
        <v>468</v>
      </c>
      <c r="G130" s="32" t="s">
        <v>287</v>
      </c>
      <c r="H130" s="31" t="str">
        <f>IFERROR(INDEX('الإعدادات واللجنة'!$C$24:$C$32,MATCH(LEFT(A130,3),'الإعدادات واللجنة'!$A$24:$A$32,0)),"")</f>
        <v>د. يثرب بنت سعد القحطاني</v>
      </c>
      <c r="I130" s="33"/>
      <c r="J130" s="33"/>
      <c r="K130" s="31" t="str">
        <f t="shared" si="1"/>
        <v/>
      </c>
      <c r="L130" s="34"/>
      <c r="M130" s="33"/>
      <c r="N130" s="34"/>
      <c r="O130" s="34"/>
      <c r="P130" s="33"/>
      <c r="Q130" s="34"/>
    </row>
    <row r="131" spans="1:17" x14ac:dyDescent="0.2">
      <c r="A131" s="44" t="s">
        <v>463</v>
      </c>
      <c r="B131" s="45" t="s">
        <v>151</v>
      </c>
      <c r="C131" s="46"/>
      <c r="D131" s="47" t="s">
        <v>293</v>
      </c>
      <c r="E131" s="44">
        <v>5</v>
      </c>
      <c r="F131" s="46" t="s">
        <v>469</v>
      </c>
      <c r="G131" s="32" t="s">
        <v>287</v>
      </c>
      <c r="H131" s="31" t="str">
        <f>IFERROR(INDEX('الإعدادات واللجنة'!$C$24:$C$32,MATCH(LEFT(A131,3),'الإعدادات واللجنة'!$A$24:$A$32,0)),"")</f>
        <v>د. يثرب بنت سعد القحطاني</v>
      </c>
      <c r="I131" s="33"/>
      <c r="J131" s="33"/>
      <c r="K131" s="31" t="str">
        <f t="shared" si="1"/>
        <v/>
      </c>
      <c r="L131" s="34"/>
      <c r="M131" s="33"/>
      <c r="N131" s="34"/>
      <c r="O131" s="34"/>
      <c r="P131" s="33"/>
      <c r="Q131" s="34"/>
    </row>
    <row r="132" spans="1:17" ht="39" x14ac:dyDescent="0.2">
      <c r="A132" s="48" t="s">
        <v>470</v>
      </c>
      <c r="B132" s="49" t="s">
        <v>152</v>
      </c>
      <c r="C132" s="50" t="s">
        <v>471</v>
      </c>
      <c r="D132" s="51"/>
      <c r="E132" s="41">
        <v>1</v>
      </c>
      <c r="F132" s="50" t="s">
        <v>472</v>
      </c>
      <c r="G132" s="40" t="s">
        <v>287</v>
      </c>
      <c r="H132" s="41" t="str">
        <f>IFERROR(INDEX('الإعدادات واللجنة'!$C$24:$C$32,MATCH(LEFT(A132,3),'الإعدادات واللجنة'!$A$24:$A$32,0)),"")</f>
        <v>د. عبدالله بن محمد البركاتي</v>
      </c>
      <c r="I132" s="42"/>
      <c r="J132" s="42"/>
      <c r="K132" s="41" t="str">
        <f t="shared" si="1"/>
        <v/>
      </c>
      <c r="L132" s="43"/>
      <c r="M132" s="42"/>
      <c r="N132" s="43"/>
      <c r="O132" s="43"/>
      <c r="P132" s="42"/>
      <c r="Q132" s="43"/>
    </row>
    <row r="133" spans="1:17" x14ac:dyDescent="0.2">
      <c r="A133" s="31" t="s">
        <v>470</v>
      </c>
      <c r="B133" s="28" t="s">
        <v>152</v>
      </c>
      <c r="C133" s="29"/>
      <c r="D133" s="30"/>
      <c r="E133" s="31">
        <v>2</v>
      </c>
      <c r="F133" s="29" t="s">
        <v>473</v>
      </c>
      <c r="G133" s="32" t="s">
        <v>287</v>
      </c>
      <c r="H133" s="31" t="str">
        <f>IFERROR(INDEX('الإعدادات واللجنة'!$C$24:$C$32,MATCH(LEFT(A133,3),'الإعدادات واللجنة'!$A$24:$A$32,0)),"")</f>
        <v>د. عبدالله بن محمد البركاتي</v>
      </c>
      <c r="I133" s="33"/>
      <c r="J133" s="33"/>
      <c r="K133" s="31" t="str">
        <f t="shared" ref="K133:K196" si="2">IF(OR(I133="",I133="متوفر ومكتمل"),"",IF(OR(D133="★",I133="غير متوفر"),"عالية","متوسطة"))</f>
        <v/>
      </c>
      <c r="L133" s="34"/>
      <c r="M133" s="33"/>
      <c r="N133" s="34"/>
      <c r="O133" s="34"/>
      <c r="P133" s="33"/>
      <c r="Q133" s="34"/>
    </row>
    <row r="134" spans="1:17" x14ac:dyDescent="0.2">
      <c r="A134" s="31" t="s">
        <v>470</v>
      </c>
      <c r="B134" s="28" t="s">
        <v>152</v>
      </c>
      <c r="C134" s="29"/>
      <c r="D134" s="30"/>
      <c r="E134" s="31">
        <v>3</v>
      </c>
      <c r="F134" s="29" t="s">
        <v>474</v>
      </c>
      <c r="G134" s="32" t="s">
        <v>287</v>
      </c>
      <c r="H134" s="31" t="str">
        <f>IFERROR(INDEX('الإعدادات واللجنة'!$C$24:$C$32,MATCH(LEFT(A134,3),'الإعدادات واللجنة'!$A$24:$A$32,0)),"")</f>
        <v>د. عبدالله بن محمد البركاتي</v>
      </c>
      <c r="I134" s="33"/>
      <c r="J134" s="33"/>
      <c r="K134" s="31" t="str">
        <f t="shared" si="2"/>
        <v/>
      </c>
      <c r="L134" s="34"/>
      <c r="M134" s="33"/>
      <c r="N134" s="34"/>
      <c r="O134" s="34"/>
      <c r="P134" s="33"/>
      <c r="Q134" s="34"/>
    </row>
    <row r="135" spans="1:17" x14ac:dyDescent="0.2">
      <c r="A135" s="31" t="s">
        <v>470</v>
      </c>
      <c r="B135" s="28" t="s">
        <v>152</v>
      </c>
      <c r="C135" s="29"/>
      <c r="D135" s="30"/>
      <c r="E135" s="31">
        <v>4</v>
      </c>
      <c r="F135" s="29" t="s">
        <v>475</v>
      </c>
      <c r="G135" s="32" t="s">
        <v>287</v>
      </c>
      <c r="H135" s="31" t="str">
        <f>IFERROR(INDEX('الإعدادات واللجنة'!$C$24:$C$32,MATCH(LEFT(A135,3),'الإعدادات واللجنة'!$A$24:$A$32,0)),"")</f>
        <v>د. عبدالله بن محمد البركاتي</v>
      </c>
      <c r="I135" s="33"/>
      <c r="J135" s="33"/>
      <c r="K135" s="31" t="str">
        <f t="shared" si="2"/>
        <v/>
      </c>
      <c r="L135" s="34"/>
      <c r="M135" s="33"/>
      <c r="N135" s="34"/>
      <c r="O135" s="34"/>
      <c r="P135" s="33"/>
      <c r="Q135" s="34"/>
    </row>
    <row r="136" spans="1:17" x14ac:dyDescent="0.2">
      <c r="A136" s="31" t="s">
        <v>470</v>
      </c>
      <c r="B136" s="28" t="s">
        <v>152</v>
      </c>
      <c r="C136" s="29"/>
      <c r="D136" s="30"/>
      <c r="E136" s="31">
        <v>5</v>
      </c>
      <c r="F136" s="29" t="s">
        <v>476</v>
      </c>
      <c r="G136" s="32" t="s">
        <v>287</v>
      </c>
      <c r="H136" s="31" t="str">
        <f>IFERROR(INDEX('الإعدادات واللجنة'!$C$24:$C$32,MATCH(LEFT(A136,3),'الإعدادات واللجنة'!$A$24:$A$32,0)),"")</f>
        <v>د. عبدالله بن محمد البركاتي</v>
      </c>
      <c r="I136" s="33"/>
      <c r="J136" s="33"/>
      <c r="K136" s="31" t="str">
        <f t="shared" si="2"/>
        <v/>
      </c>
      <c r="L136" s="34"/>
      <c r="M136" s="33"/>
      <c r="N136" s="34"/>
      <c r="O136" s="34"/>
      <c r="P136" s="33"/>
      <c r="Q136" s="34"/>
    </row>
    <row r="137" spans="1:17" ht="26" x14ac:dyDescent="0.2">
      <c r="A137" s="48" t="s">
        <v>477</v>
      </c>
      <c r="B137" s="49" t="s">
        <v>152</v>
      </c>
      <c r="C137" s="50" t="s">
        <v>478</v>
      </c>
      <c r="D137" s="51"/>
      <c r="E137" s="41">
        <v>1</v>
      </c>
      <c r="F137" s="50" t="s">
        <v>479</v>
      </c>
      <c r="G137" s="40" t="s">
        <v>287</v>
      </c>
      <c r="H137" s="41" t="str">
        <f>IFERROR(INDEX('الإعدادات واللجنة'!$C$24:$C$32,MATCH(LEFT(A137,3),'الإعدادات واللجنة'!$A$24:$A$32,0)),"")</f>
        <v>د. عبدالله بن محمد البركاتي</v>
      </c>
      <c r="I137" s="42"/>
      <c r="J137" s="42"/>
      <c r="K137" s="41" t="str">
        <f t="shared" si="2"/>
        <v/>
      </c>
      <c r="L137" s="43"/>
      <c r="M137" s="42"/>
      <c r="N137" s="43"/>
      <c r="O137" s="43"/>
      <c r="P137" s="42"/>
      <c r="Q137" s="43"/>
    </row>
    <row r="138" spans="1:17" ht="26" x14ac:dyDescent="0.2">
      <c r="A138" s="31" t="s">
        <v>477</v>
      </c>
      <c r="B138" s="28" t="s">
        <v>152</v>
      </c>
      <c r="C138" s="29"/>
      <c r="D138" s="30"/>
      <c r="E138" s="31">
        <v>2</v>
      </c>
      <c r="F138" s="29" t="s">
        <v>480</v>
      </c>
      <c r="G138" s="32" t="s">
        <v>287</v>
      </c>
      <c r="H138" s="31" t="str">
        <f>IFERROR(INDEX('الإعدادات واللجنة'!$C$24:$C$32,MATCH(LEFT(A138,3),'الإعدادات واللجنة'!$A$24:$A$32,0)),"")</f>
        <v>د. عبدالله بن محمد البركاتي</v>
      </c>
      <c r="I138" s="33"/>
      <c r="J138" s="33"/>
      <c r="K138" s="31" t="str">
        <f t="shared" si="2"/>
        <v/>
      </c>
      <c r="L138" s="34"/>
      <c r="M138" s="33"/>
      <c r="N138" s="34"/>
      <c r="O138" s="34"/>
      <c r="P138" s="33"/>
      <c r="Q138" s="34"/>
    </row>
    <row r="139" spans="1:17" x14ac:dyDescent="0.2">
      <c r="A139" s="31" t="s">
        <v>477</v>
      </c>
      <c r="B139" s="28" t="s">
        <v>152</v>
      </c>
      <c r="C139" s="29"/>
      <c r="D139" s="30"/>
      <c r="E139" s="31">
        <v>3</v>
      </c>
      <c r="F139" s="29" t="s">
        <v>481</v>
      </c>
      <c r="G139" s="32" t="s">
        <v>287</v>
      </c>
      <c r="H139" s="31" t="str">
        <f>IFERROR(INDEX('الإعدادات واللجنة'!$C$24:$C$32,MATCH(LEFT(A139,3),'الإعدادات واللجنة'!$A$24:$A$32,0)),"")</f>
        <v>د. عبدالله بن محمد البركاتي</v>
      </c>
      <c r="I139" s="33"/>
      <c r="J139" s="33"/>
      <c r="K139" s="31" t="str">
        <f t="shared" si="2"/>
        <v/>
      </c>
      <c r="L139" s="34"/>
      <c r="M139" s="33"/>
      <c r="N139" s="34"/>
      <c r="O139" s="34"/>
      <c r="P139" s="33"/>
      <c r="Q139" s="34"/>
    </row>
    <row r="140" spans="1:17" ht="26" x14ac:dyDescent="0.2">
      <c r="A140" s="35" t="s">
        <v>482</v>
      </c>
      <c r="B140" s="36" t="s">
        <v>152</v>
      </c>
      <c r="C140" s="37" t="s">
        <v>483</v>
      </c>
      <c r="D140" s="38" t="s">
        <v>293</v>
      </c>
      <c r="E140" s="39">
        <v>1</v>
      </c>
      <c r="F140" s="37" t="s">
        <v>484</v>
      </c>
      <c r="G140" s="40" t="s">
        <v>287</v>
      </c>
      <c r="H140" s="41" t="str">
        <f>IFERROR(INDEX('الإعدادات واللجنة'!$C$24:$C$32,MATCH(LEFT(A140,3),'الإعدادات واللجنة'!$A$24:$A$32,0)),"")</f>
        <v>د. عبدالله بن محمد البركاتي</v>
      </c>
      <c r="I140" s="42"/>
      <c r="J140" s="42"/>
      <c r="K140" s="41" t="str">
        <f t="shared" si="2"/>
        <v/>
      </c>
      <c r="L140" s="43"/>
      <c r="M140" s="42"/>
      <c r="N140" s="43"/>
      <c r="O140" s="43"/>
      <c r="P140" s="42"/>
      <c r="Q140" s="43"/>
    </row>
    <row r="141" spans="1:17" x14ac:dyDescent="0.2">
      <c r="A141" s="44" t="s">
        <v>482</v>
      </c>
      <c r="B141" s="45" t="s">
        <v>152</v>
      </c>
      <c r="C141" s="46"/>
      <c r="D141" s="47" t="s">
        <v>293</v>
      </c>
      <c r="E141" s="44">
        <v>2</v>
      </c>
      <c r="F141" s="46" t="s">
        <v>485</v>
      </c>
      <c r="G141" s="32" t="s">
        <v>287</v>
      </c>
      <c r="H141" s="31" t="str">
        <f>IFERROR(INDEX('الإعدادات واللجنة'!$C$24:$C$32,MATCH(LEFT(A141,3),'الإعدادات واللجنة'!$A$24:$A$32,0)),"")</f>
        <v>د. عبدالله بن محمد البركاتي</v>
      </c>
      <c r="I141" s="33"/>
      <c r="J141" s="33"/>
      <c r="K141" s="31" t="str">
        <f t="shared" si="2"/>
        <v/>
      </c>
      <c r="L141" s="34"/>
      <c r="M141" s="33"/>
      <c r="N141" s="34"/>
      <c r="O141" s="34"/>
      <c r="P141" s="33"/>
      <c r="Q141" s="34"/>
    </row>
    <row r="142" spans="1:17" x14ac:dyDescent="0.2">
      <c r="A142" s="44" t="s">
        <v>482</v>
      </c>
      <c r="B142" s="45" t="s">
        <v>152</v>
      </c>
      <c r="C142" s="46"/>
      <c r="D142" s="47" t="s">
        <v>293</v>
      </c>
      <c r="E142" s="44">
        <v>3</v>
      </c>
      <c r="F142" s="46" t="s">
        <v>486</v>
      </c>
      <c r="G142" s="32" t="s">
        <v>287</v>
      </c>
      <c r="H142" s="31" t="str">
        <f>IFERROR(INDEX('الإعدادات واللجنة'!$C$24:$C$32,MATCH(LEFT(A142,3),'الإعدادات واللجنة'!$A$24:$A$32,0)),"")</f>
        <v>د. عبدالله بن محمد البركاتي</v>
      </c>
      <c r="I142" s="33"/>
      <c r="J142" s="33"/>
      <c r="K142" s="31" t="str">
        <f t="shared" si="2"/>
        <v/>
      </c>
      <c r="L142" s="34"/>
      <c r="M142" s="33"/>
      <c r="N142" s="34"/>
      <c r="O142" s="34"/>
      <c r="P142" s="33"/>
      <c r="Q142" s="34"/>
    </row>
    <row r="143" spans="1:17" x14ac:dyDescent="0.2">
      <c r="A143" s="44" t="s">
        <v>482</v>
      </c>
      <c r="B143" s="45" t="s">
        <v>152</v>
      </c>
      <c r="C143" s="46"/>
      <c r="D143" s="47" t="s">
        <v>293</v>
      </c>
      <c r="E143" s="44">
        <v>4</v>
      </c>
      <c r="F143" s="46" t="s">
        <v>487</v>
      </c>
      <c r="G143" s="32" t="s">
        <v>287</v>
      </c>
      <c r="H143" s="31" t="str">
        <f>IFERROR(INDEX('الإعدادات واللجنة'!$C$24:$C$32,MATCH(LEFT(A143,3),'الإعدادات واللجنة'!$A$24:$A$32,0)),"")</f>
        <v>د. عبدالله بن محمد البركاتي</v>
      </c>
      <c r="I143" s="33"/>
      <c r="J143" s="33"/>
      <c r="K143" s="31" t="str">
        <f t="shared" si="2"/>
        <v/>
      </c>
      <c r="L143" s="34"/>
      <c r="M143" s="33"/>
      <c r="N143" s="34"/>
      <c r="O143" s="34"/>
      <c r="P143" s="33"/>
      <c r="Q143" s="34"/>
    </row>
    <row r="144" spans="1:17" ht="26" x14ac:dyDescent="0.2">
      <c r="A144" s="44" t="s">
        <v>482</v>
      </c>
      <c r="B144" s="45" t="s">
        <v>152</v>
      </c>
      <c r="C144" s="46"/>
      <c r="D144" s="47" t="s">
        <v>293</v>
      </c>
      <c r="E144" s="44">
        <v>5</v>
      </c>
      <c r="F144" s="46" t="s">
        <v>488</v>
      </c>
      <c r="G144" s="32" t="s">
        <v>287</v>
      </c>
      <c r="H144" s="31" t="str">
        <f>IFERROR(INDEX('الإعدادات واللجنة'!$C$24:$C$32,MATCH(LEFT(A144,3),'الإعدادات واللجنة'!$A$24:$A$32,0)),"")</f>
        <v>د. عبدالله بن محمد البركاتي</v>
      </c>
      <c r="I144" s="33"/>
      <c r="J144" s="33"/>
      <c r="K144" s="31" t="str">
        <f t="shared" si="2"/>
        <v/>
      </c>
      <c r="L144" s="34"/>
      <c r="M144" s="33"/>
      <c r="N144" s="34"/>
      <c r="O144" s="34"/>
      <c r="P144" s="33"/>
      <c r="Q144" s="34"/>
    </row>
    <row r="145" spans="1:17" ht="26" x14ac:dyDescent="0.2">
      <c r="A145" s="44" t="s">
        <v>482</v>
      </c>
      <c r="B145" s="45" t="s">
        <v>152</v>
      </c>
      <c r="C145" s="46"/>
      <c r="D145" s="47" t="s">
        <v>293</v>
      </c>
      <c r="E145" s="44">
        <v>6</v>
      </c>
      <c r="F145" s="46" t="s">
        <v>489</v>
      </c>
      <c r="G145" s="32" t="s">
        <v>287</v>
      </c>
      <c r="H145" s="31" t="str">
        <f>IFERROR(INDEX('الإعدادات واللجنة'!$C$24:$C$32,MATCH(LEFT(A145,3),'الإعدادات واللجنة'!$A$24:$A$32,0)),"")</f>
        <v>د. عبدالله بن محمد البركاتي</v>
      </c>
      <c r="I145" s="33"/>
      <c r="J145" s="33"/>
      <c r="K145" s="31" t="str">
        <f t="shared" si="2"/>
        <v/>
      </c>
      <c r="L145" s="34"/>
      <c r="M145" s="33"/>
      <c r="N145" s="34"/>
      <c r="O145" s="34"/>
      <c r="P145" s="33"/>
      <c r="Q145" s="34"/>
    </row>
    <row r="146" spans="1:17" ht="26" x14ac:dyDescent="0.2">
      <c r="A146" s="44" t="s">
        <v>482</v>
      </c>
      <c r="B146" s="45" t="s">
        <v>152</v>
      </c>
      <c r="C146" s="46"/>
      <c r="D146" s="47" t="s">
        <v>293</v>
      </c>
      <c r="E146" s="44">
        <v>7</v>
      </c>
      <c r="F146" s="46" t="s">
        <v>490</v>
      </c>
      <c r="G146" s="32" t="s">
        <v>287</v>
      </c>
      <c r="H146" s="31" t="str">
        <f>IFERROR(INDEX('الإعدادات واللجنة'!$C$24:$C$32,MATCH(LEFT(A146,3),'الإعدادات واللجنة'!$A$24:$A$32,0)),"")</f>
        <v>د. عبدالله بن محمد البركاتي</v>
      </c>
      <c r="I146" s="33"/>
      <c r="J146" s="33"/>
      <c r="K146" s="31" t="str">
        <f t="shared" si="2"/>
        <v/>
      </c>
      <c r="L146" s="34"/>
      <c r="M146" s="33"/>
      <c r="N146" s="34"/>
      <c r="O146" s="34"/>
      <c r="P146" s="33"/>
      <c r="Q146" s="34"/>
    </row>
    <row r="147" spans="1:17" ht="39" x14ac:dyDescent="0.2">
      <c r="A147" s="48" t="s">
        <v>491</v>
      </c>
      <c r="B147" s="49" t="s">
        <v>152</v>
      </c>
      <c r="C147" s="50" t="s">
        <v>492</v>
      </c>
      <c r="D147" s="51"/>
      <c r="E147" s="41">
        <v>1</v>
      </c>
      <c r="F147" s="50" t="s">
        <v>493</v>
      </c>
      <c r="G147" s="40" t="s">
        <v>287</v>
      </c>
      <c r="H147" s="41" t="str">
        <f>IFERROR(INDEX('الإعدادات واللجنة'!$C$24:$C$32,MATCH(LEFT(A147,3),'الإعدادات واللجنة'!$A$24:$A$32,0)),"")</f>
        <v>د. عبدالله بن محمد البركاتي</v>
      </c>
      <c r="I147" s="42"/>
      <c r="J147" s="42"/>
      <c r="K147" s="41" t="str">
        <f t="shared" si="2"/>
        <v/>
      </c>
      <c r="L147" s="43"/>
      <c r="M147" s="42"/>
      <c r="N147" s="43"/>
      <c r="O147" s="43"/>
      <c r="P147" s="42"/>
      <c r="Q147" s="43"/>
    </row>
    <row r="148" spans="1:17" ht="26" x14ac:dyDescent="0.2">
      <c r="A148" s="31" t="s">
        <v>491</v>
      </c>
      <c r="B148" s="28" t="s">
        <v>152</v>
      </c>
      <c r="C148" s="29"/>
      <c r="D148" s="30"/>
      <c r="E148" s="31">
        <v>2</v>
      </c>
      <c r="F148" s="29" t="s">
        <v>494</v>
      </c>
      <c r="G148" s="32" t="s">
        <v>287</v>
      </c>
      <c r="H148" s="31" t="str">
        <f>IFERROR(INDEX('الإعدادات واللجنة'!$C$24:$C$32,MATCH(LEFT(A148,3),'الإعدادات واللجنة'!$A$24:$A$32,0)),"")</f>
        <v>د. عبدالله بن محمد البركاتي</v>
      </c>
      <c r="I148" s="33"/>
      <c r="J148" s="33"/>
      <c r="K148" s="31" t="str">
        <f t="shared" si="2"/>
        <v/>
      </c>
      <c r="L148" s="34"/>
      <c r="M148" s="33"/>
      <c r="N148" s="34"/>
      <c r="O148" s="34"/>
      <c r="P148" s="33"/>
      <c r="Q148" s="34"/>
    </row>
    <row r="149" spans="1:17" x14ac:dyDescent="0.2">
      <c r="A149" s="31" t="s">
        <v>491</v>
      </c>
      <c r="B149" s="28" t="s">
        <v>152</v>
      </c>
      <c r="C149" s="29"/>
      <c r="D149" s="30"/>
      <c r="E149" s="31">
        <v>3</v>
      </c>
      <c r="F149" s="29" t="s">
        <v>495</v>
      </c>
      <c r="G149" s="32" t="s">
        <v>287</v>
      </c>
      <c r="H149" s="31" t="str">
        <f>IFERROR(INDEX('الإعدادات واللجنة'!$C$24:$C$32,MATCH(LEFT(A149,3),'الإعدادات واللجنة'!$A$24:$A$32,0)),"")</f>
        <v>د. عبدالله بن محمد البركاتي</v>
      </c>
      <c r="I149" s="33"/>
      <c r="J149" s="33"/>
      <c r="K149" s="31" t="str">
        <f t="shared" si="2"/>
        <v/>
      </c>
      <c r="L149" s="34"/>
      <c r="M149" s="33"/>
      <c r="N149" s="34"/>
      <c r="O149" s="34"/>
      <c r="P149" s="33"/>
      <c r="Q149" s="34"/>
    </row>
    <row r="150" spans="1:17" x14ac:dyDescent="0.2">
      <c r="A150" s="31" t="s">
        <v>491</v>
      </c>
      <c r="B150" s="28" t="s">
        <v>152</v>
      </c>
      <c r="C150" s="29"/>
      <c r="D150" s="30"/>
      <c r="E150" s="31">
        <v>4</v>
      </c>
      <c r="F150" s="29" t="s">
        <v>496</v>
      </c>
      <c r="G150" s="32" t="s">
        <v>287</v>
      </c>
      <c r="H150" s="31" t="str">
        <f>IFERROR(INDEX('الإعدادات واللجنة'!$C$24:$C$32,MATCH(LEFT(A150,3),'الإعدادات واللجنة'!$A$24:$A$32,0)),"")</f>
        <v>د. عبدالله بن محمد البركاتي</v>
      </c>
      <c r="I150" s="33"/>
      <c r="J150" s="33"/>
      <c r="K150" s="31" t="str">
        <f t="shared" si="2"/>
        <v/>
      </c>
      <c r="L150" s="34"/>
      <c r="M150" s="33"/>
      <c r="N150" s="34"/>
      <c r="O150" s="34"/>
      <c r="P150" s="33"/>
      <c r="Q150" s="34"/>
    </row>
    <row r="151" spans="1:17" ht="26" x14ac:dyDescent="0.2">
      <c r="A151" s="48" t="s">
        <v>497</v>
      </c>
      <c r="B151" s="49" t="s">
        <v>152</v>
      </c>
      <c r="C151" s="50" t="s">
        <v>498</v>
      </c>
      <c r="D151" s="51"/>
      <c r="E151" s="41">
        <v>1</v>
      </c>
      <c r="F151" s="50" t="s">
        <v>499</v>
      </c>
      <c r="G151" s="40" t="s">
        <v>287</v>
      </c>
      <c r="H151" s="41" t="str">
        <f>IFERROR(INDEX('الإعدادات واللجنة'!$C$24:$C$32,MATCH(LEFT(A151,3),'الإعدادات واللجنة'!$A$24:$A$32,0)),"")</f>
        <v>د. عبدالله بن محمد البركاتي</v>
      </c>
      <c r="I151" s="42"/>
      <c r="J151" s="42"/>
      <c r="K151" s="41" t="str">
        <f t="shared" si="2"/>
        <v/>
      </c>
      <c r="L151" s="43"/>
      <c r="M151" s="42"/>
      <c r="N151" s="43"/>
      <c r="O151" s="43"/>
      <c r="P151" s="42"/>
      <c r="Q151" s="43"/>
    </row>
    <row r="152" spans="1:17" x14ac:dyDescent="0.2">
      <c r="A152" s="31" t="s">
        <v>497</v>
      </c>
      <c r="B152" s="28" t="s">
        <v>152</v>
      </c>
      <c r="C152" s="29"/>
      <c r="D152" s="30"/>
      <c r="E152" s="31">
        <v>2</v>
      </c>
      <c r="F152" s="29" t="s">
        <v>500</v>
      </c>
      <c r="G152" s="32" t="s">
        <v>287</v>
      </c>
      <c r="H152" s="31" t="str">
        <f>IFERROR(INDEX('الإعدادات واللجنة'!$C$24:$C$32,MATCH(LEFT(A152,3),'الإعدادات واللجنة'!$A$24:$A$32,0)),"")</f>
        <v>د. عبدالله بن محمد البركاتي</v>
      </c>
      <c r="I152" s="33"/>
      <c r="J152" s="33"/>
      <c r="K152" s="31" t="str">
        <f t="shared" si="2"/>
        <v/>
      </c>
      <c r="L152" s="34"/>
      <c r="M152" s="33"/>
      <c r="N152" s="34"/>
      <c r="O152" s="34"/>
      <c r="P152" s="33"/>
      <c r="Q152" s="34"/>
    </row>
    <row r="153" spans="1:17" x14ac:dyDescent="0.2">
      <c r="A153" s="31" t="s">
        <v>497</v>
      </c>
      <c r="B153" s="28" t="s">
        <v>152</v>
      </c>
      <c r="C153" s="29"/>
      <c r="D153" s="30"/>
      <c r="E153" s="31">
        <v>3</v>
      </c>
      <c r="F153" s="29" t="s">
        <v>501</v>
      </c>
      <c r="G153" s="32" t="s">
        <v>287</v>
      </c>
      <c r="H153" s="31" t="str">
        <f>IFERROR(INDEX('الإعدادات واللجنة'!$C$24:$C$32,MATCH(LEFT(A153,3),'الإعدادات واللجنة'!$A$24:$A$32,0)),"")</f>
        <v>د. عبدالله بن محمد البركاتي</v>
      </c>
      <c r="I153" s="33"/>
      <c r="J153" s="33"/>
      <c r="K153" s="31" t="str">
        <f t="shared" si="2"/>
        <v/>
      </c>
      <c r="L153" s="34"/>
      <c r="M153" s="33"/>
      <c r="N153" s="34"/>
      <c r="O153" s="34"/>
      <c r="P153" s="33"/>
      <c r="Q153" s="34"/>
    </row>
    <row r="154" spans="1:17" ht="26" x14ac:dyDescent="0.2">
      <c r="A154" s="31" t="s">
        <v>497</v>
      </c>
      <c r="B154" s="28" t="s">
        <v>152</v>
      </c>
      <c r="C154" s="29"/>
      <c r="D154" s="30"/>
      <c r="E154" s="31">
        <v>4</v>
      </c>
      <c r="F154" s="29" t="s">
        <v>502</v>
      </c>
      <c r="G154" s="32" t="s">
        <v>287</v>
      </c>
      <c r="H154" s="31" t="str">
        <f>IFERROR(INDEX('الإعدادات واللجنة'!$C$24:$C$32,MATCH(LEFT(A154,3),'الإعدادات واللجنة'!$A$24:$A$32,0)),"")</f>
        <v>د. عبدالله بن محمد البركاتي</v>
      </c>
      <c r="I154" s="33"/>
      <c r="J154" s="33"/>
      <c r="K154" s="31" t="str">
        <f t="shared" si="2"/>
        <v/>
      </c>
      <c r="L154" s="34"/>
      <c r="M154" s="33"/>
      <c r="N154" s="34"/>
      <c r="O154" s="34"/>
      <c r="P154" s="33"/>
      <c r="Q154" s="34"/>
    </row>
    <row r="155" spans="1:17" ht="39" x14ac:dyDescent="0.2">
      <c r="A155" s="48" t="s">
        <v>503</v>
      </c>
      <c r="B155" s="49" t="s">
        <v>152</v>
      </c>
      <c r="C155" s="50" t="s">
        <v>504</v>
      </c>
      <c r="D155" s="51"/>
      <c r="E155" s="41">
        <v>1</v>
      </c>
      <c r="F155" s="50" t="s">
        <v>505</v>
      </c>
      <c r="G155" s="40" t="s">
        <v>287</v>
      </c>
      <c r="H155" s="41" t="str">
        <f>IFERROR(INDEX('الإعدادات واللجنة'!$C$24:$C$32,MATCH(LEFT(A155,3),'الإعدادات واللجنة'!$A$24:$A$32,0)),"")</f>
        <v>د. عبدالله بن محمد البركاتي</v>
      </c>
      <c r="I155" s="42"/>
      <c r="J155" s="42"/>
      <c r="K155" s="41" t="str">
        <f t="shared" si="2"/>
        <v/>
      </c>
      <c r="L155" s="43"/>
      <c r="M155" s="42"/>
      <c r="N155" s="43"/>
      <c r="O155" s="43"/>
      <c r="P155" s="42"/>
      <c r="Q155" s="43"/>
    </row>
    <row r="156" spans="1:17" x14ac:dyDescent="0.2">
      <c r="A156" s="31" t="s">
        <v>503</v>
      </c>
      <c r="B156" s="28" t="s">
        <v>152</v>
      </c>
      <c r="C156" s="29"/>
      <c r="D156" s="30"/>
      <c r="E156" s="31">
        <v>2</v>
      </c>
      <c r="F156" s="29" t="s">
        <v>506</v>
      </c>
      <c r="G156" s="32" t="s">
        <v>287</v>
      </c>
      <c r="H156" s="31" t="str">
        <f>IFERROR(INDEX('الإعدادات واللجنة'!$C$24:$C$32,MATCH(LEFT(A156,3),'الإعدادات واللجنة'!$A$24:$A$32,0)),"")</f>
        <v>د. عبدالله بن محمد البركاتي</v>
      </c>
      <c r="I156" s="33"/>
      <c r="J156" s="33"/>
      <c r="K156" s="31" t="str">
        <f t="shared" si="2"/>
        <v/>
      </c>
      <c r="L156" s="34"/>
      <c r="M156" s="33"/>
      <c r="N156" s="34"/>
      <c r="O156" s="34"/>
      <c r="P156" s="33"/>
      <c r="Q156" s="34"/>
    </row>
    <row r="157" spans="1:17" x14ac:dyDescent="0.2">
      <c r="A157" s="31" t="s">
        <v>503</v>
      </c>
      <c r="B157" s="28" t="s">
        <v>152</v>
      </c>
      <c r="C157" s="29"/>
      <c r="D157" s="30"/>
      <c r="E157" s="31">
        <v>3</v>
      </c>
      <c r="F157" s="29" t="s">
        <v>507</v>
      </c>
      <c r="G157" s="32" t="s">
        <v>287</v>
      </c>
      <c r="H157" s="31" t="str">
        <f>IFERROR(INDEX('الإعدادات واللجنة'!$C$24:$C$32,MATCH(LEFT(A157,3),'الإعدادات واللجنة'!$A$24:$A$32,0)),"")</f>
        <v>د. عبدالله بن محمد البركاتي</v>
      </c>
      <c r="I157" s="33"/>
      <c r="J157" s="33"/>
      <c r="K157" s="31" t="str">
        <f t="shared" si="2"/>
        <v/>
      </c>
      <c r="L157" s="34"/>
      <c r="M157" s="33"/>
      <c r="N157" s="34"/>
      <c r="O157" s="34"/>
      <c r="P157" s="33"/>
      <c r="Q157" s="34"/>
    </row>
    <row r="158" spans="1:17" ht="26" x14ac:dyDescent="0.2">
      <c r="A158" s="31" t="s">
        <v>503</v>
      </c>
      <c r="B158" s="28" t="s">
        <v>152</v>
      </c>
      <c r="C158" s="29"/>
      <c r="D158" s="30"/>
      <c r="E158" s="31">
        <v>4</v>
      </c>
      <c r="F158" s="29" t="s">
        <v>508</v>
      </c>
      <c r="G158" s="32" t="s">
        <v>287</v>
      </c>
      <c r="H158" s="31" t="str">
        <f>IFERROR(INDEX('الإعدادات واللجنة'!$C$24:$C$32,MATCH(LEFT(A158,3),'الإعدادات واللجنة'!$A$24:$A$32,0)),"")</f>
        <v>د. عبدالله بن محمد البركاتي</v>
      </c>
      <c r="I158" s="33"/>
      <c r="J158" s="33"/>
      <c r="K158" s="31" t="str">
        <f t="shared" si="2"/>
        <v/>
      </c>
      <c r="L158" s="34"/>
      <c r="M158" s="33"/>
      <c r="N158" s="34"/>
      <c r="O158" s="34"/>
      <c r="P158" s="33"/>
      <c r="Q158" s="34"/>
    </row>
    <row r="159" spans="1:17" x14ac:dyDescent="0.2">
      <c r="A159" s="31" t="s">
        <v>503</v>
      </c>
      <c r="B159" s="28" t="s">
        <v>152</v>
      </c>
      <c r="C159" s="29"/>
      <c r="D159" s="30"/>
      <c r="E159" s="31">
        <v>5</v>
      </c>
      <c r="F159" s="29" t="s">
        <v>509</v>
      </c>
      <c r="G159" s="32" t="s">
        <v>287</v>
      </c>
      <c r="H159" s="31" t="str">
        <f>IFERROR(INDEX('الإعدادات واللجنة'!$C$24:$C$32,MATCH(LEFT(A159,3),'الإعدادات واللجنة'!$A$24:$A$32,0)),"")</f>
        <v>د. عبدالله بن محمد البركاتي</v>
      </c>
      <c r="I159" s="33"/>
      <c r="J159" s="33"/>
      <c r="K159" s="31" t="str">
        <f t="shared" si="2"/>
        <v/>
      </c>
      <c r="L159" s="34"/>
      <c r="M159" s="33"/>
      <c r="N159" s="34"/>
      <c r="O159" s="34"/>
      <c r="P159" s="33"/>
      <c r="Q159" s="34"/>
    </row>
    <row r="160" spans="1:17" ht="26" x14ac:dyDescent="0.2">
      <c r="A160" s="31" t="s">
        <v>503</v>
      </c>
      <c r="B160" s="28" t="s">
        <v>152</v>
      </c>
      <c r="C160" s="29"/>
      <c r="D160" s="30"/>
      <c r="E160" s="31">
        <v>6</v>
      </c>
      <c r="F160" s="29" t="s">
        <v>510</v>
      </c>
      <c r="G160" s="32" t="s">
        <v>287</v>
      </c>
      <c r="H160" s="31" t="str">
        <f>IFERROR(INDEX('الإعدادات واللجنة'!$C$24:$C$32,MATCH(LEFT(A160,3),'الإعدادات واللجنة'!$A$24:$A$32,0)),"")</f>
        <v>د. عبدالله بن محمد البركاتي</v>
      </c>
      <c r="I160" s="33"/>
      <c r="J160" s="33"/>
      <c r="K160" s="31" t="str">
        <f t="shared" si="2"/>
        <v/>
      </c>
      <c r="L160" s="34"/>
      <c r="M160" s="33"/>
      <c r="N160" s="34"/>
      <c r="O160" s="34"/>
      <c r="P160" s="33"/>
      <c r="Q160" s="34"/>
    </row>
    <row r="161" spans="1:17" ht="26" x14ac:dyDescent="0.2">
      <c r="A161" s="35" t="s">
        <v>511</v>
      </c>
      <c r="B161" s="36" t="s">
        <v>152</v>
      </c>
      <c r="C161" s="37" t="s">
        <v>512</v>
      </c>
      <c r="D161" s="38" t="s">
        <v>293</v>
      </c>
      <c r="E161" s="39">
        <v>1</v>
      </c>
      <c r="F161" s="37" t="s">
        <v>513</v>
      </c>
      <c r="G161" s="40" t="s">
        <v>287</v>
      </c>
      <c r="H161" s="41" t="str">
        <f>IFERROR(INDEX('الإعدادات واللجنة'!$C$24:$C$32,MATCH(LEFT(A161,3),'الإعدادات واللجنة'!$A$24:$A$32,0)),"")</f>
        <v>د. عبدالله بن محمد البركاتي</v>
      </c>
      <c r="I161" s="42"/>
      <c r="J161" s="42"/>
      <c r="K161" s="41" t="str">
        <f t="shared" si="2"/>
        <v/>
      </c>
      <c r="L161" s="43"/>
      <c r="M161" s="42"/>
      <c r="N161" s="43"/>
      <c r="O161" s="43"/>
      <c r="P161" s="42"/>
      <c r="Q161" s="43"/>
    </row>
    <row r="162" spans="1:17" x14ac:dyDescent="0.2">
      <c r="A162" s="44" t="s">
        <v>511</v>
      </c>
      <c r="B162" s="45" t="s">
        <v>152</v>
      </c>
      <c r="C162" s="46"/>
      <c r="D162" s="47" t="s">
        <v>293</v>
      </c>
      <c r="E162" s="44">
        <v>2</v>
      </c>
      <c r="F162" s="46" t="s">
        <v>514</v>
      </c>
      <c r="G162" s="32" t="s">
        <v>287</v>
      </c>
      <c r="H162" s="31" t="str">
        <f>IFERROR(INDEX('الإعدادات واللجنة'!$C$24:$C$32,MATCH(LEFT(A162,3),'الإعدادات واللجنة'!$A$24:$A$32,0)),"")</f>
        <v>د. عبدالله بن محمد البركاتي</v>
      </c>
      <c r="I162" s="33"/>
      <c r="J162" s="33"/>
      <c r="K162" s="31" t="str">
        <f t="shared" si="2"/>
        <v/>
      </c>
      <c r="L162" s="34"/>
      <c r="M162" s="33"/>
      <c r="N162" s="34"/>
      <c r="O162" s="34"/>
      <c r="P162" s="33"/>
      <c r="Q162" s="34"/>
    </row>
    <row r="163" spans="1:17" ht="26" x14ac:dyDescent="0.2">
      <c r="A163" s="44" t="s">
        <v>511</v>
      </c>
      <c r="B163" s="45" t="s">
        <v>152</v>
      </c>
      <c r="C163" s="46"/>
      <c r="D163" s="47" t="s">
        <v>293</v>
      </c>
      <c r="E163" s="44">
        <v>3</v>
      </c>
      <c r="F163" s="46" t="s">
        <v>515</v>
      </c>
      <c r="G163" s="32" t="s">
        <v>287</v>
      </c>
      <c r="H163" s="31" t="str">
        <f>IFERROR(INDEX('الإعدادات واللجنة'!$C$24:$C$32,MATCH(LEFT(A163,3),'الإعدادات واللجنة'!$A$24:$A$32,0)),"")</f>
        <v>د. عبدالله بن محمد البركاتي</v>
      </c>
      <c r="I163" s="33"/>
      <c r="J163" s="33"/>
      <c r="K163" s="31" t="str">
        <f t="shared" si="2"/>
        <v/>
      </c>
      <c r="L163" s="34"/>
      <c r="M163" s="33"/>
      <c r="N163" s="34"/>
      <c r="O163" s="34"/>
      <c r="P163" s="33"/>
      <c r="Q163" s="34"/>
    </row>
    <row r="164" spans="1:17" ht="26" x14ac:dyDescent="0.2">
      <c r="A164" s="35" t="s">
        <v>516</v>
      </c>
      <c r="B164" s="36" t="s">
        <v>153</v>
      </c>
      <c r="C164" s="37" t="s">
        <v>517</v>
      </c>
      <c r="D164" s="38" t="s">
        <v>293</v>
      </c>
      <c r="E164" s="39">
        <v>1</v>
      </c>
      <c r="F164" s="37" t="s">
        <v>518</v>
      </c>
      <c r="G164" s="40" t="s">
        <v>287</v>
      </c>
      <c r="H164" s="41" t="str">
        <f>IFERROR(INDEX('الإعدادات واللجنة'!$C$24:$C$32,MATCH(LEFT(A164,3),'الإعدادات واللجنة'!$A$24:$A$32,0)),"")</f>
        <v>د. عمر بن محمد موسى</v>
      </c>
      <c r="I164" s="42"/>
      <c r="J164" s="42"/>
      <c r="K164" s="41" t="str">
        <f t="shared" si="2"/>
        <v/>
      </c>
      <c r="L164" s="43"/>
      <c r="M164" s="42"/>
      <c r="N164" s="43"/>
      <c r="O164" s="43"/>
      <c r="P164" s="42"/>
      <c r="Q164" s="43"/>
    </row>
    <row r="165" spans="1:17" x14ac:dyDescent="0.2">
      <c r="A165" s="44" t="s">
        <v>516</v>
      </c>
      <c r="B165" s="45" t="s">
        <v>153</v>
      </c>
      <c r="C165" s="46"/>
      <c r="D165" s="47" t="s">
        <v>293</v>
      </c>
      <c r="E165" s="44">
        <v>2</v>
      </c>
      <c r="F165" s="46" t="s">
        <v>519</v>
      </c>
      <c r="G165" s="32" t="s">
        <v>287</v>
      </c>
      <c r="H165" s="31" t="str">
        <f>IFERROR(INDEX('الإعدادات واللجنة'!$C$24:$C$32,MATCH(LEFT(A165,3),'الإعدادات واللجنة'!$A$24:$A$32,0)),"")</f>
        <v>د. عمر بن محمد موسى</v>
      </c>
      <c r="I165" s="33"/>
      <c r="J165" s="33"/>
      <c r="K165" s="31" t="str">
        <f t="shared" si="2"/>
        <v/>
      </c>
      <c r="L165" s="34"/>
      <c r="M165" s="33"/>
      <c r="N165" s="34"/>
      <c r="O165" s="34"/>
      <c r="P165" s="33"/>
      <c r="Q165" s="34"/>
    </row>
    <row r="166" spans="1:17" ht="26" x14ac:dyDescent="0.2">
      <c r="A166" s="44" t="s">
        <v>516</v>
      </c>
      <c r="B166" s="45" t="s">
        <v>153</v>
      </c>
      <c r="C166" s="46"/>
      <c r="D166" s="47" t="s">
        <v>293</v>
      </c>
      <c r="E166" s="44">
        <v>3</v>
      </c>
      <c r="F166" s="46" t="s">
        <v>520</v>
      </c>
      <c r="G166" s="32" t="s">
        <v>287</v>
      </c>
      <c r="H166" s="31" t="str">
        <f>IFERROR(INDEX('الإعدادات واللجنة'!$C$24:$C$32,MATCH(LEFT(A166,3),'الإعدادات واللجنة'!$A$24:$A$32,0)),"")</f>
        <v>د. عمر بن محمد موسى</v>
      </c>
      <c r="I166" s="33"/>
      <c r="J166" s="33"/>
      <c r="K166" s="31" t="str">
        <f t="shared" si="2"/>
        <v/>
      </c>
      <c r="L166" s="34"/>
      <c r="M166" s="33"/>
      <c r="N166" s="34"/>
      <c r="O166" s="34"/>
      <c r="P166" s="33"/>
      <c r="Q166" s="34"/>
    </row>
    <row r="167" spans="1:17" ht="26" x14ac:dyDescent="0.2">
      <c r="A167" s="44" t="s">
        <v>516</v>
      </c>
      <c r="B167" s="45" t="s">
        <v>153</v>
      </c>
      <c r="C167" s="46"/>
      <c r="D167" s="47" t="s">
        <v>293</v>
      </c>
      <c r="E167" s="44">
        <v>4</v>
      </c>
      <c r="F167" s="46" t="s">
        <v>521</v>
      </c>
      <c r="G167" s="32" t="s">
        <v>287</v>
      </c>
      <c r="H167" s="31" t="str">
        <f>IFERROR(INDEX('الإعدادات واللجنة'!$C$24:$C$32,MATCH(LEFT(A167,3),'الإعدادات واللجنة'!$A$24:$A$32,0)),"")</f>
        <v>د. عمر بن محمد موسى</v>
      </c>
      <c r="I167" s="33"/>
      <c r="J167" s="33"/>
      <c r="K167" s="31" t="str">
        <f t="shared" si="2"/>
        <v/>
      </c>
      <c r="L167" s="34"/>
      <c r="M167" s="33"/>
      <c r="N167" s="34"/>
      <c r="O167" s="34"/>
      <c r="P167" s="33"/>
      <c r="Q167" s="34"/>
    </row>
    <row r="168" spans="1:17" ht="26" x14ac:dyDescent="0.2">
      <c r="A168" s="48" t="s">
        <v>522</v>
      </c>
      <c r="B168" s="49" t="s">
        <v>153</v>
      </c>
      <c r="C168" s="50" t="s">
        <v>523</v>
      </c>
      <c r="D168" s="51"/>
      <c r="E168" s="41">
        <v>1</v>
      </c>
      <c r="F168" s="50" t="s">
        <v>524</v>
      </c>
      <c r="G168" s="40" t="s">
        <v>287</v>
      </c>
      <c r="H168" s="41" t="str">
        <f>IFERROR(INDEX('الإعدادات واللجنة'!$C$24:$C$32,MATCH(LEFT(A168,3),'الإعدادات واللجنة'!$A$24:$A$32,0)),"")</f>
        <v>د. عمر بن محمد موسى</v>
      </c>
      <c r="I168" s="42"/>
      <c r="J168" s="42"/>
      <c r="K168" s="41" t="str">
        <f t="shared" si="2"/>
        <v/>
      </c>
      <c r="L168" s="43"/>
      <c r="M168" s="42"/>
      <c r="N168" s="43"/>
      <c r="O168" s="43"/>
      <c r="P168" s="42"/>
      <c r="Q168" s="43"/>
    </row>
    <row r="169" spans="1:17" ht="26" x14ac:dyDescent="0.2">
      <c r="A169" s="31" t="s">
        <v>522</v>
      </c>
      <c r="B169" s="28" t="s">
        <v>153</v>
      </c>
      <c r="C169" s="29"/>
      <c r="D169" s="30"/>
      <c r="E169" s="31">
        <v>2</v>
      </c>
      <c r="F169" s="29" t="s">
        <v>525</v>
      </c>
      <c r="G169" s="32" t="s">
        <v>287</v>
      </c>
      <c r="H169" s="31" t="str">
        <f>IFERROR(INDEX('الإعدادات واللجنة'!$C$24:$C$32,MATCH(LEFT(A169,3),'الإعدادات واللجنة'!$A$24:$A$32,0)),"")</f>
        <v>د. عمر بن محمد موسى</v>
      </c>
      <c r="I169" s="33"/>
      <c r="J169" s="33"/>
      <c r="K169" s="31" t="str">
        <f t="shared" si="2"/>
        <v/>
      </c>
      <c r="L169" s="34"/>
      <c r="M169" s="33"/>
      <c r="N169" s="34"/>
      <c r="O169" s="34"/>
      <c r="P169" s="33"/>
      <c r="Q169" s="34"/>
    </row>
    <row r="170" spans="1:17" ht="26" x14ac:dyDescent="0.2">
      <c r="A170" s="48" t="s">
        <v>526</v>
      </c>
      <c r="B170" s="49" t="s">
        <v>153</v>
      </c>
      <c r="C170" s="50" t="s">
        <v>527</v>
      </c>
      <c r="D170" s="51"/>
      <c r="E170" s="41">
        <v>1</v>
      </c>
      <c r="F170" s="50" t="s">
        <v>528</v>
      </c>
      <c r="G170" s="40" t="s">
        <v>287</v>
      </c>
      <c r="H170" s="41" t="str">
        <f>IFERROR(INDEX('الإعدادات واللجنة'!$C$24:$C$32,MATCH(LEFT(A170,3),'الإعدادات واللجنة'!$A$24:$A$32,0)),"")</f>
        <v>د. عمر بن محمد موسى</v>
      </c>
      <c r="I170" s="42"/>
      <c r="J170" s="42"/>
      <c r="K170" s="41" t="str">
        <f t="shared" si="2"/>
        <v/>
      </c>
      <c r="L170" s="43"/>
      <c r="M170" s="42"/>
      <c r="N170" s="43"/>
      <c r="O170" s="43"/>
      <c r="P170" s="42"/>
      <c r="Q170" s="43"/>
    </row>
    <row r="171" spans="1:17" ht="26" x14ac:dyDescent="0.2">
      <c r="A171" s="31" t="s">
        <v>526</v>
      </c>
      <c r="B171" s="28" t="s">
        <v>153</v>
      </c>
      <c r="C171" s="29"/>
      <c r="D171" s="30"/>
      <c r="E171" s="31">
        <v>2</v>
      </c>
      <c r="F171" s="29" t="s">
        <v>529</v>
      </c>
      <c r="G171" s="32" t="s">
        <v>287</v>
      </c>
      <c r="H171" s="31" t="str">
        <f>IFERROR(INDEX('الإعدادات واللجنة'!$C$24:$C$32,MATCH(LEFT(A171,3),'الإعدادات واللجنة'!$A$24:$A$32,0)),"")</f>
        <v>د. عمر بن محمد موسى</v>
      </c>
      <c r="I171" s="33"/>
      <c r="J171" s="33"/>
      <c r="K171" s="31" t="str">
        <f t="shared" si="2"/>
        <v/>
      </c>
      <c r="L171" s="34"/>
      <c r="M171" s="33"/>
      <c r="N171" s="34"/>
      <c r="O171" s="34"/>
      <c r="P171" s="33"/>
      <c r="Q171" s="34"/>
    </row>
    <row r="172" spans="1:17" ht="26" x14ac:dyDescent="0.2">
      <c r="A172" s="31" t="s">
        <v>526</v>
      </c>
      <c r="B172" s="28" t="s">
        <v>153</v>
      </c>
      <c r="C172" s="29"/>
      <c r="D172" s="30"/>
      <c r="E172" s="31">
        <v>3</v>
      </c>
      <c r="F172" s="29" t="s">
        <v>530</v>
      </c>
      <c r="G172" s="32" t="s">
        <v>287</v>
      </c>
      <c r="H172" s="31" t="str">
        <f>IFERROR(INDEX('الإعدادات واللجنة'!$C$24:$C$32,MATCH(LEFT(A172,3),'الإعدادات واللجنة'!$A$24:$A$32,0)),"")</f>
        <v>د. عمر بن محمد موسى</v>
      </c>
      <c r="I172" s="33"/>
      <c r="J172" s="33"/>
      <c r="K172" s="31" t="str">
        <f t="shared" si="2"/>
        <v/>
      </c>
      <c r="L172" s="34"/>
      <c r="M172" s="33"/>
      <c r="N172" s="34"/>
      <c r="O172" s="34"/>
      <c r="P172" s="33"/>
      <c r="Q172" s="34"/>
    </row>
    <row r="173" spans="1:17" ht="26" x14ac:dyDescent="0.2">
      <c r="A173" s="31" t="s">
        <v>526</v>
      </c>
      <c r="B173" s="28" t="s">
        <v>153</v>
      </c>
      <c r="C173" s="29"/>
      <c r="D173" s="30"/>
      <c r="E173" s="31">
        <v>4</v>
      </c>
      <c r="F173" s="29" t="s">
        <v>531</v>
      </c>
      <c r="G173" s="32" t="s">
        <v>287</v>
      </c>
      <c r="H173" s="31" t="str">
        <f>IFERROR(INDEX('الإعدادات واللجنة'!$C$24:$C$32,MATCH(LEFT(A173,3),'الإعدادات واللجنة'!$A$24:$A$32,0)),"")</f>
        <v>د. عمر بن محمد موسى</v>
      </c>
      <c r="I173" s="33"/>
      <c r="J173" s="33"/>
      <c r="K173" s="31" t="str">
        <f t="shared" si="2"/>
        <v/>
      </c>
      <c r="L173" s="34"/>
      <c r="M173" s="33"/>
      <c r="N173" s="34"/>
      <c r="O173" s="34"/>
      <c r="P173" s="33"/>
      <c r="Q173" s="34"/>
    </row>
    <row r="174" spans="1:17" x14ac:dyDescent="0.2">
      <c r="A174" s="31" t="s">
        <v>526</v>
      </c>
      <c r="B174" s="28" t="s">
        <v>153</v>
      </c>
      <c r="C174" s="29"/>
      <c r="D174" s="30"/>
      <c r="E174" s="31">
        <v>5</v>
      </c>
      <c r="F174" s="29" t="s">
        <v>532</v>
      </c>
      <c r="G174" s="32" t="s">
        <v>287</v>
      </c>
      <c r="H174" s="31" t="str">
        <f>IFERROR(INDEX('الإعدادات واللجنة'!$C$24:$C$32,MATCH(LEFT(A174,3),'الإعدادات واللجنة'!$A$24:$A$32,0)),"")</f>
        <v>د. عمر بن محمد موسى</v>
      </c>
      <c r="I174" s="33"/>
      <c r="J174" s="33"/>
      <c r="K174" s="31" t="str">
        <f t="shared" si="2"/>
        <v/>
      </c>
      <c r="L174" s="34"/>
      <c r="M174" s="33"/>
      <c r="N174" s="34"/>
      <c r="O174" s="34"/>
      <c r="P174" s="33"/>
      <c r="Q174" s="34"/>
    </row>
    <row r="175" spans="1:17" x14ac:dyDescent="0.2">
      <c r="A175" s="31" t="s">
        <v>526</v>
      </c>
      <c r="B175" s="28" t="s">
        <v>153</v>
      </c>
      <c r="C175" s="29"/>
      <c r="D175" s="30"/>
      <c r="E175" s="31">
        <v>6</v>
      </c>
      <c r="F175" s="29" t="s">
        <v>533</v>
      </c>
      <c r="G175" s="32" t="s">
        <v>287</v>
      </c>
      <c r="H175" s="31" t="str">
        <f>IFERROR(INDEX('الإعدادات واللجنة'!$C$24:$C$32,MATCH(LEFT(A175,3),'الإعدادات واللجنة'!$A$24:$A$32,0)),"")</f>
        <v>د. عمر بن محمد موسى</v>
      </c>
      <c r="I175" s="33"/>
      <c r="J175" s="33"/>
      <c r="K175" s="31" t="str">
        <f t="shared" si="2"/>
        <v/>
      </c>
      <c r="L175" s="34"/>
      <c r="M175" s="33"/>
      <c r="N175" s="34"/>
      <c r="O175" s="34"/>
      <c r="P175" s="33"/>
      <c r="Q175" s="34"/>
    </row>
    <row r="176" spans="1:17" ht="26" x14ac:dyDescent="0.2">
      <c r="A176" s="31" t="s">
        <v>526</v>
      </c>
      <c r="B176" s="28" t="s">
        <v>153</v>
      </c>
      <c r="C176" s="29"/>
      <c r="D176" s="30"/>
      <c r="E176" s="31">
        <v>7</v>
      </c>
      <c r="F176" s="29" t="s">
        <v>534</v>
      </c>
      <c r="G176" s="32" t="s">
        <v>287</v>
      </c>
      <c r="H176" s="31" t="str">
        <f>IFERROR(INDEX('الإعدادات واللجنة'!$C$24:$C$32,MATCH(LEFT(A176,3),'الإعدادات واللجنة'!$A$24:$A$32,0)),"")</f>
        <v>د. عمر بن محمد موسى</v>
      </c>
      <c r="I176" s="33"/>
      <c r="J176" s="33"/>
      <c r="K176" s="31" t="str">
        <f t="shared" si="2"/>
        <v/>
      </c>
      <c r="L176" s="34"/>
      <c r="M176" s="33"/>
      <c r="N176" s="34"/>
      <c r="O176" s="34"/>
      <c r="P176" s="33"/>
      <c r="Q176" s="34"/>
    </row>
    <row r="177" spans="1:17" ht="26" x14ac:dyDescent="0.2">
      <c r="A177" s="48" t="s">
        <v>535</v>
      </c>
      <c r="B177" s="49" t="s">
        <v>153</v>
      </c>
      <c r="C177" s="50" t="s">
        <v>536</v>
      </c>
      <c r="D177" s="51"/>
      <c r="E177" s="41">
        <v>1</v>
      </c>
      <c r="F177" s="50" t="s">
        <v>537</v>
      </c>
      <c r="G177" s="40" t="s">
        <v>287</v>
      </c>
      <c r="H177" s="41" t="str">
        <f>IFERROR(INDEX('الإعدادات واللجنة'!$C$24:$C$32,MATCH(LEFT(A177,3),'الإعدادات واللجنة'!$A$24:$A$32,0)),"")</f>
        <v>د. عمر بن محمد موسى</v>
      </c>
      <c r="I177" s="42"/>
      <c r="J177" s="42"/>
      <c r="K177" s="41" t="str">
        <f t="shared" si="2"/>
        <v/>
      </c>
      <c r="L177" s="43"/>
      <c r="M177" s="42"/>
      <c r="N177" s="43"/>
      <c r="O177" s="43"/>
      <c r="P177" s="42"/>
      <c r="Q177" s="43"/>
    </row>
    <row r="178" spans="1:17" x14ac:dyDescent="0.2">
      <c r="A178" s="31" t="s">
        <v>535</v>
      </c>
      <c r="B178" s="28" t="s">
        <v>153</v>
      </c>
      <c r="C178" s="29"/>
      <c r="D178" s="30"/>
      <c r="E178" s="31">
        <v>2</v>
      </c>
      <c r="F178" s="29" t="s">
        <v>538</v>
      </c>
      <c r="G178" s="32" t="s">
        <v>287</v>
      </c>
      <c r="H178" s="31" t="str">
        <f>IFERROR(INDEX('الإعدادات واللجنة'!$C$24:$C$32,MATCH(LEFT(A178,3),'الإعدادات واللجنة'!$A$24:$A$32,0)),"")</f>
        <v>د. عمر بن محمد موسى</v>
      </c>
      <c r="I178" s="33"/>
      <c r="J178" s="33"/>
      <c r="K178" s="31" t="str">
        <f t="shared" si="2"/>
        <v/>
      </c>
      <c r="L178" s="34"/>
      <c r="M178" s="33"/>
      <c r="N178" s="34"/>
      <c r="O178" s="34"/>
      <c r="P178" s="33"/>
      <c r="Q178" s="34"/>
    </row>
    <row r="179" spans="1:17" ht="26" x14ac:dyDescent="0.2">
      <c r="A179" s="31" t="s">
        <v>535</v>
      </c>
      <c r="B179" s="28" t="s">
        <v>153</v>
      </c>
      <c r="C179" s="29"/>
      <c r="D179" s="30"/>
      <c r="E179" s="31">
        <v>3</v>
      </c>
      <c r="F179" s="29" t="s">
        <v>539</v>
      </c>
      <c r="G179" s="32" t="s">
        <v>287</v>
      </c>
      <c r="H179" s="31" t="str">
        <f>IFERROR(INDEX('الإعدادات واللجنة'!$C$24:$C$32,MATCH(LEFT(A179,3),'الإعدادات واللجنة'!$A$24:$A$32,0)),"")</f>
        <v>د. عمر بن محمد موسى</v>
      </c>
      <c r="I179" s="33"/>
      <c r="J179" s="33"/>
      <c r="K179" s="31" t="str">
        <f t="shared" si="2"/>
        <v/>
      </c>
      <c r="L179" s="34"/>
      <c r="M179" s="33"/>
      <c r="N179" s="34"/>
      <c r="O179" s="34"/>
      <c r="P179" s="33"/>
      <c r="Q179" s="34"/>
    </row>
    <row r="180" spans="1:17" ht="26" x14ac:dyDescent="0.2">
      <c r="A180" s="48" t="s">
        <v>540</v>
      </c>
      <c r="B180" s="49" t="s">
        <v>153</v>
      </c>
      <c r="C180" s="50" t="s">
        <v>541</v>
      </c>
      <c r="D180" s="51"/>
      <c r="E180" s="41">
        <v>1</v>
      </c>
      <c r="F180" s="50" t="s">
        <v>542</v>
      </c>
      <c r="G180" s="40" t="s">
        <v>287</v>
      </c>
      <c r="H180" s="41" t="str">
        <f>IFERROR(INDEX('الإعدادات واللجنة'!$C$24:$C$32,MATCH(LEFT(A180,3),'الإعدادات واللجنة'!$A$24:$A$32,0)),"")</f>
        <v>د. عمر بن محمد موسى</v>
      </c>
      <c r="I180" s="42"/>
      <c r="J180" s="42"/>
      <c r="K180" s="41" t="str">
        <f t="shared" si="2"/>
        <v/>
      </c>
      <c r="L180" s="43"/>
      <c r="M180" s="42"/>
      <c r="N180" s="43"/>
      <c r="O180" s="43"/>
      <c r="P180" s="42"/>
      <c r="Q180" s="43"/>
    </row>
    <row r="181" spans="1:17" x14ac:dyDescent="0.2">
      <c r="A181" s="31" t="s">
        <v>540</v>
      </c>
      <c r="B181" s="28" t="s">
        <v>153</v>
      </c>
      <c r="C181" s="29"/>
      <c r="D181" s="30"/>
      <c r="E181" s="31">
        <v>2</v>
      </c>
      <c r="F181" s="29" t="s">
        <v>543</v>
      </c>
      <c r="G181" s="32" t="s">
        <v>287</v>
      </c>
      <c r="H181" s="31" t="str">
        <f>IFERROR(INDEX('الإعدادات واللجنة'!$C$24:$C$32,MATCH(LEFT(A181,3),'الإعدادات واللجنة'!$A$24:$A$32,0)),"")</f>
        <v>د. عمر بن محمد موسى</v>
      </c>
      <c r="I181" s="33"/>
      <c r="J181" s="33"/>
      <c r="K181" s="31" t="str">
        <f t="shared" si="2"/>
        <v/>
      </c>
      <c r="L181" s="34"/>
      <c r="M181" s="33"/>
      <c r="N181" s="34"/>
      <c r="O181" s="34"/>
      <c r="P181" s="33"/>
      <c r="Q181" s="34"/>
    </row>
    <row r="182" spans="1:17" x14ac:dyDescent="0.2">
      <c r="A182" s="31" t="s">
        <v>540</v>
      </c>
      <c r="B182" s="28" t="s">
        <v>153</v>
      </c>
      <c r="C182" s="29"/>
      <c r="D182" s="30"/>
      <c r="E182" s="31">
        <v>3</v>
      </c>
      <c r="F182" s="29" t="s">
        <v>544</v>
      </c>
      <c r="G182" s="32" t="s">
        <v>287</v>
      </c>
      <c r="H182" s="31" t="str">
        <f>IFERROR(INDEX('الإعدادات واللجنة'!$C$24:$C$32,MATCH(LEFT(A182,3),'الإعدادات واللجنة'!$A$24:$A$32,0)),"")</f>
        <v>د. عمر بن محمد موسى</v>
      </c>
      <c r="I182" s="33"/>
      <c r="J182" s="33"/>
      <c r="K182" s="31" t="str">
        <f t="shared" si="2"/>
        <v/>
      </c>
      <c r="L182" s="34"/>
      <c r="M182" s="33"/>
      <c r="N182" s="34"/>
      <c r="O182" s="34"/>
      <c r="P182" s="33"/>
      <c r="Q182" s="34"/>
    </row>
    <row r="183" spans="1:17" ht="26" x14ac:dyDescent="0.2">
      <c r="A183" s="31" t="s">
        <v>540</v>
      </c>
      <c r="B183" s="28" t="s">
        <v>153</v>
      </c>
      <c r="C183" s="29"/>
      <c r="D183" s="30"/>
      <c r="E183" s="31">
        <v>4</v>
      </c>
      <c r="F183" s="29" t="s">
        <v>545</v>
      </c>
      <c r="G183" s="32" t="s">
        <v>287</v>
      </c>
      <c r="H183" s="31" t="str">
        <f>IFERROR(INDEX('الإعدادات واللجنة'!$C$24:$C$32,MATCH(LEFT(A183,3),'الإعدادات واللجنة'!$A$24:$A$32,0)),"")</f>
        <v>د. عمر بن محمد موسى</v>
      </c>
      <c r="I183" s="33"/>
      <c r="J183" s="33"/>
      <c r="K183" s="31" t="str">
        <f t="shared" si="2"/>
        <v/>
      </c>
      <c r="L183" s="34"/>
      <c r="M183" s="33"/>
      <c r="N183" s="34"/>
      <c r="O183" s="34"/>
      <c r="P183" s="33"/>
      <c r="Q183" s="34"/>
    </row>
    <row r="184" spans="1:17" x14ac:dyDescent="0.2">
      <c r="A184" s="31" t="s">
        <v>540</v>
      </c>
      <c r="B184" s="28" t="s">
        <v>153</v>
      </c>
      <c r="C184" s="29"/>
      <c r="D184" s="30"/>
      <c r="E184" s="31">
        <v>5</v>
      </c>
      <c r="F184" s="29" t="s">
        <v>546</v>
      </c>
      <c r="G184" s="32" t="s">
        <v>287</v>
      </c>
      <c r="H184" s="31" t="str">
        <f>IFERROR(INDEX('الإعدادات واللجنة'!$C$24:$C$32,MATCH(LEFT(A184,3),'الإعدادات واللجنة'!$A$24:$A$32,0)),"")</f>
        <v>د. عمر بن محمد موسى</v>
      </c>
      <c r="I184" s="33"/>
      <c r="J184" s="33"/>
      <c r="K184" s="31" t="str">
        <f t="shared" si="2"/>
        <v/>
      </c>
      <c r="L184" s="34"/>
      <c r="M184" s="33"/>
      <c r="N184" s="34"/>
      <c r="O184" s="34"/>
      <c r="P184" s="33"/>
      <c r="Q184" s="34"/>
    </row>
    <row r="185" spans="1:17" ht="26" x14ac:dyDescent="0.2">
      <c r="A185" s="48" t="s">
        <v>547</v>
      </c>
      <c r="B185" s="49" t="s">
        <v>153</v>
      </c>
      <c r="C185" s="50" t="s">
        <v>548</v>
      </c>
      <c r="D185" s="51"/>
      <c r="E185" s="41">
        <v>1</v>
      </c>
      <c r="F185" s="50" t="s">
        <v>549</v>
      </c>
      <c r="G185" s="40" t="s">
        <v>287</v>
      </c>
      <c r="H185" s="41" t="str">
        <f>IFERROR(INDEX('الإعدادات واللجنة'!$C$24:$C$32,MATCH(LEFT(A185,3),'الإعدادات واللجنة'!$A$24:$A$32,0)),"")</f>
        <v>د. عمر بن محمد موسى</v>
      </c>
      <c r="I185" s="42"/>
      <c r="J185" s="42"/>
      <c r="K185" s="41" t="str">
        <f t="shared" si="2"/>
        <v/>
      </c>
      <c r="L185" s="43"/>
      <c r="M185" s="42"/>
      <c r="N185" s="43"/>
      <c r="O185" s="43"/>
      <c r="P185" s="42"/>
      <c r="Q185" s="43"/>
    </row>
    <row r="186" spans="1:17" x14ac:dyDescent="0.2">
      <c r="A186" s="31" t="s">
        <v>547</v>
      </c>
      <c r="B186" s="28" t="s">
        <v>153</v>
      </c>
      <c r="C186" s="29"/>
      <c r="D186" s="30"/>
      <c r="E186" s="31">
        <v>2</v>
      </c>
      <c r="F186" s="29" t="s">
        <v>550</v>
      </c>
      <c r="G186" s="32" t="s">
        <v>287</v>
      </c>
      <c r="H186" s="31" t="str">
        <f>IFERROR(INDEX('الإعدادات واللجنة'!$C$24:$C$32,MATCH(LEFT(A186,3),'الإعدادات واللجنة'!$A$24:$A$32,0)),"")</f>
        <v>د. عمر بن محمد موسى</v>
      </c>
      <c r="I186" s="33"/>
      <c r="J186" s="33"/>
      <c r="K186" s="31" t="str">
        <f t="shared" si="2"/>
        <v/>
      </c>
      <c r="L186" s="34"/>
      <c r="M186" s="33"/>
      <c r="N186" s="34"/>
      <c r="O186" s="34"/>
      <c r="P186" s="33"/>
      <c r="Q186" s="34"/>
    </row>
    <row r="187" spans="1:17" x14ac:dyDescent="0.2">
      <c r="A187" s="31" t="s">
        <v>547</v>
      </c>
      <c r="B187" s="28" t="s">
        <v>153</v>
      </c>
      <c r="C187" s="29"/>
      <c r="D187" s="30"/>
      <c r="E187" s="31">
        <v>3</v>
      </c>
      <c r="F187" s="29" t="s">
        <v>551</v>
      </c>
      <c r="G187" s="32" t="s">
        <v>287</v>
      </c>
      <c r="H187" s="31" t="str">
        <f>IFERROR(INDEX('الإعدادات واللجنة'!$C$24:$C$32,MATCH(LEFT(A187,3),'الإعدادات واللجنة'!$A$24:$A$32,0)),"")</f>
        <v>د. عمر بن محمد موسى</v>
      </c>
      <c r="I187" s="33"/>
      <c r="J187" s="33"/>
      <c r="K187" s="31" t="str">
        <f t="shared" si="2"/>
        <v/>
      </c>
      <c r="L187" s="34"/>
      <c r="M187" s="33"/>
      <c r="N187" s="34"/>
      <c r="O187" s="34"/>
      <c r="P187" s="33"/>
      <c r="Q187" s="34"/>
    </row>
    <row r="188" spans="1:17" ht="39" x14ac:dyDescent="0.2">
      <c r="A188" s="31" t="s">
        <v>547</v>
      </c>
      <c r="B188" s="28" t="s">
        <v>153</v>
      </c>
      <c r="C188" s="29"/>
      <c r="D188" s="30"/>
      <c r="E188" s="31">
        <v>4</v>
      </c>
      <c r="F188" s="29" t="s">
        <v>552</v>
      </c>
      <c r="G188" s="32" t="s">
        <v>287</v>
      </c>
      <c r="H188" s="31" t="str">
        <f>IFERROR(INDEX('الإعدادات واللجنة'!$C$24:$C$32,MATCH(LEFT(A188,3),'الإعدادات واللجنة'!$A$24:$A$32,0)),"")</f>
        <v>د. عمر بن محمد موسى</v>
      </c>
      <c r="I188" s="33"/>
      <c r="J188" s="33"/>
      <c r="K188" s="31" t="str">
        <f t="shared" si="2"/>
        <v/>
      </c>
      <c r="L188" s="34"/>
      <c r="M188" s="33"/>
      <c r="N188" s="34"/>
      <c r="O188" s="34"/>
      <c r="P188" s="33"/>
      <c r="Q188" s="34"/>
    </row>
    <row r="189" spans="1:17" x14ac:dyDescent="0.2">
      <c r="A189" s="31" t="s">
        <v>547</v>
      </c>
      <c r="B189" s="28" t="s">
        <v>153</v>
      </c>
      <c r="C189" s="29"/>
      <c r="D189" s="30"/>
      <c r="E189" s="31">
        <v>5</v>
      </c>
      <c r="F189" s="29" t="s">
        <v>553</v>
      </c>
      <c r="G189" s="32" t="s">
        <v>287</v>
      </c>
      <c r="H189" s="31" t="str">
        <f>IFERROR(INDEX('الإعدادات واللجنة'!$C$24:$C$32,MATCH(LEFT(A189,3),'الإعدادات واللجنة'!$A$24:$A$32,0)),"")</f>
        <v>د. عمر بن محمد موسى</v>
      </c>
      <c r="I189" s="33"/>
      <c r="J189" s="33"/>
      <c r="K189" s="31" t="str">
        <f t="shared" si="2"/>
        <v/>
      </c>
      <c r="L189" s="34"/>
      <c r="M189" s="33"/>
      <c r="N189" s="34"/>
      <c r="O189" s="34"/>
      <c r="P189" s="33"/>
      <c r="Q189" s="34"/>
    </row>
    <row r="190" spans="1:17" ht="26" x14ac:dyDescent="0.2">
      <c r="A190" s="48" t="s">
        <v>554</v>
      </c>
      <c r="B190" s="49" t="s">
        <v>154</v>
      </c>
      <c r="C190" s="50" t="s">
        <v>555</v>
      </c>
      <c r="D190" s="51"/>
      <c r="E190" s="41">
        <v>1</v>
      </c>
      <c r="F190" s="50" t="s">
        <v>556</v>
      </c>
      <c r="G190" s="40" t="s">
        <v>287</v>
      </c>
      <c r="H190" s="41" t="str">
        <f>IFERROR(INDEX('الإعدادات واللجنة'!$C$24:$C$32,MATCH(LEFT(A190,3),'الإعدادات واللجنة'!$A$24:$A$32,0)),"")</f>
        <v>د. حسن بن سعد القحطاني</v>
      </c>
      <c r="I190" s="42"/>
      <c r="J190" s="42"/>
      <c r="K190" s="41" t="str">
        <f t="shared" si="2"/>
        <v/>
      </c>
      <c r="L190" s="43"/>
      <c r="M190" s="42"/>
      <c r="N190" s="43"/>
      <c r="O190" s="43"/>
      <c r="P190" s="42"/>
      <c r="Q190" s="43"/>
    </row>
    <row r="191" spans="1:17" ht="24" x14ac:dyDescent="0.2">
      <c r="A191" s="31" t="s">
        <v>554</v>
      </c>
      <c r="B191" s="28" t="s">
        <v>154</v>
      </c>
      <c r="C191" s="29"/>
      <c r="D191" s="30"/>
      <c r="E191" s="31">
        <v>2</v>
      </c>
      <c r="F191" s="29" t="s">
        <v>557</v>
      </c>
      <c r="G191" s="32" t="s">
        <v>287</v>
      </c>
      <c r="H191" s="31" t="str">
        <f>IFERROR(INDEX('الإعدادات واللجنة'!$C$24:$C$32,MATCH(LEFT(A191,3),'الإعدادات واللجنة'!$A$24:$A$32,0)),"")</f>
        <v>د. حسن بن سعد القحطاني</v>
      </c>
      <c r="I191" s="33"/>
      <c r="J191" s="33"/>
      <c r="K191" s="31" t="str">
        <f t="shared" si="2"/>
        <v/>
      </c>
      <c r="L191" s="34"/>
      <c r="M191" s="33"/>
      <c r="N191" s="34"/>
      <c r="O191" s="34"/>
      <c r="P191" s="33"/>
      <c r="Q191" s="34"/>
    </row>
    <row r="192" spans="1:17" ht="26" x14ac:dyDescent="0.2">
      <c r="A192" s="31" t="s">
        <v>554</v>
      </c>
      <c r="B192" s="28" t="s">
        <v>154</v>
      </c>
      <c r="C192" s="29"/>
      <c r="D192" s="30"/>
      <c r="E192" s="31">
        <v>3</v>
      </c>
      <c r="F192" s="29" t="s">
        <v>558</v>
      </c>
      <c r="G192" s="32" t="s">
        <v>287</v>
      </c>
      <c r="H192" s="31" t="str">
        <f>IFERROR(INDEX('الإعدادات واللجنة'!$C$24:$C$32,MATCH(LEFT(A192,3),'الإعدادات واللجنة'!$A$24:$A$32,0)),"")</f>
        <v>د. حسن بن سعد القحطاني</v>
      </c>
      <c r="I192" s="33"/>
      <c r="J192" s="33"/>
      <c r="K192" s="31" t="str">
        <f t="shared" si="2"/>
        <v/>
      </c>
      <c r="L192" s="34"/>
      <c r="M192" s="33"/>
      <c r="N192" s="34"/>
      <c r="O192" s="34"/>
      <c r="P192" s="33"/>
      <c r="Q192" s="34"/>
    </row>
    <row r="193" spans="1:17" ht="26" x14ac:dyDescent="0.2">
      <c r="A193" s="48" t="s">
        <v>559</v>
      </c>
      <c r="B193" s="49" t="s">
        <v>154</v>
      </c>
      <c r="C193" s="50" t="s">
        <v>560</v>
      </c>
      <c r="D193" s="51"/>
      <c r="E193" s="41">
        <v>1</v>
      </c>
      <c r="F193" s="50" t="s">
        <v>561</v>
      </c>
      <c r="G193" s="40" t="s">
        <v>287</v>
      </c>
      <c r="H193" s="41" t="str">
        <f>IFERROR(INDEX('الإعدادات واللجنة'!$C$24:$C$32,MATCH(LEFT(A193,3),'الإعدادات واللجنة'!$A$24:$A$32,0)),"")</f>
        <v>د. حسن بن سعد القحطاني</v>
      </c>
      <c r="I193" s="42"/>
      <c r="J193" s="42"/>
      <c r="K193" s="41" t="str">
        <f t="shared" si="2"/>
        <v/>
      </c>
      <c r="L193" s="43"/>
      <c r="M193" s="42"/>
      <c r="N193" s="43"/>
      <c r="O193" s="43"/>
      <c r="P193" s="42"/>
      <c r="Q193" s="43"/>
    </row>
    <row r="194" spans="1:17" ht="26" x14ac:dyDescent="0.2">
      <c r="A194" s="31" t="s">
        <v>559</v>
      </c>
      <c r="B194" s="28" t="s">
        <v>154</v>
      </c>
      <c r="C194" s="29"/>
      <c r="D194" s="30"/>
      <c r="E194" s="31">
        <v>2</v>
      </c>
      <c r="F194" s="29" t="s">
        <v>562</v>
      </c>
      <c r="G194" s="32" t="s">
        <v>287</v>
      </c>
      <c r="H194" s="31" t="str">
        <f>IFERROR(INDEX('الإعدادات واللجنة'!$C$24:$C$32,MATCH(LEFT(A194,3),'الإعدادات واللجنة'!$A$24:$A$32,0)),"")</f>
        <v>د. حسن بن سعد القحطاني</v>
      </c>
      <c r="I194" s="33"/>
      <c r="J194" s="33"/>
      <c r="K194" s="31" t="str">
        <f t="shared" si="2"/>
        <v/>
      </c>
      <c r="L194" s="34"/>
      <c r="M194" s="33"/>
      <c r="N194" s="34"/>
      <c r="O194" s="34"/>
      <c r="P194" s="33"/>
      <c r="Q194" s="34"/>
    </row>
    <row r="195" spans="1:17" ht="26" x14ac:dyDescent="0.2">
      <c r="A195" s="31" t="s">
        <v>559</v>
      </c>
      <c r="B195" s="28" t="s">
        <v>154</v>
      </c>
      <c r="C195" s="29"/>
      <c r="D195" s="30"/>
      <c r="E195" s="31">
        <v>3</v>
      </c>
      <c r="F195" s="29" t="s">
        <v>563</v>
      </c>
      <c r="G195" s="32" t="s">
        <v>287</v>
      </c>
      <c r="H195" s="31" t="str">
        <f>IFERROR(INDEX('الإعدادات واللجنة'!$C$24:$C$32,MATCH(LEFT(A195,3),'الإعدادات واللجنة'!$A$24:$A$32,0)),"")</f>
        <v>د. حسن بن سعد القحطاني</v>
      </c>
      <c r="I195" s="33"/>
      <c r="J195" s="33"/>
      <c r="K195" s="31" t="str">
        <f t="shared" si="2"/>
        <v/>
      </c>
      <c r="L195" s="34"/>
      <c r="M195" s="33"/>
      <c r="N195" s="34"/>
      <c r="O195" s="34"/>
      <c r="P195" s="33"/>
      <c r="Q195" s="34"/>
    </row>
    <row r="196" spans="1:17" ht="39" x14ac:dyDescent="0.2">
      <c r="A196" s="35" t="s">
        <v>564</v>
      </c>
      <c r="B196" s="36" t="s">
        <v>154</v>
      </c>
      <c r="C196" s="37" t="s">
        <v>565</v>
      </c>
      <c r="D196" s="38" t="s">
        <v>293</v>
      </c>
      <c r="E196" s="39">
        <v>1</v>
      </c>
      <c r="F196" s="37" t="s">
        <v>566</v>
      </c>
      <c r="G196" s="40" t="s">
        <v>287</v>
      </c>
      <c r="H196" s="41" t="str">
        <f>IFERROR(INDEX('الإعدادات واللجنة'!$C$24:$C$32,MATCH(LEFT(A196,3),'الإعدادات واللجنة'!$A$24:$A$32,0)),"")</f>
        <v>د. حسن بن سعد القحطاني</v>
      </c>
      <c r="I196" s="42"/>
      <c r="J196" s="42"/>
      <c r="K196" s="41" t="str">
        <f t="shared" si="2"/>
        <v/>
      </c>
      <c r="L196" s="43"/>
      <c r="M196" s="42"/>
      <c r="N196" s="43"/>
      <c r="O196" s="43"/>
      <c r="P196" s="42"/>
      <c r="Q196" s="43"/>
    </row>
    <row r="197" spans="1:17" ht="26" x14ac:dyDescent="0.2">
      <c r="A197" s="44" t="s">
        <v>564</v>
      </c>
      <c r="B197" s="45" t="s">
        <v>154</v>
      </c>
      <c r="C197" s="46"/>
      <c r="D197" s="47" t="s">
        <v>293</v>
      </c>
      <c r="E197" s="44">
        <v>2</v>
      </c>
      <c r="F197" s="46" t="s">
        <v>567</v>
      </c>
      <c r="G197" s="32" t="s">
        <v>287</v>
      </c>
      <c r="H197" s="31" t="str">
        <f>IFERROR(INDEX('الإعدادات واللجنة'!$C$24:$C$32,MATCH(LEFT(A197,3),'الإعدادات واللجنة'!$A$24:$A$32,0)),"")</f>
        <v>د. حسن بن سعد القحطاني</v>
      </c>
      <c r="I197" s="33"/>
      <c r="J197" s="33"/>
      <c r="K197" s="31" t="str">
        <f t="shared" ref="K197:K208" si="3">IF(OR(I197="",I197="متوفر ومكتمل"),"",IF(OR(D197="★",I197="غير متوفر"),"عالية","متوسطة"))</f>
        <v/>
      </c>
      <c r="L197" s="34"/>
      <c r="M197" s="33"/>
      <c r="N197" s="34"/>
      <c r="O197" s="34"/>
      <c r="P197" s="33"/>
      <c r="Q197" s="34"/>
    </row>
    <row r="198" spans="1:17" ht="26" x14ac:dyDescent="0.2">
      <c r="A198" s="44" t="s">
        <v>564</v>
      </c>
      <c r="B198" s="45" t="s">
        <v>154</v>
      </c>
      <c r="C198" s="46"/>
      <c r="D198" s="47" t="s">
        <v>293</v>
      </c>
      <c r="E198" s="44">
        <v>3</v>
      </c>
      <c r="F198" s="46" t="s">
        <v>568</v>
      </c>
      <c r="G198" s="32" t="s">
        <v>287</v>
      </c>
      <c r="H198" s="31" t="str">
        <f>IFERROR(INDEX('الإعدادات واللجنة'!$C$24:$C$32,MATCH(LEFT(A198,3),'الإعدادات واللجنة'!$A$24:$A$32,0)),"")</f>
        <v>د. حسن بن سعد القحطاني</v>
      </c>
      <c r="I198" s="33"/>
      <c r="J198" s="33"/>
      <c r="K198" s="31" t="str">
        <f t="shared" si="3"/>
        <v/>
      </c>
      <c r="L198" s="34"/>
      <c r="M198" s="33"/>
      <c r="N198" s="34"/>
      <c r="O198" s="34"/>
      <c r="P198" s="33"/>
      <c r="Q198" s="34"/>
    </row>
    <row r="199" spans="1:17" ht="24" x14ac:dyDescent="0.2">
      <c r="A199" s="44" t="s">
        <v>564</v>
      </c>
      <c r="B199" s="45" t="s">
        <v>154</v>
      </c>
      <c r="C199" s="46"/>
      <c r="D199" s="47" t="s">
        <v>293</v>
      </c>
      <c r="E199" s="44">
        <v>4</v>
      </c>
      <c r="F199" s="46" t="s">
        <v>569</v>
      </c>
      <c r="G199" s="32" t="s">
        <v>287</v>
      </c>
      <c r="H199" s="31" t="str">
        <f>IFERROR(INDEX('الإعدادات واللجنة'!$C$24:$C$32,MATCH(LEFT(A199,3),'الإعدادات واللجنة'!$A$24:$A$32,0)),"")</f>
        <v>د. حسن بن سعد القحطاني</v>
      </c>
      <c r="I199" s="33"/>
      <c r="J199" s="33"/>
      <c r="K199" s="31" t="str">
        <f t="shared" si="3"/>
        <v/>
      </c>
      <c r="L199" s="34"/>
      <c r="M199" s="33"/>
      <c r="N199" s="34"/>
      <c r="O199" s="34"/>
      <c r="P199" s="33"/>
      <c r="Q199" s="34"/>
    </row>
    <row r="200" spans="1:17" ht="24" x14ac:dyDescent="0.2">
      <c r="A200" s="44" t="s">
        <v>564</v>
      </c>
      <c r="B200" s="45" t="s">
        <v>154</v>
      </c>
      <c r="C200" s="46"/>
      <c r="D200" s="47" t="s">
        <v>293</v>
      </c>
      <c r="E200" s="44">
        <v>5</v>
      </c>
      <c r="F200" s="46" t="s">
        <v>570</v>
      </c>
      <c r="G200" s="32" t="s">
        <v>287</v>
      </c>
      <c r="H200" s="31" t="str">
        <f>IFERROR(INDEX('الإعدادات واللجنة'!$C$24:$C$32,MATCH(LEFT(A200,3),'الإعدادات واللجنة'!$A$24:$A$32,0)),"")</f>
        <v>د. حسن بن سعد القحطاني</v>
      </c>
      <c r="I200" s="33"/>
      <c r="J200" s="33"/>
      <c r="K200" s="31" t="str">
        <f t="shared" si="3"/>
        <v/>
      </c>
      <c r="L200" s="34"/>
      <c r="M200" s="33"/>
      <c r="N200" s="34"/>
      <c r="O200" s="34"/>
      <c r="P200" s="33"/>
      <c r="Q200" s="34"/>
    </row>
    <row r="201" spans="1:17" ht="24" x14ac:dyDescent="0.2">
      <c r="A201" s="44" t="s">
        <v>564</v>
      </c>
      <c r="B201" s="45" t="s">
        <v>154</v>
      </c>
      <c r="C201" s="46"/>
      <c r="D201" s="47" t="s">
        <v>293</v>
      </c>
      <c r="E201" s="44">
        <v>6</v>
      </c>
      <c r="F201" s="46" t="s">
        <v>571</v>
      </c>
      <c r="G201" s="32" t="s">
        <v>287</v>
      </c>
      <c r="H201" s="31" t="str">
        <f>IFERROR(INDEX('الإعدادات واللجنة'!$C$24:$C$32,MATCH(LEFT(A201,3),'الإعدادات واللجنة'!$A$24:$A$32,0)),"")</f>
        <v>د. حسن بن سعد القحطاني</v>
      </c>
      <c r="I201" s="33"/>
      <c r="J201" s="33"/>
      <c r="K201" s="31" t="str">
        <f t="shared" si="3"/>
        <v/>
      </c>
      <c r="L201" s="34"/>
      <c r="M201" s="33"/>
      <c r="N201" s="34"/>
      <c r="O201" s="34"/>
      <c r="P201" s="33"/>
      <c r="Q201" s="34"/>
    </row>
    <row r="202" spans="1:17" ht="26" x14ac:dyDescent="0.2">
      <c r="A202" s="48" t="s">
        <v>572</v>
      </c>
      <c r="B202" s="49" t="s">
        <v>154</v>
      </c>
      <c r="C202" s="50" t="s">
        <v>573</v>
      </c>
      <c r="D202" s="51"/>
      <c r="E202" s="41">
        <v>1</v>
      </c>
      <c r="F202" s="50" t="s">
        <v>574</v>
      </c>
      <c r="G202" s="40" t="s">
        <v>287</v>
      </c>
      <c r="H202" s="41" t="str">
        <f>IFERROR(INDEX('الإعدادات واللجنة'!$C$24:$C$32,MATCH(LEFT(A202,3),'الإعدادات واللجنة'!$A$24:$A$32,0)),"")</f>
        <v>د. حسن بن سعد القحطاني</v>
      </c>
      <c r="I202" s="42"/>
      <c r="J202" s="42"/>
      <c r="K202" s="41" t="str">
        <f t="shared" si="3"/>
        <v/>
      </c>
      <c r="L202" s="43"/>
      <c r="M202" s="42"/>
      <c r="N202" s="43"/>
      <c r="O202" s="43"/>
      <c r="P202" s="42"/>
      <c r="Q202" s="43"/>
    </row>
    <row r="203" spans="1:17" ht="26" x14ac:dyDescent="0.2">
      <c r="A203" s="31" t="s">
        <v>572</v>
      </c>
      <c r="B203" s="28" t="s">
        <v>154</v>
      </c>
      <c r="C203" s="29"/>
      <c r="D203" s="30"/>
      <c r="E203" s="31">
        <v>2</v>
      </c>
      <c r="F203" s="29" t="s">
        <v>575</v>
      </c>
      <c r="G203" s="32" t="s">
        <v>287</v>
      </c>
      <c r="H203" s="31" t="str">
        <f>IFERROR(INDEX('الإعدادات واللجنة'!$C$24:$C$32,MATCH(LEFT(A203,3),'الإعدادات واللجنة'!$A$24:$A$32,0)),"")</f>
        <v>د. حسن بن سعد القحطاني</v>
      </c>
      <c r="I203" s="33"/>
      <c r="J203" s="33"/>
      <c r="K203" s="31" t="str">
        <f t="shared" si="3"/>
        <v/>
      </c>
      <c r="L203" s="34"/>
      <c r="M203" s="33"/>
      <c r="N203" s="34"/>
      <c r="O203" s="34"/>
      <c r="P203" s="33"/>
      <c r="Q203" s="34"/>
    </row>
    <row r="204" spans="1:17" ht="24" x14ac:dyDescent="0.2">
      <c r="A204" s="31" t="s">
        <v>572</v>
      </c>
      <c r="B204" s="28" t="s">
        <v>154</v>
      </c>
      <c r="C204" s="29"/>
      <c r="D204" s="30"/>
      <c r="E204" s="31">
        <v>3</v>
      </c>
      <c r="F204" s="29" t="s">
        <v>576</v>
      </c>
      <c r="G204" s="32" t="s">
        <v>287</v>
      </c>
      <c r="H204" s="31" t="str">
        <f>IFERROR(INDEX('الإعدادات واللجنة'!$C$24:$C$32,MATCH(LEFT(A204,3),'الإعدادات واللجنة'!$A$24:$A$32,0)),"")</f>
        <v>د. حسن بن سعد القحطاني</v>
      </c>
      <c r="I204" s="33"/>
      <c r="J204" s="33"/>
      <c r="K204" s="31" t="str">
        <f t="shared" si="3"/>
        <v/>
      </c>
      <c r="L204" s="34"/>
      <c r="M204" s="33"/>
      <c r="N204" s="34"/>
      <c r="O204" s="34"/>
      <c r="P204" s="33"/>
      <c r="Q204" s="34"/>
    </row>
    <row r="205" spans="1:17" ht="24" x14ac:dyDescent="0.2">
      <c r="A205" s="31" t="s">
        <v>572</v>
      </c>
      <c r="B205" s="28" t="s">
        <v>154</v>
      </c>
      <c r="C205" s="29"/>
      <c r="D205" s="30"/>
      <c r="E205" s="31">
        <v>4</v>
      </c>
      <c r="F205" s="29" t="s">
        <v>577</v>
      </c>
      <c r="G205" s="32" t="s">
        <v>287</v>
      </c>
      <c r="H205" s="31" t="str">
        <f>IFERROR(INDEX('الإعدادات واللجنة'!$C$24:$C$32,MATCH(LEFT(A205,3),'الإعدادات واللجنة'!$A$24:$A$32,0)),"")</f>
        <v>د. حسن بن سعد القحطاني</v>
      </c>
      <c r="I205" s="33"/>
      <c r="J205" s="33"/>
      <c r="K205" s="31" t="str">
        <f t="shared" si="3"/>
        <v/>
      </c>
      <c r="L205" s="34"/>
      <c r="M205" s="33"/>
      <c r="N205" s="34"/>
      <c r="O205" s="34"/>
      <c r="P205" s="33"/>
      <c r="Q205" s="34"/>
    </row>
    <row r="206" spans="1:17" ht="26" x14ac:dyDescent="0.2">
      <c r="A206" s="31" t="s">
        <v>572</v>
      </c>
      <c r="B206" s="28" t="s">
        <v>154</v>
      </c>
      <c r="C206" s="29"/>
      <c r="D206" s="30"/>
      <c r="E206" s="31">
        <v>5</v>
      </c>
      <c r="F206" s="29" t="s">
        <v>578</v>
      </c>
      <c r="G206" s="32" t="s">
        <v>287</v>
      </c>
      <c r="H206" s="31" t="str">
        <f>IFERROR(INDEX('الإعدادات واللجنة'!$C$24:$C$32,MATCH(LEFT(A206,3),'الإعدادات واللجنة'!$A$24:$A$32,0)),"")</f>
        <v>د. حسن بن سعد القحطاني</v>
      </c>
      <c r="I206" s="33"/>
      <c r="J206" s="33"/>
      <c r="K206" s="31" t="str">
        <f t="shared" si="3"/>
        <v/>
      </c>
      <c r="L206" s="34"/>
      <c r="M206" s="33"/>
      <c r="N206" s="34"/>
      <c r="O206" s="34"/>
      <c r="P206" s="33"/>
      <c r="Q206" s="34"/>
    </row>
    <row r="207" spans="1:17" ht="26" x14ac:dyDescent="0.2">
      <c r="A207" s="48" t="s">
        <v>579</v>
      </c>
      <c r="B207" s="49" t="s">
        <v>154</v>
      </c>
      <c r="C207" s="50" t="s">
        <v>580</v>
      </c>
      <c r="D207" s="51"/>
      <c r="E207" s="41">
        <v>1</v>
      </c>
      <c r="F207" s="50" t="s">
        <v>581</v>
      </c>
      <c r="G207" s="40" t="s">
        <v>287</v>
      </c>
      <c r="H207" s="41" t="str">
        <f>IFERROR(INDEX('الإعدادات واللجنة'!$C$24:$C$32,MATCH(LEFT(A207,3),'الإعدادات واللجنة'!$A$24:$A$32,0)),"")</f>
        <v>د. حسن بن سعد القحطاني</v>
      </c>
      <c r="I207" s="42"/>
      <c r="J207" s="42"/>
      <c r="K207" s="41" t="str">
        <f t="shared" si="3"/>
        <v/>
      </c>
      <c r="L207" s="43"/>
      <c r="M207" s="42"/>
      <c r="N207" s="43"/>
      <c r="O207" s="43"/>
      <c r="P207" s="42"/>
      <c r="Q207" s="43"/>
    </row>
    <row r="208" spans="1:17" ht="24" x14ac:dyDescent="0.2">
      <c r="A208" s="31" t="s">
        <v>579</v>
      </c>
      <c r="B208" s="28" t="s">
        <v>154</v>
      </c>
      <c r="C208" s="29"/>
      <c r="D208" s="30"/>
      <c r="E208" s="31">
        <v>2</v>
      </c>
      <c r="F208" s="29" t="s">
        <v>582</v>
      </c>
      <c r="G208" s="32" t="s">
        <v>287</v>
      </c>
      <c r="H208" s="31" t="str">
        <f>IFERROR(INDEX('الإعدادات واللجنة'!$C$24:$C$32,MATCH(LEFT(A208,3),'الإعدادات واللجنة'!$A$24:$A$32,0)),"")</f>
        <v>د. حسن بن سعد القحطاني</v>
      </c>
      <c r="I208" s="33"/>
      <c r="J208" s="33"/>
      <c r="K208" s="31" t="str">
        <f t="shared" si="3"/>
        <v/>
      </c>
      <c r="L208" s="34"/>
      <c r="M208" s="33"/>
      <c r="N208" s="34"/>
      <c r="O208" s="34"/>
      <c r="P208" s="33"/>
      <c r="Q208" s="34"/>
    </row>
  </sheetData>
  <autoFilter ref="A4:Q208" xr:uid="{00000000-0009-0000-0000-000005000000}"/>
  <mergeCells count="2">
    <mergeCell ref="A1:H1"/>
    <mergeCell ref="A2:Q2"/>
  </mergeCells>
  <conditionalFormatting sqref="I5:I208">
    <cfRule type="cellIs" dxfId="17" priority="2" operator="equal">
      <formula>"متوفر ومكتمل"</formula>
    </cfRule>
    <cfRule type="cellIs" dxfId="16" priority="3" operator="equal">
      <formula>"متوفر ويحتاج تحسين"</formula>
    </cfRule>
    <cfRule type="cellIs" dxfId="15" priority="4" operator="equal">
      <formula>"غير متوفر"</formula>
    </cfRule>
  </conditionalFormatting>
  <conditionalFormatting sqref="K5:K208">
    <cfRule type="cellIs" dxfId="14" priority="5" operator="equal">
      <formula>"عالية"</formula>
    </cfRule>
  </conditionalFormatting>
  <conditionalFormatting sqref="P5:P208">
    <cfRule type="cellIs" dxfId="13" priority="6" operator="equal">
      <formula>"تمت"</formula>
    </cfRule>
    <cfRule type="cellIs" dxfId="12" priority="7" operator="equal">
      <formula>"تحتاج تعديل"</formula>
    </cfRule>
  </conditionalFormatting>
  <dataValidations count="4">
    <dataValidation type="list" allowBlank="1" sqref="I5:I208" xr:uid="{00000000-0002-0000-0500-000000000000}">
      <formula1>"متوفر ومكتمل,متوفر ويحتاج تحسين,غير متوفر"</formula1>
      <formula2>0</formula2>
    </dataValidation>
    <dataValidation type="list" allowBlank="1" sqref="J5:J208" xr:uid="{00000000-0002-0000-0500-000001000000}">
      <formula1>"غير معتمد,غير محدّث,لا يغطي المحك كاملاً,لا يثبت التطبيق الفعلي,لا توجد نتائج وتحسين"</formula1>
      <formula2>0</formula2>
    </dataValidation>
    <dataValidation type="list" allowBlank="1" sqref="M5:M208" xr:uid="{00000000-0002-0000-0500-000002000000}">
      <formula1>"الأسبوع 1,الأسبوع 2,الأسبوع 3,الأسبوع 4,الأسبوع 5,الأسبوع 6,الأسبوع 7,الأسبوع 8,بعد الخطة"</formula1>
      <formula2>0</formula2>
    </dataValidation>
    <dataValidation type="list" allowBlank="1" sqref="P5:P208" xr:uid="{00000000-0002-0000-0500-000003000000}">
      <formula1>"تمت,تحتاج تعديل"</formula1>
      <formula2>0</formula2>
    </dataValidation>
  </dataValidations>
  <pageMargins left="0.75" right="0.75" top="1" bottom="1" header="0.511811023622047" footer="0.511811023622047"/>
  <pageSetup paperSize="9" orientation="portrait" horizontalDpi="300" verticalDpi="300"/>
  <headerFooter>
    <oddFooter xml:space="preserve">&amp;L_x000D_&amp;1#&amp;"Aptos"&amp;10&amp;K000000 Restricted - مقيد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EA9DB"/>
  </sheetPr>
  <dimension ref="A1:Q208"/>
  <sheetViews>
    <sheetView rightToLeft="1" zoomScaleNormal="100" workbookViewId="0">
      <pane xSplit="6" ySplit="4" topLeftCell="G5" activePane="bottomRight" state="frozen"/>
      <selection pane="topRight" activeCell="G1" sqref="G1"/>
      <selection pane="bottomLeft" activeCell="A5" sqref="A5"/>
      <selection pane="bottomRight"/>
    </sheetView>
  </sheetViews>
  <sheetFormatPr baseColWidth="10" defaultColWidth="8.6640625" defaultRowHeight="15" x14ac:dyDescent="0.2"/>
  <cols>
    <col min="1" max="1" width="8" customWidth="1"/>
    <col min="2" max="2" width="14" customWidth="1"/>
    <col min="3" max="3" width="40" customWidth="1"/>
    <col min="4" max="4" width="6" customWidth="1"/>
    <col min="5" max="5" width="4" customWidth="1"/>
    <col min="6" max="6" width="44" customWidth="1"/>
    <col min="7" max="7" width="14" customWidth="1"/>
    <col min="8" max="8" width="16" customWidth="1"/>
    <col min="9" max="9" width="17" customWidth="1"/>
    <col min="10" max="10" width="19" customWidth="1"/>
    <col min="11" max="11" width="9" customWidth="1"/>
    <col min="12" max="12" width="30" customWidth="1"/>
    <col min="13" max="13" width="12" customWidth="1"/>
    <col min="14" max="14" width="26" customWidth="1"/>
    <col min="15" max="15" width="22" customWidth="1"/>
    <col min="16" max="16" width="13" customWidth="1"/>
    <col min="17" max="17" width="22" customWidth="1"/>
  </cols>
  <sheetData>
    <row r="1" spans="1:17" ht="18" x14ac:dyDescent="0.2">
      <c r="A1" s="1" t="str">
        <f>"فحص الأدلة – "&amp;'الإعدادات واللجنة'!$B$6</f>
        <v>فحص الأدلة – بكالوريوس علوم البيانات</v>
      </c>
      <c r="B1" s="1"/>
      <c r="C1" s="1"/>
      <c r="D1" s="1"/>
      <c r="E1" s="1"/>
      <c r="F1" s="1"/>
      <c r="G1" s="1"/>
      <c r="H1" s="1"/>
    </row>
    <row r="2" spans="1:17" ht="15" customHeight="1" x14ac:dyDescent="0.2">
      <c r="A2" s="6" t="s">
        <v>271</v>
      </c>
      <c r="B2" s="6"/>
      <c r="C2" s="6"/>
      <c r="D2" s="6"/>
      <c r="E2" s="6"/>
      <c r="F2" s="6"/>
      <c r="G2" s="6"/>
      <c r="H2" s="6"/>
      <c r="I2" s="6"/>
      <c r="J2" s="6"/>
      <c r="K2" s="6"/>
      <c r="L2" s="6"/>
      <c r="M2" s="6"/>
      <c r="N2" s="6"/>
      <c r="O2" s="6"/>
      <c r="P2" s="6"/>
      <c r="Q2" s="6"/>
    </row>
    <row r="4" spans="1:17" ht="30" customHeight="1" x14ac:dyDescent="0.2">
      <c r="A4" s="10" t="s">
        <v>117</v>
      </c>
      <c r="B4" s="10" t="s">
        <v>141</v>
      </c>
      <c r="C4" s="10" t="s">
        <v>272</v>
      </c>
      <c r="D4" s="10" t="s">
        <v>273</v>
      </c>
      <c r="E4" s="10" t="s">
        <v>88</v>
      </c>
      <c r="F4" s="10" t="s">
        <v>274</v>
      </c>
      <c r="G4" s="10" t="s">
        <v>275</v>
      </c>
      <c r="H4" s="10" t="s">
        <v>5</v>
      </c>
      <c r="I4" s="10" t="s">
        <v>276</v>
      </c>
      <c r="J4" s="10" t="s">
        <v>164</v>
      </c>
      <c r="K4" s="10" t="s">
        <v>277</v>
      </c>
      <c r="L4" s="10" t="s">
        <v>278</v>
      </c>
      <c r="M4" s="10" t="s">
        <v>279</v>
      </c>
      <c r="N4" s="10" t="s">
        <v>280</v>
      </c>
      <c r="O4" s="10" t="s">
        <v>281</v>
      </c>
      <c r="P4" s="10" t="s">
        <v>282</v>
      </c>
      <c r="Q4" s="10" t="s">
        <v>283</v>
      </c>
    </row>
    <row r="5" spans="1:17" ht="26" x14ac:dyDescent="0.2">
      <c r="A5" s="27" t="s">
        <v>284</v>
      </c>
      <c r="B5" s="28" t="s">
        <v>150</v>
      </c>
      <c r="C5" s="29" t="s">
        <v>285</v>
      </c>
      <c r="D5" s="30"/>
      <c r="E5" s="31">
        <v>1</v>
      </c>
      <c r="F5" s="29" t="s">
        <v>286</v>
      </c>
      <c r="G5" s="32" t="s">
        <v>287</v>
      </c>
      <c r="H5" s="31" t="str">
        <f>IFERROR(INDEX('الإعدادات واللجنة'!$C$24:$C$32,MATCH(LEFT(A5,3),'الإعدادات واللجنة'!$A$24:$A$32,0)),"")</f>
        <v>د. سلطان بن سعيد الشمراني</v>
      </c>
      <c r="I5" s="33"/>
      <c r="J5" s="33"/>
      <c r="K5" s="31" t="str">
        <f t="shared" ref="K5:K68" si="0">IF(OR(I5="",I5="متوفر ومكتمل"),"",IF(OR(D5="★",I5="غير متوفر"),"عالية","متوسطة"))</f>
        <v/>
      </c>
      <c r="L5" s="34"/>
      <c r="M5" s="33"/>
      <c r="N5" s="34"/>
      <c r="O5" s="34"/>
      <c r="P5" s="33"/>
      <c r="Q5" s="34"/>
    </row>
    <row r="6" spans="1:17" ht="24" x14ac:dyDescent="0.2">
      <c r="A6" s="31" t="s">
        <v>284</v>
      </c>
      <c r="B6" s="28" t="s">
        <v>150</v>
      </c>
      <c r="C6" s="29"/>
      <c r="D6" s="30"/>
      <c r="E6" s="31">
        <v>2</v>
      </c>
      <c r="F6" s="29" t="s">
        <v>288</v>
      </c>
      <c r="G6" s="32" t="s">
        <v>287</v>
      </c>
      <c r="H6" s="31" t="str">
        <f>IFERROR(INDEX('الإعدادات واللجنة'!$C$24:$C$32,MATCH(LEFT(A6,3),'الإعدادات واللجنة'!$A$24:$A$32,0)),"")</f>
        <v>د. سلطان بن سعيد الشمراني</v>
      </c>
      <c r="I6" s="33"/>
      <c r="J6" s="33"/>
      <c r="K6" s="31" t="str">
        <f t="shared" si="0"/>
        <v/>
      </c>
      <c r="L6" s="34"/>
      <c r="M6" s="33"/>
      <c r="N6" s="34"/>
      <c r="O6" s="34"/>
      <c r="P6" s="33"/>
      <c r="Q6" s="34"/>
    </row>
    <row r="7" spans="1:17" ht="24" x14ac:dyDescent="0.2">
      <c r="A7" s="31" t="s">
        <v>284</v>
      </c>
      <c r="B7" s="28" t="s">
        <v>150</v>
      </c>
      <c r="C7" s="29"/>
      <c r="D7" s="30"/>
      <c r="E7" s="31">
        <v>3</v>
      </c>
      <c r="F7" s="29" t="s">
        <v>289</v>
      </c>
      <c r="G7" s="32" t="s">
        <v>287</v>
      </c>
      <c r="H7" s="31" t="str">
        <f>IFERROR(INDEX('الإعدادات واللجنة'!$C$24:$C$32,MATCH(LEFT(A7,3),'الإعدادات واللجنة'!$A$24:$A$32,0)),"")</f>
        <v>د. سلطان بن سعيد الشمراني</v>
      </c>
      <c r="I7" s="33"/>
      <c r="J7" s="33"/>
      <c r="K7" s="31" t="str">
        <f t="shared" si="0"/>
        <v/>
      </c>
      <c r="L7" s="34"/>
      <c r="M7" s="33"/>
      <c r="N7" s="34"/>
      <c r="O7" s="34"/>
      <c r="P7" s="33"/>
      <c r="Q7" s="34"/>
    </row>
    <row r="8" spans="1:17" ht="24" x14ac:dyDescent="0.2">
      <c r="A8" s="31" t="s">
        <v>284</v>
      </c>
      <c r="B8" s="28" t="s">
        <v>150</v>
      </c>
      <c r="C8" s="29"/>
      <c r="D8" s="30"/>
      <c r="E8" s="31">
        <v>4</v>
      </c>
      <c r="F8" s="29" t="s">
        <v>290</v>
      </c>
      <c r="G8" s="32" t="s">
        <v>287</v>
      </c>
      <c r="H8" s="31" t="str">
        <f>IFERROR(INDEX('الإعدادات واللجنة'!$C$24:$C$32,MATCH(LEFT(A8,3),'الإعدادات واللجنة'!$A$24:$A$32,0)),"")</f>
        <v>د. سلطان بن سعيد الشمراني</v>
      </c>
      <c r="I8" s="33"/>
      <c r="J8" s="33"/>
      <c r="K8" s="31" t="str">
        <f t="shared" si="0"/>
        <v/>
      </c>
      <c r="L8" s="34"/>
      <c r="M8" s="33"/>
      <c r="N8" s="34"/>
      <c r="O8" s="34"/>
      <c r="P8" s="33"/>
      <c r="Q8" s="34"/>
    </row>
    <row r="9" spans="1:17" ht="26" x14ac:dyDescent="0.2">
      <c r="A9" s="35" t="s">
        <v>291</v>
      </c>
      <c r="B9" s="36" t="s">
        <v>150</v>
      </c>
      <c r="C9" s="37" t="s">
        <v>292</v>
      </c>
      <c r="D9" s="38" t="s">
        <v>293</v>
      </c>
      <c r="E9" s="39">
        <v>1</v>
      </c>
      <c r="F9" s="37" t="s">
        <v>294</v>
      </c>
      <c r="G9" s="40" t="s">
        <v>287</v>
      </c>
      <c r="H9" s="41" t="str">
        <f>IFERROR(INDEX('الإعدادات واللجنة'!$C$24:$C$32,MATCH(LEFT(A9,3),'الإعدادات واللجنة'!$A$24:$A$32,0)),"")</f>
        <v>د. سلطان بن سعيد الشمراني</v>
      </c>
      <c r="I9" s="42"/>
      <c r="J9" s="42"/>
      <c r="K9" s="41" t="str">
        <f t="shared" si="0"/>
        <v/>
      </c>
      <c r="L9" s="43"/>
      <c r="M9" s="42"/>
      <c r="N9" s="43"/>
      <c r="O9" s="43"/>
      <c r="P9" s="42"/>
      <c r="Q9" s="43"/>
    </row>
    <row r="10" spans="1:17" ht="24" x14ac:dyDescent="0.2">
      <c r="A10" s="44" t="s">
        <v>291</v>
      </c>
      <c r="B10" s="45" t="s">
        <v>150</v>
      </c>
      <c r="C10" s="46"/>
      <c r="D10" s="47" t="s">
        <v>293</v>
      </c>
      <c r="E10" s="44">
        <v>2</v>
      </c>
      <c r="F10" s="46" t="s">
        <v>295</v>
      </c>
      <c r="G10" s="32" t="s">
        <v>287</v>
      </c>
      <c r="H10" s="31" t="str">
        <f>IFERROR(INDEX('الإعدادات واللجنة'!$C$24:$C$32,MATCH(LEFT(A10,3),'الإعدادات واللجنة'!$A$24:$A$32,0)),"")</f>
        <v>د. سلطان بن سعيد الشمراني</v>
      </c>
      <c r="I10" s="33"/>
      <c r="J10" s="33"/>
      <c r="K10" s="31" t="str">
        <f t="shared" si="0"/>
        <v/>
      </c>
      <c r="L10" s="34"/>
      <c r="M10" s="33"/>
      <c r="N10" s="34"/>
      <c r="O10" s="34"/>
      <c r="P10" s="33"/>
      <c r="Q10" s="34"/>
    </row>
    <row r="11" spans="1:17" ht="24" x14ac:dyDescent="0.2">
      <c r="A11" s="44" t="s">
        <v>291</v>
      </c>
      <c r="B11" s="45" t="s">
        <v>150</v>
      </c>
      <c r="C11" s="46"/>
      <c r="D11" s="47" t="s">
        <v>293</v>
      </c>
      <c r="E11" s="44">
        <v>3</v>
      </c>
      <c r="F11" s="46" t="s">
        <v>296</v>
      </c>
      <c r="G11" s="32" t="s">
        <v>287</v>
      </c>
      <c r="H11" s="31" t="str">
        <f>IFERROR(INDEX('الإعدادات واللجنة'!$C$24:$C$32,MATCH(LEFT(A11,3),'الإعدادات واللجنة'!$A$24:$A$32,0)),"")</f>
        <v>د. سلطان بن سعيد الشمراني</v>
      </c>
      <c r="I11" s="33"/>
      <c r="J11" s="33"/>
      <c r="K11" s="31" t="str">
        <f t="shared" si="0"/>
        <v/>
      </c>
      <c r="L11" s="34"/>
      <c r="M11" s="33"/>
      <c r="N11" s="34"/>
      <c r="O11" s="34"/>
      <c r="P11" s="33"/>
      <c r="Q11" s="34"/>
    </row>
    <row r="12" spans="1:17" ht="24" x14ac:dyDescent="0.2">
      <c r="A12" s="44" t="s">
        <v>291</v>
      </c>
      <c r="B12" s="45" t="s">
        <v>150</v>
      </c>
      <c r="C12" s="46"/>
      <c r="D12" s="47" t="s">
        <v>293</v>
      </c>
      <c r="E12" s="44">
        <v>4</v>
      </c>
      <c r="F12" s="46" t="s">
        <v>297</v>
      </c>
      <c r="G12" s="32" t="s">
        <v>287</v>
      </c>
      <c r="H12" s="31" t="str">
        <f>IFERROR(INDEX('الإعدادات واللجنة'!$C$24:$C$32,MATCH(LEFT(A12,3),'الإعدادات واللجنة'!$A$24:$A$32,0)),"")</f>
        <v>د. سلطان بن سعيد الشمراني</v>
      </c>
      <c r="I12" s="33"/>
      <c r="J12" s="33"/>
      <c r="K12" s="31" t="str">
        <f t="shared" si="0"/>
        <v/>
      </c>
      <c r="L12" s="34"/>
      <c r="M12" s="33"/>
      <c r="N12" s="34"/>
      <c r="O12" s="34"/>
      <c r="P12" s="33"/>
      <c r="Q12" s="34"/>
    </row>
    <row r="13" spans="1:17" ht="24" x14ac:dyDescent="0.2">
      <c r="A13" s="44" t="s">
        <v>291</v>
      </c>
      <c r="B13" s="45" t="s">
        <v>150</v>
      </c>
      <c r="C13" s="46"/>
      <c r="D13" s="47" t="s">
        <v>293</v>
      </c>
      <c r="E13" s="44">
        <v>5</v>
      </c>
      <c r="F13" s="46" t="s">
        <v>298</v>
      </c>
      <c r="G13" s="32" t="s">
        <v>287</v>
      </c>
      <c r="H13" s="31" t="str">
        <f>IFERROR(INDEX('الإعدادات واللجنة'!$C$24:$C$32,MATCH(LEFT(A13,3),'الإعدادات واللجنة'!$A$24:$A$32,0)),"")</f>
        <v>د. سلطان بن سعيد الشمراني</v>
      </c>
      <c r="I13" s="33"/>
      <c r="J13" s="33"/>
      <c r="K13" s="31" t="str">
        <f t="shared" si="0"/>
        <v/>
      </c>
      <c r="L13" s="34"/>
      <c r="M13" s="33"/>
      <c r="N13" s="34"/>
      <c r="O13" s="34"/>
      <c r="P13" s="33"/>
      <c r="Q13" s="34"/>
    </row>
    <row r="14" spans="1:17" ht="24" x14ac:dyDescent="0.2">
      <c r="A14" s="48" t="s">
        <v>299</v>
      </c>
      <c r="B14" s="49" t="s">
        <v>150</v>
      </c>
      <c r="C14" s="50" t="s">
        <v>300</v>
      </c>
      <c r="D14" s="51"/>
      <c r="E14" s="41">
        <v>1</v>
      </c>
      <c r="F14" s="50" t="s">
        <v>301</v>
      </c>
      <c r="G14" s="40" t="s">
        <v>287</v>
      </c>
      <c r="H14" s="41" t="str">
        <f>IFERROR(INDEX('الإعدادات واللجنة'!$C$24:$C$32,MATCH(LEFT(A14,3),'الإعدادات واللجنة'!$A$24:$A$32,0)),"")</f>
        <v>د. سلطان بن سعيد الشمراني</v>
      </c>
      <c r="I14" s="42"/>
      <c r="J14" s="42"/>
      <c r="K14" s="41" t="str">
        <f t="shared" si="0"/>
        <v/>
      </c>
      <c r="L14" s="43"/>
      <c r="M14" s="42"/>
      <c r="N14" s="43"/>
      <c r="O14" s="43"/>
      <c r="P14" s="42"/>
      <c r="Q14" s="43"/>
    </row>
    <row r="15" spans="1:17" ht="24" x14ac:dyDescent="0.2">
      <c r="A15" s="31" t="s">
        <v>299</v>
      </c>
      <c r="B15" s="28" t="s">
        <v>150</v>
      </c>
      <c r="C15" s="29"/>
      <c r="D15" s="30"/>
      <c r="E15" s="31">
        <v>2</v>
      </c>
      <c r="F15" s="29" t="s">
        <v>302</v>
      </c>
      <c r="G15" s="32" t="s">
        <v>287</v>
      </c>
      <c r="H15" s="31" t="str">
        <f>IFERROR(INDEX('الإعدادات واللجنة'!$C$24:$C$32,MATCH(LEFT(A15,3),'الإعدادات واللجنة'!$A$24:$A$32,0)),"")</f>
        <v>د. سلطان بن سعيد الشمراني</v>
      </c>
      <c r="I15" s="33"/>
      <c r="J15" s="33"/>
      <c r="K15" s="31" t="str">
        <f t="shared" si="0"/>
        <v/>
      </c>
      <c r="L15" s="34"/>
      <c r="M15" s="33"/>
      <c r="N15" s="34"/>
      <c r="O15" s="34"/>
      <c r="P15" s="33"/>
      <c r="Q15" s="34"/>
    </row>
    <row r="16" spans="1:17" ht="24" x14ac:dyDescent="0.2">
      <c r="A16" s="31" t="s">
        <v>299</v>
      </c>
      <c r="B16" s="28" t="s">
        <v>150</v>
      </c>
      <c r="C16" s="29"/>
      <c r="D16" s="30"/>
      <c r="E16" s="31">
        <v>3</v>
      </c>
      <c r="F16" s="29" t="s">
        <v>303</v>
      </c>
      <c r="G16" s="32" t="s">
        <v>287</v>
      </c>
      <c r="H16" s="31" t="str">
        <f>IFERROR(INDEX('الإعدادات واللجنة'!$C$24:$C$32,MATCH(LEFT(A16,3),'الإعدادات واللجنة'!$A$24:$A$32,0)),"")</f>
        <v>د. سلطان بن سعيد الشمراني</v>
      </c>
      <c r="I16" s="33"/>
      <c r="J16" s="33"/>
      <c r="K16" s="31" t="str">
        <f t="shared" si="0"/>
        <v/>
      </c>
      <c r="L16" s="34"/>
      <c r="M16" s="33"/>
      <c r="N16" s="34"/>
      <c r="O16" s="34"/>
      <c r="P16" s="33"/>
      <c r="Q16" s="34"/>
    </row>
    <row r="17" spans="1:17" ht="24" x14ac:dyDescent="0.2">
      <c r="A17" s="31" t="s">
        <v>299</v>
      </c>
      <c r="B17" s="28" t="s">
        <v>150</v>
      </c>
      <c r="C17" s="29"/>
      <c r="D17" s="30"/>
      <c r="E17" s="31">
        <v>4</v>
      </c>
      <c r="F17" s="29" t="s">
        <v>304</v>
      </c>
      <c r="G17" s="32" t="s">
        <v>287</v>
      </c>
      <c r="H17" s="31" t="str">
        <f>IFERROR(INDEX('الإعدادات واللجنة'!$C$24:$C$32,MATCH(LEFT(A17,3),'الإعدادات واللجنة'!$A$24:$A$32,0)),"")</f>
        <v>د. سلطان بن سعيد الشمراني</v>
      </c>
      <c r="I17" s="33"/>
      <c r="J17" s="33"/>
      <c r="K17" s="31" t="str">
        <f t="shared" si="0"/>
        <v/>
      </c>
      <c r="L17" s="34"/>
      <c r="M17" s="33"/>
      <c r="N17" s="34"/>
      <c r="O17" s="34"/>
      <c r="P17" s="33"/>
      <c r="Q17" s="34"/>
    </row>
    <row r="18" spans="1:17" ht="26" x14ac:dyDescent="0.2">
      <c r="A18" s="31" t="s">
        <v>299</v>
      </c>
      <c r="B18" s="28" t="s">
        <v>150</v>
      </c>
      <c r="C18" s="29"/>
      <c r="D18" s="30"/>
      <c r="E18" s="31">
        <v>5</v>
      </c>
      <c r="F18" s="29" t="s">
        <v>305</v>
      </c>
      <c r="G18" s="32" t="s">
        <v>287</v>
      </c>
      <c r="H18" s="31" t="str">
        <f>IFERROR(INDEX('الإعدادات واللجنة'!$C$24:$C$32,MATCH(LEFT(A18,3),'الإعدادات واللجنة'!$A$24:$A$32,0)),"")</f>
        <v>د. سلطان بن سعيد الشمراني</v>
      </c>
      <c r="I18" s="33"/>
      <c r="J18" s="33"/>
      <c r="K18" s="31" t="str">
        <f t="shared" si="0"/>
        <v/>
      </c>
      <c r="L18" s="34"/>
      <c r="M18" s="33"/>
      <c r="N18" s="34"/>
      <c r="O18" s="34"/>
      <c r="P18" s="33"/>
      <c r="Q18" s="34"/>
    </row>
    <row r="19" spans="1:17" ht="26" x14ac:dyDescent="0.2">
      <c r="A19" s="48" t="s">
        <v>306</v>
      </c>
      <c r="B19" s="49" t="s">
        <v>150</v>
      </c>
      <c r="C19" s="50" t="s">
        <v>307</v>
      </c>
      <c r="D19" s="51"/>
      <c r="E19" s="41">
        <v>1</v>
      </c>
      <c r="F19" s="50" t="s">
        <v>308</v>
      </c>
      <c r="G19" s="40" t="s">
        <v>287</v>
      </c>
      <c r="H19" s="41" t="str">
        <f>IFERROR(INDEX('الإعدادات واللجنة'!$C$24:$C$32,MATCH(LEFT(A19,3),'الإعدادات واللجنة'!$A$24:$A$32,0)),"")</f>
        <v>د. سلطان بن سعيد الشمراني</v>
      </c>
      <c r="I19" s="42"/>
      <c r="J19" s="42"/>
      <c r="K19" s="41" t="str">
        <f t="shared" si="0"/>
        <v/>
      </c>
      <c r="L19" s="43"/>
      <c r="M19" s="42"/>
      <c r="N19" s="43"/>
      <c r="O19" s="43"/>
      <c r="P19" s="42"/>
      <c r="Q19" s="43"/>
    </row>
    <row r="20" spans="1:17" ht="24" x14ac:dyDescent="0.2">
      <c r="A20" s="31" t="s">
        <v>306</v>
      </c>
      <c r="B20" s="28" t="s">
        <v>150</v>
      </c>
      <c r="C20" s="29"/>
      <c r="D20" s="30"/>
      <c r="E20" s="31">
        <v>2</v>
      </c>
      <c r="F20" s="29" t="s">
        <v>309</v>
      </c>
      <c r="G20" s="32" t="s">
        <v>287</v>
      </c>
      <c r="H20" s="31" t="str">
        <f>IFERROR(INDEX('الإعدادات واللجنة'!$C$24:$C$32,MATCH(LEFT(A20,3),'الإعدادات واللجنة'!$A$24:$A$32,0)),"")</f>
        <v>د. سلطان بن سعيد الشمراني</v>
      </c>
      <c r="I20" s="33"/>
      <c r="J20" s="33"/>
      <c r="K20" s="31" t="str">
        <f t="shared" si="0"/>
        <v/>
      </c>
      <c r="L20" s="34"/>
      <c r="M20" s="33"/>
      <c r="N20" s="34"/>
      <c r="O20" s="34"/>
      <c r="P20" s="33"/>
      <c r="Q20" s="34"/>
    </row>
    <row r="21" spans="1:17" ht="39" x14ac:dyDescent="0.2">
      <c r="A21" s="48" t="s">
        <v>310</v>
      </c>
      <c r="B21" s="49" t="s">
        <v>150</v>
      </c>
      <c r="C21" s="50" t="s">
        <v>311</v>
      </c>
      <c r="D21" s="51"/>
      <c r="E21" s="41">
        <v>1</v>
      </c>
      <c r="F21" s="50" t="s">
        <v>312</v>
      </c>
      <c r="G21" s="40" t="s">
        <v>287</v>
      </c>
      <c r="H21" s="41" t="str">
        <f>IFERROR(INDEX('الإعدادات واللجنة'!$C$24:$C$32,MATCH(LEFT(A21,3),'الإعدادات واللجنة'!$A$24:$A$32,0)),"")</f>
        <v>د. سلطان بن سعيد الشمراني</v>
      </c>
      <c r="I21" s="42"/>
      <c r="J21" s="42"/>
      <c r="K21" s="41" t="str">
        <f t="shared" si="0"/>
        <v/>
      </c>
      <c r="L21" s="43"/>
      <c r="M21" s="42"/>
      <c r="N21" s="43"/>
      <c r="O21" s="43"/>
      <c r="P21" s="42"/>
      <c r="Q21" s="43"/>
    </row>
    <row r="22" spans="1:17" ht="26" x14ac:dyDescent="0.2">
      <c r="A22" s="31" t="s">
        <v>310</v>
      </c>
      <c r="B22" s="28" t="s">
        <v>150</v>
      </c>
      <c r="C22" s="29"/>
      <c r="D22" s="30"/>
      <c r="E22" s="31">
        <v>2</v>
      </c>
      <c r="F22" s="29" t="s">
        <v>313</v>
      </c>
      <c r="G22" s="32" t="s">
        <v>287</v>
      </c>
      <c r="H22" s="31" t="str">
        <f>IFERROR(INDEX('الإعدادات واللجنة'!$C$24:$C$32,MATCH(LEFT(A22,3),'الإعدادات واللجنة'!$A$24:$A$32,0)),"")</f>
        <v>د. سلطان بن سعيد الشمراني</v>
      </c>
      <c r="I22" s="33"/>
      <c r="J22" s="33"/>
      <c r="K22" s="31" t="str">
        <f t="shared" si="0"/>
        <v/>
      </c>
      <c r="L22" s="34"/>
      <c r="M22" s="33"/>
      <c r="N22" s="34"/>
      <c r="O22" s="34"/>
      <c r="P22" s="33"/>
      <c r="Q22" s="34"/>
    </row>
    <row r="23" spans="1:17" ht="24" x14ac:dyDescent="0.2">
      <c r="A23" s="31" t="s">
        <v>310</v>
      </c>
      <c r="B23" s="28" t="s">
        <v>150</v>
      </c>
      <c r="C23" s="29"/>
      <c r="D23" s="30"/>
      <c r="E23" s="31">
        <v>3</v>
      </c>
      <c r="F23" s="29" t="s">
        <v>314</v>
      </c>
      <c r="G23" s="32" t="s">
        <v>287</v>
      </c>
      <c r="H23" s="31" t="str">
        <f>IFERROR(INDEX('الإعدادات واللجنة'!$C$24:$C$32,MATCH(LEFT(A23,3),'الإعدادات واللجنة'!$A$24:$A$32,0)),"")</f>
        <v>د. سلطان بن سعيد الشمراني</v>
      </c>
      <c r="I23" s="33"/>
      <c r="J23" s="33"/>
      <c r="K23" s="31" t="str">
        <f t="shared" si="0"/>
        <v/>
      </c>
      <c r="L23" s="34"/>
      <c r="M23" s="33"/>
      <c r="N23" s="34"/>
      <c r="O23" s="34"/>
      <c r="P23" s="33"/>
      <c r="Q23" s="34"/>
    </row>
    <row r="24" spans="1:17" ht="26" x14ac:dyDescent="0.2">
      <c r="A24" s="31" t="s">
        <v>310</v>
      </c>
      <c r="B24" s="28" t="s">
        <v>150</v>
      </c>
      <c r="C24" s="29"/>
      <c r="D24" s="30"/>
      <c r="E24" s="31">
        <v>4</v>
      </c>
      <c r="F24" s="29" t="s">
        <v>315</v>
      </c>
      <c r="G24" s="32" t="s">
        <v>287</v>
      </c>
      <c r="H24" s="31" t="str">
        <f>IFERROR(INDEX('الإعدادات واللجنة'!$C$24:$C$32,MATCH(LEFT(A24,3),'الإعدادات واللجنة'!$A$24:$A$32,0)),"")</f>
        <v>د. سلطان بن سعيد الشمراني</v>
      </c>
      <c r="I24" s="33"/>
      <c r="J24" s="33"/>
      <c r="K24" s="31" t="str">
        <f t="shared" si="0"/>
        <v/>
      </c>
      <c r="L24" s="34"/>
      <c r="M24" s="33"/>
      <c r="N24" s="34"/>
      <c r="O24" s="34"/>
      <c r="P24" s="33"/>
      <c r="Q24" s="34"/>
    </row>
    <row r="25" spans="1:17" ht="39" x14ac:dyDescent="0.2">
      <c r="A25" s="48" t="s">
        <v>316</v>
      </c>
      <c r="B25" s="49" t="s">
        <v>150</v>
      </c>
      <c r="C25" s="50" t="s">
        <v>317</v>
      </c>
      <c r="D25" s="51"/>
      <c r="E25" s="41">
        <v>1</v>
      </c>
      <c r="F25" s="50" t="s">
        <v>318</v>
      </c>
      <c r="G25" s="40" t="s">
        <v>287</v>
      </c>
      <c r="H25" s="41" t="str">
        <f>IFERROR(INDEX('الإعدادات واللجنة'!$C$24:$C$32,MATCH(LEFT(A25,3),'الإعدادات واللجنة'!$A$24:$A$32,0)),"")</f>
        <v>د. سلطان بن سعيد الشمراني</v>
      </c>
      <c r="I25" s="42"/>
      <c r="J25" s="42"/>
      <c r="K25" s="41" t="str">
        <f t="shared" si="0"/>
        <v/>
      </c>
      <c r="L25" s="43"/>
      <c r="M25" s="42"/>
      <c r="N25" s="43"/>
      <c r="O25" s="43"/>
      <c r="P25" s="42"/>
      <c r="Q25" s="43"/>
    </row>
    <row r="26" spans="1:17" ht="24" x14ac:dyDescent="0.2">
      <c r="A26" s="31" t="s">
        <v>316</v>
      </c>
      <c r="B26" s="28" t="s">
        <v>150</v>
      </c>
      <c r="C26" s="29"/>
      <c r="D26" s="30"/>
      <c r="E26" s="31">
        <v>2</v>
      </c>
      <c r="F26" s="29" t="s">
        <v>319</v>
      </c>
      <c r="G26" s="32" t="s">
        <v>287</v>
      </c>
      <c r="H26" s="31" t="str">
        <f>IFERROR(INDEX('الإعدادات واللجنة'!$C$24:$C$32,MATCH(LEFT(A26,3),'الإعدادات واللجنة'!$A$24:$A$32,0)),"")</f>
        <v>د. سلطان بن سعيد الشمراني</v>
      </c>
      <c r="I26" s="33"/>
      <c r="J26" s="33"/>
      <c r="K26" s="31" t="str">
        <f t="shared" si="0"/>
        <v/>
      </c>
      <c r="L26" s="34"/>
      <c r="M26" s="33"/>
      <c r="N26" s="34"/>
      <c r="O26" s="34"/>
      <c r="P26" s="33"/>
      <c r="Q26" s="34"/>
    </row>
    <row r="27" spans="1:17" ht="24" x14ac:dyDescent="0.2">
      <c r="A27" s="31" t="s">
        <v>316</v>
      </c>
      <c r="B27" s="28" t="s">
        <v>150</v>
      </c>
      <c r="C27" s="29"/>
      <c r="D27" s="30"/>
      <c r="E27" s="31">
        <v>3</v>
      </c>
      <c r="F27" s="29" t="s">
        <v>320</v>
      </c>
      <c r="G27" s="32" t="s">
        <v>287</v>
      </c>
      <c r="H27" s="31" t="str">
        <f>IFERROR(INDEX('الإعدادات واللجنة'!$C$24:$C$32,MATCH(LEFT(A27,3),'الإعدادات واللجنة'!$A$24:$A$32,0)),"")</f>
        <v>د. سلطان بن سعيد الشمراني</v>
      </c>
      <c r="I27" s="33"/>
      <c r="J27" s="33"/>
      <c r="K27" s="31" t="str">
        <f t="shared" si="0"/>
        <v/>
      </c>
      <c r="L27" s="34"/>
      <c r="M27" s="33"/>
      <c r="N27" s="34"/>
      <c r="O27" s="34"/>
      <c r="P27" s="33"/>
      <c r="Q27" s="34"/>
    </row>
    <row r="28" spans="1:17" ht="26" x14ac:dyDescent="0.2">
      <c r="A28" s="31" t="s">
        <v>316</v>
      </c>
      <c r="B28" s="28" t="s">
        <v>150</v>
      </c>
      <c r="C28" s="29"/>
      <c r="D28" s="30"/>
      <c r="E28" s="31">
        <v>4</v>
      </c>
      <c r="F28" s="29" t="s">
        <v>321</v>
      </c>
      <c r="G28" s="32" t="s">
        <v>287</v>
      </c>
      <c r="H28" s="31" t="str">
        <f>IFERROR(INDEX('الإعدادات واللجنة'!$C$24:$C$32,MATCH(LEFT(A28,3),'الإعدادات واللجنة'!$A$24:$A$32,0)),"")</f>
        <v>د. سلطان بن سعيد الشمراني</v>
      </c>
      <c r="I28" s="33"/>
      <c r="J28" s="33"/>
      <c r="K28" s="31" t="str">
        <f t="shared" si="0"/>
        <v/>
      </c>
      <c r="L28" s="34"/>
      <c r="M28" s="33"/>
      <c r="N28" s="34"/>
      <c r="O28" s="34"/>
      <c r="P28" s="33"/>
      <c r="Q28" s="34"/>
    </row>
    <row r="29" spans="1:17" ht="26" x14ac:dyDescent="0.2">
      <c r="A29" s="48" t="s">
        <v>322</v>
      </c>
      <c r="B29" s="49" t="s">
        <v>150</v>
      </c>
      <c r="C29" s="50" t="s">
        <v>323</v>
      </c>
      <c r="D29" s="51"/>
      <c r="E29" s="41">
        <v>1</v>
      </c>
      <c r="F29" s="50" t="s">
        <v>324</v>
      </c>
      <c r="G29" s="40" t="s">
        <v>287</v>
      </c>
      <c r="H29" s="41" t="str">
        <f>IFERROR(INDEX('الإعدادات واللجنة'!$C$24:$C$32,MATCH(LEFT(A29,3),'الإعدادات واللجنة'!$A$24:$A$32,0)),"")</f>
        <v>د. سلطان بن سعيد الشمراني</v>
      </c>
      <c r="I29" s="42"/>
      <c r="J29" s="42"/>
      <c r="K29" s="41" t="str">
        <f t="shared" si="0"/>
        <v/>
      </c>
      <c r="L29" s="43"/>
      <c r="M29" s="42"/>
      <c r="N29" s="43"/>
      <c r="O29" s="43"/>
      <c r="P29" s="42"/>
      <c r="Q29" s="43"/>
    </row>
    <row r="30" spans="1:17" ht="26" x14ac:dyDescent="0.2">
      <c r="A30" s="31" t="s">
        <v>322</v>
      </c>
      <c r="B30" s="28" t="s">
        <v>150</v>
      </c>
      <c r="C30" s="29"/>
      <c r="D30" s="30"/>
      <c r="E30" s="31">
        <v>2</v>
      </c>
      <c r="F30" s="29" t="s">
        <v>325</v>
      </c>
      <c r="G30" s="32" t="s">
        <v>287</v>
      </c>
      <c r="H30" s="31" t="str">
        <f>IFERROR(INDEX('الإعدادات واللجنة'!$C$24:$C$32,MATCH(LEFT(A30,3),'الإعدادات واللجنة'!$A$24:$A$32,0)),"")</f>
        <v>د. سلطان بن سعيد الشمراني</v>
      </c>
      <c r="I30" s="33"/>
      <c r="J30" s="33"/>
      <c r="K30" s="31" t="str">
        <f t="shared" si="0"/>
        <v/>
      </c>
      <c r="L30" s="34"/>
      <c r="M30" s="33"/>
      <c r="N30" s="34"/>
      <c r="O30" s="34"/>
      <c r="P30" s="33"/>
      <c r="Q30" s="34"/>
    </row>
    <row r="31" spans="1:17" ht="26" x14ac:dyDescent="0.2">
      <c r="A31" s="31" t="s">
        <v>322</v>
      </c>
      <c r="B31" s="28" t="s">
        <v>150</v>
      </c>
      <c r="C31" s="29"/>
      <c r="D31" s="30"/>
      <c r="E31" s="31">
        <v>3</v>
      </c>
      <c r="F31" s="29" t="s">
        <v>326</v>
      </c>
      <c r="G31" s="32" t="s">
        <v>287</v>
      </c>
      <c r="H31" s="31" t="str">
        <f>IFERROR(INDEX('الإعدادات واللجنة'!$C$24:$C$32,MATCH(LEFT(A31,3),'الإعدادات واللجنة'!$A$24:$A$32,0)),"")</f>
        <v>د. سلطان بن سعيد الشمراني</v>
      </c>
      <c r="I31" s="33"/>
      <c r="J31" s="33"/>
      <c r="K31" s="31" t="str">
        <f t="shared" si="0"/>
        <v/>
      </c>
      <c r="L31" s="34"/>
      <c r="M31" s="33"/>
      <c r="N31" s="34"/>
      <c r="O31" s="34"/>
      <c r="P31" s="33"/>
      <c r="Q31" s="34"/>
    </row>
    <row r="32" spans="1:17" ht="24" x14ac:dyDescent="0.2">
      <c r="A32" s="31" t="s">
        <v>322</v>
      </c>
      <c r="B32" s="28" t="s">
        <v>150</v>
      </c>
      <c r="C32" s="29"/>
      <c r="D32" s="30"/>
      <c r="E32" s="31">
        <v>4</v>
      </c>
      <c r="F32" s="29" t="s">
        <v>327</v>
      </c>
      <c r="G32" s="32" t="s">
        <v>287</v>
      </c>
      <c r="H32" s="31" t="str">
        <f>IFERROR(INDEX('الإعدادات واللجنة'!$C$24:$C$32,MATCH(LEFT(A32,3),'الإعدادات واللجنة'!$A$24:$A$32,0)),"")</f>
        <v>د. سلطان بن سعيد الشمراني</v>
      </c>
      <c r="I32" s="33"/>
      <c r="J32" s="33"/>
      <c r="K32" s="31" t="str">
        <f t="shared" si="0"/>
        <v/>
      </c>
      <c r="L32" s="34"/>
      <c r="M32" s="33"/>
      <c r="N32" s="34"/>
      <c r="O32" s="34"/>
      <c r="P32" s="33"/>
      <c r="Q32" s="34"/>
    </row>
    <row r="33" spans="1:17" ht="24" x14ac:dyDescent="0.2">
      <c r="A33" s="31" t="s">
        <v>322</v>
      </c>
      <c r="B33" s="28" t="s">
        <v>150</v>
      </c>
      <c r="C33" s="29"/>
      <c r="D33" s="30"/>
      <c r="E33" s="31">
        <v>5</v>
      </c>
      <c r="F33" s="29" t="s">
        <v>328</v>
      </c>
      <c r="G33" s="32" t="s">
        <v>287</v>
      </c>
      <c r="H33" s="31" t="str">
        <f>IFERROR(INDEX('الإعدادات واللجنة'!$C$24:$C$32,MATCH(LEFT(A33,3),'الإعدادات واللجنة'!$A$24:$A$32,0)),"")</f>
        <v>د. سلطان بن سعيد الشمراني</v>
      </c>
      <c r="I33" s="33"/>
      <c r="J33" s="33"/>
      <c r="K33" s="31" t="str">
        <f t="shared" si="0"/>
        <v/>
      </c>
      <c r="L33" s="34"/>
      <c r="M33" s="33"/>
      <c r="N33" s="34"/>
      <c r="O33" s="34"/>
      <c r="P33" s="33"/>
      <c r="Q33" s="34"/>
    </row>
    <row r="34" spans="1:17" ht="39" x14ac:dyDescent="0.2">
      <c r="A34" s="35" t="s">
        <v>329</v>
      </c>
      <c r="B34" s="36" t="s">
        <v>150</v>
      </c>
      <c r="C34" s="37" t="s">
        <v>330</v>
      </c>
      <c r="D34" s="38" t="s">
        <v>293</v>
      </c>
      <c r="E34" s="39">
        <v>1</v>
      </c>
      <c r="F34" s="37" t="s">
        <v>331</v>
      </c>
      <c r="G34" s="40" t="s">
        <v>287</v>
      </c>
      <c r="H34" s="41" t="str">
        <f>IFERROR(INDEX('الإعدادات واللجنة'!$C$24:$C$32,MATCH(LEFT(A34,3),'الإعدادات واللجنة'!$A$24:$A$32,0)),"")</f>
        <v>د. سلطان بن سعيد الشمراني</v>
      </c>
      <c r="I34" s="42"/>
      <c r="J34" s="42"/>
      <c r="K34" s="41" t="str">
        <f t="shared" si="0"/>
        <v/>
      </c>
      <c r="L34" s="43"/>
      <c r="M34" s="42"/>
      <c r="N34" s="43"/>
      <c r="O34" s="43"/>
      <c r="P34" s="42"/>
      <c r="Q34" s="43"/>
    </row>
    <row r="35" spans="1:17" ht="24" x14ac:dyDescent="0.2">
      <c r="A35" s="44" t="s">
        <v>329</v>
      </c>
      <c r="B35" s="45" t="s">
        <v>150</v>
      </c>
      <c r="C35" s="46"/>
      <c r="D35" s="47" t="s">
        <v>293</v>
      </c>
      <c r="E35" s="44">
        <v>2</v>
      </c>
      <c r="F35" s="46" t="s">
        <v>332</v>
      </c>
      <c r="G35" s="32" t="s">
        <v>287</v>
      </c>
      <c r="H35" s="31" t="str">
        <f>IFERROR(INDEX('الإعدادات واللجنة'!$C$24:$C$32,MATCH(LEFT(A35,3),'الإعدادات واللجنة'!$A$24:$A$32,0)),"")</f>
        <v>د. سلطان بن سعيد الشمراني</v>
      </c>
      <c r="I35" s="33"/>
      <c r="J35" s="33"/>
      <c r="K35" s="31" t="str">
        <f t="shared" si="0"/>
        <v/>
      </c>
      <c r="L35" s="34"/>
      <c r="M35" s="33"/>
      <c r="N35" s="34"/>
      <c r="O35" s="34"/>
      <c r="P35" s="33"/>
      <c r="Q35" s="34"/>
    </row>
    <row r="36" spans="1:17" ht="24" x14ac:dyDescent="0.2">
      <c r="A36" s="44" t="s">
        <v>329</v>
      </c>
      <c r="B36" s="45" t="s">
        <v>150</v>
      </c>
      <c r="C36" s="46"/>
      <c r="D36" s="47" t="s">
        <v>293</v>
      </c>
      <c r="E36" s="44">
        <v>3</v>
      </c>
      <c r="F36" s="46" t="s">
        <v>333</v>
      </c>
      <c r="G36" s="32" t="s">
        <v>287</v>
      </c>
      <c r="H36" s="31" t="str">
        <f>IFERROR(INDEX('الإعدادات واللجنة'!$C$24:$C$32,MATCH(LEFT(A36,3),'الإعدادات واللجنة'!$A$24:$A$32,0)),"")</f>
        <v>د. سلطان بن سعيد الشمراني</v>
      </c>
      <c r="I36" s="33"/>
      <c r="J36" s="33"/>
      <c r="K36" s="31" t="str">
        <f t="shared" si="0"/>
        <v/>
      </c>
      <c r="L36" s="34"/>
      <c r="M36" s="33"/>
      <c r="N36" s="34"/>
      <c r="O36" s="34"/>
      <c r="P36" s="33"/>
      <c r="Q36" s="34"/>
    </row>
    <row r="37" spans="1:17" ht="26" x14ac:dyDescent="0.2">
      <c r="A37" s="44" t="s">
        <v>329</v>
      </c>
      <c r="B37" s="45" t="s">
        <v>150</v>
      </c>
      <c r="C37" s="46"/>
      <c r="D37" s="47" t="s">
        <v>293</v>
      </c>
      <c r="E37" s="44">
        <v>4</v>
      </c>
      <c r="F37" s="46" t="s">
        <v>334</v>
      </c>
      <c r="G37" s="32" t="s">
        <v>287</v>
      </c>
      <c r="H37" s="31" t="str">
        <f>IFERROR(INDEX('الإعدادات واللجنة'!$C$24:$C$32,MATCH(LEFT(A37,3),'الإعدادات واللجنة'!$A$24:$A$32,0)),"")</f>
        <v>د. سلطان بن سعيد الشمراني</v>
      </c>
      <c r="I37" s="33"/>
      <c r="J37" s="33"/>
      <c r="K37" s="31" t="str">
        <f t="shared" si="0"/>
        <v/>
      </c>
      <c r="L37" s="34"/>
      <c r="M37" s="33"/>
      <c r="N37" s="34"/>
      <c r="O37" s="34"/>
      <c r="P37" s="33"/>
      <c r="Q37" s="34"/>
    </row>
    <row r="38" spans="1:17" ht="26" x14ac:dyDescent="0.2">
      <c r="A38" s="44" t="s">
        <v>329</v>
      </c>
      <c r="B38" s="45" t="s">
        <v>150</v>
      </c>
      <c r="C38" s="46"/>
      <c r="D38" s="47" t="s">
        <v>293</v>
      </c>
      <c r="E38" s="44">
        <v>5</v>
      </c>
      <c r="F38" s="46" t="s">
        <v>335</v>
      </c>
      <c r="G38" s="32" t="s">
        <v>287</v>
      </c>
      <c r="H38" s="31" t="str">
        <f>IFERROR(INDEX('الإعدادات واللجنة'!$C$24:$C$32,MATCH(LEFT(A38,3),'الإعدادات واللجنة'!$A$24:$A$32,0)),"")</f>
        <v>د. سلطان بن سعيد الشمراني</v>
      </c>
      <c r="I38" s="33"/>
      <c r="J38" s="33"/>
      <c r="K38" s="31" t="str">
        <f t="shared" si="0"/>
        <v/>
      </c>
      <c r="L38" s="34"/>
      <c r="M38" s="33"/>
      <c r="N38" s="34"/>
      <c r="O38" s="34"/>
      <c r="P38" s="33"/>
      <c r="Q38" s="34"/>
    </row>
    <row r="39" spans="1:17" ht="24" x14ac:dyDescent="0.2">
      <c r="A39" s="44" t="s">
        <v>329</v>
      </c>
      <c r="B39" s="45" t="s">
        <v>150</v>
      </c>
      <c r="C39" s="46"/>
      <c r="D39" s="47" t="s">
        <v>293</v>
      </c>
      <c r="E39" s="44">
        <v>6</v>
      </c>
      <c r="F39" s="46" t="s">
        <v>336</v>
      </c>
      <c r="G39" s="32" t="s">
        <v>287</v>
      </c>
      <c r="H39" s="31" t="str">
        <f>IFERROR(INDEX('الإعدادات واللجنة'!$C$24:$C$32,MATCH(LEFT(A39,3),'الإعدادات واللجنة'!$A$24:$A$32,0)),"")</f>
        <v>د. سلطان بن سعيد الشمراني</v>
      </c>
      <c r="I39" s="33"/>
      <c r="J39" s="33"/>
      <c r="K39" s="31" t="str">
        <f t="shared" si="0"/>
        <v/>
      </c>
      <c r="L39" s="34"/>
      <c r="M39" s="33"/>
      <c r="N39" s="34"/>
      <c r="O39" s="34"/>
      <c r="P39" s="33"/>
      <c r="Q39" s="34"/>
    </row>
    <row r="40" spans="1:17" ht="26" x14ac:dyDescent="0.2">
      <c r="A40" s="48" t="s">
        <v>337</v>
      </c>
      <c r="B40" s="49" t="s">
        <v>150</v>
      </c>
      <c r="C40" s="50" t="s">
        <v>338</v>
      </c>
      <c r="D40" s="51"/>
      <c r="E40" s="41">
        <v>1</v>
      </c>
      <c r="F40" s="50" t="s">
        <v>339</v>
      </c>
      <c r="G40" s="40" t="s">
        <v>287</v>
      </c>
      <c r="H40" s="41" t="str">
        <f>IFERROR(INDEX('الإعدادات واللجنة'!$C$24:$C$32,MATCH(LEFT(A40,3),'الإعدادات واللجنة'!$A$24:$A$32,0)),"")</f>
        <v>د. سلطان بن سعيد الشمراني</v>
      </c>
      <c r="I40" s="42"/>
      <c r="J40" s="42"/>
      <c r="K40" s="41" t="str">
        <f t="shared" si="0"/>
        <v/>
      </c>
      <c r="L40" s="43"/>
      <c r="M40" s="42"/>
      <c r="N40" s="43"/>
      <c r="O40" s="43"/>
      <c r="P40" s="42"/>
      <c r="Q40" s="43"/>
    </row>
    <row r="41" spans="1:17" ht="24" x14ac:dyDescent="0.2">
      <c r="A41" s="31" t="s">
        <v>337</v>
      </c>
      <c r="B41" s="28" t="s">
        <v>150</v>
      </c>
      <c r="C41" s="29"/>
      <c r="D41" s="30"/>
      <c r="E41" s="31">
        <v>2</v>
      </c>
      <c r="F41" s="29" t="s">
        <v>340</v>
      </c>
      <c r="G41" s="32" t="s">
        <v>287</v>
      </c>
      <c r="H41" s="31" t="str">
        <f>IFERROR(INDEX('الإعدادات واللجنة'!$C$24:$C$32,MATCH(LEFT(A41,3),'الإعدادات واللجنة'!$A$24:$A$32,0)),"")</f>
        <v>د. سلطان بن سعيد الشمراني</v>
      </c>
      <c r="I41" s="33"/>
      <c r="J41" s="33"/>
      <c r="K41" s="31" t="str">
        <f t="shared" si="0"/>
        <v/>
      </c>
      <c r="L41" s="34"/>
      <c r="M41" s="33"/>
      <c r="N41" s="34"/>
      <c r="O41" s="34"/>
      <c r="P41" s="33"/>
      <c r="Q41" s="34"/>
    </row>
    <row r="42" spans="1:17" ht="24" x14ac:dyDescent="0.2">
      <c r="A42" s="31" t="s">
        <v>337</v>
      </c>
      <c r="B42" s="28" t="s">
        <v>150</v>
      </c>
      <c r="C42" s="29"/>
      <c r="D42" s="30"/>
      <c r="E42" s="31">
        <v>3</v>
      </c>
      <c r="F42" s="29" t="s">
        <v>341</v>
      </c>
      <c r="G42" s="32" t="s">
        <v>287</v>
      </c>
      <c r="H42" s="31" t="str">
        <f>IFERROR(INDEX('الإعدادات واللجنة'!$C$24:$C$32,MATCH(LEFT(A42,3),'الإعدادات واللجنة'!$A$24:$A$32,0)),"")</f>
        <v>د. سلطان بن سعيد الشمراني</v>
      </c>
      <c r="I42" s="33"/>
      <c r="J42" s="33"/>
      <c r="K42" s="31" t="str">
        <f t="shared" si="0"/>
        <v/>
      </c>
      <c r="L42" s="34"/>
      <c r="M42" s="33"/>
      <c r="N42" s="34"/>
      <c r="O42" s="34"/>
      <c r="P42" s="33"/>
      <c r="Q42" s="34"/>
    </row>
    <row r="43" spans="1:17" ht="24" x14ac:dyDescent="0.2">
      <c r="A43" s="31" t="s">
        <v>337</v>
      </c>
      <c r="B43" s="28" t="s">
        <v>150</v>
      </c>
      <c r="C43" s="29"/>
      <c r="D43" s="30"/>
      <c r="E43" s="31">
        <v>4</v>
      </c>
      <c r="F43" s="29" t="s">
        <v>342</v>
      </c>
      <c r="G43" s="32" t="s">
        <v>287</v>
      </c>
      <c r="H43" s="31" t="str">
        <f>IFERROR(INDEX('الإعدادات واللجنة'!$C$24:$C$32,MATCH(LEFT(A43,3),'الإعدادات واللجنة'!$A$24:$A$32,0)),"")</f>
        <v>د. سلطان بن سعيد الشمراني</v>
      </c>
      <c r="I43" s="33"/>
      <c r="J43" s="33"/>
      <c r="K43" s="31" t="str">
        <f t="shared" si="0"/>
        <v/>
      </c>
      <c r="L43" s="34"/>
      <c r="M43" s="33"/>
      <c r="N43" s="34"/>
      <c r="O43" s="34"/>
      <c r="P43" s="33"/>
      <c r="Q43" s="34"/>
    </row>
    <row r="44" spans="1:17" ht="26" x14ac:dyDescent="0.2">
      <c r="A44" s="48" t="s">
        <v>343</v>
      </c>
      <c r="B44" s="49" t="s">
        <v>150</v>
      </c>
      <c r="C44" s="50" t="s">
        <v>344</v>
      </c>
      <c r="D44" s="51"/>
      <c r="E44" s="41">
        <v>1</v>
      </c>
      <c r="F44" s="50" t="s">
        <v>345</v>
      </c>
      <c r="G44" s="40" t="s">
        <v>287</v>
      </c>
      <c r="H44" s="41" t="str">
        <f>IFERROR(INDEX('الإعدادات واللجنة'!$C$24:$C$32,MATCH(LEFT(A44,3),'الإعدادات واللجنة'!$A$24:$A$32,0)),"")</f>
        <v>د. حسن بن سعد القحطاني</v>
      </c>
      <c r="I44" s="42"/>
      <c r="J44" s="42"/>
      <c r="K44" s="41" t="str">
        <f t="shared" si="0"/>
        <v/>
      </c>
      <c r="L44" s="43"/>
      <c r="M44" s="42"/>
      <c r="N44" s="43"/>
      <c r="O44" s="43"/>
      <c r="P44" s="42"/>
      <c r="Q44" s="43"/>
    </row>
    <row r="45" spans="1:17" ht="24" x14ac:dyDescent="0.2">
      <c r="A45" s="31" t="s">
        <v>343</v>
      </c>
      <c r="B45" s="28" t="s">
        <v>150</v>
      </c>
      <c r="C45" s="29"/>
      <c r="D45" s="30"/>
      <c r="E45" s="31">
        <v>2</v>
      </c>
      <c r="F45" s="29" t="s">
        <v>346</v>
      </c>
      <c r="G45" s="32" t="s">
        <v>287</v>
      </c>
      <c r="H45" s="31" t="str">
        <f>IFERROR(INDEX('الإعدادات واللجنة'!$C$24:$C$32,MATCH(LEFT(A45,3),'الإعدادات واللجنة'!$A$24:$A$32,0)),"")</f>
        <v>د. حسن بن سعد القحطاني</v>
      </c>
      <c r="I45" s="33"/>
      <c r="J45" s="33"/>
      <c r="K45" s="31" t="str">
        <f t="shared" si="0"/>
        <v/>
      </c>
      <c r="L45" s="34"/>
      <c r="M45" s="33"/>
      <c r="N45" s="34"/>
      <c r="O45" s="34"/>
      <c r="P45" s="33"/>
      <c r="Q45" s="34"/>
    </row>
    <row r="46" spans="1:17" ht="24" x14ac:dyDescent="0.2">
      <c r="A46" s="31" t="s">
        <v>343</v>
      </c>
      <c r="B46" s="28" t="s">
        <v>150</v>
      </c>
      <c r="C46" s="29"/>
      <c r="D46" s="30"/>
      <c r="E46" s="31">
        <v>3</v>
      </c>
      <c r="F46" s="29" t="s">
        <v>347</v>
      </c>
      <c r="G46" s="32" t="s">
        <v>287</v>
      </c>
      <c r="H46" s="31" t="str">
        <f>IFERROR(INDEX('الإعدادات واللجنة'!$C$24:$C$32,MATCH(LEFT(A46,3),'الإعدادات واللجنة'!$A$24:$A$32,0)),"")</f>
        <v>د. حسن بن سعد القحطاني</v>
      </c>
      <c r="I46" s="33"/>
      <c r="J46" s="33"/>
      <c r="K46" s="31" t="str">
        <f t="shared" si="0"/>
        <v/>
      </c>
      <c r="L46" s="34"/>
      <c r="M46" s="33"/>
      <c r="N46" s="34"/>
      <c r="O46" s="34"/>
      <c r="P46" s="33"/>
      <c r="Q46" s="34"/>
    </row>
    <row r="47" spans="1:17" ht="24" x14ac:dyDescent="0.2">
      <c r="A47" s="31" t="s">
        <v>343</v>
      </c>
      <c r="B47" s="28" t="s">
        <v>150</v>
      </c>
      <c r="C47" s="29"/>
      <c r="D47" s="30"/>
      <c r="E47" s="31">
        <v>4</v>
      </c>
      <c r="F47" s="29" t="s">
        <v>348</v>
      </c>
      <c r="G47" s="32" t="s">
        <v>287</v>
      </c>
      <c r="H47" s="31" t="str">
        <f>IFERROR(INDEX('الإعدادات واللجنة'!$C$24:$C$32,MATCH(LEFT(A47,3),'الإعدادات واللجنة'!$A$24:$A$32,0)),"")</f>
        <v>د. حسن بن سعد القحطاني</v>
      </c>
      <c r="I47" s="33"/>
      <c r="J47" s="33"/>
      <c r="K47" s="31" t="str">
        <f t="shared" si="0"/>
        <v/>
      </c>
      <c r="L47" s="34"/>
      <c r="M47" s="33"/>
      <c r="N47" s="34"/>
      <c r="O47" s="34"/>
      <c r="P47" s="33"/>
      <c r="Q47" s="34"/>
    </row>
    <row r="48" spans="1:17" ht="26" x14ac:dyDescent="0.2">
      <c r="A48" s="35" t="s">
        <v>349</v>
      </c>
      <c r="B48" s="36" t="s">
        <v>150</v>
      </c>
      <c r="C48" s="37" t="s">
        <v>350</v>
      </c>
      <c r="D48" s="38" t="s">
        <v>293</v>
      </c>
      <c r="E48" s="39">
        <v>1</v>
      </c>
      <c r="F48" s="37" t="s">
        <v>351</v>
      </c>
      <c r="G48" s="40" t="s">
        <v>287</v>
      </c>
      <c r="H48" s="41" t="str">
        <f>IFERROR(INDEX('الإعدادات واللجنة'!$C$24:$C$32,MATCH(LEFT(A48,3),'الإعدادات واللجنة'!$A$24:$A$32,0)),"")</f>
        <v>د. حسن بن سعد القحطاني</v>
      </c>
      <c r="I48" s="42"/>
      <c r="J48" s="42"/>
      <c r="K48" s="41" t="str">
        <f t="shared" si="0"/>
        <v/>
      </c>
      <c r="L48" s="43"/>
      <c r="M48" s="42"/>
      <c r="N48" s="43"/>
      <c r="O48" s="43"/>
      <c r="P48" s="42"/>
      <c r="Q48" s="43"/>
    </row>
    <row r="49" spans="1:17" ht="26" x14ac:dyDescent="0.2">
      <c r="A49" s="44" t="s">
        <v>349</v>
      </c>
      <c r="B49" s="45" t="s">
        <v>150</v>
      </c>
      <c r="C49" s="46"/>
      <c r="D49" s="47" t="s">
        <v>293</v>
      </c>
      <c r="E49" s="44">
        <v>2</v>
      </c>
      <c r="F49" s="46" t="s">
        <v>352</v>
      </c>
      <c r="G49" s="32" t="s">
        <v>287</v>
      </c>
      <c r="H49" s="31" t="str">
        <f>IFERROR(INDEX('الإعدادات واللجنة'!$C$24:$C$32,MATCH(LEFT(A49,3),'الإعدادات واللجنة'!$A$24:$A$32,0)),"")</f>
        <v>د. حسن بن سعد القحطاني</v>
      </c>
      <c r="I49" s="33"/>
      <c r="J49" s="33"/>
      <c r="K49" s="31" t="str">
        <f t="shared" si="0"/>
        <v/>
      </c>
      <c r="L49" s="34"/>
      <c r="M49" s="33"/>
      <c r="N49" s="34"/>
      <c r="O49" s="34"/>
      <c r="P49" s="33"/>
      <c r="Q49" s="34"/>
    </row>
    <row r="50" spans="1:17" ht="24" x14ac:dyDescent="0.2">
      <c r="A50" s="44" t="s">
        <v>349</v>
      </c>
      <c r="B50" s="45" t="s">
        <v>150</v>
      </c>
      <c r="C50" s="46"/>
      <c r="D50" s="47" t="s">
        <v>293</v>
      </c>
      <c r="E50" s="44">
        <v>3</v>
      </c>
      <c r="F50" s="46" t="s">
        <v>353</v>
      </c>
      <c r="G50" s="32" t="s">
        <v>287</v>
      </c>
      <c r="H50" s="31" t="str">
        <f>IFERROR(INDEX('الإعدادات واللجنة'!$C$24:$C$32,MATCH(LEFT(A50,3),'الإعدادات واللجنة'!$A$24:$A$32,0)),"")</f>
        <v>د. حسن بن سعد القحطاني</v>
      </c>
      <c r="I50" s="33"/>
      <c r="J50" s="33"/>
      <c r="K50" s="31" t="str">
        <f t="shared" si="0"/>
        <v/>
      </c>
      <c r="L50" s="34"/>
      <c r="M50" s="33"/>
      <c r="N50" s="34"/>
      <c r="O50" s="34"/>
      <c r="P50" s="33"/>
      <c r="Q50" s="34"/>
    </row>
    <row r="51" spans="1:17" ht="24" x14ac:dyDescent="0.2">
      <c r="A51" s="48" t="s">
        <v>354</v>
      </c>
      <c r="B51" s="49" t="s">
        <v>150</v>
      </c>
      <c r="C51" s="50" t="s">
        <v>355</v>
      </c>
      <c r="D51" s="51"/>
      <c r="E51" s="41">
        <v>1</v>
      </c>
      <c r="F51" s="50" t="s">
        <v>356</v>
      </c>
      <c r="G51" s="40" t="s">
        <v>287</v>
      </c>
      <c r="H51" s="41" t="str">
        <f>IFERROR(INDEX('الإعدادات واللجنة'!$C$24:$C$32,MATCH(LEFT(A51,3),'الإعدادات واللجنة'!$A$24:$A$32,0)),"")</f>
        <v>د. حسن بن سعد القحطاني</v>
      </c>
      <c r="I51" s="42"/>
      <c r="J51" s="42"/>
      <c r="K51" s="41" t="str">
        <f t="shared" si="0"/>
        <v/>
      </c>
      <c r="L51" s="43"/>
      <c r="M51" s="42"/>
      <c r="N51" s="43"/>
      <c r="O51" s="43"/>
      <c r="P51" s="42"/>
      <c r="Q51" s="43"/>
    </row>
    <row r="52" spans="1:17" ht="24" x14ac:dyDescent="0.2">
      <c r="A52" s="31" t="s">
        <v>354</v>
      </c>
      <c r="B52" s="28" t="s">
        <v>150</v>
      </c>
      <c r="C52" s="29"/>
      <c r="D52" s="30"/>
      <c r="E52" s="31">
        <v>2</v>
      </c>
      <c r="F52" s="29" t="s">
        <v>357</v>
      </c>
      <c r="G52" s="32" t="s">
        <v>287</v>
      </c>
      <c r="H52" s="31" t="str">
        <f>IFERROR(INDEX('الإعدادات واللجنة'!$C$24:$C$32,MATCH(LEFT(A52,3),'الإعدادات واللجنة'!$A$24:$A$32,0)),"")</f>
        <v>د. حسن بن سعد القحطاني</v>
      </c>
      <c r="I52" s="33"/>
      <c r="J52" s="33"/>
      <c r="K52" s="31" t="str">
        <f t="shared" si="0"/>
        <v/>
      </c>
      <c r="L52" s="34"/>
      <c r="M52" s="33"/>
      <c r="N52" s="34"/>
      <c r="O52" s="34"/>
      <c r="P52" s="33"/>
      <c r="Q52" s="34"/>
    </row>
    <row r="53" spans="1:17" ht="24" x14ac:dyDescent="0.2">
      <c r="A53" s="31" t="s">
        <v>354</v>
      </c>
      <c r="B53" s="28" t="s">
        <v>150</v>
      </c>
      <c r="C53" s="29"/>
      <c r="D53" s="30"/>
      <c r="E53" s="31">
        <v>3</v>
      </c>
      <c r="F53" s="29" t="s">
        <v>358</v>
      </c>
      <c r="G53" s="32" t="s">
        <v>287</v>
      </c>
      <c r="H53" s="31" t="str">
        <f>IFERROR(INDEX('الإعدادات واللجنة'!$C$24:$C$32,MATCH(LEFT(A53,3),'الإعدادات واللجنة'!$A$24:$A$32,0)),"")</f>
        <v>د. حسن بن سعد القحطاني</v>
      </c>
      <c r="I53" s="33"/>
      <c r="J53" s="33"/>
      <c r="K53" s="31" t="str">
        <f t="shared" si="0"/>
        <v/>
      </c>
      <c r="L53" s="34"/>
      <c r="M53" s="33"/>
      <c r="N53" s="34"/>
      <c r="O53" s="34"/>
      <c r="P53" s="33"/>
      <c r="Q53" s="34"/>
    </row>
    <row r="54" spans="1:17" ht="24" x14ac:dyDescent="0.2">
      <c r="A54" s="31" t="s">
        <v>354</v>
      </c>
      <c r="B54" s="28" t="s">
        <v>150</v>
      </c>
      <c r="C54" s="29"/>
      <c r="D54" s="30"/>
      <c r="E54" s="31">
        <v>4</v>
      </c>
      <c r="F54" s="29" t="s">
        <v>359</v>
      </c>
      <c r="G54" s="32" t="s">
        <v>287</v>
      </c>
      <c r="H54" s="31" t="str">
        <f>IFERROR(INDEX('الإعدادات واللجنة'!$C$24:$C$32,MATCH(LEFT(A54,3),'الإعدادات واللجنة'!$A$24:$A$32,0)),"")</f>
        <v>د. حسن بن سعد القحطاني</v>
      </c>
      <c r="I54" s="33"/>
      <c r="J54" s="33"/>
      <c r="K54" s="31" t="str">
        <f t="shared" si="0"/>
        <v/>
      </c>
      <c r="L54" s="34"/>
      <c r="M54" s="33"/>
      <c r="N54" s="34"/>
      <c r="O54" s="34"/>
      <c r="P54" s="33"/>
      <c r="Q54" s="34"/>
    </row>
    <row r="55" spans="1:17" ht="24" x14ac:dyDescent="0.2">
      <c r="A55" s="31" t="s">
        <v>354</v>
      </c>
      <c r="B55" s="28" t="s">
        <v>150</v>
      </c>
      <c r="C55" s="29"/>
      <c r="D55" s="30"/>
      <c r="E55" s="31">
        <v>5</v>
      </c>
      <c r="F55" s="29" t="s">
        <v>360</v>
      </c>
      <c r="G55" s="32" t="s">
        <v>287</v>
      </c>
      <c r="H55" s="31" t="str">
        <f>IFERROR(INDEX('الإعدادات واللجنة'!$C$24:$C$32,MATCH(LEFT(A55,3),'الإعدادات واللجنة'!$A$24:$A$32,0)),"")</f>
        <v>د. حسن بن سعد القحطاني</v>
      </c>
      <c r="I55" s="33"/>
      <c r="J55" s="33"/>
      <c r="K55" s="31" t="str">
        <f t="shared" si="0"/>
        <v/>
      </c>
      <c r="L55" s="34"/>
      <c r="M55" s="33"/>
      <c r="N55" s="34"/>
      <c r="O55" s="34"/>
      <c r="P55" s="33"/>
      <c r="Q55" s="34"/>
    </row>
    <row r="56" spans="1:17" ht="24" x14ac:dyDescent="0.2">
      <c r="A56" s="31" t="s">
        <v>354</v>
      </c>
      <c r="B56" s="28" t="s">
        <v>150</v>
      </c>
      <c r="C56" s="29"/>
      <c r="D56" s="30"/>
      <c r="E56" s="31">
        <v>6</v>
      </c>
      <c r="F56" s="29" t="s">
        <v>361</v>
      </c>
      <c r="G56" s="32" t="s">
        <v>287</v>
      </c>
      <c r="H56" s="31" t="str">
        <f>IFERROR(INDEX('الإعدادات واللجنة'!$C$24:$C$32,MATCH(LEFT(A56,3),'الإعدادات واللجنة'!$A$24:$A$32,0)),"")</f>
        <v>د. حسن بن سعد القحطاني</v>
      </c>
      <c r="I56" s="33"/>
      <c r="J56" s="33"/>
      <c r="K56" s="31" t="str">
        <f t="shared" si="0"/>
        <v/>
      </c>
      <c r="L56" s="34"/>
      <c r="M56" s="33"/>
      <c r="N56" s="34"/>
      <c r="O56" s="34"/>
      <c r="P56" s="33"/>
      <c r="Q56" s="34"/>
    </row>
    <row r="57" spans="1:17" ht="26" x14ac:dyDescent="0.2">
      <c r="A57" s="48" t="s">
        <v>362</v>
      </c>
      <c r="B57" s="49" t="s">
        <v>151</v>
      </c>
      <c r="C57" s="50" t="s">
        <v>363</v>
      </c>
      <c r="D57" s="51"/>
      <c r="E57" s="41">
        <v>1</v>
      </c>
      <c r="F57" s="50" t="s">
        <v>364</v>
      </c>
      <c r="G57" s="40" t="s">
        <v>287</v>
      </c>
      <c r="H57" s="41" t="str">
        <f>IFERROR(INDEX('الإعدادات واللجنة'!$C$24:$C$32,MATCH(LEFT(A57,3),'الإعدادات واللجنة'!$A$24:$A$32,0)),"")</f>
        <v>د. احمد بن عوض البشري</v>
      </c>
      <c r="I57" s="42"/>
      <c r="J57" s="42"/>
      <c r="K57" s="41" t="str">
        <f t="shared" si="0"/>
        <v/>
      </c>
      <c r="L57" s="43"/>
      <c r="M57" s="42"/>
      <c r="N57" s="43"/>
      <c r="O57" s="43"/>
      <c r="P57" s="42"/>
      <c r="Q57" s="43"/>
    </row>
    <row r="58" spans="1:17" x14ac:dyDescent="0.2">
      <c r="A58" s="31" t="s">
        <v>362</v>
      </c>
      <c r="B58" s="28" t="s">
        <v>151</v>
      </c>
      <c r="C58" s="29"/>
      <c r="D58" s="30"/>
      <c r="E58" s="31">
        <v>2</v>
      </c>
      <c r="F58" s="29" t="s">
        <v>365</v>
      </c>
      <c r="G58" s="32" t="s">
        <v>287</v>
      </c>
      <c r="H58" s="31" t="str">
        <f>IFERROR(INDEX('الإعدادات واللجنة'!$C$24:$C$32,MATCH(LEFT(A58,3),'الإعدادات واللجنة'!$A$24:$A$32,0)),"")</f>
        <v>د. احمد بن عوض البشري</v>
      </c>
      <c r="I58" s="33"/>
      <c r="J58" s="33"/>
      <c r="K58" s="31" t="str">
        <f t="shared" si="0"/>
        <v/>
      </c>
      <c r="L58" s="34"/>
      <c r="M58" s="33"/>
      <c r="N58" s="34"/>
      <c r="O58" s="34"/>
      <c r="P58" s="33"/>
      <c r="Q58" s="34"/>
    </row>
    <row r="59" spans="1:17" ht="26" x14ac:dyDescent="0.2">
      <c r="A59" s="31" t="s">
        <v>362</v>
      </c>
      <c r="B59" s="28" t="s">
        <v>151</v>
      </c>
      <c r="C59" s="29"/>
      <c r="D59" s="30"/>
      <c r="E59" s="31">
        <v>3</v>
      </c>
      <c r="F59" s="29" t="s">
        <v>366</v>
      </c>
      <c r="G59" s="32" t="s">
        <v>287</v>
      </c>
      <c r="H59" s="31" t="str">
        <f>IFERROR(INDEX('الإعدادات واللجنة'!$C$24:$C$32,MATCH(LEFT(A59,3),'الإعدادات واللجنة'!$A$24:$A$32,0)),"")</f>
        <v>د. احمد بن عوض البشري</v>
      </c>
      <c r="I59" s="33"/>
      <c r="J59" s="33"/>
      <c r="K59" s="31" t="str">
        <f t="shared" si="0"/>
        <v/>
      </c>
      <c r="L59" s="34"/>
      <c r="M59" s="33"/>
      <c r="N59" s="34"/>
      <c r="O59" s="34"/>
      <c r="P59" s="33"/>
      <c r="Q59" s="34"/>
    </row>
    <row r="60" spans="1:17" x14ac:dyDescent="0.2">
      <c r="A60" s="31" t="s">
        <v>362</v>
      </c>
      <c r="B60" s="28" t="s">
        <v>151</v>
      </c>
      <c r="C60" s="29"/>
      <c r="D60" s="30"/>
      <c r="E60" s="31">
        <v>4</v>
      </c>
      <c r="F60" s="29" t="s">
        <v>367</v>
      </c>
      <c r="G60" s="32" t="s">
        <v>287</v>
      </c>
      <c r="H60" s="31" t="str">
        <f>IFERROR(INDEX('الإعدادات واللجنة'!$C$24:$C$32,MATCH(LEFT(A60,3),'الإعدادات واللجنة'!$A$24:$A$32,0)),"")</f>
        <v>د. احمد بن عوض البشري</v>
      </c>
      <c r="I60" s="33"/>
      <c r="J60" s="33"/>
      <c r="K60" s="31" t="str">
        <f t="shared" si="0"/>
        <v/>
      </c>
      <c r="L60" s="34"/>
      <c r="M60" s="33"/>
      <c r="N60" s="34"/>
      <c r="O60" s="34"/>
      <c r="P60" s="33"/>
      <c r="Q60" s="34"/>
    </row>
    <row r="61" spans="1:17" x14ac:dyDescent="0.2">
      <c r="A61" s="31" t="s">
        <v>362</v>
      </c>
      <c r="B61" s="28" t="s">
        <v>151</v>
      </c>
      <c r="C61" s="29"/>
      <c r="D61" s="30"/>
      <c r="E61" s="31">
        <v>5</v>
      </c>
      <c r="F61" s="29" t="s">
        <v>368</v>
      </c>
      <c r="G61" s="32" t="s">
        <v>287</v>
      </c>
      <c r="H61" s="31" t="str">
        <f>IFERROR(INDEX('الإعدادات واللجنة'!$C$24:$C$32,MATCH(LEFT(A61,3),'الإعدادات واللجنة'!$A$24:$A$32,0)),"")</f>
        <v>د. احمد بن عوض البشري</v>
      </c>
      <c r="I61" s="33"/>
      <c r="J61" s="33"/>
      <c r="K61" s="31" t="str">
        <f t="shared" si="0"/>
        <v/>
      </c>
      <c r="L61" s="34"/>
      <c r="M61" s="33"/>
      <c r="N61" s="34"/>
      <c r="O61" s="34"/>
      <c r="P61" s="33"/>
      <c r="Q61" s="34"/>
    </row>
    <row r="62" spans="1:17" x14ac:dyDescent="0.2">
      <c r="A62" s="31" t="s">
        <v>362</v>
      </c>
      <c r="B62" s="28" t="s">
        <v>151</v>
      </c>
      <c r="C62" s="29"/>
      <c r="D62" s="30"/>
      <c r="E62" s="31">
        <v>6</v>
      </c>
      <c r="F62" s="29" t="s">
        <v>369</v>
      </c>
      <c r="G62" s="32" t="s">
        <v>287</v>
      </c>
      <c r="H62" s="31" t="str">
        <f>IFERROR(INDEX('الإعدادات واللجنة'!$C$24:$C$32,MATCH(LEFT(A62,3),'الإعدادات واللجنة'!$A$24:$A$32,0)),"")</f>
        <v>د. احمد بن عوض البشري</v>
      </c>
      <c r="I62" s="33"/>
      <c r="J62" s="33"/>
      <c r="K62" s="31" t="str">
        <f t="shared" si="0"/>
        <v/>
      </c>
      <c r="L62" s="34"/>
      <c r="M62" s="33"/>
      <c r="N62" s="34"/>
      <c r="O62" s="34"/>
      <c r="P62" s="33"/>
      <c r="Q62" s="34"/>
    </row>
    <row r="63" spans="1:17" x14ac:dyDescent="0.2">
      <c r="A63" s="31" t="s">
        <v>362</v>
      </c>
      <c r="B63" s="28" t="s">
        <v>151</v>
      </c>
      <c r="C63" s="29"/>
      <c r="D63" s="30"/>
      <c r="E63" s="31">
        <v>7</v>
      </c>
      <c r="F63" s="29" t="s">
        <v>370</v>
      </c>
      <c r="G63" s="32" t="s">
        <v>287</v>
      </c>
      <c r="H63" s="31" t="str">
        <f>IFERROR(INDEX('الإعدادات واللجنة'!$C$24:$C$32,MATCH(LEFT(A63,3),'الإعدادات واللجنة'!$A$24:$A$32,0)),"")</f>
        <v>د. احمد بن عوض البشري</v>
      </c>
      <c r="I63" s="33"/>
      <c r="J63" s="33"/>
      <c r="K63" s="31" t="str">
        <f t="shared" si="0"/>
        <v/>
      </c>
      <c r="L63" s="34"/>
      <c r="M63" s="33"/>
      <c r="N63" s="34"/>
      <c r="O63" s="34"/>
      <c r="P63" s="33"/>
      <c r="Q63" s="34"/>
    </row>
    <row r="64" spans="1:17" x14ac:dyDescent="0.2">
      <c r="A64" s="31" t="s">
        <v>362</v>
      </c>
      <c r="B64" s="28" t="s">
        <v>151</v>
      </c>
      <c r="C64" s="29"/>
      <c r="D64" s="30"/>
      <c r="E64" s="31">
        <v>8</v>
      </c>
      <c r="F64" s="29" t="s">
        <v>371</v>
      </c>
      <c r="G64" s="32" t="s">
        <v>287</v>
      </c>
      <c r="H64" s="31" t="str">
        <f>IFERROR(INDEX('الإعدادات واللجنة'!$C$24:$C$32,MATCH(LEFT(A64,3),'الإعدادات واللجنة'!$A$24:$A$32,0)),"")</f>
        <v>د. احمد بن عوض البشري</v>
      </c>
      <c r="I64" s="33"/>
      <c r="J64" s="33"/>
      <c r="K64" s="31" t="str">
        <f t="shared" si="0"/>
        <v/>
      </c>
      <c r="L64" s="34"/>
      <c r="M64" s="33"/>
      <c r="N64" s="34"/>
      <c r="O64" s="34"/>
      <c r="P64" s="33"/>
      <c r="Q64" s="34"/>
    </row>
    <row r="65" spans="1:17" ht="26" x14ac:dyDescent="0.2">
      <c r="A65" s="31" t="s">
        <v>362</v>
      </c>
      <c r="B65" s="28" t="s">
        <v>151</v>
      </c>
      <c r="C65" s="29"/>
      <c r="D65" s="30"/>
      <c r="E65" s="31">
        <v>9</v>
      </c>
      <c r="F65" s="29" t="s">
        <v>372</v>
      </c>
      <c r="G65" s="32" t="s">
        <v>287</v>
      </c>
      <c r="H65" s="31" t="str">
        <f>IFERROR(INDEX('الإعدادات واللجنة'!$C$24:$C$32,MATCH(LEFT(A65,3),'الإعدادات واللجنة'!$A$24:$A$32,0)),"")</f>
        <v>د. احمد بن عوض البشري</v>
      </c>
      <c r="I65" s="33"/>
      <c r="J65" s="33"/>
      <c r="K65" s="31" t="str">
        <f t="shared" si="0"/>
        <v/>
      </c>
      <c r="L65" s="34"/>
      <c r="M65" s="33"/>
      <c r="N65" s="34"/>
      <c r="O65" s="34"/>
      <c r="P65" s="33"/>
      <c r="Q65" s="34"/>
    </row>
    <row r="66" spans="1:17" ht="26" x14ac:dyDescent="0.2">
      <c r="A66" s="31" t="s">
        <v>362</v>
      </c>
      <c r="B66" s="28" t="s">
        <v>151</v>
      </c>
      <c r="C66" s="29"/>
      <c r="D66" s="30"/>
      <c r="E66" s="31">
        <v>10</v>
      </c>
      <c r="F66" s="29" t="s">
        <v>373</v>
      </c>
      <c r="G66" s="32" t="s">
        <v>287</v>
      </c>
      <c r="H66" s="31" t="str">
        <f>IFERROR(INDEX('الإعدادات واللجنة'!$C$24:$C$32,MATCH(LEFT(A66,3),'الإعدادات واللجنة'!$A$24:$A$32,0)),"")</f>
        <v>د. احمد بن عوض البشري</v>
      </c>
      <c r="I66" s="33"/>
      <c r="J66" s="33"/>
      <c r="K66" s="31" t="str">
        <f t="shared" si="0"/>
        <v/>
      </c>
      <c r="L66" s="34"/>
      <c r="M66" s="33"/>
      <c r="N66" s="34"/>
      <c r="O66" s="34"/>
      <c r="P66" s="33"/>
      <c r="Q66" s="34"/>
    </row>
    <row r="67" spans="1:17" ht="26" x14ac:dyDescent="0.2">
      <c r="A67" s="35" t="s">
        <v>374</v>
      </c>
      <c r="B67" s="36" t="s">
        <v>151</v>
      </c>
      <c r="C67" s="37" t="s">
        <v>375</v>
      </c>
      <c r="D67" s="38" t="s">
        <v>293</v>
      </c>
      <c r="E67" s="39">
        <v>1</v>
      </c>
      <c r="F67" s="37" t="s">
        <v>376</v>
      </c>
      <c r="G67" s="40" t="s">
        <v>287</v>
      </c>
      <c r="H67" s="41" t="str">
        <f>IFERROR(INDEX('الإعدادات واللجنة'!$C$24:$C$32,MATCH(LEFT(A67,3),'الإعدادات واللجنة'!$A$24:$A$32,0)),"")</f>
        <v>د. احمد بن عوض البشري</v>
      </c>
      <c r="I67" s="42"/>
      <c r="J67" s="42"/>
      <c r="K67" s="41" t="str">
        <f t="shared" si="0"/>
        <v/>
      </c>
      <c r="L67" s="43"/>
      <c r="M67" s="42"/>
      <c r="N67" s="43"/>
      <c r="O67" s="43"/>
      <c r="P67" s="42"/>
      <c r="Q67" s="43"/>
    </row>
    <row r="68" spans="1:17" ht="26" x14ac:dyDescent="0.2">
      <c r="A68" s="44" t="s">
        <v>374</v>
      </c>
      <c r="B68" s="45" t="s">
        <v>151</v>
      </c>
      <c r="C68" s="46"/>
      <c r="D68" s="47" t="s">
        <v>293</v>
      </c>
      <c r="E68" s="44">
        <v>2</v>
      </c>
      <c r="F68" s="46" t="s">
        <v>377</v>
      </c>
      <c r="G68" s="32" t="s">
        <v>287</v>
      </c>
      <c r="H68" s="31" t="str">
        <f>IFERROR(INDEX('الإعدادات واللجنة'!$C$24:$C$32,MATCH(LEFT(A68,3),'الإعدادات واللجنة'!$A$24:$A$32,0)),"")</f>
        <v>د. احمد بن عوض البشري</v>
      </c>
      <c r="I68" s="33"/>
      <c r="J68" s="33"/>
      <c r="K68" s="31" t="str">
        <f t="shared" si="0"/>
        <v/>
      </c>
      <c r="L68" s="34"/>
      <c r="M68" s="33"/>
      <c r="N68" s="34"/>
      <c r="O68" s="34"/>
      <c r="P68" s="33"/>
      <c r="Q68" s="34"/>
    </row>
    <row r="69" spans="1:17" ht="26" x14ac:dyDescent="0.2">
      <c r="A69" s="44" t="s">
        <v>374</v>
      </c>
      <c r="B69" s="45" t="s">
        <v>151</v>
      </c>
      <c r="C69" s="46"/>
      <c r="D69" s="47" t="s">
        <v>293</v>
      </c>
      <c r="E69" s="44">
        <v>3</v>
      </c>
      <c r="F69" s="46" t="s">
        <v>378</v>
      </c>
      <c r="G69" s="32" t="s">
        <v>287</v>
      </c>
      <c r="H69" s="31" t="str">
        <f>IFERROR(INDEX('الإعدادات واللجنة'!$C$24:$C$32,MATCH(LEFT(A69,3),'الإعدادات واللجنة'!$A$24:$A$32,0)),"")</f>
        <v>د. احمد بن عوض البشري</v>
      </c>
      <c r="I69" s="33"/>
      <c r="J69" s="33"/>
      <c r="K69" s="31" t="str">
        <f t="shared" ref="K69:K132" si="1">IF(OR(I69="",I69="متوفر ومكتمل"),"",IF(OR(D69="★",I69="غير متوفر"),"عالية","متوسطة"))</f>
        <v/>
      </c>
      <c r="L69" s="34"/>
      <c r="M69" s="33"/>
      <c r="N69" s="34"/>
      <c r="O69" s="34"/>
      <c r="P69" s="33"/>
      <c r="Q69" s="34"/>
    </row>
    <row r="70" spans="1:17" ht="26" x14ac:dyDescent="0.2">
      <c r="A70" s="48" t="s">
        <v>379</v>
      </c>
      <c r="B70" s="49" t="s">
        <v>151</v>
      </c>
      <c r="C70" s="50" t="s">
        <v>380</v>
      </c>
      <c r="D70" s="51"/>
      <c r="E70" s="41">
        <v>1</v>
      </c>
      <c r="F70" s="50" t="s">
        <v>381</v>
      </c>
      <c r="G70" s="40" t="s">
        <v>287</v>
      </c>
      <c r="H70" s="41" t="str">
        <f>IFERROR(INDEX('الإعدادات واللجنة'!$C$24:$C$32,MATCH(LEFT(A70,3),'الإعدادات واللجنة'!$A$24:$A$32,0)),"")</f>
        <v>د. احمد بن عوض البشري</v>
      </c>
      <c r="I70" s="42"/>
      <c r="J70" s="42"/>
      <c r="K70" s="41" t="str">
        <f t="shared" si="1"/>
        <v/>
      </c>
      <c r="L70" s="43"/>
      <c r="M70" s="42"/>
      <c r="N70" s="43"/>
      <c r="O70" s="43"/>
      <c r="P70" s="42"/>
      <c r="Q70" s="43"/>
    </row>
    <row r="71" spans="1:17" ht="26" x14ac:dyDescent="0.2">
      <c r="A71" s="31" t="s">
        <v>379</v>
      </c>
      <c r="B71" s="28" t="s">
        <v>151</v>
      </c>
      <c r="C71" s="29"/>
      <c r="D71" s="30"/>
      <c r="E71" s="31">
        <v>2</v>
      </c>
      <c r="F71" s="29" t="s">
        <v>382</v>
      </c>
      <c r="G71" s="32" t="s">
        <v>287</v>
      </c>
      <c r="H71" s="31" t="str">
        <f>IFERROR(INDEX('الإعدادات واللجنة'!$C$24:$C$32,MATCH(LEFT(A71,3),'الإعدادات واللجنة'!$A$24:$A$32,0)),"")</f>
        <v>د. احمد بن عوض البشري</v>
      </c>
      <c r="I71" s="33"/>
      <c r="J71" s="33"/>
      <c r="K71" s="31" t="str">
        <f t="shared" si="1"/>
        <v/>
      </c>
      <c r="L71" s="34"/>
      <c r="M71" s="33"/>
      <c r="N71" s="34"/>
      <c r="O71" s="34"/>
      <c r="P71" s="33"/>
      <c r="Q71" s="34"/>
    </row>
    <row r="72" spans="1:17" ht="26" x14ac:dyDescent="0.2">
      <c r="A72" s="31" t="s">
        <v>379</v>
      </c>
      <c r="B72" s="28" t="s">
        <v>151</v>
      </c>
      <c r="C72" s="29"/>
      <c r="D72" s="30"/>
      <c r="E72" s="31">
        <v>3</v>
      </c>
      <c r="F72" s="29" t="s">
        <v>383</v>
      </c>
      <c r="G72" s="32" t="s">
        <v>287</v>
      </c>
      <c r="H72" s="31" t="str">
        <f>IFERROR(INDEX('الإعدادات واللجنة'!$C$24:$C$32,MATCH(LEFT(A72,3),'الإعدادات واللجنة'!$A$24:$A$32,0)),"")</f>
        <v>د. احمد بن عوض البشري</v>
      </c>
      <c r="I72" s="33"/>
      <c r="J72" s="33"/>
      <c r="K72" s="31" t="str">
        <f t="shared" si="1"/>
        <v/>
      </c>
      <c r="L72" s="34"/>
      <c r="M72" s="33"/>
      <c r="N72" s="34"/>
      <c r="O72" s="34"/>
      <c r="P72" s="33"/>
      <c r="Q72" s="34"/>
    </row>
    <row r="73" spans="1:17" ht="26" x14ac:dyDescent="0.2">
      <c r="A73" s="31" t="s">
        <v>379</v>
      </c>
      <c r="B73" s="28" t="s">
        <v>151</v>
      </c>
      <c r="C73" s="29"/>
      <c r="D73" s="30"/>
      <c r="E73" s="31">
        <v>4</v>
      </c>
      <c r="F73" s="29" t="s">
        <v>384</v>
      </c>
      <c r="G73" s="32" t="s">
        <v>287</v>
      </c>
      <c r="H73" s="31" t="str">
        <f>IFERROR(INDEX('الإعدادات واللجنة'!$C$24:$C$32,MATCH(LEFT(A73,3),'الإعدادات واللجنة'!$A$24:$A$32,0)),"")</f>
        <v>د. احمد بن عوض البشري</v>
      </c>
      <c r="I73" s="33"/>
      <c r="J73" s="33"/>
      <c r="K73" s="31" t="str">
        <f t="shared" si="1"/>
        <v/>
      </c>
      <c r="L73" s="34"/>
      <c r="M73" s="33"/>
      <c r="N73" s="34"/>
      <c r="O73" s="34"/>
      <c r="P73" s="33"/>
      <c r="Q73" s="34"/>
    </row>
    <row r="74" spans="1:17" ht="26" x14ac:dyDescent="0.2">
      <c r="A74" s="35" t="s">
        <v>385</v>
      </c>
      <c r="B74" s="36" t="s">
        <v>151</v>
      </c>
      <c r="C74" s="37" t="s">
        <v>386</v>
      </c>
      <c r="D74" s="38" t="s">
        <v>293</v>
      </c>
      <c r="E74" s="39">
        <v>1</v>
      </c>
      <c r="F74" s="37" t="s">
        <v>365</v>
      </c>
      <c r="G74" s="40" t="s">
        <v>287</v>
      </c>
      <c r="H74" s="41" t="str">
        <f>IFERROR(INDEX('الإعدادات واللجنة'!$C$24:$C$32,MATCH(LEFT(A74,3),'الإعدادات واللجنة'!$A$24:$A$32,0)),"")</f>
        <v>د. احمد بن عوض البشري</v>
      </c>
      <c r="I74" s="42"/>
      <c r="J74" s="42"/>
      <c r="K74" s="41" t="str">
        <f t="shared" si="1"/>
        <v/>
      </c>
      <c r="L74" s="43"/>
      <c r="M74" s="42"/>
      <c r="N74" s="43"/>
      <c r="O74" s="43"/>
      <c r="P74" s="42"/>
      <c r="Q74" s="43"/>
    </row>
    <row r="75" spans="1:17" x14ac:dyDescent="0.2">
      <c r="A75" s="44" t="s">
        <v>385</v>
      </c>
      <c r="B75" s="45" t="s">
        <v>151</v>
      </c>
      <c r="C75" s="46"/>
      <c r="D75" s="47" t="s">
        <v>293</v>
      </c>
      <c r="E75" s="44">
        <v>2</v>
      </c>
      <c r="F75" s="46" t="s">
        <v>387</v>
      </c>
      <c r="G75" s="32" t="s">
        <v>287</v>
      </c>
      <c r="H75" s="31" t="str">
        <f>IFERROR(INDEX('الإعدادات واللجنة'!$C$24:$C$32,MATCH(LEFT(A75,3),'الإعدادات واللجنة'!$A$24:$A$32,0)),"")</f>
        <v>د. احمد بن عوض البشري</v>
      </c>
      <c r="I75" s="33"/>
      <c r="J75" s="33"/>
      <c r="K75" s="31" t="str">
        <f t="shared" si="1"/>
        <v/>
      </c>
      <c r="L75" s="34"/>
      <c r="M75" s="33"/>
      <c r="N75" s="34"/>
      <c r="O75" s="34"/>
      <c r="P75" s="33"/>
      <c r="Q75" s="34"/>
    </row>
    <row r="76" spans="1:17" ht="26" x14ac:dyDescent="0.2">
      <c r="A76" s="44" t="s">
        <v>385</v>
      </c>
      <c r="B76" s="45" t="s">
        <v>151</v>
      </c>
      <c r="C76" s="46"/>
      <c r="D76" s="47" t="s">
        <v>293</v>
      </c>
      <c r="E76" s="44">
        <v>3</v>
      </c>
      <c r="F76" s="46" t="s">
        <v>388</v>
      </c>
      <c r="G76" s="32" t="s">
        <v>287</v>
      </c>
      <c r="H76" s="31" t="str">
        <f>IFERROR(INDEX('الإعدادات واللجنة'!$C$24:$C$32,MATCH(LEFT(A76,3),'الإعدادات واللجنة'!$A$24:$A$32,0)),"")</f>
        <v>د. احمد بن عوض البشري</v>
      </c>
      <c r="I76" s="33"/>
      <c r="J76" s="33"/>
      <c r="K76" s="31" t="str">
        <f t="shared" si="1"/>
        <v/>
      </c>
      <c r="L76" s="34"/>
      <c r="M76" s="33"/>
      <c r="N76" s="34"/>
      <c r="O76" s="34"/>
      <c r="P76" s="33"/>
      <c r="Q76" s="34"/>
    </row>
    <row r="77" spans="1:17" x14ac:dyDescent="0.2">
      <c r="A77" s="44" t="s">
        <v>385</v>
      </c>
      <c r="B77" s="45" t="s">
        <v>151</v>
      </c>
      <c r="C77" s="46"/>
      <c r="D77" s="47" t="s">
        <v>293</v>
      </c>
      <c r="E77" s="44">
        <v>4</v>
      </c>
      <c r="F77" s="46" t="s">
        <v>389</v>
      </c>
      <c r="G77" s="32" t="s">
        <v>287</v>
      </c>
      <c r="H77" s="31" t="str">
        <f>IFERROR(INDEX('الإعدادات واللجنة'!$C$24:$C$32,MATCH(LEFT(A77,3),'الإعدادات واللجنة'!$A$24:$A$32,0)),"")</f>
        <v>د. احمد بن عوض البشري</v>
      </c>
      <c r="I77" s="33"/>
      <c r="J77" s="33"/>
      <c r="K77" s="31" t="str">
        <f t="shared" si="1"/>
        <v/>
      </c>
      <c r="L77" s="34"/>
      <c r="M77" s="33"/>
      <c r="N77" s="34"/>
      <c r="O77" s="34"/>
      <c r="P77" s="33"/>
      <c r="Q77" s="34"/>
    </row>
    <row r="78" spans="1:17" ht="26" x14ac:dyDescent="0.2">
      <c r="A78" s="48" t="s">
        <v>390</v>
      </c>
      <c r="B78" s="49" t="s">
        <v>151</v>
      </c>
      <c r="C78" s="50" t="s">
        <v>391</v>
      </c>
      <c r="D78" s="51"/>
      <c r="E78" s="41">
        <v>1</v>
      </c>
      <c r="F78" s="50" t="s">
        <v>392</v>
      </c>
      <c r="G78" s="40" t="s">
        <v>287</v>
      </c>
      <c r="H78" s="41" t="str">
        <f>IFERROR(INDEX('الإعدادات واللجنة'!$C$24:$C$32,MATCH(LEFT(A78,3),'الإعدادات واللجنة'!$A$24:$A$32,0)),"")</f>
        <v>د. احمد بن عوض البشري</v>
      </c>
      <c r="I78" s="42"/>
      <c r="J78" s="42"/>
      <c r="K78" s="41" t="str">
        <f t="shared" si="1"/>
        <v/>
      </c>
      <c r="L78" s="43"/>
      <c r="M78" s="42"/>
      <c r="N78" s="43"/>
      <c r="O78" s="43"/>
      <c r="P78" s="42"/>
      <c r="Q78" s="43"/>
    </row>
    <row r="79" spans="1:17" ht="26" x14ac:dyDescent="0.2">
      <c r="A79" s="31" t="s">
        <v>390</v>
      </c>
      <c r="B79" s="28" t="s">
        <v>151</v>
      </c>
      <c r="C79" s="29"/>
      <c r="D79" s="30"/>
      <c r="E79" s="31">
        <v>2</v>
      </c>
      <c r="F79" s="29" t="s">
        <v>393</v>
      </c>
      <c r="G79" s="32" t="s">
        <v>287</v>
      </c>
      <c r="H79" s="31" t="str">
        <f>IFERROR(INDEX('الإعدادات واللجنة'!$C$24:$C$32,MATCH(LEFT(A79,3),'الإعدادات واللجنة'!$A$24:$A$32,0)),"")</f>
        <v>د. احمد بن عوض البشري</v>
      </c>
      <c r="I79" s="33"/>
      <c r="J79" s="33"/>
      <c r="K79" s="31" t="str">
        <f t="shared" si="1"/>
        <v/>
      </c>
      <c r="L79" s="34"/>
      <c r="M79" s="33"/>
      <c r="N79" s="34"/>
      <c r="O79" s="34"/>
      <c r="P79" s="33"/>
      <c r="Q79" s="34"/>
    </row>
    <row r="80" spans="1:17" ht="26" x14ac:dyDescent="0.2">
      <c r="A80" s="31" t="s">
        <v>390</v>
      </c>
      <c r="B80" s="28" t="s">
        <v>151</v>
      </c>
      <c r="C80" s="29"/>
      <c r="D80" s="30"/>
      <c r="E80" s="31">
        <v>3</v>
      </c>
      <c r="F80" s="29" t="s">
        <v>394</v>
      </c>
      <c r="G80" s="32" t="s">
        <v>287</v>
      </c>
      <c r="H80" s="31" t="str">
        <f>IFERROR(INDEX('الإعدادات واللجنة'!$C$24:$C$32,MATCH(LEFT(A80,3),'الإعدادات واللجنة'!$A$24:$A$32,0)),"")</f>
        <v>د. احمد بن عوض البشري</v>
      </c>
      <c r="I80" s="33"/>
      <c r="J80" s="33"/>
      <c r="K80" s="31" t="str">
        <f t="shared" si="1"/>
        <v/>
      </c>
      <c r="L80" s="34"/>
      <c r="M80" s="33"/>
      <c r="N80" s="34"/>
      <c r="O80" s="34"/>
      <c r="P80" s="33"/>
      <c r="Q80" s="34"/>
    </row>
    <row r="81" spans="1:17" x14ac:dyDescent="0.2">
      <c r="A81" s="31" t="s">
        <v>390</v>
      </c>
      <c r="B81" s="28" t="s">
        <v>151</v>
      </c>
      <c r="C81" s="29"/>
      <c r="D81" s="30"/>
      <c r="E81" s="31">
        <v>4</v>
      </c>
      <c r="F81" s="29" t="s">
        <v>395</v>
      </c>
      <c r="G81" s="32" t="s">
        <v>287</v>
      </c>
      <c r="H81" s="31" t="str">
        <f>IFERROR(INDEX('الإعدادات واللجنة'!$C$24:$C$32,MATCH(LEFT(A81,3),'الإعدادات واللجنة'!$A$24:$A$32,0)),"")</f>
        <v>د. احمد بن عوض البشري</v>
      </c>
      <c r="I81" s="33"/>
      <c r="J81" s="33"/>
      <c r="K81" s="31" t="str">
        <f t="shared" si="1"/>
        <v/>
      </c>
      <c r="L81" s="34"/>
      <c r="M81" s="33"/>
      <c r="N81" s="34"/>
      <c r="O81" s="34"/>
      <c r="P81" s="33"/>
      <c r="Q81" s="34"/>
    </row>
    <row r="82" spans="1:17" ht="26" x14ac:dyDescent="0.2">
      <c r="A82" s="35" t="s">
        <v>396</v>
      </c>
      <c r="B82" s="36" t="s">
        <v>151</v>
      </c>
      <c r="C82" s="37" t="s">
        <v>397</v>
      </c>
      <c r="D82" s="38" t="s">
        <v>293</v>
      </c>
      <c r="E82" s="39">
        <v>1</v>
      </c>
      <c r="F82" s="37" t="s">
        <v>398</v>
      </c>
      <c r="G82" s="40" t="s">
        <v>287</v>
      </c>
      <c r="H82" s="41" t="str">
        <f>IFERROR(INDEX('الإعدادات واللجنة'!$C$24:$C$32,MATCH(LEFT(A82,3),'الإعدادات واللجنة'!$A$24:$A$32,0)),"")</f>
        <v>د. احمد بن عوض البشري</v>
      </c>
      <c r="I82" s="42"/>
      <c r="J82" s="42"/>
      <c r="K82" s="41" t="str">
        <f t="shared" si="1"/>
        <v/>
      </c>
      <c r="L82" s="43"/>
      <c r="M82" s="42"/>
      <c r="N82" s="43"/>
      <c r="O82" s="43"/>
      <c r="P82" s="42"/>
      <c r="Q82" s="43"/>
    </row>
    <row r="83" spans="1:17" ht="26" x14ac:dyDescent="0.2">
      <c r="A83" s="44" t="s">
        <v>396</v>
      </c>
      <c r="B83" s="45" t="s">
        <v>151</v>
      </c>
      <c r="C83" s="46"/>
      <c r="D83" s="47" t="s">
        <v>293</v>
      </c>
      <c r="E83" s="44">
        <v>2</v>
      </c>
      <c r="F83" s="46" t="s">
        <v>399</v>
      </c>
      <c r="G83" s="32" t="s">
        <v>287</v>
      </c>
      <c r="H83" s="31" t="str">
        <f>IFERROR(INDEX('الإعدادات واللجنة'!$C$24:$C$32,MATCH(LEFT(A83,3),'الإعدادات واللجنة'!$A$24:$A$32,0)),"")</f>
        <v>د. احمد بن عوض البشري</v>
      </c>
      <c r="I83" s="33"/>
      <c r="J83" s="33"/>
      <c r="K83" s="31" t="str">
        <f t="shared" si="1"/>
        <v/>
      </c>
      <c r="L83" s="34"/>
      <c r="M83" s="33"/>
      <c r="N83" s="34"/>
      <c r="O83" s="34"/>
      <c r="P83" s="33"/>
      <c r="Q83" s="34"/>
    </row>
    <row r="84" spans="1:17" x14ac:dyDescent="0.2">
      <c r="A84" s="44" t="s">
        <v>396</v>
      </c>
      <c r="B84" s="45" t="s">
        <v>151</v>
      </c>
      <c r="C84" s="46"/>
      <c r="D84" s="47" t="s">
        <v>293</v>
      </c>
      <c r="E84" s="44">
        <v>3</v>
      </c>
      <c r="F84" s="46" t="s">
        <v>400</v>
      </c>
      <c r="G84" s="32" t="s">
        <v>287</v>
      </c>
      <c r="H84" s="31" t="str">
        <f>IFERROR(INDEX('الإعدادات واللجنة'!$C$24:$C$32,MATCH(LEFT(A84,3),'الإعدادات واللجنة'!$A$24:$A$32,0)),"")</f>
        <v>د. احمد بن عوض البشري</v>
      </c>
      <c r="I84" s="33"/>
      <c r="J84" s="33"/>
      <c r="K84" s="31" t="str">
        <f t="shared" si="1"/>
        <v/>
      </c>
      <c r="L84" s="34"/>
      <c r="M84" s="33"/>
      <c r="N84" s="34"/>
      <c r="O84" s="34"/>
      <c r="P84" s="33"/>
      <c r="Q84" s="34"/>
    </row>
    <row r="85" spans="1:17" ht="26" x14ac:dyDescent="0.2">
      <c r="A85" s="44" t="s">
        <v>396</v>
      </c>
      <c r="B85" s="45" t="s">
        <v>151</v>
      </c>
      <c r="C85" s="46"/>
      <c r="D85" s="47" t="s">
        <v>293</v>
      </c>
      <c r="E85" s="44">
        <v>4</v>
      </c>
      <c r="F85" s="46" t="s">
        <v>401</v>
      </c>
      <c r="G85" s="32" t="s">
        <v>287</v>
      </c>
      <c r="H85" s="31" t="str">
        <f>IFERROR(INDEX('الإعدادات واللجنة'!$C$24:$C$32,MATCH(LEFT(A85,3),'الإعدادات واللجنة'!$A$24:$A$32,0)),"")</f>
        <v>د. احمد بن عوض البشري</v>
      </c>
      <c r="I85" s="33"/>
      <c r="J85" s="33"/>
      <c r="K85" s="31" t="str">
        <f t="shared" si="1"/>
        <v/>
      </c>
      <c r="L85" s="34"/>
      <c r="M85" s="33"/>
      <c r="N85" s="34"/>
      <c r="O85" s="34"/>
      <c r="P85" s="33"/>
      <c r="Q85" s="34"/>
    </row>
    <row r="86" spans="1:17" ht="26" x14ac:dyDescent="0.2">
      <c r="A86" s="44" t="s">
        <v>396</v>
      </c>
      <c r="B86" s="45" t="s">
        <v>151</v>
      </c>
      <c r="C86" s="46"/>
      <c r="D86" s="47" t="s">
        <v>293</v>
      </c>
      <c r="E86" s="44">
        <v>5</v>
      </c>
      <c r="F86" s="46" t="s">
        <v>402</v>
      </c>
      <c r="G86" s="32" t="s">
        <v>287</v>
      </c>
      <c r="H86" s="31" t="str">
        <f>IFERROR(INDEX('الإعدادات واللجنة'!$C$24:$C$32,MATCH(LEFT(A86,3),'الإعدادات واللجنة'!$A$24:$A$32,0)),"")</f>
        <v>د. احمد بن عوض البشري</v>
      </c>
      <c r="I86" s="33"/>
      <c r="J86" s="33"/>
      <c r="K86" s="31" t="str">
        <f t="shared" si="1"/>
        <v/>
      </c>
      <c r="L86" s="34"/>
      <c r="M86" s="33"/>
      <c r="N86" s="34"/>
      <c r="O86" s="34"/>
      <c r="P86" s="33"/>
      <c r="Q86" s="34"/>
    </row>
    <row r="87" spans="1:17" ht="26" x14ac:dyDescent="0.2">
      <c r="A87" s="44" t="s">
        <v>396</v>
      </c>
      <c r="B87" s="45" t="s">
        <v>151</v>
      </c>
      <c r="C87" s="46"/>
      <c r="D87" s="47" t="s">
        <v>293</v>
      </c>
      <c r="E87" s="44">
        <v>6</v>
      </c>
      <c r="F87" s="46" t="s">
        <v>403</v>
      </c>
      <c r="G87" s="32" t="s">
        <v>287</v>
      </c>
      <c r="H87" s="31" t="str">
        <f>IFERROR(INDEX('الإعدادات واللجنة'!$C$24:$C$32,MATCH(LEFT(A87,3),'الإعدادات واللجنة'!$A$24:$A$32,0)),"")</f>
        <v>د. احمد بن عوض البشري</v>
      </c>
      <c r="I87" s="33"/>
      <c r="J87" s="33"/>
      <c r="K87" s="31" t="str">
        <f t="shared" si="1"/>
        <v/>
      </c>
      <c r="L87" s="34"/>
      <c r="M87" s="33"/>
      <c r="N87" s="34"/>
      <c r="O87" s="34"/>
      <c r="P87" s="33"/>
      <c r="Q87" s="34"/>
    </row>
    <row r="88" spans="1:17" ht="39" x14ac:dyDescent="0.2">
      <c r="A88" s="35" t="s">
        <v>404</v>
      </c>
      <c r="B88" s="36" t="s">
        <v>151</v>
      </c>
      <c r="C88" s="37" t="s">
        <v>405</v>
      </c>
      <c r="D88" s="38" t="s">
        <v>293</v>
      </c>
      <c r="E88" s="39">
        <v>1</v>
      </c>
      <c r="F88" s="37" t="s">
        <v>406</v>
      </c>
      <c r="G88" s="40" t="s">
        <v>287</v>
      </c>
      <c r="H88" s="41" t="str">
        <f>IFERROR(INDEX('الإعدادات واللجنة'!$C$24:$C$32,MATCH(LEFT(A88,3),'الإعدادات واللجنة'!$A$24:$A$32,0)),"")</f>
        <v>د. احمد بن عوض البشري</v>
      </c>
      <c r="I88" s="42"/>
      <c r="J88" s="42"/>
      <c r="K88" s="41" t="str">
        <f t="shared" si="1"/>
        <v/>
      </c>
      <c r="L88" s="43"/>
      <c r="M88" s="42"/>
      <c r="N88" s="43"/>
      <c r="O88" s="43"/>
      <c r="P88" s="42"/>
      <c r="Q88" s="43"/>
    </row>
    <row r="89" spans="1:17" ht="26" x14ac:dyDescent="0.2">
      <c r="A89" s="44" t="s">
        <v>404</v>
      </c>
      <c r="B89" s="45" t="s">
        <v>151</v>
      </c>
      <c r="C89" s="46"/>
      <c r="D89" s="47" t="s">
        <v>293</v>
      </c>
      <c r="E89" s="44">
        <v>2</v>
      </c>
      <c r="F89" s="46" t="s">
        <v>407</v>
      </c>
      <c r="G89" s="32" t="s">
        <v>287</v>
      </c>
      <c r="H89" s="31" t="str">
        <f>IFERROR(INDEX('الإعدادات واللجنة'!$C$24:$C$32,MATCH(LEFT(A89,3),'الإعدادات واللجنة'!$A$24:$A$32,0)),"")</f>
        <v>د. احمد بن عوض البشري</v>
      </c>
      <c r="I89" s="33"/>
      <c r="J89" s="33"/>
      <c r="K89" s="31" t="str">
        <f t="shared" si="1"/>
        <v/>
      </c>
      <c r="L89" s="34"/>
      <c r="M89" s="33"/>
      <c r="N89" s="34"/>
      <c r="O89" s="34"/>
      <c r="P89" s="33"/>
      <c r="Q89" s="34"/>
    </row>
    <row r="90" spans="1:17" ht="26" x14ac:dyDescent="0.2">
      <c r="A90" s="44" t="s">
        <v>404</v>
      </c>
      <c r="B90" s="45" t="s">
        <v>151</v>
      </c>
      <c r="C90" s="46"/>
      <c r="D90" s="47" t="s">
        <v>293</v>
      </c>
      <c r="E90" s="44">
        <v>3</v>
      </c>
      <c r="F90" s="46" t="s">
        <v>401</v>
      </c>
      <c r="G90" s="32" t="s">
        <v>287</v>
      </c>
      <c r="H90" s="31" t="str">
        <f>IFERROR(INDEX('الإعدادات واللجنة'!$C$24:$C$32,MATCH(LEFT(A90,3),'الإعدادات واللجنة'!$A$24:$A$32,0)),"")</f>
        <v>د. احمد بن عوض البشري</v>
      </c>
      <c r="I90" s="33"/>
      <c r="J90" s="33"/>
      <c r="K90" s="31" t="str">
        <f t="shared" si="1"/>
        <v/>
      </c>
      <c r="L90" s="34"/>
      <c r="M90" s="33"/>
      <c r="N90" s="34"/>
      <c r="O90" s="34"/>
      <c r="P90" s="33"/>
      <c r="Q90" s="34"/>
    </row>
    <row r="91" spans="1:17" x14ac:dyDescent="0.2">
      <c r="A91" s="44" t="s">
        <v>404</v>
      </c>
      <c r="B91" s="45" t="s">
        <v>151</v>
      </c>
      <c r="C91" s="46"/>
      <c r="D91" s="47" t="s">
        <v>293</v>
      </c>
      <c r="E91" s="44">
        <v>4</v>
      </c>
      <c r="F91" s="46" t="s">
        <v>408</v>
      </c>
      <c r="G91" s="32" t="s">
        <v>287</v>
      </c>
      <c r="H91" s="31" t="str">
        <f>IFERROR(INDEX('الإعدادات واللجنة'!$C$24:$C$32,MATCH(LEFT(A91,3),'الإعدادات واللجنة'!$A$24:$A$32,0)),"")</f>
        <v>د. احمد بن عوض البشري</v>
      </c>
      <c r="I91" s="33"/>
      <c r="J91" s="33"/>
      <c r="K91" s="31" t="str">
        <f t="shared" si="1"/>
        <v/>
      </c>
      <c r="L91" s="34"/>
      <c r="M91" s="33"/>
      <c r="N91" s="34"/>
      <c r="O91" s="34"/>
      <c r="P91" s="33"/>
      <c r="Q91" s="34"/>
    </row>
    <row r="92" spans="1:17" ht="26" x14ac:dyDescent="0.2">
      <c r="A92" s="48" t="s">
        <v>409</v>
      </c>
      <c r="B92" s="49" t="s">
        <v>151</v>
      </c>
      <c r="C92" s="50" t="s">
        <v>410</v>
      </c>
      <c r="D92" s="51"/>
      <c r="E92" s="41">
        <v>1</v>
      </c>
      <c r="F92" s="50" t="s">
        <v>411</v>
      </c>
      <c r="G92" s="40" t="s">
        <v>287</v>
      </c>
      <c r="H92" s="41" t="str">
        <f>IFERROR(INDEX('الإعدادات واللجنة'!$C$24:$C$32,MATCH(LEFT(A92,3),'الإعدادات واللجنة'!$A$24:$A$32,0)),"")</f>
        <v>د. احمد بن عوض البشري</v>
      </c>
      <c r="I92" s="42"/>
      <c r="J92" s="42"/>
      <c r="K92" s="41" t="str">
        <f t="shared" si="1"/>
        <v/>
      </c>
      <c r="L92" s="43"/>
      <c r="M92" s="42"/>
      <c r="N92" s="43"/>
      <c r="O92" s="43"/>
      <c r="P92" s="42"/>
      <c r="Q92" s="43"/>
    </row>
    <row r="93" spans="1:17" x14ac:dyDescent="0.2">
      <c r="A93" s="31" t="s">
        <v>409</v>
      </c>
      <c r="B93" s="28" t="s">
        <v>151</v>
      </c>
      <c r="C93" s="29"/>
      <c r="D93" s="30"/>
      <c r="E93" s="31">
        <v>2</v>
      </c>
      <c r="F93" s="29" t="s">
        <v>412</v>
      </c>
      <c r="G93" s="32" t="s">
        <v>287</v>
      </c>
      <c r="H93" s="31" t="str">
        <f>IFERROR(INDEX('الإعدادات واللجنة'!$C$24:$C$32,MATCH(LEFT(A93,3),'الإعدادات واللجنة'!$A$24:$A$32,0)),"")</f>
        <v>د. احمد بن عوض البشري</v>
      </c>
      <c r="I93" s="33"/>
      <c r="J93" s="33"/>
      <c r="K93" s="31" t="str">
        <f t="shared" si="1"/>
        <v/>
      </c>
      <c r="L93" s="34"/>
      <c r="M93" s="33"/>
      <c r="N93" s="34"/>
      <c r="O93" s="34"/>
      <c r="P93" s="33"/>
      <c r="Q93" s="34"/>
    </row>
    <row r="94" spans="1:17" x14ac:dyDescent="0.2">
      <c r="A94" s="31" t="s">
        <v>409</v>
      </c>
      <c r="B94" s="28" t="s">
        <v>151</v>
      </c>
      <c r="C94" s="29"/>
      <c r="D94" s="30"/>
      <c r="E94" s="31">
        <v>3</v>
      </c>
      <c r="F94" s="29" t="s">
        <v>413</v>
      </c>
      <c r="G94" s="32" t="s">
        <v>287</v>
      </c>
      <c r="H94" s="31" t="str">
        <f>IFERROR(INDEX('الإعدادات واللجنة'!$C$24:$C$32,MATCH(LEFT(A94,3),'الإعدادات واللجنة'!$A$24:$A$32,0)),"")</f>
        <v>د. احمد بن عوض البشري</v>
      </c>
      <c r="I94" s="33"/>
      <c r="J94" s="33"/>
      <c r="K94" s="31" t="str">
        <f t="shared" si="1"/>
        <v/>
      </c>
      <c r="L94" s="34"/>
      <c r="M94" s="33"/>
      <c r="N94" s="34"/>
      <c r="O94" s="34"/>
      <c r="P94" s="33"/>
      <c r="Q94" s="34"/>
    </row>
    <row r="95" spans="1:17" x14ac:dyDescent="0.2">
      <c r="A95" s="31" t="s">
        <v>409</v>
      </c>
      <c r="B95" s="28" t="s">
        <v>151</v>
      </c>
      <c r="C95" s="29"/>
      <c r="D95" s="30"/>
      <c r="E95" s="31">
        <v>4</v>
      </c>
      <c r="F95" s="29" t="s">
        <v>414</v>
      </c>
      <c r="G95" s="32" t="s">
        <v>287</v>
      </c>
      <c r="H95" s="31" t="str">
        <f>IFERROR(INDEX('الإعدادات واللجنة'!$C$24:$C$32,MATCH(LEFT(A95,3),'الإعدادات واللجنة'!$A$24:$A$32,0)),"")</f>
        <v>د. احمد بن عوض البشري</v>
      </c>
      <c r="I95" s="33"/>
      <c r="J95" s="33"/>
      <c r="K95" s="31" t="str">
        <f t="shared" si="1"/>
        <v/>
      </c>
      <c r="L95" s="34"/>
      <c r="M95" s="33"/>
      <c r="N95" s="34"/>
      <c r="O95" s="34"/>
      <c r="P95" s="33"/>
      <c r="Q95" s="34"/>
    </row>
    <row r="96" spans="1:17" ht="26" x14ac:dyDescent="0.2">
      <c r="A96" s="48" t="s">
        <v>415</v>
      </c>
      <c r="B96" s="49" t="s">
        <v>151</v>
      </c>
      <c r="C96" s="50" t="s">
        <v>416</v>
      </c>
      <c r="D96" s="51"/>
      <c r="E96" s="41">
        <v>1</v>
      </c>
      <c r="F96" s="50" t="s">
        <v>399</v>
      </c>
      <c r="G96" s="40" t="s">
        <v>287</v>
      </c>
      <c r="H96" s="41" t="str">
        <f>IFERROR(INDEX('الإعدادات واللجنة'!$C$24:$C$32,MATCH(LEFT(A96,3),'الإعدادات واللجنة'!$A$24:$A$32,0)),"")</f>
        <v>د. احمد بن عوض البشري</v>
      </c>
      <c r="I96" s="42"/>
      <c r="J96" s="42"/>
      <c r="K96" s="41" t="str">
        <f t="shared" si="1"/>
        <v/>
      </c>
      <c r="L96" s="43"/>
      <c r="M96" s="42"/>
      <c r="N96" s="43"/>
      <c r="O96" s="43"/>
      <c r="P96" s="42"/>
      <c r="Q96" s="43"/>
    </row>
    <row r="97" spans="1:17" x14ac:dyDescent="0.2">
      <c r="A97" s="31" t="s">
        <v>415</v>
      </c>
      <c r="B97" s="28" t="s">
        <v>151</v>
      </c>
      <c r="C97" s="29"/>
      <c r="D97" s="30"/>
      <c r="E97" s="31">
        <v>2</v>
      </c>
      <c r="F97" s="29" t="s">
        <v>417</v>
      </c>
      <c r="G97" s="32" t="s">
        <v>287</v>
      </c>
      <c r="H97" s="31" t="str">
        <f>IFERROR(INDEX('الإعدادات واللجنة'!$C$24:$C$32,MATCH(LEFT(A97,3),'الإعدادات واللجنة'!$A$24:$A$32,0)),"")</f>
        <v>د. احمد بن عوض البشري</v>
      </c>
      <c r="I97" s="33"/>
      <c r="J97" s="33"/>
      <c r="K97" s="31" t="str">
        <f t="shared" si="1"/>
        <v/>
      </c>
      <c r="L97" s="34"/>
      <c r="M97" s="33"/>
      <c r="N97" s="34"/>
      <c r="O97" s="34"/>
      <c r="P97" s="33"/>
      <c r="Q97" s="34"/>
    </row>
    <row r="98" spans="1:17" x14ac:dyDescent="0.2">
      <c r="A98" s="31" t="s">
        <v>415</v>
      </c>
      <c r="B98" s="28" t="s">
        <v>151</v>
      </c>
      <c r="C98" s="29"/>
      <c r="D98" s="30"/>
      <c r="E98" s="31">
        <v>3</v>
      </c>
      <c r="F98" s="29" t="s">
        <v>418</v>
      </c>
      <c r="G98" s="32" t="s">
        <v>287</v>
      </c>
      <c r="H98" s="31" t="str">
        <f>IFERROR(INDEX('الإعدادات واللجنة'!$C$24:$C$32,MATCH(LEFT(A98,3),'الإعدادات واللجنة'!$A$24:$A$32,0)),"")</f>
        <v>د. احمد بن عوض البشري</v>
      </c>
      <c r="I98" s="33"/>
      <c r="J98" s="33"/>
      <c r="K98" s="31" t="str">
        <f t="shared" si="1"/>
        <v/>
      </c>
      <c r="L98" s="34"/>
      <c r="M98" s="33"/>
      <c r="N98" s="34"/>
      <c r="O98" s="34"/>
      <c r="P98" s="33"/>
      <c r="Q98" s="34"/>
    </row>
    <row r="99" spans="1:17" ht="39" x14ac:dyDescent="0.2">
      <c r="A99" s="31" t="s">
        <v>415</v>
      </c>
      <c r="B99" s="28" t="s">
        <v>151</v>
      </c>
      <c r="C99" s="29"/>
      <c r="D99" s="30"/>
      <c r="E99" s="31">
        <v>4</v>
      </c>
      <c r="F99" s="29" t="s">
        <v>419</v>
      </c>
      <c r="G99" s="32" t="s">
        <v>287</v>
      </c>
      <c r="H99" s="31" t="str">
        <f>IFERROR(INDEX('الإعدادات واللجنة'!$C$24:$C$32,MATCH(LEFT(A99,3),'الإعدادات واللجنة'!$A$24:$A$32,0)),"")</f>
        <v>د. احمد بن عوض البشري</v>
      </c>
      <c r="I99" s="33"/>
      <c r="J99" s="33"/>
      <c r="K99" s="31" t="str">
        <f t="shared" si="1"/>
        <v/>
      </c>
      <c r="L99" s="34"/>
      <c r="M99" s="33"/>
      <c r="N99" s="34"/>
      <c r="O99" s="34"/>
      <c r="P99" s="33"/>
      <c r="Q99" s="34"/>
    </row>
    <row r="100" spans="1:17" ht="39" x14ac:dyDescent="0.2">
      <c r="A100" s="48" t="s">
        <v>420</v>
      </c>
      <c r="B100" s="49" t="s">
        <v>151</v>
      </c>
      <c r="C100" s="50" t="s">
        <v>421</v>
      </c>
      <c r="D100" s="51"/>
      <c r="E100" s="41">
        <v>1</v>
      </c>
      <c r="F100" s="50" t="s">
        <v>422</v>
      </c>
      <c r="G100" s="40" t="s">
        <v>287</v>
      </c>
      <c r="H100" s="41" t="str">
        <f>IFERROR(INDEX('الإعدادات واللجنة'!$C$24:$C$32,MATCH(LEFT(A100,3),'الإعدادات واللجنة'!$A$24:$A$32,0)),"")</f>
        <v>د. احمد بن عوض البشري</v>
      </c>
      <c r="I100" s="42"/>
      <c r="J100" s="42"/>
      <c r="K100" s="41" t="str">
        <f t="shared" si="1"/>
        <v/>
      </c>
      <c r="L100" s="43"/>
      <c r="M100" s="42"/>
      <c r="N100" s="43"/>
      <c r="O100" s="43"/>
      <c r="P100" s="42"/>
      <c r="Q100" s="43"/>
    </row>
    <row r="101" spans="1:17" x14ac:dyDescent="0.2">
      <c r="A101" s="31" t="s">
        <v>420</v>
      </c>
      <c r="B101" s="28" t="s">
        <v>151</v>
      </c>
      <c r="C101" s="29"/>
      <c r="D101" s="30"/>
      <c r="E101" s="31">
        <v>2</v>
      </c>
      <c r="F101" s="29" t="s">
        <v>423</v>
      </c>
      <c r="G101" s="32" t="s">
        <v>287</v>
      </c>
      <c r="H101" s="31" t="str">
        <f>IFERROR(INDEX('الإعدادات واللجنة'!$C$24:$C$32,MATCH(LEFT(A101,3),'الإعدادات واللجنة'!$A$24:$A$32,0)),"")</f>
        <v>د. احمد بن عوض البشري</v>
      </c>
      <c r="I101" s="33"/>
      <c r="J101" s="33"/>
      <c r="K101" s="31" t="str">
        <f t="shared" si="1"/>
        <v/>
      </c>
      <c r="L101" s="34"/>
      <c r="M101" s="33"/>
      <c r="N101" s="34"/>
      <c r="O101" s="34"/>
      <c r="P101" s="33"/>
      <c r="Q101" s="34"/>
    </row>
    <row r="102" spans="1:17" ht="26" x14ac:dyDescent="0.2">
      <c r="A102" s="48" t="s">
        <v>424</v>
      </c>
      <c r="B102" s="49" t="s">
        <v>151</v>
      </c>
      <c r="C102" s="50" t="s">
        <v>425</v>
      </c>
      <c r="D102" s="51"/>
      <c r="E102" s="41">
        <v>1</v>
      </c>
      <c r="F102" s="50" t="s">
        <v>426</v>
      </c>
      <c r="G102" s="40" t="s">
        <v>287</v>
      </c>
      <c r="H102" s="41" t="str">
        <f>IFERROR(INDEX('الإعدادات واللجنة'!$C$24:$C$32,MATCH(LEFT(A102,3),'الإعدادات واللجنة'!$A$24:$A$32,0)),"")</f>
        <v>د. احمد بن عوض البشري</v>
      </c>
      <c r="I102" s="42"/>
      <c r="J102" s="42"/>
      <c r="K102" s="41" t="str">
        <f t="shared" si="1"/>
        <v/>
      </c>
      <c r="L102" s="43"/>
      <c r="M102" s="42"/>
      <c r="N102" s="43"/>
      <c r="O102" s="43"/>
      <c r="P102" s="42"/>
      <c r="Q102" s="43"/>
    </row>
    <row r="103" spans="1:17" x14ac:dyDescent="0.2">
      <c r="A103" s="31" t="s">
        <v>424</v>
      </c>
      <c r="B103" s="28" t="s">
        <v>151</v>
      </c>
      <c r="C103" s="29"/>
      <c r="D103" s="30"/>
      <c r="E103" s="31">
        <v>2</v>
      </c>
      <c r="F103" s="29" t="s">
        <v>427</v>
      </c>
      <c r="G103" s="32" t="s">
        <v>287</v>
      </c>
      <c r="H103" s="31" t="str">
        <f>IFERROR(INDEX('الإعدادات واللجنة'!$C$24:$C$32,MATCH(LEFT(A103,3),'الإعدادات واللجنة'!$A$24:$A$32,0)),"")</f>
        <v>د. احمد بن عوض البشري</v>
      </c>
      <c r="I103" s="33"/>
      <c r="J103" s="33"/>
      <c r="K103" s="31" t="str">
        <f t="shared" si="1"/>
        <v/>
      </c>
      <c r="L103" s="34"/>
      <c r="M103" s="33"/>
      <c r="N103" s="34"/>
      <c r="O103" s="34"/>
      <c r="P103" s="33"/>
      <c r="Q103" s="34"/>
    </row>
    <row r="104" spans="1:17" x14ac:dyDescent="0.2">
      <c r="A104" s="31" t="s">
        <v>424</v>
      </c>
      <c r="B104" s="28" t="s">
        <v>151</v>
      </c>
      <c r="C104" s="29"/>
      <c r="D104" s="30"/>
      <c r="E104" s="31">
        <v>3</v>
      </c>
      <c r="F104" s="29" t="s">
        <v>428</v>
      </c>
      <c r="G104" s="32" t="s">
        <v>287</v>
      </c>
      <c r="H104" s="31" t="str">
        <f>IFERROR(INDEX('الإعدادات واللجنة'!$C$24:$C$32,MATCH(LEFT(A104,3),'الإعدادات واللجنة'!$A$24:$A$32,0)),"")</f>
        <v>د. احمد بن عوض البشري</v>
      </c>
      <c r="I104" s="33"/>
      <c r="J104" s="33"/>
      <c r="K104" s="31" t="str">
        <f t="shared" si="1"/>
        <v/>
      </c>
      <c r="L104" s="34"/>
      <c r="M104" s="33"/>
      <c r="N104" s="34"/>
      <c r="O104" s="34"/>
      <c r="P104" s="33"/>
      <c r="Q104" s="34"/>
    </row>
    <row r="105" spans="1:17" ht="26" x14ac:dyDescent="0.2">
      <c r="A105" s="35" t="s">
        <v>429</v>
      </c>
      <c r="B105" s="36" t="s">
        <v>151</v>
      </c>
      <c r="C105" s="37" t="s">
        <v>430</v>
      </c>
      <c r="D105" s="38" t="s">
        <v>293</v>
      </c>
      <c r="E105" s="39">
        <v>1</v>
      </c>
      <c r="F105" s="37" t="s">
        <v>431</v>
      </c>
      <c r="G105" s="40" t="s">
        <v>287</v>
      </c>
      <c r="H105" s="41" t="str">
        <f>IFERROR(INDEX('الإعدادات واللجنة'!$C$24:$C$32,MATCH(LEFT(A105,3),'الإعدادات واللجنة'!$A$24:$A$32,0)),"")</f>
        <v>د. احمد بن عوض البشري</v>
      </c>
      <c r="I105" s="42"/>
      <c r="J105" s="42"/>
      <c r="K105" s="41" t="str">
        <f t="shared" si="1"/>
        <v/>
      </c>
      <c r="L105" s="43"/>
      <c r="M105" s="42"/>
      <c r="N105" s="43"/>
      <c r="O105" s="43"/>
      <c r="P105" s="42"/>
      <c r="Q105" s="43"/>
    </row>
    <row r="106" spans="1:17" ht="26" x14ac:dyDescent="0.2">
      <c r="A106" s="44" t="s">
        <v>429</v>
      </c>
      <c r="B106" s="45" t="s">
        <v>151</v>
      </c>
      <c r="C106" s="46"/>
      <c r="D106" s="47" t="s">
        <v>293</v>
      </c>
      <c r="E106" s="44">
        <v>2</v>
      </c>
      <c r="F106" s="46" t="s">
        <v>432</v>
      </c>
      <c r="G106" s="32" t="s">
        <v>287</v>
      </c>
      <c r="H106" s="31" t="str">
        <f>IFERROR(INDEX('الإعدادات واللجنة'!$C$24:$C$32,MATCH(LEFT(A106,3),'الإعدادات واللجنة'!$A$24:$A$32,0)),"")</f>
        <v>د. احمد بن عوض البشري</v>
      </c>
      <c r="I106" s="33"/>
      <c r="J106" s="33"/>
      <c r="K106" s="31" t="str">
        <f t="shared" si="1"/>
        <v/>
      </c>
      <c r="L106" s="34"/>
      <c r="M106" s="33"/>
      <c r="N106" s="34"/>
      <c r="O106" s="34"/>
      <c r="P106" s="33"/>
      <c r="Q106" s="34"/>
    </row>
    <row r="107" spans="1:17" ht="39" x14ac:dyDescent="0.2">
      <c r="A107" s="35" t="s">
        <v>433</v>
      </c>
      <c r="B107" s="36" t="s">
        <v>151</v>
      </c>
      <c r="C107" s="37" t="s">
        <v>434</v>
      </c>
      <c r="D107" s="38" t="s">
        <v>293</v>
      </c>
      <c r="E107" s="39">
        <v>1</v>
      </c>
      <c r="F107" s="37" t="s">
        <v>435</v>
      </c>
      <c r="G107" s="40" t="s">
        <v>287</v>
      </c>
      <c r="H107" s="41" t="str">
        <f>IFERROR(INDEX('الإعدادات واللجنة'!$C$24:$C$32,MATCH(LEFT(A107,3),'الإعدادات واللجنة'!$A$24:$A$32,0)),"")</f>
        <v>د. يثرب بنت سعد القحطاني</v>
      </c>
      <c r="I107" s="42"/>
      <c r="J107" s="42"/>
      <c r="K107" s="41" t="str">
        <f t="shared" si="1"/>
        <v/>
      </c>
      <c r="L107" s="43"/>
      <c r="M107" s="42"/>
      <c r="N107" s="43"/>
      <c r="O107" s="43"/>
      <c r="P107" s="42"/>
      <c r="Q107" s="43"/>
    </row>
    <row r="108" spans="1:17" x14ac:dyDescent="0.2">
      <c r="A108" s="44" t="s">
        <v>433</v>
      </c>
      <c r="B108" s="45" t="s">
        <v>151</v>
      </c>
      <c r="C108" s="46"/>
      <c r="D108" s="47" t="s">
        <v>293</v>
      </c>
      <c r="E108" s="44">
        <v>2</v>
      </c>
      <c r="F108" s="46" t="s">
        <v>436</v>
      </c>
      <c r="G108" s="32" t="s">
        <v>287</v>
      </c>
      <c r="H108" s="31" t="str">
        <f>IFERROR(INDEX('الإعدادات واللجنة'!$C$24:$C$32,MATCH(LEFT(A108,3),'الإعدادات واللجنة'!$A$24:$A$32,0)),"")</f>
        <v>د. يثرب بنت سعد القحطاني</v>
      </c>
      <c r="I108" s="33"/>
      <c r="J108" s="33"/>
      <c r="K108" s="31" t="str">
        <f t="shared" si="1"/>
        <v/>
      </c>
      <c r="L108" s="34"/>
      <c r="M108" s="33"/>
      <c r="N108" s="34"/>
      <c r="O108" s="34"/>
      <c r="P108" s="33"/>
      <c r="Q108" s="34"/>
    </row>
    <row r="109" spans="1:17" ht="26" x14ac:dyDescent="0.2">
      <c r="A109" s="44" t="s">
        <v>433</v>
      </c>
      <c r="B109" s="45" t="s">
        <v>151</v>
      </c>
      <c r="C109" s="46"/>
      <c r="D109" s="47" t="s">
        <v>293</v>
      </c>
      <c r="E109" s="44">
        <v>3</v>
      </c>
      <c r="F109" s="46" t="s">
        <v>437</v>
      </c>
      <c r="G109" s="32" t="s">
        <v>287</v>
      </c>
      <c r="H109" s="31" t="str">
        <f>IFERROR(INDEX('الإعدادات واللجنة'!$C$24:$C$32,MATCH(LEFT(A109,3),'الإعدادات واللجنة'!$A$24:$A$32,0)),"")</f>
        <v>د. يثرب بنت سعد القحطاني</v>
      </c>
      <c r="I109" s="33"/>
      <c r="J109" s="33"/>
      <c r="K109" s="31" t="str">
        <f t="shared" si="1"/>
        <v/>
      </c>
      <c r="L109" s="34"/>
      <c r="M109" s="33"/>
      <c r="N109" s="34"/>
      <c r="O109" s="34"/>
      <c r="P109" s="33"/>
      <c r="Q109" s="34"/>
    </row>
    <row r="110" spans="1:17" ht="26" x14ac:dyDescent="0.2">
      <c r="A110" s="44" t="s">
        <v>433</v>
      </c>
      <c r="B110" s="45" t="s">
        <v>151</v>
      </c>
      <c r="C110" s="46"/>
      <c r="D110" s="47" t="s">
        <v>293</v>
      </c>
      <c r="E110" s="44">
        <v>4</v>
      </c>
      <c r="F110" s="46" t="s">
        <v>438</v>
      </c>
      <c r="G110" s="32" t="s">
        <v>287</v>
      </c>
      <c r="H110" s="31" t="str">
        <f>IFERROR(INDEX('الإعدادات واللجنة'!$C$24:$C$32,MATCH(LEFT(A110,3),'الإعدادات واللجنة'!$A$24:$A$32,0)),"")</f>
        <v>د. يثرب بنت سعد القحطاني</v>
      </c>
      <c r="I110" s="33"/>
      <c r="J110" s="33"/>
      <c r="K110" s="31" t="str">
        <f t="shared" si="1"/>
        <v/>
      </c>
      <c r="L110" s="34"/>
      <c r="M110" s="33"/>
      <c r="N110" s="34"/>
      <c r="O110" s="34"/>
      <c r="P110" s="33"/>
      <c r="Q110" s="34"/>
    </row>
    <row r="111" spans="1:17" ht="26" x14ac:dyDescent="0.2">
      <c r="A111" s="44" t="s">
        <v>433</v>
      </c>
      <c r="B111" s="45" t="s">
        <v>151</v>
      </c>
      <c r="C111" s="46"/>
      <c r="D111" s="47" t="s">
        <v>293</v>
      </c>
      <c r="E111" s="44">
        <v>5</v>
      </c>
      <c r="F111" s="46" t="s">
        <v>439</v>
      </c>
      <c r="G111" s="32" t="s">
        <v>287</v>
      </c>
      <c r="H111" s="31" t="str">
        <f>IFERROR(INDEX('الإعدادات واللجنة'!$C$24:$C$32,MATCH(LEFT(A111,3),'الإعدادات واللجنة'!$A$24:$A$32,0)),"")</f>
        <v>د. يثرب بنت سعد القحطاني</v>
      </c>
      <c r="I111" s="33"/>
      <c r="J111" s="33"/>
      <c r="K111" s="31" t="str">
        <f t="shared" si="1"/>
        <v/>
      </c>
      <c r="L111" s="34"/>
      <c r="M111" s="33"/>
      <c r="N111" s="34"/>
      <c r="O111" s="34"/>
      <c r="P111" s="33"/>
      <c r="Q111" s="34"/>
    </row>
    <row r="112" spans="1:17" ht="39" x14ac:dyDescent="0.2">
      <c r="A112" s="48" t="s">
        <v>440</v>
      </c>
      <c r="B112" s="49" t="s">
        <v>151</v>
      </c>
      <c r="C112" s="50" t="s">
        <v>441</v>
      </c>
      <c r="D112" s="51"/>
      <c r="E112" s="41">
        <v>1</v>
      </c>
      <c r="F112" s="50" t="s">
        <v>442</v>
      </c>
      <c r="G112" s="40" t="s">
        <v>287</v>
      </c>
      <c r="H112" s="41" t="str">
        <f>IFERROR(INDEX('الإعدادات واللجنة'!$C$24:$C$32,MATCH(LEFT(A112,3),'الإعدادات واللجنة'!$A$24:$A$32,0)),"")</f>
        <v>د. يثرب بنت سعد القحطاني</v>
      </c>
      <c r="I112" s="42"/>
      <c r="J112" s="42"/>
      <c r="K112" s="41" t="str">
        <f t="shared" si="1"/>
        <v/>
      </c>
      <c r="L112" s="43"/>
      <c r="M112" s="42"/>
      <c r="N112" s="43"/>
      <c r="O112" s="43"/>
      <c r="P112" s="42"/>
      <c r="Q112" s="43"/>
    </row>
    <row r="113" spans="1:17" x14ac:dyDescent="0.2">
      <c r="A113" s="31" t="s">
        <v>440</v>
      </c>
      <c r="B113" s="28" t="s">
        <v>151</v>
      </c>
      <c r="C113" s="29"/>
      <c r="D113" s="30"/>
      <c r="E113" s="31">
        <v>2</v>
      </c>
      <c r="F113" s="29" t="s">
        <v>443</v>
      </c>
      <c r="G113" s="32" t="s">
        <v>287</v>
      </c>
      <c r="H113" s="31" t="str">
        <f>IFERROR(INDEX('الإعدادات واللجنة'!$C$24:$C$32,MATCH(LEFT(A113,3),'الإعدادات واللجنة'!$A$24:$A$32,0)),"")</f>
        <v>د. يثرب بنت سعد القحطاني</v>
      </c>
      <c r="I113" s="33"/>
      <c r="J113" s="33"/>
      <c r="K113" s="31" t="str">
        <f t="shared" si="1"/>
        <v/>
      </c>
      <c r="L113" s="34"/>
      <c r="M113" s="33"/>
      <c r="N113" s="34"/>
      <c r="O113" s="34"/>
      <c r="P113" s="33"/>
      <c r="Q113" s="34"/>
    </row>
    <row r="114" spans="1:17" x14ac:dyDescent="0.2">
      <c r="A114" s="31" t="s">
        <v>440</v>
      </c>
      <c r="B114" s="28" t="s">
        <v>151</v>
      </c>
      <c r="C114" s="29"/>
      <c r="D114" s="30"/>
      <c r="E114" s="31">
        <v>3</v>
      </c>
      <c r="F114" s="29" t="s">
        <v>444</v>
      </c>
      <c r="G114" s="32" t="s">
        <v>287</v>
      </c>
      <c r="H114" s="31" t="str">
        <f>IFERROR(INDEX('الإعدادات واللجنة'!$C$24:$C$32,MATCH(LEFT(A114,3),'الإعدادات واللجنة'!$A$24:$A$32,0)),"")</f>
        <v>د. يثرب بنت سعد القحطاني</v>
      </c>
      <c r="I114" s="33"/>
      <c r="J114" s="33"/>
      <c r="K114" s="31" t="str">
        <f t="shared" si="1"/>
        <v/>
      </c>
      <c r="L114" s="34"/>
      <c r="M114" s="33"/>
      <c r="N114" s="34"/>
      <c r="O114" s="34"/>
      <c r="P114" s="33"/>
      <c r="Q114" s="34"/>
    </row>
    <row r="115" spans="1:17" ht="26" x14ac:dyDescent="0.2">
      <c r="A115" s="31" t="s">
        <v>440</v>
      </c>
      <c r="B115" s="28" t="s">
        <v>151</v>
      </c>
      <c r="C115" s="29"/>
      <c r="D115" s="30"/>
      <c r="E115" s="31">
        <v>4</v>
      </c>
      <c r="F115" s="29" t="s">
        <v>445</v>
      </c>
      <c r="G115" s="32" t="s">
        <v>287</v>
      </c>
      <c r="H115" s="31" t="str">
        <f>IFERROR(INDEX('الإعدادات واللجنة'!$C$24:$C$32,MATCH(LEFT(A115,3),'الإعدادات واللجنة'!$A$24:$A$32,0)),"")</f>
        <v>د. يثرب بنت سعد القحطاني</v>
      </c>
      <c r="I115" s="33"/>
      <c r="J115" s="33"/>
      <c r="K115" s="31" t="str">
        <f t="shared" si="1"/>
        <v/>
      </c>
      <c r="L115" s="34"/>
      <c r="M115" s="33"/>
      <c r="N115" s="34"/>
      <c r="O115" s="34"/>
      <c r="P115" s="33"/>
      <c r="Q115" s="34"/>
    </row>
    <row r="116" spans="1:17" ht="39" x14ac:dyDescent="0.2">
      <c r="A116" s="48" t="s">
        <v>446</v>
      </c>
      <c r="B116" s="49" t="s">
        <v>151</v>
      </c>
      <c r="C116" s="50" t="s">
        <v>447</v>
      </c>
      <c r="D116" s="51"/>
      <c r="E116" s="41">
        <v>1</v>
      </c>
      <c r="F116" s="50" t="s">
        <v>448</v>
      </c>
      <c r="G116" s="40" t="s">
        <v>287</v>
      </c>
      <c r="H116" s="41" t="str">
        <f>IFERROR(INDEX('الإعدادات واللجنة'!$C$24:$C$32,MATCH(LEFT(A116,3),'الإعدادات واللجنة'!$A$24:$A$32,0)),"")</f>
        <v>د. يثرب بنت سعد القحطاني</v>
      </c>
      <c r="I116" s="42"/>
      <c r="J116" s="42"/>
      <c r="K116" s="41" t="str">
        <f t="shared" si="1"/>
        <v/>
      </c>
      <c r="L116" s="43"/>
      <c r="M116" s="42"/>
      <c r="N116" s="43"/>
      <c r="O116" s="43"/>
      <c r="P116" s="42"/>
      <c r="Q116" s="43"/>
    </row>
    <row r="117" spans="1:17" ht="39" x14ac:dyDescent="0.2">
      <c r="A117" s="31" t="s">
        <v>446</v>
      </c>
      <c r="B117" s="28" t="s">
        <v>151</v>
      </c>
      <c r="C117" s="29"/>
      <c r="D117" s="30"/>
      <c r="E117" s="31">
        <v>2</v>
      </c>
      <c r="F117" s="29" t="s">
        <v>449</v>
      </c>
      <c r="G117" s="32" t="s">
        <v>287</v>
      </c>
      <c r="H117" s="31" t="str">
        <f>IFERROR(INDEX('الإعدادات واللجنة'!$C$24:$C$32,MATCH(LEFT(A117,3),'الإعدادات واللجنة'!$A$24:$A$32,0)),"")</f>
        <v>د. يثرب بنت سعد القحطاني</v>
      </c>
      <c r="I117" s="33"/>
      <c r="J117" s="33"/>
      <c r="K117" s="31" t="str">
        <f t="shared" si="1"/>
        <v/>
      </c>
      <c r="L117" s="34"/>
      <c r="M117" s="33"/>
      <c r="N117" s="34"/>
      <c r="O117" s="34"/>
      <c r="P117" s="33"/>
      <c r="Q117" s="34"/>
    </row>
    <row r="118" spans="1:17" x14ac:dyDescent="0.2">
      <c r="A118" s="31" t="s">
        <v>446</v>
      </c>
      <c r="B118" s="28" t="s">
        <v>151</v>
      </c>
      <c r="C118" s="29"/>
      <c r="D118" s="30"/>
      <c r="E118" s="31">
        <v>3</v>
      </c>
      <c r="F118" s="29" t="s">
        <v>450</v>
      </c>
      <c r="G118" s="32" t="s">
        <v>287</v>
      </c>
      <c r="H118" s="31" t="str">
        <f>IFERROR(INDEX('الإعدادات واللجنة'!$C$24:$C$32,MATCH(LEFT(A118,3),'الإعدادات واللجنة'!$A$24:$A$32,0)),"")</f>
        <v>د. يثرب بنت سعد القحطاني</v>
      </c>
      <c r="I118" s="33"/>
      <c r="J118" s="33"/>
      <c r="K118" s="31" t="str">
        <f t="shared" si="1"/>
        <v/>
      </c>
      <c r="L118" s="34"/>
      <c r="M118" s="33"/>
      <c r="N118" s="34"/>
      <c r="O118" s="34"/>
      <c r="P118" s="33"/>
      <c r="Q118" s="34"/>
    </row>
    <row r="119" spans="1:17" ht="26" x14ac:dyDescent="0.2">
      <c r="A119" s="48" t="s">
        <v>451</v>
      </c>
      <c r="B119" s="49" t="s">
        <v>151</v>
      </c>
      <c r="C119" s="50" t="s">
        <v>452</v>
      </c>
      <c r="D119" s="51"/>
      <c r="E119" s="41">
        <v>1</v>
      </c>
      <c r="F119" s="50" t="s">
        <v>453</v>
      </c>
      <c r="G119" s="40" t="s">
        <v>287</v>
      </c>
      <c r="H119" s="41" t="str">
        <f>IFERROR(INDEX('الإعدادات واللجنة'!$C$24:$C$32,MATCH(LEFT(A119,3),'الإعدادات واللجنة'!$A$24:$A$32,0)),"")</f>
        <v>د. يثرب بنت سعد القحطاني</v>
      </c>
      <c r="I119" s="42"/>
      <c r="J119" s="42"/>
      <c r="K119" s="41" t="str">
        <f t="shared" si="1"/>
        <v/>
      </c>
      <c r="L119" s="43"/>
      <c r="M119" s="42"/>
      <c r="N119" s="43"/>
      <c r="O119" s="43"/>
      <c r="P119" s="42"/>
      <c r="Q119" s="43"/>
    </row>
    <row r="120" spans="1:17" ht="26" x14ac:dyDescent="0.2">
      <c r="A120" s="31" t="s">
        <v>451</v>
      </c>
      <c r="B120" s="28" t="s">
        <v>151</v>
      </c>
      <c r="C120" s="29"/>
      <c r="D120" s="30"/>
      <c r="E120" s="31">
        <v>2</v>
      </c>
      <c r="F120" s="29" t="s">
        <v>454</v>
      </c>
      <c r="G120" s="32" t="s">
        <v>287</v>
      </c>
      <c r="H120" s="31" t="str">
        <f>IFERROR(INDEX('الإعدادات واللجنة'!$C$24:$C$32,MATCH(LEFT(A120,3),'الإعدادات واللجنة'!$A$24:$A$32,0)),"")</f>
        <v>د. يثرب بنت سعد القحطاني</v>
      </c>
      <c r="I120" s="33"/>
      <c r="J120" s="33"/>
      <c r="K120" s="31" t="str">
        <f t="shared" si="1"/>
        <v/>
      </c>
      <c r="L120" s="34"/>
      <c r="M120" s="33"/>
      <c r="N120" s="34"/>
      <c r="O120" s="34"/>
      <c r="P120" s="33"/>
      <c r="Q120" s="34"/>
    </row>
    <row r="121" spans="1:17" ht="26" x14ac:dyDescent="0.2">
      <c r="A121" s="31" t="s">
        <v>451</v>
      </c>
      <c r="B121" s="28" t="s">
        <v>151</v>
      </c>
      <c r="C121" s="29"/>
      <c r="D121" s="30"/>
      <c r="E121" s="31">
        <v>3</v>
      </c>
      <c r="F121" s="29" t="s">
        <v>455</v>
      </c>
      <c r="G121" s="32" t="s">
        <v>287</v>
      </c>
      <c r="H121" s="31" t="str">
        <f>IFERROR(INDEX('الإعدادات واللجنة'!$C$24:$C$32,MATCH(LEFT(A121,3),'الإعدادات واللجنة'!$A$24:$A$32,0)),"")</f>
        <v>د. يثرب بنت سعد القحطاني</v>
      </c>
      <c r="I121" s="33"/>
      <c r="J121" s="33"/>
      <c r="K121" s="31" t="str">
        <f t="shared" si="1"/>
        <v/>
      </c>
      <c r="L121" s="34"/>
      <c r="M121" s="33"/>
      <c r="N121" s="34"/>
      <c r="O121" s="34"/>
      <c r="P121" s="33"/>
      <c r="Q121" s="34"/>
    </row>
    <row r="122" spans="1:17" ht="26" x14ac:dyDescent="0.2">
      <c r="A122" s="48" t="s">
        <v>456</v>
      </c>
      <c r="B122" s="49" t="s">
        <v>151</v>
      </c>
      <c r="C122" s="50" t="s">
        <v>457</v>
      </c>
      <c r="D122" s="51"/>
      <c r="E122" s="41">
        <v>1</v>
      </c>
      <c r="F122" s="50" t="s">
        <v>458</v>
      </c>
      <c r="G122" s="40" t="s">
        <v>287</v>
      </c>
      <c r="H122" s="41" t="str">
        <f>IFERROR(INDEX('الإعدادات واللجنة'!$C$24:$C$32,MATCH(LEFT(A122,3),'الإعدادات واللجنة'!$A$24:$A$32,0)),"")</f>
        <v>د. يثرب بنت سعد القحطاني</v>
      </c>
      <c r="I122" s="42"/>
      <c r="J122" s="42"/>
      <c r="K122" s="41" t="str">
        <f t="shared" si="1"/>
        <v/>
      </c>
      <c r="L122" s="43"/>
      <c r="M122" s="42"/>
      <c r="N122" s="43"/>
      <c r="O122" s="43"/>
      <c r="P122" s="42"/>
      <c r="Q122" s="43"/>
    </row>
    <row r="123" spans="1:17" x14ac:dyDescent="0.2">
      <c r="A123" s="31" t="s">
        <v>456</v>
      </c>
      <c r="B123" s="28" t="s">
        <v>151</v>
      </c>
      <c r="C123" s="29"/>
      <c r="D123" s="30"/>
      <c r="E123" s="31">
        <v>2</v>
      </c>
      <c r="F123" s="29" t="s">
        <v>459</v>
      </c>
      <c r="G123" s="32" t="s">
        <v>287</v>
      </c>
      <c r="H123" s="31" t="str">
        <f>IFERROR(INDEX('الإعدادات واللجنة'!$C$24:$C$32,MATCH(LEFT(A123,3),'الإعدادات واللجنة'!$A$24:$A$32,0)),"")</f>
        <v>د. يثرب بنت سعد القحطاني</v>
      </c>
      <c r="I123" s="33"/>
      <c r="J123" s="33"/>
      <c r="K123" s="31" t="str">
        <f t="shared" si="1"/>
        <v/>
      </c>
      <c r="L123" s="34"/>
      <c r="M123" s="33"/>
      <c r="N123" s="34"/>
      <c r="O123" s="34"/>
      <c r="P123" s="33"/>
      <c r="Q123" s="34"/>
    </row>
    <row r="124" spans="1:17" x14ac:dyDescent="0.2">
      <c r="A124" s="31" t="s">
        <v>456</v>
      </c>
      <c r="B124" s="28" t="s">
        <v>151</v>
      </c>
      <c r="C124" s="29"/>
      <c r="D124" s="30"/>
      <c r="E124" s="31">
        <v>3</v>
      </c>
      <c r="F124" s="29" t="s">
        <v>460</v>
      </c>
      <c r="G124" s="32" t="s">
        <v>287</v>
      </c>
      <c r="H124" s="31" t="str">
        <f>IFERROR(INDEX('الإعدادات واللجنة'!$C$24:$C$32,MATCH(LEFT(A124,3),'الإعدادات واللجنة'!$A$24:$A$32,0)),"")</f>
        <v>د. يثرب بنت سعد القحطاني</v>
      </c>
      <c r="I124" s="33"/>
      <c r="J124" s="33"/>
      <c r="K124" s="31" t="str">
        <f t="shared" si="1"/>
        <v/>
      </c>
      <c r="L124" s="34"/>
      <c r="M124" s="33"/>
      <c r="N124" s="34"/>
      <c r="O124" s="34"/>
      <c r="P124" s="33"/>
      <c r="Q124" s="34"/>
    </row>
    <row r="125" spans="1:17" x14ac:dyDescent="0.2">
      <c r="A125" s="31" t="s">
        <v>456</v>
      </c>
      <c r="B125" s="28" t="s">
        <v>151</v>
      </c>
      <c r="C125" s="29"/>
      <c r="D125" s="30"/>
      <c r="E125" s="31">
        <v>4</v>
      </c>
      <c r="F125" s="29" t="s">
        <v>461</v>
      </c>
      <c r="G125" s="32" t="s">
        <v>287</v>
      </c>
      <c r="H125" s="31" t="str">
        <f>IFERROR(INDEX('الإعدادات واللجنة'!$C$24:$C$32,MATCH(LEFT(A125,3),'الإعدادات واللجنة'!$A$24:$A$32,0)),"")</f>
        <v>د. يثرب بنت سعد القحطاني</v>
      </c>
      <c r="I125" s="33"/>
      <c r="J125" s="33"/>
      <c r="K125" s="31" t="str">
        <f t="shared" si="1"/>
        <v/>
      </c>
      <c r="L125" s="34"/>
      <c r="M125" s="33"/>
      <c r="N125" s="34"/>
      <c r="O125" s="34"/>
      <c r="P125" s="33"/>
      <c r="Q125" s="34"/>
    </row>
    <row r="126" spans="1:17" x14ac:dyDescent="0.2">
      <c r="A126" s="31" t="s">
        <v>456</v>
      </c>
      <c r="B126" s="28" t="s">
        <v>151</v>
      </c>
      <c r="C126" s="29"/>
      <c r="D126" s="30"/>
      <c r="E126" s="31">
        <v>5</v>
      </c>
      <c r="F126" s="29" t="s">
        <v>462</v>
      </c>
      <c r="G126" s="32" t="s">
        <v>287</v>
      </c>
      <c r="H126" s="31" t="str">
        <f>IFERROR(INDEX('الإعدادات واللجنة'!$C$24:$C$32,MATCH(LEFT(A126,3),'الإعدادات واللجنة'!$A$24:$A$32,0)),"")</f>
        <v>د. يثرب بنت سعد القحطاني</v>
      </c>
      <c r="I126" s="33"/>
      <c r="J126" s="33"/>
      <c r="K126" s="31" t="str">
        <f t="shared" si="1"/>
        <v/>
      </c>
      <c r="L126" s="34"/>
      <c r="M126" s="33"/>
      <c r="N126" s="34"/>
      <c r="O126" s="34"/>
      <c r="P126" s="33"/>
      <c r="Q126" s="34"/>
    </row>
    <row r="127" spans="1:17" ht="26" x14ac:dyDescent="0.2">
      <c r="A127" s="35" t="s">
        <v>463</v>
      </c>
      <c r="B127" s="36" t="s">
        <v>151</v>
      </c>
      <c r="C127" s="37" t="s">
        <v>464</v>
      </c>
      <c r="D127" s="38" t="s">
        <v>293</v>
      </c>
      <c r="E127" s="39">
        <v>1</v>
      </c>
      <c r="F127" s="37" t="s">
        <v>465</v>
      </c>
      <c r="G127" s="40" t="s">
        <v>287</v>
      </c>
      <c r="H127" s="41" t="str">
        <f>IFERROR(INDEX('الإعدادات واللجنة'!$C$24:$C$32,MATCH(LEFT(A127,3),'الإعدادات واللجنة'!$A$24:$A$32,0)),"")</f>
        <v>د. يثرب بنت سعد القحطاني</v>
      </c>
      <c r="I127" s="42"/>
      <c r="J127" s="42"/>
      <c r="K127" s="41" t="str">
        <f t="shared" si="1"/>
        <v/>
      </c>
      <c r="L127" s="43"/>
      <c r="M127" s="42"/>
      <c r="N127" s="43"/>
      <c r="O127" s="43"/>
      <c r="P127" s="42"/>
      <c r="Q127" s="43"/>
    </row>
    <row r="128" spans="1:17" x14ac:dyDescent="0.2">
      <c r="A128" s="44" t="s">
        <v>463</v>
      </c>
      <c r="B128" s="45" t="s">
        <v>151</v>
      </c>
      <c r="C128" s="46"/>
      <c r="D128" s="47" t="s">
        <v>293</v>
      </c>
      <c r="E128" s="44">
        <v>2</v>
      </c>
      <c r="F128" s="46" t="s">
        <v>466</v>
      </c>
      <c r="G128" s="32" t="s">
        <v>287</v>
      </c>
      <c r="H128" s="31" t="str">
        <f>IFERROR(INDEX('الإعدادات واللجنة'!$C$24:$C$32,MATCH(LEFT(A128,3),'الإعدادات واللجنة'!$A$24:$A$32,0)),"")</f>
        <v>د. يثرب بنت سعد القحطاني</v>
      </c>
      <c r="I128" s="33"/>
      <c r="J128" s="33"/>
      <c r="K128" s="31" t="str">
        <f t="shared" si="1"/>
        <v/>
      </c>
      <c r="L128" s="34"/>
      <c r="M128" s="33"/>
      <c r="N128" s="34"/>
      <c r="O128" s="34"/>
      <c r="P128" s="33"/>
      <c r="Q128" s="34"/>
    </row>
    <row r="129" spans="1:17" ht="26" x14ac:dyDescent="0.2">
      <c r="A129" s="44" t="s">
        <v>463</v>
      </c>
      <c r="B129" s="45" t="s">
        <v>151</v>
      </c>
      <c r="C129" s="46"/>
      <c r="D129" s="47" t="s">
        <v>293</v>
      </c>
      <c r="E129" s="44">
        <v>3</v>
      </c>
      <c r="F129" s="46" t="s">
        <v>467</v>
      </c>
      <c r="G129" s="32" t="s">
        <v>287</v>
      </c>
      <c r="H129" s="31" t="str">
        <f>IFERROR(INDEX('الإعدادات واللجنة'!$C$24:$C$32,MATCH(LEFT(A129,3),'الإعدادات واللجنة'!$A$24:$A$32,0)),"")</f>
        <v>د. يثرب بنت سعد القحطاني</v>
      </c>
      <c r="I129" s="33"/>
      <c r="J129" s="33"/>
      <c r="K129" s="31" t="str">
        <f t="shared" si="1"/>
        <v/>
      </c>
      <c r="L129" s="34"/>
      <c r="M129" s="33"/>
      <c r="N129" s="34"/>
      <c r="O129" s="34"/>
      <c r="P129" s="33"/>
      <c r="Q129" s="34"/>
    </row>
    <row r="130" spans="1:17" ht="26" x14ac:dyDescent="0.2">
      <c r="A130" s="44" t="s">
        <v>463</v>
      </c>
      <c r="B130" s="45" t="s">
        <v>151</v>
      </c>
      <c r="C130" s="46"/>
      <c r="D130" s="47" t="s">
        <v>293</v>
      </c>
      <c r="E130" s="44">
        <v>4</v>
      </c>
      <c r="F130" s="46" t="s">
        <v>468</v>
      </c>
      <c r="G130" s="32" t="s">
        <v>287</v>
      </c>
      <c r="H130" s="31" t="str">
        <f>IFERROR(INDEX('الإعدادات واللجنة'!$C$24:$C$32,MATCH(LEFT(A130,3),'الإعدادات واللجنة'!$A$24:$A$32,0)),"")</f>
        <v>د. يثرب بنت سعد القحطاني</v>
      </c>
      <c r="I130" s="33"/>
      <c r="J130" s="33"/>
      <c r="K130" s="31" t="str">
        <f t="shared" si="1"/>
        <v/>
      </c>
      <c r="L130" s="34"/>
      <c r="M130" s="33"/>
      <c r="N130" s="34"/>
      <c r="O130" s="34"/>
      <c r="P130" s="33"/>
      <c r="Q130" s="34"/>
    </row>
    <row r="131" spans="1:17" x14ac:dyDescent="0.2">
      <c r="A131" s="44" t="s">
        <v>463</v>
      </c>
      <c r="B131" s="45" t="s">
        <v>151</v>
      </c>
      <c r="C131" s="46"/>
      <c r="D131" s="47" t="s">
        <v>293</v>
      </c>
      <c r="E131" s="44">
        <v>5</v>
      </c>
      <c r="F131" s="46" t="s">
        <v>469</v>
      </c>
      <c r="G131" s="32" t="s">
        <v>287</v>
      </c>
      <c r="H131" s="31" t="str">
        <f>IFERROR(INDEX('الإعدادات واللجنة'!$C$24:$C$32,MATCH(LEFT(A131,3),'الإعدادات واللجنة'!$A$24:$A$32,0)),"")</f>
        <v>د. يثرب بنت سعد القحطاني</v>
      </c>
      <c r="I131" s="33"/>
      <c r="J131" s="33"/>
      <c r="K131" s="31" t="str">
        <f t="shared" si="1"/>
        <v/>
      </c>
      <c r="L131" s="34"/>
      <c r="M131" s="33"/>
      <c r="N131" s="34"/>
      <c r="O131" s="34"/>
      <c r="P131" s="33"/>
      <c r="Q131" s="34"/>
    </row>
    <row r="132" spans="1:17" ht="39" x14ac:dyDescent="0.2">
      <c r="A132" s="48" t="s">
        <v>470</v>
      </c>
      <c r="B132" s="49" t="s">
        <v>152</v>
      </c>
      <c r="C132" s="50" t="s">
        <v>471</v>
      </c>
      <c r="D132" s="51"/>
      <c r="E132" s="41">
        <v>1</v>
      </c>
      <c r="F132" s="50" t="s">
        <v>472</v>
      </c>
      <c r="G132" s="40" t="s">
        <v>287</v>
      </c>
      <c r="H132" s="41" t="str">
        <f>IFERROR(INDEX('الإعدادات واللجنة'!$C$24:$C$32,MATCH(LEFT(A132,3),'الإعدادات واللجنة'!$A$24:$A$32,0)),"")</f>
        <v>د. عبدالله بن محمد البركاتي</v>
      </c>
      <c r="I132" s="42"/>
      <c r="J132" s="42"/>
      <c r="K132" s="41" t="str">
        <f t="shared" si="1"/>
        <v/>
      </c>
      <c r="L132" s="43"/>
      <c r="M132" s="42"/>
      <c r="N132" s="43"/>
      <c r="O132" s="43"/>
      <c r="P132" s="42"/>
      <c r="Q132" s="43"/>
    </row>
    <row r="133" spans="1:17" x14ac:dyDescent="0.2">
      <c r="A133" s="31" t="s">
        <v>470</v>
      </c>
      <c r="B133" s="28" t="s">
        <v>152</v>
      </c>
      <c r="C133" s="29"/>
      <c r="D133" s="30"/>
      <c r="E133" s="31">
        <v>2</v>
      </c>
      <c r="F133" s="29" t="s">
        <v>473</v>
      </c>
      <c r="G133" s="32" t="s">
        <v>287</v>
      </c>
      <c r="H133" s="31" t="str">
        <f>IFERROR(INDEX('الإعدادات واللجنة'!$C$24:$C$32,MATCH(LEFT(A133,3),'الإعدادات واللجنة'!$A$24:$A$32,0)),"")</f>
        <v>د. عبدالله بن محمد البركاتي</v>
      </c>
      <c r="I133" s="33"/>
      <c r="J133" s="33"/>
      <c r="K133" s="31" t="str">
        <f t="shared" ref="K133:K196" si="2">IF(OR(I133="",I133="متوفر ومكتمل"),"",IF(OR(D133="★",I133="غير متوفر"),"عالية","متوسطة"))</f>
        <v/>
      </c>
      <c r="L133" s="34"/>
      <c r="M133" s="33"/>
      <c r="N133" s="34"/>
      <c r="O133" s="34"/>
      <c r="P133" s="33"/>
      <c r="Q133" s="34"/>
    </row>
    <row r="134" spans="1:17" x14ac:dyDescent="0.2">
      <c r="A134" s="31" t="s">
        <v>470</v>
      </c>
      <c r="B134" s="28" t="s">
        <v>152</v>
      </c>
      <c r="C134" s="29"/>
      <c r="D134" s="30"/>
      <c r="E134" s="31">
        <v>3</v>
      </c>
      <c r="F134" s="29" t="s">
        <v>474</v>
      </c>
      <c r="G134" s="32" t="s">
        <v>287</v>
      </c>
      <c r="H134" s="31" t="str">
        <f>IFERROR(INDEX('الإعدادات واللجنة'!$C$24:$C$32,MATCH(LEFT(A134,3),'الإعدادات واللجنة'!$A$24:$A$32,0)),"")</f>
        <v>د. عبدالله بن محمد البركاتي</v>
      </c>
      <c r="I134" s="33"/>
      <c r="J134" s="33"/>
      <c r="K134" s="31" t="str">
        <f t="shared" si="2"/>
        <v/>
      </c>
      <c r="L134" s="34"/>
      <c r="M134" s="33"/>
      <c r="N134" s="34"/>
      <c r="O134" s="34"/>
      <c r="P134" s="33"/>
      <c r="Q134" s="34"/>
    </row>
    <row r="135" spans="1:17" x14ac:dyDescent="0.2">
      <c r="A135" s="31" t="s">
        <v>470</v>
      </c>
      <c r="B135" s="28" t="s">
        <v>152</v>
      </c>
      <c r="C135" s="29"/>
      <c r="D135" s="30"/>
      <c r="E135" s="31">
        <v>4</v>
      </c>
      <c r="F135" s="29" t="s">
        <v>475</v>
      </c>
      <c r="G135" s="32" t="s">
        <v>287</v>
      </c>
      <c r="H135" s="31" t="str">
        <f>IFERROR(INDEX('الإعدادات واللجنة'!$C$24:$C$32,MATCH(LEFT(A135,3),'الإعدادات واللجنة'!$A$24:$A$32,0)),"")</f>
        <v>د. عبدالله بن محمد البركاتي</v>
      </c>
      <c r="I135" s="33"/>
      <c r="J135" s="33"/>
      <c r="K135" s="31" t="str">
        <f t="shared" si="2"/>
        <v/>
      </c>
      <c r="L135" s="34"/>
      <c r="M135" s="33"/>
      <c r="N135" s="34"/>
      <c r="O135" s="34"/>
      <c r="P135" s="33"/>
      <c r="Q135" s="34"/>
    </row>
    <row r="136" spans="1:17" x14ac:dyDescent="0.2">
      <c r="A136" s="31" t="s">
        <v>470</v>
      </c>
      <c r="B136" s="28" t="s">
        <v>152</v>
      </c>
      <c r="C136" s="29"/>
      <c r="D136" s="30"/>
      <c r="E136" s="31">
        <v>5</v>
      </c>
      <c r="F136" s="29" t="s">
        <v>476</v>
      </c>
      <c r="G136" s="32" t="s">
        <v>287</v>
      </c>
      <c r="H136" s="31" t="str">
        <f>IFERROR(INDEX('الإعدادات واللجنة'!$C$24:$C$32,MATCH(LEFT(A136,3),'الإعدادات واللجنة'!$A$24:$A$32,0)),"")</f>
        <v>د. عبدالله بن محمد البركاتي</v>
      </c>
      <c r="I136" s="33"/>
      <c r="J136" s="33"/>
      <c r="K136" s="31" t="str">
        <f t="shared" si="2"/>
        <v/>
      </c>
      <c r="L136" s="34"/>
      <c r="M136" s="33"/>
      <c r="N136" s="34"/>
      <c r="O136" s="34"/>
      <c r="P136" s="33"/>
      <c r="Q136" s="34"/>
    </row>
    <row r="137" spans="1:17" ht="26" x14ac:dyDescent="0.2">
      <c r="A137" s="48" t="s">
        <v>477</v>
      </c>
      <c r="B137" s="49" t="s">
        <v>152</v>
      </c>
      <c r="C137" s="50" t="s">
        <v>478</v>
      </c>
      <c r="D137" s="51"/>
      <c r="E137" s="41">
        <v>1</v>
      </c>
      <c r="F137" s="50" t="s">
        <v>479</v>
      </c>
      <c r="G137" s="40" t="s">
        <v>287</v>
      </c>
      <c r="H137" s="41" t="str">
        <f>IFERROR(INDEX('الإعدادات واللجنة'!$C$24:$C$32,MATCH(LEFT(A137,3),'الإعدادات واللجنة'!$A$24:$A$32,0)),"")</f>
        <v>د. عبدالله بن محمد البركاتي</v>
      </c>
      <c r="I137" s="42"/>
      <c r="J137" s="42"/>
      <c r="K137" s="41" t="str">
        <f t="shared" si="2"/>
        <v/>
      </c>
      <c r="L137" s="43"/>
      <c r="M137" s="42"/>
      <c r="N137" s="43"/>
      <c r="O137" s="43"/>
      <c r="P137" s="42"/>
      <c r="Q137" s="43"/>
    </row>
    <row r="138" spans="1:17" ht="26" x14ac:dyDescent="0.2">
      <c r="A138" s="31" t="s">
        <v>477</v>
      </c>
      <c r="B138" s="28" t="s">
        <v>152</v>
      </c>
      <c r="C138" s="29"/>
      <c r="D138" s="30"/>
      <c r="E138" s="31">
        <v>2</v>
      </c>
      <c r="F138" s="29" t="s">
        <v>480</v>
      </c>
      <c r="G138" s="32" t="s">
        <v>287</v>
      </c>
      <c r="H138" s="31" t="str">
        <f>IFERROR(INDEX('الإعدادات واللجنة'!$C$24:$C$32,MATCH(LEFT(A138,3),'الإعدادات واللجنة'!$A$24:$A$32,0)),"")</f>
        <v>د. عبدالله بن محمد البركاتي</v>
      </c>
      <c r="I138" s="33"/>
      <c r="J138" s="33"/>
      <c r="K138" s="31" t="str">
        <f t="shared" si="2"/>
        <v/>
      </c>
      <c r="L138" s="34"/>
      <c r="M138" s="33"/>
      <c r="N138" s="34"/>
      <c r="O138" s="34"/>
      <c r="P138" s="33"/>
      <c r="Q138" s="34"/>
    </row>
    <row r="139" spans="1:17" x14ac:dyDescent="0.2">
      <c r="A139" s="31" t="s">
        <v>477</v>
      </c>
      <c r="B139" s="28" t="s">
        <v>152</v>
      </c>
      <c r="C139" s="29"/>
      <c r="D139" s="30"/>
      <c r="E139" s="31">
        <v>3</v>
      </c>
      <c r="F139" s="29" t="s">
        <v>481</v>
      </c>
      <c r="G139" s="32" t="s">
        <v>287</v>
      </c>
      <c r="H139" s="31" t="str">
        <f>IFERROR(INDEX('الإعدادات واللجنة'!$C$24:$C$32,MATCH(LEFT(A139,3),'الإعدادات واللجنة'!$A$24:$A$32,0)),"")</f>
        <v>د. عبدالله بن محمد البركاتي</v>
      </c>
      <c r="I139" s="33"/>
      <c r="J139" s="33"/>
      <c r="K139" s="31" t="str">
        <f t="shared" si="2"/>
        <v/>
      </c>
      <c r="L139" s="34"/>
      <c r="M139" s="33"/>
      <c r="N139" s="34"/>
      <c r="O139" s="34"/>
      <c r="P139" s="33"/>
      <c r="Q139" s="34"/>
    </row>
    <row r="140" spans="1:17" ht="26" x14ac:dyDescent="0.2">
      <c r="A140" s="35" t="s">
        <v>482</v>
      </c>
      <c r="B140" s="36" t="s">
        <v>152</v>
      </c>
      <c r="C140" s="37" t="s">
        <v>483</v>
      </c>
      <c r="D140" s="38" t="s">
        <v>293</v>
      </c>
      <c r="E140" s="39">
        <v>1</v>
      </c>
      <c r="F140" s="37" t="s">
        <v>484</v>
      </c>
      <c r="G140" s="40" t="s">
        <v>287</v>
      </c>
      <c r="H140" s="41" t="str">
        <f>IFERROR(INDEX('الإعدادات واللجنة'!$C$24:$C$32,MATCH(LEFT(A140,3),'الإعدادات واللجنة'!$A$24:$A$32,0)),"")</f>
        <v>د. عبدالله بن محمد البركاتي</v>
      </c>
      <c r="I140" s="42"/>
      <c r="J140" s="42"/>
      <c r="K140" s="41" t="str">
        <f t="shared" si="2"/>
        <v/>
      </c>
      <c r="L140" s="43"/>
      <c r="M140" s="42"/>
      <c r="N140" s="43"/>
      <c r="O140" s="43"/>
      <c r="P140" s="42"/>
      <c r="Q140" s="43"/>
    </row>
    <row r="141" spans="1:17" x14ac:dyDescent="0.2">
      <c r="A141" s="44" t="s">
        <v>482</v>
      </c>
      <c r="B141" s="45" t="s">
        <v>152</v>
      </c>
      <c r="C141" s="46"/>
      <c r="D141" s="47" t="s">
        <v>293</v>
      </c>
      <c r="E141" s="44">
        <v>2</v>
      </c>
      <c r="F141" s="46" t="s">
        <v>485</v>
      </c>
      <c r="G141" s="32" t="s">
        <v>287</v>
      </c>
      <c r="H141" s="31" t="str">
        <f>IFERROR(INDEX('الإعدادات واللجنة'!$C$24:$C$32,MATCH(LEFT(A141,3),'الإعدادات واللجنة'!$A$24:$A$32,0)),"")</f>
        <v>د. عبدالله بن محمد البركاتي</v>
      </c>
      <c r="I141" s="33"/>
      <c r="J141" s="33"/>
      <c r="K141" s="31" t="str">
        <f t="shared" si="2"/>
        <v/>
      </c>
      <c r="L141" s="34"/>
      <c r="M141" s="33"/>
      <c r="N141" s="34"/>
      <c r="O141" s="34"/>
      <c r="P141" s="33"/>
      <c r="Q141" s="34"/>
    </row>
    <row r="142" spans="1:17" x14ac:dyDescent="0.2">
      <c r="A142" s="44" t="s">
        <v>482</v>
      </c>
      <c r="B142" s="45" t="s">
        <v>152</v>
      </c>
      <c r="C142" s="46"/>
      <c r="D142" s="47" t="s">
        <v>293</v>
      </c>
      <c r="E142" s="44">
        <v>3</v>
      </c>
      <c r="F142" s="46" t="s">
        <v>486</v>
      </c>
      <c r="G142" s="32" t="s">
        <v>287</v>
      </c>
      <c r="H142" s="31" t="str">
        <f>IFERROR(INDEX('الإعدادات واللجنة'!$C$24:$C$32,MATCH(LEFT(A142,3),'الإعدادات واللجنة'!$A$24:$A$32,0)),"")</f>
        <v>د. عبدالله بن محمد البركاتي</v>
      </c>
      <c r="I142" s="33"/>
      <c r="J142" s="33"/>
      <c r="K142" s="31" t="str">
        <f t="shared" si="2"/>
        <v/>
      </c>
      <c r="L142" s="34"/>
      <c r="M142" s="33"/>
      <c r="N142" s="34"/>
      <c r="O142" s="34"/>
      <c r="P142" s="33"/>
      <c r="Q142" s="34"/>
    </row>
    <row r="143" spans="1:17" x14ac:dyDescent="0.2">
      <c r="A143" s="44" t="s">
        <v>482</v>
      </c>
      <c r="B143" s="45" t="s">
        <v>152</v>
      </c>
      <c r="C143" s="46"/>
      <c r="D143" s="47" t="s">
        <v>293</v>
      </c>
      <c r="E143" s="44">
        <v>4</v>
      </c>
      <c r="F143" s="46" t="s">
        <v>487</v>
      </c>
      <c r="G143" s="32" t="s">
        <v>287</v>
      </c>
      <c r="H143" s="31" t="str">
        <f>IFERROR(INDEX('الإعدادات واللجنة'!$C$24:$C$32,MATCH(LEFT(A143,3),'الإعدادات واللجنة'!$A$24:$A$32,0)),"")</f>
        <v>د. عبدالله بن محمد البركاتي</v>
      </c>
      <c r="I143" s="33"/>
      <c r="J143" s="33"/>
      <c r="K143" s="31" t="str">
        <f t="shared" si="2"/>
        <v/>
      </c>
      <c r="L143" s="34"/>
      <c r="M143" s="33"/>
      <c r="N143" s="34"/>
      <c r="O143" s="34"/>
      <c r="P143" s="33"/>
      <c r="Q143" s="34"/>
    </row>
    <row r="144" spans="1:17" ht="26" x14ac:dyDescent="0.2">
      <c r="A144" s="44" t="s">
        <v>482</v>
      </c>
      <c r="B144" s="45" t="s">
        <v>152</v>
      </c>
      <c r="C144" s="46"/>
      <c r="D144" s="47" t="s">
        <v>293</v>
      </c>
      <c r="E144" s="44">
        <v>5</v>
      </c>
      <c r="F144" s="46" t="s">
        <v>488</v>
      </c>
      <c r="G144" s="32" t="s">
        <v>287</v>
      </c>
      <c r="H144" s="31" t="str">
        <f>IFERROR(INDEX('الإعدادات واللجنة'!$C$24:$C$32,MATCH(LEFT(A144,3),'الإعدادات واللجنة'!$A$24:$A$32,0)),"")</f>
        <v>د. عبدالله بن محمد البركاتي</v>
      </c>
      <c r="I144" s="33"/>
      <c r="J144" s="33"/>
      <c r="K144" s="31" t="str">
        <f t="shared" si="2"/>
        <v/>
      </c>
      <c r="L144" s="34"/>
      <c r="M144" s="33"/>
      <c r="N144" s="34"/>
      <c r="O144" s="34"/>
      <c r="P144" s="33"/>
      <c r="Q144" s="34"/>
    </row>
    <row r="145" spans="1:17" ht="26" x14ac:dyDescent="0.2">
      <c r="A145" s="44" t="s">
        <v>482</v>
      </c>
      <c r="B145" s="45" t="s">
        <v>152</v>
      </c>
      <c r="C145" s="46"/>
      <c r="D145" s="47" t="s">
        <v>293</v>
      </c>
      <c r="E145" s="44">
        <v>6</v>
      </c>
      <c r="F145" s="46" t="s">
        <v>489</v>
      </c>
      <c r="G145" s="32" t="s">
        <v>287</v>
      </c>
      <c r="H145" s="31" t="str">
        <f>IFERROR(INDEX('الإعدادات واللجنة'!$C$24:$C$32,MATCH(LEFT(A145,3),'الإعدادات واللجنة'!$A$24:$A$32,0)),"")</f>
        <v>د. عبدالله بن محمد البركاتي</v>
      </c>
      <c r="I145" s="33"/>
      <c r="J145" s="33"/>
      <c r="K145" s="31" t="str">
        <f t="shared" si="2"/>
        <v/>
      </c>
      <c r="L145" s="34"/>
      <c r="M145" s="33"/>
      <c r="N145" s="34"/>
      <c r="O145" s="34"/>
      <c r="P145" s="33"/>
      <c r="Q145" s="34"/>
    </row>
    <row r="146" spans="1:17" ht="26" x14ac:dyDescent="0.2">
      <c r="A146" s="44" t="s">
        <v>482</v>
      </c>
      <c r="B146" s="45" t="s">
        <v>152</v>
      </c>
      <c r="C146" s="46"/>
      <c r="D146" s="47" t="s">
        <v>293</v>
      </c>
      <c r="E146" s="44">
        <v>7</v>
      </c>
      <c r="F146" s="46" t="s">
        <v>490</v>
      </c>
      <c r="G146" s="32" t="s">
        <v>287</v>
      </c>
      <c r="H146" s="31" t="str">
        <f>IFERROR(INDEX('الإعدادات واللجنة'!$C$24:$C$32,MATCH(LEFT(A146,3),'الإعدادات واللجنة'!$A$24:$A$32,0)),"")</f>
        <v>د. عبدالله بن محمد البركاتي</v>
      </c>
      <c r="I146" s="33"/>
      <c r="J146" s="33"/>
      <c r="K146" s="31" t="str">
        <f t="shared" si="2"/>
        <v/>
      </c>
      <c r="L146" s="34"/>
      <c r="M146" s="33"/>
      <c r="N146" s="34"/>
      <c r="O146" s="34"/>
      <c r="P146" s="33"/>
      <c r="Q146" s="34"/>
    </row>
    <row r="147" spans="1:17" ht="39" x14ac:dyDescent="0.2">
      <c r="A147" s="48" t="s">
        <v>491</v>
      </c>
      <c r="B147" s="49" t="s">
        <v>152</v>
      </c>
      <c r="C147" s="50" t="s">
        <v>492</v>
      </c>
      <c r="D147" s="51"/>
      <c r="E147" s="41">
        <v>1</v>
      </c>
      <c r="F147" s="50" t="s">
        <v>493</v>
      </c>
      <c r="G147" s="40" t="s">
        <v>287</v>
      </c>
      <c r="H147" s="41" t="str">
        <f>IFERROR(INDEX('الإعدادات واللجنة'!$C$24:$C$32,MATCH(LEFT(A147,3),'الإعدادات واللجنة'!$A$24:$A$32,0)),"")</f>
        <v>د. عبدالله بن محمد البركاتي</v>
      </c>
      <c r="I147" s="42"/>
      <c r="J147" s="42"/>
      <c r="K147" s="41" t="str">
        <f t="shared" si="2"/>
        <v/>
      </c>
      <c r="L147" s="43"/>
      <c r="M147" s="42"/>
      <c r="N147" s="43"/>
      <c r="O147" s="43"/>
      <c r="P147" s="42"/>
      <c r="Q147" s="43"/>
    </row>
    <row r="148" spans="1:17" ht="26" x14ac:dyDescent="0.2">
      <c r="A148" s="31" t="s">
        <v>491</v>
      </c>
      <c r="B148" s="28" t="s">
        <v>152</v>
      </c>
      <c r="C148" s="29"/>
      <c r="D148" s="30"/>
      <c r="E148" s="31">
        <v>2</v>
      </c>
      <c r="F148" s="29" t="s">
        <v>494</v>
      </c>
      <c r="G148" s="32" t="s">
        <v>287</v>
      </c>
      <c r="H148" s="31" t="str">
        <f>IFERROR(INDEX('الإعدادات واللجنة'!$C$24:$C$32,MATCH(LEFT(A148,3),'الإعدادات واللجنة'!$A$24:$A$32,0)),"")</f>
        <v>د. عبدالله بن محمد البركاتي</v>
      </c>
      <c r="I148" s="33"/>
      <c r="J148" s="33"/>
      <c r="K148" s="31" t="str">
        <f t="shared" si="2"/>
        <v/>
      </c>
      <c r="L148" s="34"/>
      <c r="M148" s="33"/>
      <c r="N148" s="34"/>
      <c r="O148" s="34"/>
      <c r="P148" s="33"/>
      <c r="Q148" s="34"/>
    </row>
    <row r="149" spans="1:17" x14ac:dyDescent="0.2">
      <c r="A149" s="31" t="s">
        <v>491</v>
      </c>
      <c r="B149" s="28" t="s">
        <v>152</v>
      </c>
      <c r="C149" s="29"/>
      <c r="D149" s="30"/>
      <c r="E149" s="31">
        <v>3</v>
      </c>
      <c r="F149" s="29" t="s">
        <v>495</v>
      </c>
      <c r="G149" s="32" t="s">
        <v>287</v>
      </c>
      <c r="H149" s="31" t="str">
        <f>IFERROR(INDEX('الإعدادات واللجنة'!$C$24:$C$32,MATCH(LEFT(A149,3),'الإعدادات واللجنة'!$A$24:$A$32,0)),"")</f>
        <v>د. عبدالله بن محمد البركاتي</v>
      </c>
      <c r="I149" s="33"/>
      <c r="J149" s="33"/>
      <c r="K149" s="31" t="str">
        <f t="shared" si="2"/>
        <v/>
      </c>
      <c r="L149" s="34"/>
      <c r="M149" s="33"/>
      <c r="N149" s="34"/>
      <c r="O149" s="34"/>
      <c r="P149" s="33"/>
      <c r="Q149" s="34"/>
    </row>
    <row r="150" spans="1:17" x14ac:dyDescent="0.2">
      <c r="A150" s="31" t="s">
        <v>491</v>
      </c>
      <c r="B150" s="28" t="s">
        <v>152</v>
      </c>
      <c r="C150" s="29"/>
      <c r="D150" s="30"/>
      <c r="E150" s="31">
        <v>4</v>
      </c>
      <c r="F150" s="29" t="s">
        <v>496</v>
      </c>
      <c r="G150" s="32" t="s">
        <v>287</v>
      </c>
      <c r="H150" s="31" t="str">
        <f>IFERROR(INDEX('الإعدادات واللجنة'!$C$24:$C$32,MATCH(LEFT(A150,3),'الإعدادات واللجنة'!$A$24:$A$32,0)),"")</f>
        <v>د. عبدالله بن محمد البركاتي</v>
      </c>
      <c r="I150" s="33"/>
      <c r="J150" s="33"/>
      <c r="K150" s="31" t="str">
        <f t="shared" si="2"/>
        <v/>
      </c>
      <c r="L150" s="34"/>
      <c r="M150" s="33"/>
      <c r="N150" s="34"/>
      <c r="O150" s="34"/>
      <c r="P150" s="33"/>
      <c r="Q150" s="34"/>
    </row>
    <row r="151" spans="1:17" ht="26" x14ac:dyDescent="0.2">
      <c r="A151" s="48" t="s">
        <v>497</v>
      </c>
      <c r="B151" s="49" t="s">
        <v>152</v>
      </c>
      <c r="C151" s="50" t="s">
        <v>498</v>
      </c>
      <c r="D151" s="51"/>
      <c r="E151" s="41">
        <v>1</v>
      </c>
      <c r="F151" s="50" t="s">
        <v>499</v>
      </c>
      <c r="G151" s="40" t="s">
        <v>287</v>
      </c>
      <c r="H151" s="41" t="str">
        <f>IFERROR(INDEX('الإعدادات واللجنة'!$C$24:$C$32,MATCH(LEFT(A151,3),'الإعدادات واللجنة'!$A$24:$A$32,0)),"")</f>
        <v>د. عبدالله بن محمد البركاتي</v>
      </c>
      <c r="I151" s="42"/>
      <c r="J151" s="42"/>
      <c r="K151" s="41" t="str">
        <f t="shared" si="2"/>
        <v/>
      </c>
      <c r="L151" s="43"/>
      <c r="M151" s="42"/>
      <c r="N151" s="43"/>
      <c r="O151" s="43"/>
      <c r="P151" s="42"/>
      <c r="Q151" s="43"/>
    </row>
    <row r="152" spans="1:17" x14ac:dyDescent="0.2">
      <c r="A152" s="31" t="s">
        <v>497</v>
      </c>
      <c r="B152" s="28" t="s">
        <v>152</v>
      </c>
      <c r="C152" s="29"/>
      <c r="D152" s="30"/>
      <c r="E152" s="31">
        <v>2</v>
      </c>
      <c r="F152" s="29" t="s">
        <v>500</v>
      </c>
      <c r="G152" s="32" t="s">
        <v>287</v>
      </c>
      <c r="H152" s="31" t="str">
        <f>IFERROR(INDEX('الإعدادات واللجنة'!$C$24:$C$32,MATCH(LEFT(A152,3),'الإعدادات واللجنة'!$A$24:$A$32,0)),"")</f>
        <v>د. عبدالله بن محمد البركاتي</v>
      </c>
      <c r="I152" s="33"/>
      <c r="J152" s="33"/>
      <c r="K152" s="31" t="str">
        <f t="shared" si="2"/>
        <v/>
      </c>
      <c r="L152" s="34"/>
      <c r="M152" s="33"/>
      <c r="N152" s="34"/>
      <c r="O152" s="34"/>
      <c r="P152" s="33"/>
      <c r="Q152" s="34"/>
    </row>
    <row r="153" spans="1:17" x14ac:dyDescent="0.2">
      <c r="A153" s="31" t="s">
        <v>497</v>
      </c>
      <c r="B153" s="28" t="s">
        <v>152</v>
      </c>
      <c r="C153" s="29"/>
      <c r="D153" s="30"/>
      <c r="E153" s="31">
        <v>3</v>
      </c>
      <c r="F153" s="29" t="s">
        <v>501</v>
      </c>
      <c r="G153" s="32" t="s">
        <v>287</v>
      </c>
      <c r="H153" s="31" t="str">
        <f>IFERROR(INDEX('الإعدادات واللجنة'!$C$24:$C$32,MATCH(LEFT(A153,3),'الإعدادات واللجنة'!$A$24:$A$32,0)),"")</f>
        <v>د. عبدالله بن محمد البركاتي</v>
      </c>
      <c r="I153" s="33"/>
      <c r="J153" s="33"/>
      <c r="K153" s="31" t="str">
        <f t="shared" si="2"/>
        <v/>
      </c>
      <c r="L153" s="34"/>
      <c r="M153" s="33"/>
      <c r="N153" s="34"/>
      <c r="O153" s="34"/>
      <c r="P153" s="33"/>
      <c r="Q153" s="34"/>
    </row>
    <row r="154" spans="1:17" ht="26" x14ac:dyDescent="0.2">
      <c r="A154" s="31" t="s">
        <v>497</v>
      </c>
      <c r="B154" s="28" t="s">
        <v>152</v>
      </c>
      <c r="C154" s="29"/>
      <c r="D154" s="30"/>
      <c r="E154" s="31">
        <v>4</v>
      </c>
      <c r="F154" s="29" t="s">
        <v>502</v>
      </c>
      <c r="G154" s="32" t="s">
        <v>287</v>
      </c>
      <c r="H154" s="31" t="str">
        <f>IFERROR(INDEX('الإعدادات واللجنة'!$C$24:$C$32,MATCH(LEFT(A154,3),'الإعدادات واللجنة'!$A$24:$A$32,0)),"")</f>
        <v>د. عبدالله بن محمد البركاتي</v>
      </c>
      <c r="I154" s="33"/>
      <c r="J154" s="33"/>
      <c r="K154" s="31" t="str">
        <f t="shared" si="2"/>
        <v/>
      </c>
      <c r="L154" s="34"/>
      <c r="M154" s="33"/>
      <c r="N154" s="34"/>
      <c r="O154" s="34"/>
      <c r="P154" s="33"/>
      <c r="Q154" s="34"/>
    </row>
    <row r="155" spans="1:17" ht="39" x14ac:dyDescent="0.2">
      <c r="A155" s="48" t="s">
        <v>503</v>
      </c>
      <c r="B155" s="49" t="s">
        <v>152</v>
      </c>
      <c r="C155" s="50" t="s">
        <v>504</v>
      </c>
      <c r="D155" s="51"/>
      <c r="E155" s="41">
        <v>1</v>
      </c>
      <c r="F155" s="50" t="s">
        <v>505</v>
      </c>
      <c r="G155" s="40" t="s">
        <v>287</v>
      </c>
      <c r="H155" s="41" t="str">
        <f>IFERROR(INDEX('الإعدادات واللجنة'!$C$24:$C$32,MATCH(LEFT(A155,3),'الإعدادات واللجنة'!$A$24:$A$32,0)),"")</f>
        <v>د. عبدالله بن محمد البركاتي</v>
      </c>
      <c r="I155" s="42"/>
      <c r="J155" s="42"/>
      <c r="K155" s="41" t="str">
        <f t="shared" si="2"/>
        <v/>
      </c>
      <c r="L155" s="43"/>
      <c r="M155" s="42"/>
      <c r="N155" s="43"/>
      <c r="O155" s="43"/>
      <c r="P155" s="42"/>
      <c r="Q155" s="43"/>
    </row>
    <row r="156" spans="1:17" x14ac:dyDescent="0.2">
      <c r="A156" s="31" t="s">
        <v>503</v>
      </c>
      <c r="B156" s="28" t="s">
        <v>152</v>
      </c>
      <c r="C156" s="29"/>
      <c r="D156" s="30"/>
      <c r="E156" s="31">
        <v>2</v>
      </c>
      <c r="F156" s="29" t="s">
        <v>506</v>
      </c>
      <c r="G156" s="32" t="s">
        <v>287</v>
      </c>
      <c r="H156" s="31" t="str">
        <f>IFERROR(INDEX('الإعدادات واللجنة'!$C$24:$C$32,MATCH(LEFT(A156,3),'الإعدادات واللجنة'!$A$24:$A$32,0)),"")</f>
        <v>د. عبدالله بن محمد البركاتي</v>
      </c>
      <c r="I156" s="33"/>
      <c r="J156" s="33"/>
      <c r="K156" s="31" t="str">
        <f t="shared" si="2"/>
        <v/>
      </c>
      <c r="L156" s="34"/>
      <c r="M156" s="33"/>
      <c r="N156" s="34"/>
      <c r="O156" s="34"/>
      <c r="P156" s="33"/>
      <c r="Q156" s="34"/>
    </row>
    <row r="157" spans="1:17" x14ac:dyDescent="0.2">
      <c r="A157" s="31" t="s">
        <v>503</v>
      </c>
      <c r="B157" s="28" t="s">
        <v>152</v>
      </c>
      <c r="C157" s="29"/>
      <c r="D157" s="30"/>
      <c r="E157" s="31">
        <v>3</v>
      </c>
      <c r="F157" s="29" t="s">
        <v>507</v>
      </c>
      <c r="G157" s="32" t="s">
        <v>287</v>
      </c>
      <c r="H157" s="31" t="str">
        <f>IFERROR(INDEX('الإعدادات واللجنة'!$C$24:$C$32,MATCH(LEFT(A157,3),'الإعدادات واللجنة'!$A$24:$A$32,0)),"")</f>
        <v>د. عبدالله بن محمد البركاتي</v>
      </c>
      <c r="I157" s="33"/>
      <c r="J157" s="33"/>
      <c r="K157" s="31" t="str">
        <f t="shared" si="2"/>
        <v/>
      </c>
      <c r="L157" s="34"/>
      <c r="M157" s="33"/>
      <c r="N157" s="34"/>
      <c r="O157" s="34"/>
      <c r="P157" s="33"/>
      <c r="Q157" s="34"/>
    </row>
    <row r="158" spans="1:17" ht="26" x14ac:dyDescent="0.2">
      <c r="A158" s="31" t="s">
        <v>503</v>
      </c>
      <c r="B158" s="28" t="s">
        <v>152</v>
      </c>
      <c r="C158" s="29"/>
      <c r="D158" s="30"/>
      <c r="E158" s="31">
        <v>4</v>
      </c>
      <c r="F158" s="29" t="s">
        <v>508</v>
      </c>
      <c r="G158" s="32" t="s">
        <v>287</v>
      </c>
      <c r="H158" s="31" t="str">
        <f>IFERROR(INDEX('الإعدادات واللجنة'!$C$24:$C$32,MATCH(LEFT(A158,3),'الإعدادات واللجنة'!$A$24:$A$32,0)),"")</f>
        <v>د. عبدالله بن محمد البركاتي</v>
      </c>
      <c r="I158" s="33"/>
      <c r="J158" s="33"/>
      <c r="K158" s="31" t="str">
        <f t="shared" si="2"/>
        <v/>
      </c>
      <c r="L158" s="34"/>
      <c r="M158" s="33"/>
      <c r="N158" s="34"/>
      <c r="O158" s="34"/>
      <c r="P158" s="33"/>
      <c r="Q158" s="34"/>
    </row>
    <row r="159" spans="1:17" x14ac:dyDescent="0.2">
      <c r="A159" s="31" t="s">
        <v>503</v>
      </c>
      <c r="B159" s="28" t="s">
        <v>152</v>
      </c>
      <c r="C159" s="29"/>
      <c r="D159" s="30"/>
      <c r="E159" s="31">
        <v>5</v>
      </c>
      <c r="F159" s="29" t="s">
        <v>509</v>
      </c>
      <c r="G159" s="32" t="s">
        <v>287</v>
      </c>
      <c r="H159" s="31" t="str">
        <f>IFERROR(INDEX('الإعدادات واللجنة'!$C$24:$C$32,MATCH(LEFT(A159,3),'الإعدادات واللجنة'!$A$24:$A$32,0)),"")</f>
        <v>د. عبدالله بن محمد البركاتي</v>
      </c>
      <c r="I159" s="33"/>
      <c r="J159" s="33"/>
      <c r="K159" s="31" t="str">
        <f t="shared" si="2"/>
        <v/>
      </c>
      <c r="L159" s="34"/>
      <c r="M159" s="33"/>
      <c r="N159" s="34"/>
      <c r="O159" s="34"/>
      <c r="P159" s="33"/>
      <c r="Q159" s="34"/>
    </row>
    <row r="160" spans="1:17" ht="26" x14ac:dyDescent="0.2">
      <c r="A160" s="31" t="s">
        <v>503</v>
      </c>
      <c r="B160" s="28" t="s">
        <v>152</v>
      </c>
      <c r="C160" s="29"/>
      <c r="D160" s="30"/>
      <c r="E160" s="31">
        <v>6</v>
      </c>
      <c r="F160" s="29" t="s">
        <v>510</v>
      </c>
      <c r="G160" s="32" t="s">
        <v>287</v>
      </c>
      <c r="H160" s="31" t="str">
        <f>IFERROR(INDEX('الإعدادات واللجنة'!$C$24:$C$32,MATCH(LEFT(A160,3),'الإعدادات واللجنة'!$A$24:$A$32,0)),"")</f>
        <v>د. عبدالله بن محمد البركاتي</v>
      </c>
      <c r="I160" s="33"/>
      <c r="J160" s="33"/>
      <c r="K160" s="31" t="str">
        <f t="shared" si="2"/>
        <v/>
      </c>
      <c r="L160" s="34"/>
      <c r="M160" s="33"/>
      <c r="N160" s="34"/>
      <c r="O160" s="34"/>
      <c r="P160" s="33"/>
      <c r="Q160" s="34"/>
    </row>
    <row r="161" spans="1:17" ht="26" x14ac:dyDescent="0.2">
      <c r="A161" s="35" t="s">
        <v>511</v>
      </c>
      <c r="B161" s="36" t="s">
        <v>152</v>
      </c>
      <c r="C161" s="37" t="s">
        <v>512</v>
      </c>
      <c r="D161" s="38" t="s">
        <v>293</v>
      </c>
      <c r="E161" s="39">
        <v>1</v>
      </c>
      <c r="F161" s="37" t="s">
        <v>513</v>
      </c>
      <c r="G161" s="40" t="s">
        <v>287</v>
      </c>
      <c r="H161" s="41" t="str">
        <f>IFERROR(INDEX('الإعدادات واللجنة'!$C$24:$C$32,MATCH(LEFT(A161,3),'الإعدادات واللجنة'!$A$24:$A$32,0)),"")</f>
        <v>د. عبدالله بن محمد البركاتي</v>
      </c>
      <c r="I161" s="42"/>
      <c r="J161" s="42"/>
      <c r="K161" s="41" t="str">
        <f t="shared" si="2"/>
        <v/>
      </c>
      <c r="L161" s="43"/>
      <c r="M161" s="42"/>
      <c r="N161" s="43"/>
      <c r="O161" s="43"/>
      <c r="P161" s="42"/>
      <c r="Q161" s="43"/>
    </row>
    <row r="162" spans="1:17" x14ac:dyDescent="0.2">
      <c r="A162" s="44" t="s">
        <v>511</v>
      </c>
      <c r="B162" s="45" t="s">
        <v>152</v>
      </c>
      <c r="C162" s="46"/>
      <c r="D162" s="47" t="s">
        <v>293</v>
      </c>
      <c r="E162" s="44">
        <v>2</v>
      </c>
      <c r="F162" s="46" t="s">
        <v>514</v>
      </c>
      <c r="G162" s="32" t="s">
        <v>287</v>
      </c>
      <c r="H162" s="31" t="str">
        <f>IFERROR(INDEX('الإعدادات واللجنة'!$C$24:$C$32,MATCH(LEFT(A162,3),'الإعدادات واللجنة'!$A$24:$A$32,0)),"")</f>
        <v>د. عبدالله بن محمد البركاتي</v>
      </c>
      <c r="I162" s="33"/>
      <c r="J162" s="33"/>
      <c r="K162" s="31" t="str">
        <f t="shared" si="2"/>
        <v/>
      </c>
      <c r="L162" s="34"/>
      <c r="M162" s="33"/>
      <c r="N162" s="34"/>
      <c r="O162" s="34"/>
      <c r="P162" s="33"/>
      <c r="Q162" s="34"/>
    </row>
    <row r="163" spans="1:17" ht="26" x14ac:dyDescent="0.2">
      <c r="A163" s="44" t="s">
        <v>511</v>
      </c>
      <c r="B163" s="45" t="s">
        <v>152</v>
      </c>
      <c r="C163" s="46"/>
      <c r="D163" s="47" t="s">
        <v>293</v>
      </c>
      <c r="E163" s="44">
        <v>3</v>
      </c>
      <c r="F163" s="46" t="s">
        <v>515</v>
      </c>
      <c r="G163" s="32" t="s">
        <v>287</v>
      </c>
      <c r="H163" s="31" t="str">
        <f>IFERROR(INDEX('الإعدادات واللجنة'!$C$24:$C$32,MATCH(LEFT(A163,3),'الإعدادات واللجنة'!$A$24:$A$32,0)),"")</f>
        <v>د. عبدالله بن محمد البركاتي</v>
      </c>
      <c r="I163" s="33"/>
      <c r="J163" s="33"/>
      <c r="K163" s="31" t="str">
        <f t="shared" si="2"/>
        <v/>
      </c>
      <c r="L163" s="34"/>
      <c r="M163" s="33"/>
      <c r="N163" s="34"/>
      <c r="O163" s="34"/>
      <c r="P163" s="33"/>
      <c r="Q163" s="34"/>
    </row>
    <row r="164" spans="1:17" ht="26" x14ac:dyDescent="0.2">
      <c r="A164" s="35" t="s">
        <v>516</v>
      </c>
      <c r="B164" s="36" t="s">
        <v>153</v>
      </c>
      <c r="C164" s="37" t="s">
        <v>517</v>
      </c>
      <c r="D164" s="38" t="s">
        <v>293</v>
      </c>
      <c r="E164" s="39">
        <v>1</v>
      </c>
      <c r="F164" s="37" t="s">
        <v>518</v>
      </c>
      <c r="G164" s="40" t="s">
        <v>287</v>
      </c>
      <c r="H164" s="41" t="str">
        <f>IFERROR(INDEX('الإعدادات واللجنة'!$C$24:$C$32,MATCH(LEFT(A164,3),'الإعدادات واللجنة'!$A$24:$A$32,0)),"")</f>
        <v>د. عمر بن محمد موسى</v>
      </c>
      <c r="I164" s="42"/>
      <c r="J164" s="42"/>
      <c r="K164" s="41" t="str">
        <f t="shared" si="2"/>
        <v/>
      </c>
      <c r="L164" s="43"/>
      <c r="M164" s="42"/>
      <c r="N164" s="43"/>
      <c r="O164" s="43"/>
      <c r="P164" s="42"/>
      <c r="Q164" s="43"/>
    </row>
    <row r="165" spans="1:17" x14ac:dyDescent="0.2">
      <c r="A165" s="44" t="s">
        <v>516</v>
      </c>
      <c r="B165" s="45" t="s">
        <v>153</v>
      </c>
      <c r="C165" s="46"/>
      <c r="D165" s="47" t="s">
        <v>293</v>
      </c>
      <c r="E165" s="44">
        <v>2</v>
      </c>
      <c r="F165" s="46" t="s">
        <v>519</v>
      </c>
      <c r="G165" s="32" t="s">
        <v>287</v>
      </c>
      <c r="H165" s="31" t="str">
        <f>IFERROR(INDEX('الإعدادات واللجنة'!$C$24:$C$32,MATCH(LEFT(A165,3),'الإعدادات واللجنة'!$A$24:$A$32,0)),"")</f>
        <v>د. عمر بن محمد موسى</v>
      </c>
      <c r="I165" s="33"/>
      <c r="J165" s="33"/>
      <c r="K165" s="31" t="str">
        <f t="shared" si="2"/>
        <v/>
      </c>
      <c r="L165" s="34"/>
      <c r="M165" s="33"/>
      <c r="N165" s="34"/>
      <c r="O165" s="34"/>
      <c r="P165" s="33"/>
      <c r="Q165" s="34"/>
    </row>
    <row r="166" spans="1:17" ht="26" x14ac:dyDescent="0.2">
      <c r="A166" s="44" t="s">
        <v>516</v>
      </c>
      <c r="B166" s="45" t="s">
        <v>153</v>
      </c>
      <c r="C166" s="46"/>
      <c r="D166" s="47" t="s">
        <v>293</v>
      </c>
      <c r="E166" s="44">
        <v>3</v>
      </c>
      <c r="F166" s="46" t="s">
        <v>520</v>
      </c>
      <c r="G166" s="32" t="s">
        <v>287</v>
      </c>
      <c r="H166" s="31" t="str">
        <f>IFERROR(INDEX('الإعدادات واللجنة'!$C$24:$C$32,MATCH(LEFT(A166,3),'الإعدادات واللجنة'!$A$24:$A$32,0)),"")</f>
        <v>د. عمر بن محمد موسى</v>
      </c>
      <c r="I166" s="33"/>
      <c r="J166" s="33"/>
      <c r="K166" s="31" t="str">
        <f t="shared" si="2"/>
        <v/>
      </c>
      <c r="L166" s="34"/>
      <c r="M166" s="33"/>
      <c r="N166" s="34"/>
      <c r="O166" s="34"/>
      <c r="P166" s="33"/>
      <c r="Q166" s="34"/>
    </row>
    <row r="167" spans="1:17" ht="26" x14ac:dyDescent="0.2">
      <c r="A167" s="44" t="s">
        <v>516</v>
      </c>
      <c r="B167" s="45" t="s">
        <v>153</v>
      </c>
      <c r="C167" s="46"/>
      <c r="D167" s="47" t="s">
        <v>293</v>
      </c>
      <c r="E167" s="44">
        <v>4</v>
      </c>
      <c r="F167" s="46" t="s">
        <v>521</v>
      </c>
      <c r="G167" s="32" t="s">
        <v>287</v>
      </c>
      <c r="H167" s="31" t="str">
        <f>IFERROR(INDEX('الإعدادات واللجنة'!$C$24:$C$32,MATCH(LEFT(A167,3),'الإعدادات واللجنة'!$A$24:$A$32,0)),"")</f>
        <v>د. عمر بن محمد موسى</v>
      </c>
      <c r="I167" s="33"/>
      <c r="J167" s="33"/>
      <c r="K167" s="31" t="str">
        <f t="shared" si="2"/>
        <v/>
      </c>
      <c r="L167" s="34"/>
      <c r="M167" s="33"/>
      <c r="N167" s="34"/>
      <c r="O167" s="34"/>
      <c r="P167" s="33"/>
      <c r="Q167" s="34"/>
    </row>
    <row r="168" spans="1:17" ht="26" x14ac:dyDescent="0.2">
      <c r="A168" s="48" t="s">
        <v>522</v>
      </c>
      <c r="B168" s="49" t="s">
        <v>153</v>
      </c>
      <c r="C168" s="50" t="s">
        <v>523</v>
      </c>
      <c r="D168" s="51"/>
      <c r="E168" s="41">
        <v>1</v>
      </c>
      <c r="F168" s="50" t="s">
        <v>524</v>
      </c>
      <c r="G168" s="40" t="s">
        <v>287</v>
      </c>
      <c r="H168" s="41" t="str">
        <f>IFERROR(INDEX('الإعدادات واللجنة'!$C$24:$C$32,MATCH(LEFT(A168,3),'الإعدادات واللجنة'!$A$24:$A$32,0)),"")</f>
        <v>د. عمر بن محمد موسى</v>
      </c>
      <c r="I168" s="42"/>
      <c r="J168" s="42"/>
      <c r="K168" s="41" t="str">
        <f t="shared" si="2"/>
        <v/>
      </c>
      <c r="L168" s="43"/>
      <c r="M168" s="42"/>
      <c r="N168" s="43"/>
      <c r="O168" s="43"/>
      <c r="P168" s="42"/>
      <c r="Q168" s="43"/>
    </row>
    <row r="169" spans="1:17" ht="26" x14ac:dyDescent="0.2">
      <c r="A169" s="31" t="s">
        <v>522</v>
      </c>
      <c r="B169" s="28" t="s">
        <v>153</v>
      </c>
      <c r="C169" s="29"/>
      <c r="D169" s="30"/>
      <c r="E169" s="31">
        <v>2</v>
      </c>
      <c r="F169" s="29" t="s">
        <v>525</v>
      </c>
      <c r="G169" s="32" t="s">
        <v>287</v>
      </c>
      <c r="H169" s="31" t="str">
        <f>IFERROR(INDEX('الإعدادات واللجنة'!$C$24:$C$32,MATCH(LEFT(A169,3),'الإعدادات واللجنة'!$A$24:$A$32,0)),"")</f>
        <v>د. عمر بن محمد موسى</v>
      </c>
      <c r="I169" s="33"/>
      <c r="J169" s="33"/>
      <c r="K169" s="31" t="str">
        <f t="shared" si="2"/>
        <v/>
      </c>
      <c r="L169" s="34"/>
      <c r="M169" s="33"/>
      <c r="N169" s="34"/>
      <c r="O169" s="34"/>
      <c r="P169" s="33"/>
      <c r="Q169" s="34"/>
    </row>
    <row r="170" spans="1:17" ht="26" x14ac:dyDescent="0.2">
      <c r="A170" s="48" t="s">
        <v>526</v>
      </c>
      <c r="B170" s="49" t="s">
        <v>153</v>
      </c>
      <c r="C170" s="50" t="s">
        <v>527</v>
      </c>
      <c r="D170" s="51"/>
      <c r="E170" s="41">
        <v>1</v>
      </c>
      <c r="F170" s="50" t="s">
        <v>528</v>
      </c>
      <c r="G170" s="40" t="s">
        <v>287</v>
      </c>
      <c r="H170" s="41" t="str">
        <f>IFERROR(INDEX('الإعدادات واللجنة'!$C$24:$C$32,MATCH(LEFT(A170,3),'الإعدادات واللجنة'!$A$24:$A$32,0)),"")</f>
        <v>د. عمر بن محمد موسى</v>
      </c>
      <c r="I170" s="42"/>
      <c r="J170" s="42"/>
      <c r="K170" s="41" t="str">
        <f t="shared" si="2"/>
        <v/>
      </c>
      <c r="L170" s="43"/>
      <c r="M170" s="42"/>
      <c r="N170" s="43"/>
      <c r="O170" s="43"/>
      <c r="P170" s="42"/>
      <c r="Q170" s="43"/>
    </row>
    <row r="171" spans="1:17" ht="26" x14ac:dyDescent="0.2">
      <c r="A171" s="31" t="s">
        <v>526</v>
      </c>
      <c r="B171" s="28" t="s">
        <v>153</v>
      </c>
      <c r="C171" s="29"/>
      <c r="D171" s="30"/>
      <c r="E171" s="31">
        <v>2</v>
      </c>
      <c r="F171" s="29" t="s">
        <v>529</v>
      </c>
      <c r="G171" s="32" t="s">
        <v>287</v>
      </c>
      <c r="H171" s="31" t="str">
        <f>IFERROR(INDEX('الإعدادات واللجنة'!$C$24:$C$32,MATCH(LEFT(A171,3),'الإعدادات واللجنة'!$A$24:$A$32,0)),"")</f>
        <v>د. عمر بن محمد موسى</v>
      </c>
      <c r="I171" s="33"/>
      <c r="J171" s="33"/>
      <c r="K171" s="31" t="str">
        <f t="shared" si="2"/>
        <v/>
      </c>
      <c r="L171" s="34"/>
      <c r="M171" s="33"/>
      <c r="N171" s="34"/>
      <c r="O171" s="34"/>
      <c r="P171" s="33"/>
      <c r="Q171" s="34"/>
    </row>
    <row r="172" spans="1:17" ht="26" x14ac:dyDescent="0.2">
      <c r="A172" s="31" t="s">
        <v>526</v>
      </c>
      <c r="B172" s="28" t="s">
        <v>153</v>
      </c>
      <c r="C172" s="29"/>
      <c r="D172" s="30"/>
      <c r="E172" s="31">
        <v>3</v>
      </c>
      <c r="F172" s="29" t="s">
        <v>530</v>
      </c>
      <c r="G172" s="32" t="s">
        <v>287</v>
      </c>
      <c r="H172" s="31" t="str">
        <f>IFERROR(INDEX('الإعدادات واللجنة'!$C$24:$C$32,MATCH(LEFT(A172,3),'الإعدادات واللجنة'!$A$24:$A$32,0)),"")</f>
        <v>د. عمر بن محمد موسى</v>
      </c>
      <c r="I172" s="33"/>
      <c r="J172" s="33"/>
      <c r="K172" s="31" t="str">
        <f t="shared" si="2"/>
        <v/>
      </c>
      <c r="L172" s="34"/>
      <c r="M172" s="33"/>
      <c r="N172" s="34"/>
      <c r="O172" s="34"/>
      <c r="P172" s="33"/>
      <c r="Q172" s="34"/>
    </row>
    <row r="173" spans="1:17" ht="26" x14ac:dyDescent="0.2">
      <c r="A173" s="31" t="s">
        <v>526</v>
      </c>
      <c r="B173" s="28" t="s">
        <v>153</v>
      </c>
      <c r="C173" s="29"/>
      <c r="D173" s="30"/>
      <c r="E173" s="31">
        <v>4</v>
      </c>
      <c r="F173" s="29" t="s">
        <v>531</v>
      </c>
      <c r="G173" s="32" t="s">
        <v>287</v>
      </c>
      <c r="H173" s="31" t="str">
        <f>IFERROR(INDEX('الإعدادات واللجنة'!$C$24:$C$32,MATCH(LEFT(A173,3),'الإعدادات واللجنة'!$A$24:$A$32,0)),"")</f>
        <v>د. عمر بن محمد موسى</v>
      </c>
      <c r="I173" s="33"/>
      <c r="J173" s="33"/>
      <c r="K173" s="31" t="str">
        <f t="shared" si="2"/>
        <v/>
      </c>
      <c r="L173" s="34"/>
      <c r="M173" s="33"/>
      <c r="N173" s="34"/>
      <c r="O173" s="34"/>
      <c r="P173" s="33"/>
      <c r="Q173" s="34"/>
    </row>
    <row r="174" spans="1:17" x14ac:dyDescent="0.2">
      <c r="A174" s="31" t="s">
        <v>526</v>
      </c>
      <c r="B174" s="28" t="s">
        <v>153</v>
      </c>
      <c r="C174" s="29"/>
      <c r="D174" s="30"/>
      <c r="E174" s="31">
        <v>5</v>
      </c>
      <c r="F174" s="29" t="s">
        <v>532</v>
      </c>
      <c r="G174" s="32" t="s">
        <v>287</v>
      </c>
      <c r="H174" s="31" t="str">
        <f>IFERROR(INDEX('الإعدادات واللجنة'!$C$24:$C$32,MATCH(LEFT(A174,3),'الإعدادات واللجنة'!$A$24:$A$32,0)),"")</f>
        <v>د. عمر بن محمد موسى</v>
      </c>
      <c r="I174" s="33"/>
      <c r="J174" s="33"/>
      <c r="K174" s="31" t="str">
        <f t="shared" si="2"/>
        <v/>
      </c>
      <c r="L174" s="34"/>
      <c r="M174" s="33"/>
      <c r="N174" s="34"/>
      <c r="O174" s="34"/>
      <c r="P174" s="33"/>
      <c r="Q174" s="34"/>
    </row>
    <row r="175" spans="1:17" x14ac:dyDescent="0.2">
      <c r="A175" s="31" t="s">
        <v>526</v>
      </c>
      <c r="B175" s="28" t="s">
        <v>153</v>
      </c>
      <c r="C175" s="29"/>
      <c r="D175" s="30"/>
      <c r="E175" s="31">
        <v>6</v>
      </c>
      <c r="F175" s="29" t="s">
        <v>533</v>
      </c>
      <c r="G175" s="32" t="s">
        <v>287</v>
      </c>
      <c r="H175" s="31" t="str">
        <f>IFERROR(INDEX('الإعدادات واللجنة'!$C$24:$C$32,MATCH(LEFT(A175,3),'الإعدادات واللجنة'!$A$24:$A$32,0)),"")</f>
        <v>د. عمر بن محمد موسى</v>
      </c>
      <c r="I175" s="33"/>
      <c r="J175" s="33"/>
      <c r="K175" s="31" t="str">
        <f t="shared" si="2"/>
        <v/>
      </c>
      <c r="L175" s="34"/>
      <c r="M175" s="33"/>
      <c r="N175" s="34"/>
      <c r="O175" s="34"/>
      <c r="P175" s="33"/>
      <c r="Q175" s="34"/>
    </row>
    <row r="176" spans="1:17" ht="26" x14ac:dyDescent="0.2">
      <c r="A176" s="31" t="s">
        <v>526</v>
      </c>
      <c r="B176" s="28" t="s">
        <v>153</v>
      </c>
      <c r="C176" s="29"/>
      <c r="D176" s="30"/>
      <c r="E176" s="31">
        <v>7</v>
      </c>
      <c r="F176" s="29" t="s">
        <v>534</v>
      </c>
      <c r="G176" s="32" t="s">
        <v>287</v>
      </c>
      <c r="H176" s="31" t="str">
        <f>IFERROR(INDEX('الإعدادات واللجنة'!$C$24:$C$32,MATCH(LEFT(A176,3),'الإعدادات واللجنة'!$A$24:$A$32,0)),"")</f>
        <v>د. عمر بن محمد موسى</v>
      </c>
      <c r="I176" s="33"/>
      <c r="J176" s="33"/>
      <c r="K176" s="31" t="str">
        <f t="shared" si="2"/>
        <v/>
      </c>
      <c r="L176" s="34"/>
      <c r="M176" s="33"/>
      <c r="N176" s="34"/>
      <c r="O176" s="34"/>
      <c r="P176" s="33"/>
      <c r="Q176" s="34"/>
    </row>
    <row r="177" spans="1:17" ht="26" x14ac:dyDescent="0.2">
      <c r="A177" s="48" t="s">
        <v>535</v>
      </c>
      <c r="B177" s="49" t="s">
        <v>153</v>
      </c>
      <c r="C177" s="50" t="s">
        <v>536</v>
      </c>
      <c r="D177" s="51"/>
      <c r="E177" s="41">
        <v>1</v>
      </c>
      <c r="F177" s="50" t="s">
        <v>537</v>
      </c>
      <c r="G177" s="40" t="s">
        <v>287</v>
      </c>
      <c r="H177" s="41" t="str">
        <f>IFERROR(INDEX('الإعدادات واللجنة'!$C$24:$C$32,MATCH(LEFT(A177,3),'الإعدادات واللجنة'!$A$24:$A$32,0)),"")</f>
        <v>د. عمر بن محمد موسى</v>
      </c>
      <c r="I177" s="42"/>
      <c r="J177" s="42"/>
      <c r="K177" s="41" t="str">
        <f t="shared" si="2"/>
        <v/>
      </c>
      <c r="L177" s="43"/>
      <c r="M177" s="42"/>
      <c r="N177" s="43"/>
      <c r="O177" s="43"/>
      <c r="P177" s="42"/>
      <c r="Q177" s="43"/>
    </row>
    <row r="178" spans="1:17" x14ac:dyDescent="0.2">
      <c r="A178" s="31" t="s">
        <v>535</v>
      </c>
      <c r="B178" s="28" t="s">
        <v>153</v>
      </c>
      <c r="C178" s="29"/>
      <c r="D178" s="30"/>
      <c r="E178" s="31">
        <v>2</v>
      </c>
      <c r="F178" s="29" t="s">
        <v>538</v>
      </c>
      <c r="G178" s="32" t="s">
        <v>287</v>
      </c>
      <c r="H178" s="31" t="str">
        <f>IFERROR(INDEX('الإعدادات واللجنة'!$C$24:$C$32,MATCH(LEFT(A178,3),'الإعدادات واللجنة'!$A$24:$A$32,0)),"")</f>
        <v>د. عمر بن محمد موسى</v>
      </c>
      <c r="I178" s="33"/>
      <c r="J178" s="33"/>
      <c r="K178" s="31" t="str">
        <f t="shared" si="2"/>
        <v/>
      </c>
      <c r="L178" s="34"/>
      <c r="M178" s="33"/>
      <c r="N178" s="34"/>
      <c r="O178" s="34"/>
      <c r="P178" s="33"/>
      <c r="Q178" s="34"/>
    </row>
    <row r="179" spans="1:17" ht="26" x14ac:dyDescent="0.2">
      <c r="A179" s="31" t="s">
        <v>535</v>
      </c>
      <c r="B179" s="28" t="s">
        <v>153</v>
      </c>
      <c r="C179" s="29"/>
      <c r="D179" s="30"/>
      <c r="E179" s="31">
        <v>3</v>
      </c>
      <c r="F179" s="29" t="s">
        <v>539</v>
      </c>
      <c r="G179" s="32" t="s">
        <v>287</v>
      </c>
      <c r="H179" s="31" t="str">
        <f>IFERROR(INDEX('الإعدادات واللجنة'!$C$24:$C$32,MATCH(LEFT(A179,3),'الإعدادات واللجنة'!$A$24:$A$32,0)),"")</f>
        <v>د. عمر بن محمد موسى</v>
      </c>
      <c r="I179" s="33"/>
      <c r="J179" s="33"/>
      <c r="K179" s="31" t="str">
        <f t="shared" si="2"/>
        <v/>
      </c>
      <c r="L179" s="34"/>
      <c r="M179" s="33"/>
      <c r="N179" s="34"/>
      <c r="O179" s="34"/>
      <c r="P179" s="33"/>
      <c r="Q179" s="34"/>
    </row>
    <row r="180" spans="1:17" ht="26" x14ac:dyDescent="0.2">
      <c r="A180" s="48" t="s">
        <v>540</v>
      </c>
      <c r="B180" s="49" t="s">
        <v>153</v>
      </c>
      <c r="C180" s="50" t="s">
        <v>541</v>
      </c>
      <c r="D180" s="51"/>
      <c r="E180" s="41">
        <v>1</v>
      </c>
      <c r="F180" s="50" t="s">
        <v>542</v>
      </c>
      <c r="G180" s="40" t="s">
        <v>287</v>
      </c>
      <c r="H180" s="41" t="str">
        <f>IFERROR(INDEX('الإعدادات واللجنة'!$C$24:$C$32,MATCH(LEFT(A180,3),'الإعدادات واللجنة'!$A$24:$A$32,0)),"")</f>
        <v>د. عمر بن محمد موسى</v>
      </c>
      <c r="I180" s="42"/>
      <c r="J180" s="42"/>
      <c r="K180" s="41" t="str">
        <f t="shared" si="2"/>
        <v/>
      </c>
      <c r="L180" s="43"/>
      <c r="M180" s="42"/>
      <c r="N180" s="43"/>
      <c r="O180" s="43"/>
      <c r="P180" s="42"/>
      <c r="Q180" s="43"/>
    </row>
    <row r="181" spans="1:17" x14ac:dyDescent="0.2">
      <c r="A181" s="31" t="s">
        <v>540</v>
      </c>
      <c r="B181" s="28" t="s">
        <v>153</v>
      </c>
      <c r="C181" s="29"/>
      <c r="D181" s="30"/>
      <c r="E181" s="31">
        <v>2</v>
      </c>
      <c r="F181" s="29" t="s">
        <v>543</v>
      </c>
      <c r="G181" s="32" t="s">
        <v>287</v>
      </c>
      <c r="H181" s="31" t="str">
        <f>IFERROR(INDEX('الإعدادات واللجنة'!$C$24:$C$32,MATCH(LEFT(A181,3),'الإعدادات واللجنة'!$A$24:$A$32,0)),"")</f>
        <v>د. عمر بن محمد موسى</v>
      </c>
      <c r="I181" s="33"/>
      <c r="J181" s="33"/>
      <c r="K181" s="31" t="str">
        <f t="shared" si="2"/>
        <v/>
      </c>
      <c r="L181" s="34"/>
      <c r="M181" s="33"/>
      <c r="N181" s="34"/>
      <c r="O181" s="34"/>
      <c r="P181" s="33"/>
      <c r="Q181" s="34"/>
    </row>
    <row r="182" spans="1:17" x14ac:dyDescent="0.2">
      <c r="A182" s="31" t="s">
        <v>540</v>
      </c>
      <c r="B182" s="28" t="s">
        <v>153</v>
      </c>
      <c r="C182" s="29"/>
      <c r="D182" s="30"/>
      <c r="E182" s="31">
        <v>3</v>
      </c>
      <c r="F182" s="29" t="s">
        <v>544</v>
      </c>
      <c r="G182" s="32" t="s">
        <v>287</v>
      </c>
      <c r="H182" s="31" t="str">
        <f>IFERROR(INDEX('الإعدادات واللجنة'!$C$24:$C$32,MATCH(LEFT(A182,3),'الإعدادات واللجنة'!$A$24:$A$32,0)),"")</f>
        <v>د. عمر بن محمد موسى</v>
      </c>
      <c r="I182" s="33"/>
      <c r="J182" s="33"/>
      <c r="K182" s="31" t="str">
        <f t="shared" si="2"/>
        <v/>
      </c>
      <c r="L182" s="34"/>
      <c r="M182" s="33"/>
      <c r="N182" s="34"/>
      <c r="O182" s="34"/>
      <c r="P182" s="33"/>
      <c r="Q182" s="34"/>
    </row>
    <row r="183" spans="1:17" ht="26" x14ac:dyDescent="0.2">
      <c r="A183" s="31" t="s">
        <v>540</v>
      </c>
      <c r="B183" s="28" t="s">
        <v>153</v>
      </c>
      <c r="C183" s="29"/>
      <c r="D183" s="30"/>
      <c r="E183" s="31">
        <v>4</v>
      </c>
      <c r="F183" s="29" t="s">
        <v>545</v>
      </c>
      <c r="G183" s="32" t="s">
        <v>287</v>
      </c>
      <c r="H183" s="31" t="str">
        <f>IFERROR(INDEX('الإعدادات واللجنة'!$C$24:$C$32,MATCH(LEFT(A183,3),'الإعدادات واللجنة'!$A$24:$A$32,0)),"")</f>
        <v>د. عمر بن محمد موسى</v>
      </c>
      <c r="I183" s="33"/>
      <c r="J183" s="33"/>
      <c r="K183" s="31" t="str">
        <f t="shared" si="2"/>
        <v/>
      </c>
      <c r="L183" s="34"/>
      <c r="M183" s="33"/>
      <c r="N183" s="34"/>
      <c r="O183" s="34"/>
      <c r="P183" s="33"/>
      <c r="Q183" s="34"/>
    </row>
    <row r="184" spans="1:17" x14ac:dyDescent="0.2">
      <c r="A184" s="31" t="s">
        <v>540</v>
      </c>
      <c r="B184" s="28" t="s">
        <v>153</v>
      </c>
      <c r="C184" s="29"/>
      <c r="D184" s="30"/>
      <c r="E184" s="31">
        <v>5</v>
      </c>
      <c r="F184" s="29" t="s">
        <v>546</v>
      </c>
      <c r="G184" s="32" t="s">
        <v>287</v>
      </c>
      <c r="H184" s="31" t="str">
        <f>IFERROR(INDEX('الإعدادات واللجنة'!$C$24:$C$32,MATCH(LEFT(A184,3),'الإعدادات واللجنة'!$A$24:$A$32,0)),"")</f>
        <v>د. عمر بن محمد موسى</v>
      </c>
      <c r="I184" s="33"/>
      <c r="J184" s="33"/>
      <c r="K184" s="31" t="str">
        <f t="shared" si="2"/>
        <v/>
      </c>
      <c r="L184" s="34"/>
      <c r="M184" s="33"/>
      <c r="N184" s="34"/>
      <c r="O184" s="34"/>
      <c r="P184" s="33"/>
      <c r="Q184" s="34"/>
    </row>
    <row r="185" spans="1:17" ht="26" x14ac:dyDescent="0.2">
      <c r="A185" s="48" t="s">
        <v>547</v>
      </c>
      <c r="B185" s="49" t="s">
        <v>153</v>
      </c>
      <c r="C185" s="50" t="s">
        <v>548</v>
      </c>
      <c r="D185" s="51"/>
      <c r="E185" s="41">
        <v>1</v>
      </c>
      <c r="F185" s="50" t="s">
        <v>549</v>
      </c>
      <c r="G185" s="40" t="s">
        <v>287</v>
      </c>
      <c r="H185" s="41" t="str">
        <f>IFERROR(INDEX('الإعدادات واللجنة'!$C$24:$C$32,MATCH(LEFT(A185,3),'الإعدادات واللجنة'!$A$24:$A$32,0)),"")</f>
        <v>د. عمر بن محمد موسى</v>
      </c>
      <c r="I185" s="42"/>
      <c r="J185" s="42"/>
      <c r="K185" s="41" t="str">
        <f t="shared" si="2"/>
        <v/>
      </c>
      <c r="L185" s="43"/>
      <c r="M185" s="42"/>
      <c r="N185" s="43"/>
      <c r="O185" s="43"/>
      <c r="P185" s="42"/>
      <c r="Q185" s="43"/>
    </row>
    <row r="186" spans="1:17" x14ac:dyDescent="0.2">
      <c r="A186" s="31" t="s">
        <v>547</v>
      </c>
      <c r="B186" s="28" t="s">
        <v>153</v>
      </c>
      <c r="C186" s="29"/>
      <c r="D186" s="30"/>
      <c r="E186" s="31">
        <v>2</v>
      </c>
      <c r="F186" s="29" t="s">
        <v>550</v>
      </c>
      <c r="G186" s="32" t="s">
        <v>287</v>
      </c>
      <c r="H186" s="31" t="str">
        <f>IFERROR(INDEX('الإعدادات واللجنة'!$C$24:$C$32,MATCH(LEFT(A186,3),'الإعدادات واللجنة'!$A$24:$A$32,0)),"")</f>
        <v>د. عمر بن محمد موسى</v>
      </c>
      <c r="I186" s="33"/>
      <c r="J186" s="33"/>
      <c r="K186" s="31" t="str">
        <f t="shared" si="2"/>
        <v/>
      </c>
      <c r="L186" s="34"/>
      <c r="M186" s="33"/>
      <c r="N186" s="34"/>
      <c r="O186" s="34"/>
      <c r="P186" s="33"/>
      <c r="Q186" s="34"/>
    </row>
    <row r="187" spans="1:17" x14ac:dyDescent="0.2">
      <c r="A187" s="31" t="s">
        <v>547</v>
      </c>
      <c r="B187" s="28" t="s">
        <v>153</v>
      </c>
      <c r="C187" s="29"/>
      <c r="D187" s="30"/>
      <c r="E187" s="31">
        <v>3</v>
      </c>
      <c r="F187" s="29" t="s">
        <v>551</v>
      </c>
      <c r="G187" s="32" t="s">
        <v>287</v>
      </c>
      <c r="H187" s="31" t="str">
        <f>IFERROR(INDEX('الإعدادات واللجنة'!$C$24:$C$32,MATCH(LEFT(A187,3),'الإعدادات واللجنة'!$A$24:$A$32,0)),"")</f>
        <v>د. عمر بن محمد موسى</v>
      </c>
      <c r="I187" s="33"/>
      <c r="J187" s="33"/>
      <c r="K187" s="31" t="str">
        <f t="shared" si="2"/>
        <v/>
      </c>
      <c r="L187" s="34"/>
      <c r="M187" s="33"/>
      <c r="N187" s="34"/>
      <c r="O187" s="34"/>
      <c r="P187" s="33"/>
      <c r="Q187" s="34"/>
    </row>
    <row r="188" spans="1:17" ht="39" x14ac:dyDescent="0.2">
      <c r="A188" s="31" t="s">
        <v>547</v>
      </c>
      <c r="B188" s="28" t="s">
        <v>153</v>
      </c>
      <c r="C188" s="29"/>
      <c r="D188" s="30"/>
      <c r="E188" s="31">
        <v>4</v>
      </c>
      <c r="F188" s="29" t="s">
        <v>552</v>
      </c>
      <c r="G188" s="32" t="s">
        <v>287</v>
      </c>
      <c r="H188" s="31" t="str">
        <f>IFERROR(INDEX('الإعدادات واللجنة'!$C$24:$C$32,MATCH(LEFT(A188,3),'الإعدادات واللجنة'!$A$24:$A$32,0)),"")</f>
        <v>د. عمر بن محمد موسى</v>
      </c>
      <c r="I188" s="33"/>
      <c r="J188" s="33"/>
      <c r="K188" s="31" t="str">
        <f t="shared" si="2"/>
        <v/>
      </c>
      <c r="L188" s="34"/>
      <c r="M188" s="33"/>
      <c r="N188" s="34"/>
      <c r="O188" s="34"/>
      <c r="P188" s="33"/>
      <c r="Q188" s="34"/>
    </row>
    <row r="189" spans="1:17" x14ac:dyDescent="0.2">
      <c r="A189" s="31" t="s">
        <v>547</v>
      </c>
      <c r="B189" s="28" t="s">
        <v>153</v>
      </c>
      <c r="C189" s="29"/>
      <c r="D189" s="30"/>
      <c r="E189" s="31">
        <v>5</v>
      </c>
      <c r="F189" s="29" t="s">
        <v>553</v>
      </c>
      <c r="G189" s="32" t="s">
        <v>287</v>
      </c>
      <c r="H189" s="31" t="str">
        <f>IFERROR(INDEX('الإعدادات واللجنة'!$C$24:$C$32,MATCH(LEFT(A189,3),'الإعدادات واللجنة'!$A$24:$A$32,0)),"")</f>
        <v>د. عمر بن محمد موسى</v>
      </c>
      <c r="I189" s="33"/>
      <c r="J189" s="33"/>
      <c r="K189" s="31" t="str">
        <f t="shared" si="2"/>
        <v/>
      </c>
      <c r="L189" s="34"/>
      <c r="M189" s="33"/>
      <c r="N189" s="34"/>
      <c r="O189" s="34"/>
      <c r="P189" s="33"/>
      <c r="Q189" s="34"/>
    </row>
    <row r="190" spans="1:17" ht="26" x14ac:dyDescent="0.2">
      <c r="A190" s="48" t="s">
        <v>554</v>
      </c>
      <c r="B190" s="49" t="s">
        <v>154</v>
      </c>
      <c r="C190" s="50" t="s">
        <v>555</v>
      </c>
      <c r="D190" s="51"/>
      <c r="E190" s="41">
        <v>1</v>
      </c>
      <c r="F190" s="50" t="s">
        <v>556</v>
      </c>
      <c r="G190" s="40" t="s">
        <v>287</v>
      </c>
      <c r="H190" s="41" t="str">
        <f>IFERROR(INDEX('الإعدادات واللجنة'!$C$24:$C$32,MATCH(LEFT(A190,3),'الإعدادات واللجنة'!$A$24:$A$32,0)),"")</f>
        <v>د. حسن بن سعد القحطاني</v>
      </c>
      <c r="I190" s="42"/>
      <c r="J190" s="42"/>
      <c r="K190" s="41" t="str">
        <f t="shared" si="2"/>
        <v/>
      </c>
      <c r="L190" s="43"/>
      <c r="M190" s="42"/>
      <c r="N190" s="43"/>
      <c r="O190" s="43"/>
      <c r="P190" s="42"/>
      <c r="Q190" s="43"/>
    </row>
    <row r="191" spans="1:17" ht="24" x14ac:dyDescent="0.2">
      <c r="A191" s="31" t="s">
        <v>554</v>
      </c>
      <c r="B191" s="28" t="s">
        <v>154</v>
      </c>
      <c r="C191" s="29"/>
      <c r="D191" s="30"/>
      <c r="E191" s="31">
        <v>2</v>
      </c>
      <c r="F191" s="29" t="s">
        <v>557</v>
      </c>
      <c r="G191" s="32" t="s">
        <v>287</v>
      </c>
      <c r="H191" s="31" t="str">
        <f>IFERROR(INDEX('الإعدادات واللجنة'!$C$24:$C$32,MATCH(LEFT(A191,3),'الإعدادات واللجنة'!$A$24:$A$32,0)),"")</f>
        <v>د. حسن بن سعد القحطاني</v>
      </c>
      <c r="I191" s="33"/>
      <c r="J191" s="33"/>
      <c r="K191" s="31" t="str">
        <f t="shared" si="2"/>
        <v/>
      </c>
      <c r="L191" s="34"/>
      <c r="M191" s="33"/>
      <c r="N191" s="34"/>
      <c r="O191" s="34"/>
      <c r="P191" s="33"/>
      <c r="Q191" s="34"/>
    </row>
    <row r="192" spans="1:17" ht="26" x14ac:dyDescent="0.2">
      <c r="A192" s="31" t="s">
        <v>554</v>
      </c>
      <c r="B192" s="28" t="s">
        <v>154</v>
      </c>
      <c r="C192" s="29"/>
      <c r="D192" s="30"/>
      <c r="E192" s="31">
        <v>3</v>
      </c>
      <c r="F192" s="29" t="s">
        <v>558</v>
      </c>
      <c r="G192" s="32" t="s">
        <v>287</v>
      </c>
      <c r="H192" s="31" t="str">
        <f>IFERROR(INDEX('الإعدادات واللجنة'!$C$24:$C$32,MATCH(LEFT(A192,3),'الإعدادات واللجنة'!$A$24:$A$32,0)),"")</f>
        <v>د. حسن بن سعد القحطاني</v>
      </c>
      <c r="I192" s="33"/>
      <c r="J192" s="33"/>
      <c r="K192" s="31" t="str">
        <f t="shared" si="2"/>
        <v/>
      </c>
      <c r="L192" s="34"/>
      <c r="M192" s="33"/>
      <c r="N192" s="34"/>
      <c r="O192" s="34"/>
      <c r="P192" s="33"/>
      <c r="Q192" s="34"/>
    </row>
    <row r="193" spans="1:17" ht="26" x14ac:dyDescent="0.2">
      <c r="A193" s="48" t="s">
        <v>559</v>
      </c>
      <c r="B193" s="49" t="s">
        <v>154</v>
      </c>
      <c r="C193" s="50" t="s">
        <v>560</v>
      </c>
      <c r="D193" s="51"/>
      <c r="E193" s="41">
        <v>1</v>
      </c>
      <c r="F193" s="50" t="s">
        <v>561</v>
      </c>
      <c r="G193" s="40" t="s">
        <v>287</v>
      </c>
      <c r="H193" s="41" t="str">
        <f>IFERROR(INDEX('الإعدادات واللجنة'!$C$24:$C$32,MATCH(LEFT(A193,3),'الإعدادات واللجنة'!$A$24:$A$32,0)),"")</f>
        <v>د. حسن بن سعد القحطاني</v>
      </c>
      <c r="I193" s="42"/>
      <c r="J193" s="42"/>
      <c r="K193" s="41" t="str">
        <f t="shared" si="2"/>
        <v/>
      </c>
      <c r="L193" s="43"/>
      <c r="M193" s="42"/>
      <c r="N193" s="43"/>
      <c r="O193" s="43"/>
      <c r="P193" s="42"/>
      <c r="Q193" s="43"/>
    </row>
    <row r="194" spans="1:17" ht="26" x14ac:dyDescent="0.2">
      <c r="A194" s="31" t="s">
        <v>559</v>
      </c>
      <c r="B194" s="28" t="s">
        <v>154</v>
      </c>
      <c r="C194" s="29"/>
      <c r="D194" s="30"/>
      <c r="E194" s="31">
        <v>2</v>
      </c>
      <c r="F194" s="29" t="s">
        <v>562</v>
      </c>
      <c r="G194" s="32" t="s">
        <v>287</v>
      </c>
      <c r="H194" s="31" t="str">
        <f>IFERROR(INDEX('الإعدادات واللجنة'!$C$24:$C$32,MATCH(LEFT(A194,3),'الإعدادات واللجنة'!$A$24:$A$32,0)),"")</f>
        <v>د. حسن بن سعد القحطاني</v>
      </c>
      <c r="I194" s="33"/>
      <c r="J194" s="33"/>
      <c r="K194" s="31" t="str">
        <f t="shared" si="2"/>
        <v/>
      </c>
      <c r="L194" s="34"/>
      <c r="M194" s="33"/>
      <c r="N194" s="34"/>
      <c r="O194" s="34"/>
      <c r="P194" s="33"/>
      <c r="Q194" s="34"/>
    </row>
    <row r="195" spans="1:17" ht="26" x14ac:dyDescent="0.2">
      <c r="A195" s="31" t="s">
        <v>559</v>
      </c>
      <c r="B195" s="28" t="s">
        <v>154</v>
      </c>
      <c r="C195" s="29"/>
      <c r="D195" s="30"/>
      <c r="E195" s="31">
        <v>3</v>
      </c>
      <c r="F195" s="29" t="s">
        <v>563</v>
      </c>
      <c r="G195" s="32" t="s">
        <v>287</v>
      </c>
      <c r="H195" s="31" t="str">
        <f>IFERROR(INDEX('الإعدادات واللجنة'!$C$24:$C$32,MATCH(LEFT(A195,3),'الإعدادات واللجنة'!$A$24:$A$32,0)),"")</f>
        <v>د. حسن بن سعد القحطاني</v>
      </c>
      <c r="I195" s="33"/>
      <c r="J195" s="33"/>
      <c r="K195" s="31" t="str">
        <f t="shared" si="2"/>
        <v/>
      </c>
      <c r="L195" s="34"/>
      <c r="M195" s="33"/>
      <c r="N195" s="34"/>
      <c r="O195" s="34"/>
      <c r="P195" s="33"/>
      <c r="Q195" s="34"/>
    </row>
    <row r="196" spans="1:17" ht="39" x14ac:dyDescent="0.2">
      <c r="A196" s="35" t="s">
        <v>564</v>
      </c>
      <c r="B196" s="36" t="s">
        <v>154</v>
      </c>
      <c r="C196" s="37" t="s">
        <v>565</v>
      </c>
      <c r="D196" s="38" t="s">
        <v>293</v>
      </c>
      <c r="E196" s="39">
        <v>1</v>
      </c>
      <c r="F196" s="37" t="s">
        <v>566</v>
      </c>
      <c r="G196" s="40" t="s">
        <v>287</v>
      </c>
      <c r="H196" s="41" t="str">
        <f>IFERROR(INDEX('الإعدادات واللجنة'!$C$24:$C$32,MATCH(LEFT(A196,3),'الإعدادات واللجنة'!$A$24:$A$32,0)),"")</f>
        <v>د. حسن بن سعد القحطاني</v>
      </c>
      <c r="I196" s="42"/>
      <c r="J196" s="42"/>
      <c r="K196" s="41" t="str">
        <f t="shared" si="2"/>
        <v/>
      </c>
      <c r="L196" s="43"/>
      <c r="M196" s="42"/>
      <c r="N196" s="43"/>
      <c r="O196" s="43"/>
      <c r="P196" s="42"/>
      <c r="Q196" s="43"/>
    </row>
    <row r="197" spans="1:17" ht="26" x14ac:dyDescent="0.2">
      <c r="A197" s="44" t="s">
        <v>564</v>
      </c>
      <c r="B197" s="45" t="s">
        <v>154</v>
      </c>
      <c r="C197" s="46"/>
      <c r="D197" s="47" t="s">
        <v>293</v>
      </c>
      <c r="E197" s="44">
        <v>2</v>
      </c>
      <c r="F197" s="46" t="s">
        <v>567</v>
      </c>
      <c r="G197" s="32" t="s">
        <v>287</v>
      </c>
      <c r="H197" s="31" t="str">
        <f>IFERROR(INDEX('الإعدادات واللجنة'!$C$24:$C$32,MATCH(LEFT(A197,3),'الإعدادات واللجنة'!$A$24:$A$32,0)),"")</f>
        <v>د. حسن بن سعد القحطاني</v>
      </c>
      <c r="I197" s="33"/>
      <c r="J197" s="33"/>
      <c r="K197" s="31" t="str">
        <f t="shared" ref="K197:K208" si="3">IF(OR(I197="",I197="متوفر ومكتمل"),"",IF(OR(D197="★",I197="غير متوفر"),"عالية","متوسطة"))</f>
        <v/>
      </c>
      <c r="L197" s="34"/>
      <c r="M197" s="33"/>
      <c r="N197" s="34"/>
      <c r="O197" s="34"/>
      <c r="P197" s="33"/>
      <c r="Q197" s="34"/>
    </row>
    <row r="198" spans="1:17" ht="26" x14ac:dyDescent="0.2">
      <c r="A198" s="44" t="s">
        <v>564</v>
      </c>
      <c r="B198" s="45" t="s">
        <v>154</v>
      </c>
      <c r="C198" s="46"/>
      <c r="D198" s="47" t="s">
        <v>293</v>
      </c>
      <c r="E198" s="44">
        <v>3</v>
      </c>
      <c r="F198" s="46" t="s">
        <v>568</v>
      </c>
      <c r="G198" s="32" t="s">
        <v>287</v>
      </c>
      <c r="H198" s="31" t="str">
        <f>IFERROR(INDEX('الإعدادات واللجنة'!$C$24:$C$32,MATCH(LEFT(A198,3),'الإعدادات واللجنة'!$A$24:$A$32,0)),"")</f>
        <v>د. حسن بن سعد القحطاني</v>
      </c>
      <c r="I198" s="33"/>
      <c r="J198" s="33"/>
      <c r="K198" s="31" t="str">
        <f t="shared" si="3"/>
        <v/>
      </c>
      <c r="L198" s="34"/>
      <c r="M198" s="33"/>
      <c r="N198" s="34"/>
      <c r="O198" s="34"/>
      <c r="P198" s="33"/>
      <c r="Q198" s="34"/>
    </row>
    <row r="199" spans="1:17" ht="24" x14ac:dyDescent="0.2">
      <c r="A199" s="44" t="s">
        <v>564</v>
      </c>
      <c r="B199" s="45" t="s">
        <v>154</v>
      </c>
      <c r="C199" s="46"/>
      <c r="D199" s="47" t="s">
        <v>293</v>
      </c>
      <c r="E199" s="44">
        <v>4</v>
      </c>
      <c r="F199" s="46" t="s">
        <v>569</v>
      </c>
      <c r="G199" s="32" t="s">
        <v>287</v>
      </c>
      <c r="H199" s="31" t="str">
        <f>IFERROR(INDEX('الإعدادات واللجنة'!$C$24:$C$32,MATCH(LEFT(A199,3),'الإعدادات واللجنة'!$A$24:$A$32,0)),"")</f>
        <v>د. حسن بن سعد القحطاني</v>
      </c>
      <c r="I199" s="33"/>
      <c r="J199" s="33"/>
      <c r="K199" s="31" t="str">
        <f t="shared" si="3"/>
        <v/>
      </c>
      <c r="L199" s="34"/>
      <c r="M199" s="33"/>
      <c r="N199" s="34"/>
      <c r="O199" s="34"/>
      <c r="P199" s="33"/>
      <c r="Q199" s="34"/>
    </row>
    <row r="200" spans="1:17" ht="24" x14ac:dyDescent="0.2">
      <c r="A200" s="44" t="s">
        <v>564</v>
      </c>
      <c r="B200" s="45" t="s">
        <v>154</v>
      </c>
      <c r="C200" s="46"/>
      <c r="D200" s="47" t="s">
        <v>293</v>
      </c>
      <c r="E200" s="44">
        <v>5</v>
      </c>
      <c r="F200" s="46" t="s">
        <v>570</v>
      </c>
      <c r="G200" s="32" t="s">
        <v>287</v>
      </c>
      <c r="H200" s="31" t="str">
        <f>IFERROR(INDEX('الإعدادات واللجنة'!$C$24:$C$32,MATCH(LEFT(A200,3),'الإعدادات واللجنة'!$A$24:$A$32,0)),"")</f>
        <v>د. حسن بن سعد القحطاني</v>
      </c>
      <c r="I200" s="33"/>
      <c r="J200" s="33"/>
      <c r="K200" s="31" t="str">
        <f t="shared" si="3"/>
        <v/>
      </c>
      <c r="L200" s="34"/>
      <c r="M200" s="33"/>
      <c r="N200" s="34"/>
      <c r="O200" s="34"/>
      <c r="P200" s="33"/>
      <c r="Q200" s="34"/>
    </row>
    <row r="201" spans="1:17" ht="24" x14ac:dyDescent="0.2">
      <c r="A201" s="44" t="s">
        <v>564</v>
      </c>
      <c r="B201" s="45" t="s">
        <v>154</v>
      </c>
      <c r="C201" s="46"/>
      <c r="D201" s="47" t="s">
        <v>293</v>
      </c>
      <c r="E201" s="44">
        <v>6</v>
      </c>
      <c r="F201" s="46" t="s">
        <v>571</v>
      </c>
      <c r="G201" s="32" t="s">
        <v>287</v>
      </c>
      <c r="H201" s="31" t="str">
        <f>IFERROR(INDEX('الإعدادات واللجنة'!$C$24:$C$32,MATCH(LEFT(A201,3),'الإعدادات واللجنة'!$A$24:$A$32,0)),"")</f>
        <v>د. حسن بن سعد القحطاني</v>
      </c>
      <c r="I201" s="33"/>
      <c r="J201" s="33"/>
      <c r="K201" s="31" t="str">
        <f t="shared" si="3"/>
        <v/>
      </c>
      <c r="L201" s="34"/>
      <c r="M201" s="33"/>
      <c r="N201" s="34"/>
      <c r="O201" s="34"/>
      <c r="P201" s="33"/>
      <c r="Q201" s="34"/>
    </row>
    <row r="202" spans="1:17" ht="26" x14ac:dyDescent="0.2">
      <c r="A202" s="48" t="s">
        <v>572</v>
      </c>
      <c r="B202" s="49" t="s">
        <v>154</v>
      </c>
      <c r="C202" s="50" t="s">
        <v>573</v>
      </c>
      <c r="D202" s="51"/>
      <c r="E202" s="41">
        <v>1</v>
      </c>
      <c r="F202" s="50" t="s">
        <v>574</v>
      </c>
      <c r="G202" s="40" t="s">
        <v>287</v>
      </c>
      <c r="H202" s="41" t="str">
        <f>IFERROR(INDEX('الإعدادات واللجنة'!$C$24:$C$32,MATCH(LEFT(A202,3),'الإعدادات واللجنة'!$A$24:$A$32,0)),"")</f>
        <v>د. حسن بن سعد القحطاني</v>
      </c>
      <c r="I202" s="42"/>
      <c r="J202" s="42"/>
      <c r="K202" s="41" t="str">
        <f t="shared" si="3"/>
        <v/>
      </c>
      <c r="L202" s="43"/>
      <c r="M202" s="42"/>
      <c r="N202" s="43"/>
      <c r="O202" s="43"/>
      <c r="P202" s="42"/>
      <c r="Q202" s="43"/>
    </row>
    <row r="203" spans="1:17" ht="26" x14ac:dyDescent="0.2">
      <c r="A203" s="31" t="s">
        <v>572</v>
      </c>
      <c r="B203" s="28" t="s">
        <v>154</v>
      </c>
      <c r="C203" s="29"/>
      <c r="D203" s="30"/>
      <c r="E203" s="31">
        <v>2</v>
      </c>
      <c r="F203" s="29" t="s">
        <v>575</v>
      </c>
      <c r="G203" s="32" t="s">
        <v>287</v>
      </c>
      <c r="H203" s="31" t="str">
        <f>IFERROR(INDEX('الإعدادات واللجنة'!$C$24:$C$32,MATCH(LEFT(A203,3),'الإعدادات واللجنة'!$A$24:$A$32,0)),"")</f>
        <v>د. حسن بن سعد القحطاني</v>
      </c>
      <c r="I203" s="33"/>
      <c r="J203" s="33"/>
      <c r="K203" s="31" t="str">
        <f t="shared" si="3"/>
        <v/>
      </c>
      <c r="L203" s="34"/>
      <c r="M203" s="33"/>
      <c r="N203" s="34"/>
      <c r="O203" s="34"/>
      <c r="P203" s="33"/>
      <c r="Q203" s="34"/>
    </row>
    <row r="204" spans="1:17" ht="24" x14ac:dyDescent="0.2">
      <c r="A204" s="31" t="s">
        <v>572</v>
      </c>
      <c r="B204" s="28" t="s">
        <v>154</v>
      </c>
      <c r="C204" s="29"/>
      <c r="D204" s="30"/>
      <c r="E204" s="31">
        <v>3</v>
      </c>
      <c r="F204" s="29" t="s">
        <v>576</v>
      </c>
      <c r="G204" s="32" t="s">
        <v>287</v>
      </c>
      <c r="H204" s="31" t="str">
        <f>IFERROR(INDEX('الإعدادات واللجنة'!$C$24:$C$32,MATCH(LEFT(A204,3),'الإعدادات واللجنة'!$A$24:$A$32,0)),"")</f>
        <v>د. حسن بن سعد القحطاني</v>
      </c>
      <c r="I204" s="33"/>
      <c r="J204" s="33"/>
      <c r="K204" s="31" t="str">
        <f t="shared" si="3"/>
        <v/>
      </c>
      <c r="L204" s="34"/>
      <c r="M204" s="33"/>
      <c r="N204" s="34"/>
      <c r="O204" s="34"/>
      <c r="P204" s="33"/>
      <c r="Q204" s="34"/>
    </row>
    <row r="205" spans="1:17" ht="24" x14ac:dyDescent="0.2">
      <c r="A205" s="31" t="s">
        <v>572</v>
      </c>
      <c r="B205" s="28" t="s">
        <v>154</v>
      </c>
      <c r="C205" s="29"/>
      <c r="D205" s="30"/>
      <c r="E205" s="31">
        <v>4</v>
      </c>
      <c r="F205" s="29" t="s">
        <v>577</v>
      </c>
      <c r="G205" s="32" t="s">
        <v>287</v>
      </c>
      <c r="H205" s="31" t="str">
        <f>IFERROR(INDEX('الإعدادات واللجنة'!$C$24:$C$32,MATCH(LEFT(A205,3),'الإعدادات واللجنة'!$A$24:$A$32,0)),"")</f>
        <v>د. حسن بن سعد القحطاني</v>
      </c>
      <c r="I205" s="33"/>
      <c r="J205" s="33"/>
      <c r="K205" s="31" t="str">
        <f t="shared" si="3"/>
        <v/>
      </c>
      <c r="L205" s="34"/>
      <c r="M205" s="33"/>
      <c r="N205" s="34"/>
      <c r="O205" s="34"/>
      <c r="P205" s="33"/>
      <c r="Q205" s="34"/>
    </row>
    <row r="206" spans="1:17" ht="26" x14ac:dyDescent="0.2">
      <c r="A206" s="31" t="s">
        <v>572</v>
      </c>
      <c r="B206" s="28" t="s">
        <v>154</v>
      </c>
      <c r="C206" s="29"/>
      <c r="D206" s="30"/>
      <c r="E206" s="31">
        <v>5</v>
      </c>
      <c r="F206" s="29" t="s">
        <v>578</v>
      </c>
      <c r="G206" s="32" t="s">
        <v>287</v>
      </c>
      <c r="H206" s="31" t="str">
        <f>IFERROR(INDEX('الإعدادات واللجنة'!$C$24:$C$32,MATCH(LEFT(A206,3),'الإعدادات واللجنة'!$A$24:$A$32,0)),"")</f>
        <v>د. حسن بن سعد القحطاني</v>
      </c>
      <c r="I206" s="33"/>
      <c r="J206" s="33"/>
      <c r="K206" s="31" t="str">
        <f t="shared" si="3"/>
        <v/>
      </c>
      <c r="L206" s="34"/>
      <c r="M206" s="33"/>
      <c r="N206" s="34"/>
      <c r="O206" s="34"/>
      <c r="P206" s="33"/>
      <c r="Q206" s="34"/>
    </row>
    <row r="207" spans="1:17" ht="26" x14ac:dyDescent="0.2">
      <c r="A207" s="48" t="s">
        <v>579</v>
      </c>
      <c r="B207" s="49" t="s">
        <v>154</v>
      </c>
      <c r="C207" s="50" t="s">
        <v>580</v>
      </c>
      <c r="D207" s="51"/>
      <c r="E207" s="41">
        <v>1</v>
      </c>
      <c r="F207" s="50" t="s">
        <v>581</v>
      </c>
      <c r="G207" s="40" t="s">
        <v>287</v>
      </c>
      <c r="H207" s="41" t="str">
        <f>IFERROR(INDEX('الإعدادات واللجنة'!$C$24:$C$32,MATCH(LEFT(A207,3),'الإعدادات واللجنة'!$A$24:$A$32,0)),"")</f>
        <v>د. حسن بن سعد القحطاني</v>
      </c>
      <c r="I207" s="42"/>
      <c r="J207" s="42"/>
      <c r="K207" s="41" t="str">
        <f t="shared" si="3"/>
        <v/>
      </c>
      <c r="L207" s="43"/>
      <c r="M207" s="42"/>
      <c r="N207" s="43"/>
      <c r="O207" s="43"/>
      <c r="P207" s="42"/>
      <c r="Q207" s="43"/>
    </row>
    <row r="208" spans="1:17" ht="24" x14ac:dyDescent="0.2">
      <c r="A208" s="31" t="s">
        <v>579</v>
      </c>
      <c r="B208" s="28" t="s">
        <v>154</v>
      </c>
      <c r="C208" s="29"/>
      <c r="D208" s="30"/>
      <c r="E208" s="31">
        <v>2</v>
      </c>
      <c r="F208" s="29" t="s">
        <v>582</v>
      </c>
      <c r="G208" s="32" t="s">
        <v>287</v>
      </c>
      <c r="H208" s="31" t="str">
        <f>IFERROR(INDEX('الإعدادات واللجنة'!$C$24:$C$32,MATCH(LEFT(A208,3),'الإعدادات واللجنة'!$A$24:$A$32,0)),"")</f>
        <v>د. حسن بن سعد القحطاني</v>
      </c>
      <c r="I208" s="33"/>
      <c r="J208" s="33"/>
      <c r="K208" s="31" t="str">
        <f t="shared" si="3"/>
        <v/>
      </c>
      <c r="L208" s="34"/>
      <c r="M208" s="33"/>
      <c r="N208" s="34"/>
      <c r="O208" s="34"/>
      <c r="P208" s="33"/>
      <c r="Q208" s="34"/>
    </row>
  </sheetData>
  <autoFilter ref="A4:Q208" xr:uid="{00000000-0009-0000-0000-000006000000}"/>
  <mergeCells count="2">
    <mergeCell ref="A1:H1"/>
    <mergeCell ref="A2:Q2"/>
  </mergeCells>
  <conditionalFormatting sqref="I5:I208">
    <cfRule type="cellIs" dxfId="11" priority="2" operator="equal">
      <formula>"متوفر ومكتمل"</formula>
    </cfRule>
    <cfRule type="cellIs" dxfId="10" priority="3" operator="equal">
      <formula>"متوفر ويحتاج تحسين"</formula>
    </cfRule>
    <cfRule type="cellIs" dxfId="9" priority="4" operator="equal">
      <formula>"غير متوفر"</formula>
    </cfRule>
  </conditionalFormatting>
  <conditionalFormatting sqref="K5:K208">
    <cfRule type="cellIs" dxfId="8" priority="5" operator="equal">
      <formula>"عالية"</formula>
    </cfRule>
  </conditionalFormatting>
  <conditionalFormatting sqref="P5:P208">
    <cfRule type="cellIs" dxfId="7" priority="6" operator="equal">
      <formula>"تمت"</formula>
    </cfRule>
    <cfRule type="cellIs" dxfId="6" priority="7" operator="equal">
      <formula>"تحتاج تعديل"</formula>
    </cfRule>
  </conditionalFormatting>
  <dataValidations count="4">
    <dataValidation type="list" allowBlank="1" sqref="I5:I208" xr:uid="{00000000-0002-0000-0600-000000000000}">
      <formula1>"متوفر ومكتمل,متوفر ويحتاج تحسين,غير متوفر"</formula1>
      <formula2>0</formula2>
    </dataValidation>
    <dataValidation type="list" allowBlank="1" sqref="J5:J208" xr:uid="{00000000-0002-0000-0600-000001000000}">
      <formula1>"غير معتمد,غير محدّث,لا يغطي المحك كاملاً,لا يثبت التطبيق الفعلي,لا توجد نتائج وتحسين"</formula1>
      <formula2>0</formula2>
    </dataValidation>
    <dataValidation type="list" allowBlank="1" sqref="M5:M208" xr:uid="{00000000-0002-0000-0600-000002000000}">
      <formula1>"الأسبوع 1,الأسبوع 2,الأسبوع 3,الأسبوع 4,الأسبوع 5,الأسبوع 6,الأسبوع 7,الأسبوع 8,بعد الخطة"</formula1>
      <formula2>0</formula2>
    </dataValidation>
    <dataValidation type="list" allowBlank="1" sqref="P5:P208" xr:uid="{00000000-0002-0000-0600-000003000000}">
      <formula1>"تمت,تحتاج تعديل"</formula1>
      <formula2>0</formula2>
    </dataValidation>
  </dataValidations>
  <pageMargins left="0.75" right="0.75" top="1" bottom="1" header="0.511811023622047" footer="0.511811023622047"/>
  <pageSetup paperSize="9" orientation="portrait" horizontalDpi="300" verticalDpi="300"/>
  <headerFooter>
    <oddFooter xml:space="preserve">&amp;L_x000D_&amp;1#&amp;"Aptos"&amp;10&amp;K000000 Restricted - مقيد </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EA9DB"/>
  </sheetPr>
  <dimension ref="A1:Q230"/>
  <sheetViews>
    <sheetView rightToLeft="1" zoomScaleNormal="100" workbookViewId="0">
      <pane xSplit="6" ySplit="4" topLeftCell="G5" activePane="bottomRight" state="frozen"/>
      <selection pane="topRight" activeCell="G1" sqref="G1"/>
      <selection pane="bottomLeft" activeCell="A5" sqref="A5"/>
      <selection pane="bottomRight"/>
    </sheetView>
  </sheetViews>
  <sheetFormatPr baseColWidth="10" defaultColWidth="8.6640625" defaultRowHeight="15" x14ac:dyDescent="0.2"/>
  <cols>
    <col min="1" max="1" width="8" customWidth="1"/>
    <col min="2" max="2" width="14" customWidth="1"/>
    <col min="3" max="3" width="40" customWidth="1"/>
    <col min="4" max="4" width="6" customWidth="1"/>
    <col min="5" max="5" width="4" customWidth="1"/>
    <col min="6" max="6" width="44" customWidth="1"/>
    <col min="7" max="7" width="14" customWidth="1"/>
    <col min="8" max="8" width="16" customWidth="1"/>
    <col min="9" max="9" width="17" customWidth="1"/>
    <col min="10" max="10" width="19" customWidth="1"/>
    <col min="11" max="11" width="9" customWidth="1"/>
    <col min="12" max="12" width="30" customWidth="1"/>
    <col min="13" max="13" width="12" customWidth="1"/>
    <col min="14" max="14" width="26" customWidth="1"/>
    <col min="15" max="15" width="22" customWidth="1"/>
    <col min="16" max="16" width="13" customWidth="1"/>
    <col min="17" max="17" width="22" customWidth="1"/>
  </cols>
  <sheetData>
    <row r="1" spans="1:17" ht="18" x14ac:dyDescent="0.2">
      <c r="A1" s="1" t="str">
        <f>"فحص الأدلة – "&amp;'الإعدادات واللجنة'!$B$7</f>
        <v>فحص الأدلة – ماجستير علوم البيانات</v>
      </c>
      <c r="B1" s="1"/>
      <c r="C1" s="1"/>
      <c r="D1" s="1"/>
      <c r="E1" s="1"/>
      <c r="F1" s="1"/>
      <c r="G1" s="1"/>
      <c r="H1" s="1"/>
    </row>
    <row r="2" spans="1:17" ht="15" customHeight="1" x14ac:dyDescent="0.2">
      <c r="A2" s="6" t="s">
        <v>271</v>
      </c>
      <c r="B2" s="6"/>
      <c r="C2" s="6"/>
      <c r="D2" s="6"/>
      <c r="E2" s="6"/>
      <c r="F2" s="6"/>
      <c r="G2" s="6"/>
      <c r="H2" s="6"/>
      <c r="I2" s="6"/>
      <c r="J2" s="6"/>
      <c r="K2" s="6"/>
      <c r="L2" s="6"/>
      <c r="M2" s="6"/>
      <c r="N2" s="6"/>
      <c r="O2" s="6"/>
      <c r="P2" s="6"/>
      <c r="Q2" s="6"/>
    </row>
    <row r="4" spans="1:17" ht="30" customHeight="1" x14ac:dyDescent="0.2">
      <c r="A4" s="10" t="s">
        <v>117</v>
      </c>
      <c r="B4" s="10" t="s">
        <v>141</v>
      </c>
      <c r="C4" s="10" t="s">
        <v>272</v>
      </c>
      <c r="D4" s="10" t="s">
        <v>273</v>
      </c>
      <c r="E4" s="10" t="s">
        <v>88</v>
      </c>
      <c r="F4" s="10" t="s">
        <v>274</v>
      </c>
      <c r="G4" s="10" t="s">
        <v>275</v>
      </c>
      <c r="H4" s="10" t="s">
        <v>5</v>
      </c>
      <c r="I4" s="10" t="s">
        <v>276</v>
      </c>
      <c r="J4" s="10" t="s">
        <v>164</v>
      </c>
      <c r="K4" s="10" t="s">
        <v>277</v>
      </c>
      <c r="L4" s="10" t="s">
        <v>278</v>
      </c>
      <c r="M4" s="10" t="s">
        <v>279</v>
      </c>
      <c r="N4" s="10" t="s">
        <v>280</v>
      </c>
      <c r="O4" s="10" t="s">
        <v>281</v>
      </c>
      <c r="P4" s="10" t="s">
        <v>282</v>
      </c>
      <c r="Q4" s="10" t="s">
        <v>283</v>
      </c>
    </row>
    <row r="5" spans="1:17" ht="26" x14ac:dyDescent="0.2">
      <c r="A5" s="27" t="s">
        <v>284</v>
      </c>
      <c r="B5" s="28" t="s">
        <v>150</v>
      </c>
      <c r="C5" s="29" t="s">
        <v>285</v>
      </c>
      <c r="D5" s="30"/>
      <c r="E5" s="31">
        <v>1</v>
      </c>
      <c r="F5" s="29" t="s">
        <v>286</v>
      </c>
      <c r="G5" s="32" t="s">
        <v>583</v>
      </c>
      <c r="H5" s="31" t="str">
        <f>IFERROR(INDEX('الإعدادات واللجنة'!$C$24:$C$32,MATCH(LEFT(A5,3),'الإعدادات واللجنة'!$A$24:$A$32,0)),"")</f>
        <v>د. سلطان بن سعيد الشمراني</v>
      </c>
      <c r="I5" s="33"/>
      <c r="J5" s="33"/>
      <c r="K5" s="31" t="str">
        <f t="shared" ref="K5:K68" si="0">IF(OR(I5="",I5="متوفر ومكتمل"),"",IF(OR(D5="★",I5="غير متوفر"),"عالية","متوسطة"))</f>
        <v/>
      </c>
      <c r="L5" s="34"/>
      <c r="M5" s="33"/>
      <c r="N5" s="34"/>
      <c r="O5" s="34"/>
      <c r="P5" s="33"/>
      <c r="Q5" s="34"/>
    </row>
    <row r="6" spans="1:17" ht="24" x14ac:dyDescent="0.2">
      <c r="A6" s="31" t="s">
        <v>284</v>
      </c>
      <c r="B6" s="28" t="s">
        <v>150</v>
      </c>
      <c r="C6" s="29"/>
      <c r="D6" s="30"/>
      <c r="E6" s="31">
        <v>2</v>
      </c>
      <c r="F6" s="29" t="s">
        <v>288</v>
      </c>
      <c r="G6" s="32" t="s">
        <v>583</v>
      </c>
      <c r="H6" s="31" t="str">
        <f>IFERROR(INDEX('الإعدادات واللجنة'!$C$24:$C$32,MATCH(LEFT(A6,3),'الإعدادات واللجنة'!$A$24:$A$32,0)),"")</f>
        <v>د. سلطان بن سعيد الشمراني</v>
      </c>
      <c r="I6" s="33"/>
      <c r="J6" s="33"/>
      <c r="K6" s="31" t="str">
        <f t="shared" si="0"/>
        <v/>
      </c>
      <c r="L6" s="34"/>
      <c r="M6" s="33"/>
      <c r="N6" s="34"/>
      <c r="O6" s="34"/>
      <c r="P6" s="33"/>
      <c r="Q6" s="34"/>
    </row>
    <row r="7" spans="1:17" ht="24" x14ac:dyDescent="0.2">
      <c r="A7" s="31" t="s">
        <v>284</v>
      </c>
      <c r="B7" s="28" t="s">
        <v>150</v>
      </c>
      <c r="C7" s="29"/>
      <c r="D7" s="30"/>
      <c r="E7" s="31">
        <v>3</v>
      </c>
      <c r="F7" s="29" t="s">
        <v>289</v>
      </c>
      <c r="G7" s="32" t="s">
        <v>583</v>
      </c>
      <c r="H7" s="31" t="str">
        <f>IFERROR(INDEX('الإعدادات واللجنة'!$C$24:$C$32,MATCH(LEFT(A7,3),'الإعدادات واللجنة'!$A$24:$A$32,0)),"")</f>
        <v>د. سلطان بن سعيد الشمراني</v>
      </c>
      <c r="I7" s="33"/>
      <c r="J7" s="33"/>
      <c r="K7" s="31" t="str">
        <f t="shared" si="0"/>
        <v/>
      </c>
      <c r="L7" s="34"/>
      <c r="M7" s="33"/>
      <c r="N7" s="34"/>
      <c r="O7" s="34"/>
      <c r="P7" s="33"/>
      <c r="Q7" s="34"/>
    </row>
    <row r="8" spans="1:17" ht="24" x14ac:dyDescent="0.2">
      <c r="A8" s="31" t="s">
        <v>284</v>
      </c>
      <c r="B8" s="28" t="s">
        <v>150</v>
      </c>
      <c r="C8" s="29"/>
      <c r="D8" s="30"/>
      <c r="E8" s="31">
        <v>4</v>
      </c>
      <c r="F8" s="29" t="s">
        <v>290</v>
      </c>
      <c r="G8" s="32" t="s">
        <v>583</v>
      </c>
      <c r="H8" s="31" t="str">
        <f>IFERROR(INDEX('الإعدادات واللجنة'!$C$24:$C$32,MATCH(LEFT(A8,3),'الإعدادات واللجنة'!$A$24:$A$32,0)),"")</f>
        <v>د. سلطان بن سعيد الشمراني</v>
      </c>
      <c r="I8" s="33"/>
      <c r="J8" s="33"/>
      <c r="K8" s="31" t="str">
        <f t="shared" si="0"/>
        <v/>
      </c>
      <c r="L8" s="34"/>
      <c r="M8" s="33"/>
      <c r="N8" s="34"/>
      <c r="O8" s="34"/>
      <c r="P8" s="33"/>
      <c r="Q8" s="34"/>
    </row>
    <row r="9" spans="1:17" ht="26" x14ac:dyDescent="0.2">
      <c r="A9" s="35" t="s">
        <v>291</v>
      </c>
      <c r="B9" s="36" t="s">
        <v>150</v>
      </c>
      <c r="C9" s="37" t="s">
        <v>292</v>
      </c>
      <c r="D9" s="38" t="s">
        <v>293</v>
      </c>
      <c r="E9" s="39">
        <v>1</v>
      </c>
      <c r="F9" s="37" t="s">
        <v>294</v>
      </c>
      <c r="G9" s="40" t="s">
        <v>583</v>
      </c>
      <c r="H9" s="41" t="str">
        <f>IFERROR(INDEX('الإعدادات واللجنة'!$C$24:$C$32,MATCH(LEFT(A9,3),'الإعدادات واللجنة'!$A$24:$A$32,0)),"")</f>
        <v>د. سلطان بن سعيد الشمراني</v>
      </c>
      <c r="I9" s="42"/>
      <c r="J9" s="42"/>
      <c r="K9" s="41" t="str">
        <f t="shared" si="0"/>
        <v/>
      </c>
      <c r="L9" s="43"/>
      <c r="M9" s="42"/>
      <c r="N9" s="43"/>
      <c r="O9" s="43"/>
      <c r="P9" s="42"/>
      <c r="Q9" s="43"/>
    </row>
    <row r="10" spans="1:17" ht="24" x14ac:dyDescent="0.2">
      <c r="A10" s="44" t="s">
        <v>291</v>
      </c>
      <c r="B10" s="45" t="s">
        <v>150</v>
      </c>
      <c r="C10" s="46"/>
      <c r="D10" s="47" t="s">
        <v>293</v>
      </c>
      <c r="E10" s="44">
        <v>2</v>
      </c>
      <c r="F10" s="46" t="s">
        <v>295</v>
      </c>
      <c r="G10" s="32" t="s">
        <v>583</v>
      </c>
      <c r="H10" s="31" t="str">
        <f>IFERROR(INDEX('الإعدادات واللجنة'!$C$24:$C$32,MATCH(LEFT(A10,3),'الإعدادات واللجنة'!$A$24:$A$32,0)),"")</f>
        <v>د. سلطان بن سعيد الشمراني</v>
      </c>
      <c r="I10" s="33"/>
      <c r="J10" s="33"/>
      <c r="K10" s="31" t="str">
        <f t="shared" si="0"/>
        <v/>
      </c>
      <c r="L10" s="34"/>
      <c r="M10" s="33"/>
      <c r="N10" s="34"/>
      <c r="O10" s="34"/>
      <c r="P10" s="33"/>
      <c r="Q10" s="34"/>
    </row>
    <row r="11" spans="1:17" ht="24" x14ac:dyDescent="0.2">
      <c r="A11" s="44" t="s">
        <v>291</v>
      </c>
      <c r="B11" s="45" t="s">
        <v>150</v>
      </c>
      <c r="C11" s="46"/>
      <c r="D11" s="47" t="s">
        <v>293</v>
      </c>
      <c r="E11" s="44">
        <v>3</v>
      </c>
      <c r="F11" s="46" t="s">
        <v>296</v>
      </c>
      <c r="G11" s="32" t="s">
        <v>583</v>
      </c>
      <c r="H11" s="31" t="str">
        <f>IFERROR(INDEX('الإعدادات واللجنة'!$C$24:$C$32,MATCH(LEFT(A11,3),'الإعدادات واللجنة'!$A$24:$A$32,0)),"")</f>
        <v>د. سلطان بن سعيد الشمراني</v>
      </c>
      <c r="I11" s="33"/>
      <c r="J11" s="33"/>
      <c r="K11" s="31" t="str">
        <f t="shared" si="0"/>
        <v/>
      </c>
      <c r="L11" s="34"/>
      <c r="M11" s="33"/>
      <c r="N11" s="34"/>
      <c r="O11" s="34"/>
      <c r="P11" s="33"/>
      <c r="Q11" s="34"/>
    </row>
    <row r="12" spans="1:17" ht="24" x14ac:dyDescent="0.2">
      <c r="A12" s="44" t="s">
        <v>291</v>
      </c>
      <c r="B12" s="45" t="s">
        <v>150</v>
      </c>
      <c r="C12" s="46"/>
      <c r="D12" s="47" t="s">
        <v>293</v>
      </c>
      <c r="E12" s="44">
        <v>4</v>
      </c>
      <c r="F12" s="46" t="s">
        <v>297</v>
      </c>
      <c r="G12" s="32" t="s">
        <v>583</v>
      </c>
      <c r="H12" s="31" t="str">
        <f>IFERROR(INDEX('الإعدادات واللجنة'!$C$24:$C$32,MATCH(LEFT(A12,3),'الإعدادات واللجنة'!$A$24:$A$32,0)),"")</f>
        <v>د. سلطان بن سعيد الشمراني</v>
      </c>
      <c r="I12" s="33"/>
      <c r="J12" s="33"/>
      <c r="K12" s="31" t="str">
        <f t="shared" si="0"/>
        <v/>
      </c>
      <c r="L12" s="34"/>
      <c r="M12" s="33"/>
      <c r="N12" s="34"/>
      <c r="O12" s="34"/>
      <c r="P12" s="33"/>
      <c r="Q12" s="34"/>
    </row>
    <row r="13" spans="1:17" ht="24" x14ac:dyDescent="0.2">
      <c r="A13" s="44" t="s">
        <v>291</v>
      </c>
      <c r="B13" s="45" t="s">
        <v>150</v>
      </c>
      <c r="C13" s="46"/>
      <c r="D13" s="47" t="s">
        <v>293</v>
      </c>
      <c r="E13" s="44">
        <v>5</v>
      </c>
      <c r="F13" s="46" t="s">
        <v>298</v>
      </c>
      <c r="G13" s="32" t="s">
        <v>583</v>
      </c>
      <c r="H13" s="31" t="str">
        <f>IFERROR(INDEX('الإعدادات واللجنة'!$C$24:$C$32,MATCH(LEFT(A13,3),'الإعدادات واللجنة'!$A$24:$A$32,0)),"")</f>
        <v>د. سلطان بن سعيد الشمراني</v>
      </c>
      <c r="I13" s="33"/>
      <c r="J13" s="33"/>
      <c r="K13" s="31" t="str">
        <f t="shared" si="0"/>
        <v/>
      </c>
      <c r="L13" s="34"/>
      <c r="M13" s="33"/>
      <c r="N13" s="34"/>
      <c r="O13" s="34"/>
      <c r="P13" s="33"/>
      <c r="Q13" s="34"/>
    </row>
    <row r="14" spans="1:17" ht="24" x14ac:dyDescent="0.2">
      <c r="A14" s="48" t="s">
        <v>299</v>
      </c>
      <c r="B14" s="49" t="s">
        <v>150</v>
      </c>
      <c r="C14" s="50" t="s">
        <v>300</v>
      </c>
      <c r="D14" s="51"/>
      <c r="E14" s="41">
        <v>1</v>
      </c>
      <c r="F14" s="50" t="s">
        <v>301</v>
      </c>
      <c r="G14" s="40" t="s">
        <v>583</v>
      </c>
      <c r="H14" s="41" t="str">
        <f>IFERROR(INDEX('الإعدادات واللجنة'!$C$24:$C$32,MATCH(LEFT(A14,3),'الإعدادات واللجنة'!$A$24:$A$32,0)),"")</f>
        <v>د. سلطان بن سعيد الشمراني</v>
      </c>
      <c r="I14" s="42"/>
      <c r="J14" s="42"/>
      <c r="K14" s="41" t="str">
        <f t="shared" si="0"/>
        <v/>
      </c>
      <c r="L14" s="43"/>
      <c r="M14" s="42"/>
      <c r="N14" s="43"/>
      <c r="O14" s="43"/>
      <c r="P14" s="42"/>
      <c r="Q14" s="43"/>
    </row>
    <row r="15" spans="1:17" ht="24" x14ac:dyDescent="0.2">
      <c r="A15" s="31" t="s">
        <v>299</v>
      </c>
      <c r="B15" s="28" t="s">
        <v>150</v>
      </c>
      <c r="C15" s="29"/>
      <c r="D15" s="30"/>
      <c r="E15" s="31">
        <v>2</v>
      </c>
      <c r="F15" s="29" t="s">
        <v>302</v>
      </c>
      <c r="G15" s="32" t="s">
        <v>583</v>
      </c>
      <c r="H15" s="31" t="str">
        <f>IFERROR(INDEX('الإعدادات واللجنة'!$C$24:$C$32,MATCH(LEFT(A15,3),'الإعدادات واللجنة'!$A$24:$A$32,0)),"")</f>
        <v>د. سلطان بن سعيد الشمراني</v>
      </c>
      <c r="I15" s="33"/>
      <c r="J15" s="33"/>
      <c r="K15" s="31" t="str">
        <f t="shared" si="0"/>
        <v/>
      </c>
      <c r="L15" s="34"/>
      <c r="M15" s="33"/>
      <c r="N15" s="34"/>
      <c r="O15" s="34"/>
      <c r="P15" s="33"/>
      <c r="Q15" s="34"/>
    </row>
    <row r="16" spans="1:17" ht="24" x14ac:dyDescent="0.2">
      <c r="A16" s="31" t="s">
        <v>299</v>
      </c>
      <c r="B16" s="28" t="s">
        <v>150</v>
      </c>
      <c r="C16" s="29"/>
      <c r="D16" s="30"/>
      <c r="E16" s="31">
        <v>3</v>
      </c>
      <c r="F16" s="29" t="s">
        <v>303</v>
      </c>
      <c r="G16" s="32" t="s">
        <v>583</v>
      </c>
      <c r="H16" s="31" t="str">
        <f>IFERROR(INDEX('الإعدادات واللجنة'!$C$24:$C$32,MATCH(LEFT(A16,3),'الإعدادات واللجنة'!$A$24:$A$32,0)),"")</f>
        <v>د. سلطان بن سعيد الشمراني</v>
      </c>
      <c r="I16" s="33"/>
      <c r="J16" s="33"/>
      <c r="K16" s="31" t="str">
        <f t="shared" si="0"/>
        <v/>
      </c>
      <c r="L16" s="34"/>
      <c r="M16" s="33"/>
      <c r="N16" s="34"/>
      <c r="O16" s="34"/>
      <c r="P16" s="33"/>
      <c r="Q16" s="34"/>
    </row>
    <row r="17" spans="1:17" ht="24" x14ac:dyDescent="0.2">
      <c r="A17" s="31" t="s">
        <v>299</v>
      </c>
      <c r="B17" s="28" t="s">
        <v>150</v>
      </c>
      <c r="C17" s="29"/>
      <c r="D17" s="30"/>
      <c r="E17" s="31">
        <v>4</v>
      </c>
      <c r="F17" s="29" t="s">
        <v>304</v>
      </c>
      <c r="G17" s="32" t="s">
        <v>583</v>
      </c>
      <c r="H17" s="31" t="str">
        <f>IFERROR(INDEX('الإعدادات واللجنة'!$C$24:$C$32,MATCH(LEFT(A17,3),'الإعدادات واللجنة'!$A$24:$A$32,0)),"")</f>
        <v>د. سلطان بن سعيد الشمراني</v>
      </c>
      <c r="I17" s="33"/>
      <c r="J17" s="33"/>
      <c r="K17" s="31" t="str">
        <f t="shared" si="0"/>
        <v/>
      </c>
      <c r="L17" s="34"/>
      <c r="M17" s="33"/>
      <c r="N17" s="34"/>
      <c r="O17" s="34"/>
      <c r="P17" s="33"/>
      <c r="Q17" s="34"/>
    </row>
    <row r="18" spans="1:17" ht="26" x14ac:dyDescent="0.2">
      <c r="A18" s="31" t="s">
        <v>299</v>
      </c>
      <c r="B18" s="28" t="s">
        <v>150</v>
      </c>
      <c r="C18" s="29"/>
      <c r="D18" s="30"/>
      <c r="E18" s="31">
        <v>5</v>
      </c>
      <c r="F18" s="29" t="s">
        <v>305</v>
      </c>
      <c r="G18" s="32" t="s">
        <v>583</v>
      </c>
      <c r="H18" s="31" t="str">
        <f>IFERROR(INDEX('الإعدادات واللجنة'!$C$24:$C$32,MATCH(LEFT(A18,3),'الإعدادات واللجنة'!$A$24:$A$32,0)),"")</f>
        <v>د. سلطان بن سعيد الشمراني</v>
      </c>
      <c r="I18" s="33"/>
      <c r="J18" s="33"/>
      <c r="K18" s="31" t="str">
        <f t="shared" si="0"/>
        <v/>
      </c>
      <c r="L18" s="34"/>
      <c r="M18" s="33"/>
      <c r="N18" s="34"/>
      <c r="O18" s="34"/>
      <c r="P18" s="33"/>
      <c r="Q18" s="34"/>
    </row>
    <row r="19" spans="1:17" ht="26" x14ac:dyDescent="0.2">
      <c r="A19" s="48" t="s">
        <v>306</v>
      </c>
      <c r="B19" s="49" t="s">
        <v>150</v>
      </c>
      <c r="C19" s="50" t="s">
        <v>307</v>
      </c>
      <c r="D19" s="51"/>
      <c r="E19" s="41">
        <v>1</v>
      </c>
      <c r="F19" s="50" t="s">
        <v>308</v>
      </c>
      <c r="G19" s="40" t="s">
        <v>583</v>
      </c>
      <c r="H19" s="41" t="str">
        <f>IFERROR(INDEX('الإعدادات واللجنة'!$C$24:$C$32,MATCH(LEFT(A19,3),'الإعدادات واللجنة'!$A$24:$A$32,0)),"")</f>
        <v>د. سلطان بن سعيد الشمراني</v>
      </c>
      <c r="I19" s="42"/>
      <c r="J19" s="42"/>
      <c r="K19" s="41" t="str">
        <f t="shared" si="0"/>
        <v/>
      </c>
      <c r="L19" s="43"/>
      <c r="M19" s="42"/>
      <c r="N19" s="43"/>
      <c r="O19" s="43"/>
      <c r="P19" s="42"/>
      <c r="Q19" s="43"/>
    </row>
    <row r="20" spans="1:17" ht="24" x14ac:dyDescent="0.2">
      <c r="A20" s="31" t="s">
        <v>306</v>
      </c>
      <c r="B20" s="28" t="s">
        <v>150</v>
      </c>
      <c r="C20" s="29"/>
      <c r="D20" s="30"/>
      <c r="E20" s="31">
        <v>2</v>
      </c>
      <c r="F20" s="29" t="s">
        <v>309</v>
      </c>
      <c r="G20" s="32" t="s">
        <v>583</v>
      </c>
      <c r="H20" s="31" t="str">
        <f>IFERROR(INDEX('الإعدادات واللجنة'!$C$24:$C$32,MATCH(LEFT(A20,3),'الإعدادات واللجنة'!$A$24:$A$32,0)),"")</f>
        <v>د. سلطان بن سعيد الشمراني</v>
      </c>
      <c r="I20" s="33"/>
      <c r="J20" s="33"/>
      <c r="K20" s="31" t="str">
        <f t="shared" si="0"/>
        <v/>
      </c>
      <c r="L20" s="34"/>
      <c r="M20" s="33"/>
      <c r="N20" s="34"/>
      <c r="O20" s="34"/>
      <c r="P20" s="33"/>
      <c r="Q20" s="34"/>
    </row>
    <row r="21" spans="1:17" ht="39" x14ac:dyDescent="0.2">
      <c r="A21" s="48" t="s">
        <v>310</v>
      </c>
      <c r="B21" s="49" t="s">
        <v>150</v>
      </c>
      <c r="C21" s="50" t="s">
        <v>311</v>
      </c>
      <c r="D21" s="51"/>
      <c r="E21" s="41">
        <v>1</v>
      </c>
      <c r="F21" s="50" t="s">
        <v>312</v>
      </c>
      <c r="G21" s="40" t="s">
        <v>583</v>
      </c>
      <c r="H21" s="41" t="str">
        <f>IFERROR(INDEX('الإعدادات واللجنة'!$C$24:$C$32,MATCH(LEFT(A21,3),'الإعدادات واللجنة'!$A$24:$A$32,0)),"")</f>
        <v>د. سلطان بن سعيد الشمراني</v>
      </c>
      <c r="I21" s="42"/>
      <c r="J21" s="42"/>
      <c r="K21" s="41" t="str">
        <f t="shared" si="0"/>
        <v/>
      </c>
      <c r="L21" s="43"/>
      <c r="M21" s="42"/>
      <c r="N21" s="43"/>
      <c r="O21" s="43"/>
      <c r="P21" s="42"/>
      <c r="Q21" s="43"/>
    </row>
    <row r="22" spans="1:17" ht="26" x14ac:dyDescent="0.2">
      <c r="A22" s="31" t="s">
        <v>310</v>
      </c>
      <c r="B22" s="28" t="s">
        <v>150</v>
      </c>
      <c r="C22" s="29"/>
      <c r="D22" s="30"/>
      <c r="E22" s="31">
        <v>2</v>
      </c>
      <c r="F22" s="29" t="s">
        <v>313</v>
      </c>
      <c r="G22" s="32" t="s">
        <v>583</v>
      </c>
      <c r="H22" s="31" t="str">
        <f>IFERROR(INDEX('الإعدادات واللجنة'!$C$24:$C$32,MATCH(LEFT(A22,3),'الإعدادات واللجنة'!$A$24:$A$32,0)),"")</f>
        <v>د. سلطان بن سعيد الشمراني</v>
      </c>
      <c r="I22" s="33"/>
      <c r="J22" s="33"/>
      <c r="K22" s="31" t="str">
        <f t="shared" si="0"/>
        <v/>
      </c>
      <c r="L22" s="34"/>
      <c r="M22" s="33"/>
      <c r="N22" s="34"/>
      <c r="O22" s="34"/>
      <c r="P22" s="33"/>
      <c r="Q22" s="34"/>
    </row>
    <row r="23" spans="1:17" ht="24" x14ac:dyDescent="0.2">
      <c r="A23" s="31" t="s">
        <v>310</v>
      </c>
      <c r="B23" s="28" t="s">
        <v>150</v>
      </c>
      <c r="C23" s="29"/>
      <c r="D23" s="30"/>
      <c r="E23" s="31">
        <v>3</v>
      </c>
      <c r="F23" s="29" t="s">
        <v>314</v>
      </c>
      <c r="G23" s="32" t="s">
        <v>583</v>
      </c>
      <c r="H23" s="31" t="str">
        <f>IFERROR(INDEX('الإعدادات واللجنة'!$C$24:$C$32,MATCH(LEFT(A23,3),'الإعدادات واللجنة'!$A$24:$A$32,0)),"")</f>
        <v>د. سلطان بن سعيد الشمراني</v>
      </c>
      <c r="I23" s="33"/>
      <c r="J23" s="33"/>
      <c r="K23" s="31" t="str">
        <f t="shared" si="0"/>
        <v/>
      </c>
      <c r="L23" s="34"/>
      <c r="M23" s="33"/>
      <c r="N23" s="34"/>
      <c r="O23" s="34"/>
      <c r="P23" s="33"/>
      <c r="Q23" s="34"/>
    </row>
    <row r="24" spans="1:17" ht="26" x14ac:dyDescent="0.2">
      <c r="A24" s="31" t="s">
        <v>310</v>
      </c>
      <c r="B24" s="28" t="s">
        <v>150</v>
      </c>
      <c r="C24" s="29"/>
      <c r="D24" s="30"/>
      <c r="E24" s="31">
        <v>4</v>
      </c>
      <c r="F24" s="29" t="s">
        <v>315</v>
      </c>
      <c r="G24" s="32" t="s">
        <v>583</v>
      </c>
      <c r="H24" s="31" t="str">
        <f>IFERROR(INDEX('الإعدادات واللجنة'!$C$24:$C$32,MATCH(LEFT(A24,3),'الإعدادات واللجنة'!$A$24:$A$32,0)),"")</f>
        <v>د. سلطان بن سعيد الشمراني</v>
      </c>
      <c r="I24" s="33"/>
      <c r="J24" s="33"/>
      <c r="K24" s="31" t="str">
        <f t="shared" si="0"/>
        <v/>
      </c>
      <c r="L24" s="34"/>
      <c r="M24" s="33"/>
      <c r="N24" s="34"/>
      <c r="O24" s="34"/>
      <c r="P24" s="33"/>
      <c r="Q24" s="34"/>
    </row>
    <row r="25" spans="1:17" ht="39" x14ac:dyDescent="0.2">
      <c r="A25" s="48" t="s">
        <v>316</v>
      </c>
      <c r="B25" s="49" t="s">
        <v>150</v>
      </c>
      <c r="C25" s="50" t="s">
        <v>317</v>
      </c>
      <c r="D25" s="51"/>
      <c r="E25" s="41">
        <v>1</v>
      </c>
      <c r="F25" s="50" t="s">
        <v>318</v>
      </c>
      <c r="G25" s="40" t="s">
        <v>583</v>
      </c>
      <c r="H25" s="41" t="str">
        <f>IFERROR(INDEX('الإعدادات واللجنة'!$C$24:$C$32,MATCH(LEFT(A25,3),'الإعدادات واللجنة'!$A$24:$A$32,0)),"")</f>
        <v>د. سلطان بن سعيد الشمراني</v>
      </c>
      <c r="I25" s="42"/>
      <c r="J25" s="42"/>
      <c r="K25" s="41" t="str">
        <f t="shared" si="0"/>
        <v/>
      </c>
      <c r="L25" s="43"/>
      <c r="M25" s="42"/>
      <c r="N25" s="43"/>
      <c r="O25" s="43"/>
      <c r="P25" s="42"/>
      <c r="Q25" s="43"/>
    </row>
    <row r="26" spans="1:17" ht="24" x14ac:dyDescent="0.2">
      <c r="A26" s="31" t="s">
        <v>316</v>
      </c>
      <c r="B26" s="28" t="s">
        <v>150</v>
      </c>
      <c r="C26" s="29"/>
      <c r="D26" s="30"/>
      <c r="E26" s="31">
        <v>2</v>
      </c>
      <c r="F26" s="29" t="s">
        <v>319</v>
      </c>
      <c r="G26" s="32" t="s">
        <v>583</v>
      </c>
      <c r="H26" s="31" t="str">
        <f>IFERROR(INDEX('الإعدادات واللجنة'!$C$24:$C$32,MATCH(LEFT(A26,3),'الإعدادات واللجنة'!$A$24:$A$32,0)),"")</f>
        <v>د. سلطان بن سعيد الشمراني</v>
      </c>
      <c r="I26" s="33"/>
      <c r="J26" s="33"/>
      <c r="K26" s="31" t="str">
        <f t="shared" si="0"/>
        <v/>
      </c>
      <c r="L26" s="34"/>
      <c r="M26" s="33"/>
      <c r="N26" s="34"/>
      <c r="O26" s="34"/>
      <c r="P26" s="33"/>
      <c r="Q26" s="34"/>
    </row>
    <row r="27" spans="1:17" ht="24" x14ac:dyDescent="0.2">
      <c r="A27" s="31" t="s">
        <v>316</v>
      </c>
      <c r="B27" s="28" t="s">
        <v>150</v>
      </c>
      <c r="C27" s="29"/>
      <c r="D27" s="30"/>
      <c r="E27" s="31">
        <v>3</v>
      </c>
      <c r="F27" s="29" t="s">
        <v>320</v>
      </c>
      <c r="G27" s="32" t="s">
        <v>583</v>
      </c>
      <c r="H27" s="31" t="str">
        <f>IFERROR(INDEX('الإعدادات واللجنة'!$C$24:$C$32,MATCH(LEFT(A27,3),'الإعدادات واللجنة'!$A$24:$A$32,0)),"")</f>
        <v>د. سلطان بن سعيد الشمراني</v>
      </c>
      <c r="I27" s="33"/>
      <c r="J27" s="33"/>
      <c r="K27" s="31" t="str">
        <f t="shared" si="0"/>
        <v/>
      </c>
      <c r="L27" s="34"/>
      <c r="M27" s="33"/>
      <c r="N27" s="34"/>
      <c r="O27" s="34"/>
      <c r="P27" s="33"/>
      <c r="Q27" s="34"/>
    </row>
    <row r="28" spans="1:17" ht="26" x14ac:dyDescent="0.2">
      <c r="A28" s="31" t="s">
        <v>316</v>
      </c>
      <c r="B28" s="28" t="s">
        <v>150</v>
      </c>
      <c r="C28" s="29"/>
      <c r="D28" s="30"/>
      <c r="E28" s="31">
        <v>4</v>
      </c>
      <c r="F28" s="29" t="s">
        <v>321</v>
      </c>
      <c r="G28" s="32" t="s">
        <v>583</v>
      </c>
      <c r="H28" s="31" t="str">
        <f>IFERROR(INDEX('الإعدادات واللجنة'!$C$24:$C$32,MATCH(LEFT(A28,3),'الإعدادات واللجنة'!$A$24:$A$32,0)),"")</f>
        <v>د. سلطان بن سعيد الشمراني</v>
      </c>
      <c r="I28" s="33"/>
      <c r="J28" s="33"/>
      <c r="K28" s="31" t="str">
        <f t="shared" si="0"/>
        <v/>
      </c>
      <c r="L28" s="34"/>
      <c r="M28" s="33"/>
      <c r="N28" s="34"/>
      <c r="O28" s="34"/>
      <c r="P28" s="33"/>
      <c r="Q28" s="34"/>
    </row>
    <row r="29" spans="1:17" ht="26" x14ac:dyDescent="0.2">
      <c r="A29" s="48" t="s">
        <v>322</v>
      </c>
      <c r="B29" s="49" t="s">
        <v>150</v>
      </c>
      <c r="C29" s="50" t="s">
        <v>323</v>
      </c>
      <c r="D29" s="51"/>
      <c r="E29" s="41">
        <v>1</v>
      </c>
      <c r="F29" s="50" t="s">
        <v>324</v>
      </c>
      <c r="G29" s="40" t="s">
        <v>583</v>
      </c>
      <c r="H29" s="41" t="str">
        <f>IFERROR(INDEX('الإعدادات واللجنة'!$C$24:$C$32,MATCH(LEFT(A29,3),'الإعدادات واللجنة'!$A$24:$A$32,0)),"")</f>
        <v>د. سلطان بن سعيد الشمراني</v>
      </c>
      <c r="I29" s="42"/>
      <c r="J29" s="42"/>
      <c r="K29" s="41" t="str">
        <f t="shared" si="0"/>
        <v/>
      </c>
      <c r="L29" s="43"/>
      <c r="M29" s="42"/>
      <c r="N29" s="43"/>
      <c r="O29" s="43"/>
      <c r="P29" s="42"/>
      <c r="Q29" s="43"/>
    </row>
    <row r="30" spans="1:17" ht="26" x14ac:dyDescent="0.2">
      <c r="A30" s="31" t="s">
        <v>322</v>
      </c>
      <c r="B30" s="28" t="s">
        <v>150</v>
      </c>
      <c r="C30" s="29"/>
      <c r="D30" s="30"/>
      <c r="E30" s="31">
        <v>2</v>
      </c>
      <c r="F30" s="29" t="s">
        <v>325</v>
      </c>
      <c r="G30" s="32" t="s">
        <v>583</v>
      </c>
      <c r="H30" s="31" t="str">
        <f>IFERROR(INDEX('الإعدادات واللجنة'!$C$24:$C$32,MATCH(LEFT(A30,3),'الإعدادات واللجنة'!$A$24:$A$32,0)),"")</f>
        <v>د. سلطان بن سعيد الشمراني</v>
      </c>
      <c r="I30" s="33"/>
      <c r="J30" s="33"/>
      <c r="K30" s="31" t="str">
        <f t="shared" si="0"/>
        <v/>
      </c>
      <c r="L30" s="34"/>
      <c r="M30" s="33"/>
      <c r="N30" s="34"/>
      <c r="O30" s="34"/>
      <c r="P30" s="33"/>
      <c r="Q30" s="34"/>
    </row>
    <row r="31" spans="1:17" ht="26" x14ac:dyDescent="0.2">
      <c r="A31" s="31" t="s">
        <v>322</v>
      </c>
      <c r="B31" s="28" t="s">
        <v>150</v>
      </c>
      <c r="C31" s="29"/>
      <c r="D31" s="30"/>
      <c r="E31" s="31">
        <v>3</v>
      </c>
      <c r="F31" s="29" t="s">
        <v>326</v>
      </c>
      <c r="G31" s="32" t="s">
        <v>583</v>
      </c>
      <c r="H31" s="31" t="str">
        <f>IFERROR(INDEX('الإعدادات واللجنة'!$C$24:$C$32,MATCH(LEFT(A31,3),'الإعدادات واللجنة'!$A$24:$A$32,0)),"")</f>
        <v>د. سلطان بن سعيد الشمراني</v>
      </c>
      <c r="I31" s="33"/>
      <c r="J31" s="33"/>
      <c r="K31" s="31" t="str">
        <f t="shared" si="0"/>
        <v/>
      </c>
      <c r="L31" s="34"/>
      <c r="M31" s="33"/>
      <c r="N31" s="34"/>
      <c r="O31" s="34"/>
      <c r="P31" s="33"/>
      <c r="Q31" s="34"/>
    </row>
    <row r="32" spans="1:17" ht="24" x14ac:dyDescent="0.2">
      <c r="A32" s="31" t="s">
        <v>322</v>
      </c>
      <c r="B32" s="28" t="s">
        <v>150</v>
      </c>
      <c r="C32" s="29"/>
      <c r="D32" s="30"/>
      <c r="E32" s="31">
        <v>4</v>
      </c>
      <c r="F32" s="29" t="s">
        <v>327</v>
      </c>
      <c r="G32" s="32" t="s">
        <v>583</v>
      </c>
      <c r="H32" s="31" t="str">
        <f>IFERROR(INDEX('الإعدادات واللجنة'!$C$24:$C$32,MATCH(LEFT(A32,3),'الإعدادات واللجنة'!$A$24:$A$32,0)),"")</f>
        <v>د. سلطان بن سعيد الشمراني</v>
      </c>
      <c r="I32" s="33"/>
      <c r="J32" s="33"/>
      <c r="K32" s="31" t="str">
        <f t="shared" si="0"/>
        <v/>
      </c>
      <c r="L32" s="34"/>
      <c r="M32" s="33"/>
      <c r="N32" s="34"/>
      <c r="O32" s="34"/>
      <c r="P32" s="33"/>
      <c r="Q32" s="34"/>
    </row>
    <row r="33" spans="1:17" ht="24" x14ac:dyDescent="0.2">
      <c r="A33" s="31" t="s">
        <v>322</v>
      </c>
      <c r="B33" s="28" t="s">
        <v>150</v>
      </c>
      <c r="C33" s="29"/>
      <c r="D33" s="30"/>
      <c r="E33" s="31">
        <v>5</v>
      </c>
      <c r="F33" s="29" t="s">
        <v>328</v>
      </c>
      <c r="G33" s="32" t="s">
        <v>583</v>
      </c>
      <c r="H33" s="31" t="str">
        <f>IFERROR(INDEX('الإعدادات واللجنة'!$C$24:$C$32,MATCH(LEFT(A33,3),'الإعدادات واللجنة'!$A$24:$A$32,0)),"")</f>
        <v>د. سلطان بن سعيد الشمراني</v>
      </c>
      <c r="I33" s="33"/>
      <c r="J33" s="33"/>
      <c r="K33" s="31" t="str">
        <f t="shared" si="0"/>
        <v/>
      </c>
      <c r="L33" s="34"/>
      <c r="M33" s="33"/>
      <c r="N33" s="34"/>
      <c r="O33" s="34"/>
      <c r="P33" s="33"/>
      <c r="Q33" s="34"/>
    </row>
    <row r="34" spans="1:17" ht="39" x14ac:dyDescent="0.2">
      <c r="A34" s="35" t="s">
        <v>329</v>
      </c>
      <c r="B34" s="36" t="s">
        <v>150</v>
      </c>
      <c r="C34" s="37" t="s">
        <v>330</v>
      </c>
      <c r="D34" s="38" t="s">
        <v>293</v>
      </c>
      <c r="E34" s="39">
        <v>1</v>
      </c>
      <c r="F34" s="37" t="s">
        <v>331</v>
      </c>
      <c r="G34" s="40" t="s">
        <v>583</v>
      </c>
      <c r="H34" s="41" t="str">
        <f>IFERROR(INDEX('الإعدادات واللجنة'!$C$24:$C$32,MATCH(LEFT(A34,3),'الإعدادات واللجنة'!$A$24:$A$32,0)),"")</f>
        <v>د. سلطان بن سعيد الشمراني</v>
      </c>
      <c r="I34" s="42"/>
      <c r="J34" s="42"/>
      <c r="K34" s="41" t="str">
        <f t="shared" si="0"/>
        <v/>
      </c>
      <c r="L34" s="43"/>
      <c r="M34" s="42"/>
      <c r="N34" s="43"/>
      <c r="O34" s="43"/>
      <c r="P34" s="42"/>
      <c r="Q34" s="43"/>
    </row>
    <row r="35" spans="1:17" ht="24" x14ac:dyDescent="0.2">
      <c r="A35" s="44" t="s">
        <v>329</v>
      </c>
      <c r="B35" s="45" t="s">
        <v>150</v>
      </c>
      <c r="C35" s="46"/>
      <c r="D35" s="47" t="s">
        <v>293</v>
      </c>
      <c r="E35" s="44">
        <v>2</v>
      </c>
      <c r="F35" s="46" t="s">
        <v>332</v>
      </c>
      <c r="G35" s="32" t="s">
        <v>583</v>
      </c>
      <c r="H35" s="31" t="str">
        <f>IFERROR(INDEX('الإعدادات واللجنة'!$C$24:$C$32,MATCH(LEFT(A35,3),'الإعدادات واللجنة'!$A$24:$A$32,0)),"")</f>
        <v>د. سلطان بن سعيد الشمراني</v>
      </c>
      <c r="I35" s="33"/>
      <c r="J35" s="33"/>
      <c r="K35" s="31" t="str">
        <f t="shared" si="0"/>
        <v/>
      </c>
      <c r="L35" s="34"/>
      <c r="M35" s="33"/>
      <c r="N35" s="34"/>
      <c r="O35" s="34"/>
      <c r="P35" s="33"/>
      <c r="Q35" s="34"/>
    </row>
    <row r="36" spans="1:17" ht="24" x14ac:dyDescent="0.2">
      <c r="A36" s="44" t="s">
        <v>329</v>
      </c>
      <c r="B36" s="45" t="s">
        <v>150</v>
      </c>
      <c r="C36" s="46"/>
      <c r="D36" s="47" t="s">
        <v>293</v>
      </c>
      <c r="E36" s="44">
        <v>3</v>
      </c>
      <c r="F36" s="46" t="s">
        <v>333</v>
      </c>
      <c r="G36" s="32" t="s">
        <v>583</v>
      </c>
      <c r="H36" s="31" t="str">
        <f>IFERROR(INDEX('الإعدادات واللجنة'!$C$24:$C$32,MATCH(LEFT(A36,3),'الإعدادات واللجنة'!$A$24:$A$32,0)),"")</f>
        <v>د. سلطان بن سعيد الشمراني</v>
      </c>
      <c r="I36" s="33"/>
      <c r="J36" s="33"/>
      <c r="K36" s="31" t="str">
        <f t="shared" si="0"/>
        <v/>
      </c>
      <c r="L36" s="34"/>
      <c r="M36" s="33"/>
      <c r="N36" s="34"/>
      <c r="O36" s="34"/>
      <c r="P36" s="33"/>
      <c r="Q36" s="34"/>
    </row>
    <row r="37" spans="1:17" ht="26" x14ac:dyDescent="0.2">
      <c r="A37" s="44" t="s">
        <v>329</v>
      </c>
      <c r="B37" s="45" t="s">
        <v>150</v>
      </c>
      <c r="C37" s="46"/>
      <c r="D37" s="47" t="s">
        <v>293</v>
      </c>
      <c r="E37" s="44">
        <v>4</v>
      </c>
      <c r="F37" s="46" t="s">
        <v>334</v>
      </c>
      <c r="G37" s="32" t="s">
        <v>583</v>
      </c>
      <c r="H37" s="31" t="str">
        <f>IFERROR(INDEX('الإعدادات واللجنة'!$C$24:$C$32,MATCH(LEFT(A37,3),'الإعدادات واللجنة'!$A$24:$A$32,0)),"")</f>
        <v>د. سلطان بن سعيد الشمراني</v>
      </c>
      <c r="I37" s="33"/>
      <c r="J37" s="33"/>
      <c r="K37" s="31" t="str">
        <f t="shared" si="0"/>
        <v/>
      </c>
      <c r="L37" s="34"/>
      <c r="M37" s="33"/>
      <c r="N37" s="34"/>
      <c r="O37" s="34"/>
      <c r="P37" s="33"/>
      <c r="Q37" s="34"/>
    </row>
    <row r="38" spans="1:17" ht="26" x14ac:dyDescent="0.2">
      <c r="A38" s="44" t="s">
        <v>329</v>
      </c>
      <c r="B38" s="45" t="s">
        <v>150</v>
      </c>
      <c r="C38" s="46"/>
      <c r="D38" s="47" t="s">
        <v>293</v>
      </c>
      <c r="E38" s="44">
        <v>5</v>
      </c>
      <c r="F38" s="46" t="s">
        <v>335</v>
      </c>
      <c r="G38" s="32" t="s">
        <v>583</v>
      </c>
      <c r="H38" s="31" t="str">
        <f>IFERROR(INDEX('الإعدادات واللجنة'!$C$24:$C$32,MATCH(LEFT(A38,3),'الإعدادات واللجنة'!$A$24:$A$32,0)),"")</f>
        <v>د. سلطان بن سعيد الشمراني</v>
      </c>
      <c r="I38" s="33"/>
      <c r="J38" s="33"/>
      <c r="K38" s="31" t="str">
        <f t="shared" si="0"/>
        <v/>
      </c>
      <c r="L38" s="34"/>
      <c r="M38" s="33"/>
      <c r="N38" s="34"/>
      <c r="O38" s="34"/>
      <c r="P38" s="33"/>
      <c r="Q38" s="34"/>
    </row>
    <row r="39" spans="1:17" ht="24" x14ac:dyDescent="0.2">
      <c r="A39" s="44" t="s">
        <v>329</v>
      </c>
      <c r="B39" s="45" t="s">
        <v>150</v>
      </c>
      <c r="C39" s="46"/>
      <c r="D39" s="47" t="s">
        <v>293</v>
      </c>
      <c r="E39" s="44">
        <v>6</v>
      </c>
      <c r="F39" s="46" t="s">
        <v>336</v>
      </c>
      <c r="G39" s="32" t="s">
        <v>583</v>
      </c>
      <c r="H39" s="31" t="str">
        <f>IFERROR(INDEX('الإعدادات واللجنة'!$C$24:$C$32,MATCH(LEFT(A39,3),'الإعدادات واللجنة'!$A$24:$A$32,0)),"")</f>
        <v>د. سلطان بن سعيد الشمراني</v>
      </c>
      <c r="I39" s="33"/>
      <c r="J39" s="33"/>
      <c r="K39" s="31" t="str">
        <f t="shared" si="0"/>
        <v/>
      </c>
      <c r="L39" s="34"/>
      <c r="M39" s="33"/>
      <c r="N39" s="34"/>
      <c r="O39" s="34"/>
      <c r="P39" s="33"/>
      <c r="Q39" s="34"/>
    </row>
    <row r="40" spans="1:17" ht="26" x14ac:dyDescent="0.2">
      <c r="A40" s="48" t="s">
        <v>337</v>
      </c>
      <c r="B40" s="49" t="s">
        <v>150</v>
      </c>
      <c r="C40" s="50" t="s">
        <v>338</v>
      </c>
      <c r="D40" s="51"/>
      <c r="E40" s="41">
        <v>1</v>
      </c>
      <c r="F40" s="50" t="s">
        <v>339</v>
      </c>
      <c r="G40" s="40" t="s">
        <v>583</v>
      </c>
      <c r="H40" s="41" t="str">
        <f>IFERROR(INDEX('الإعدادات واللجنة'!$C$24:$C$32,MATCH(LEFT(A40,3),'الإعدادات واللجنة'!$A$24:$A$32,0)),"")</f>
        <v>د. سلطان بن سعيد الشمراني</v>
      </c>
      <c r="I40" s="42"/>
      <c r="J40" s="42"/>
      <c r="K40" s="41" t="str">
        <f t="shared" si="0"/>
        <v/>
      </c>
      <c r="L40" s="43"/>
      <c r="M40" s="42"/>
      <c r="N40" s="43"/>
      <c r="O40" s="43"/>
      <c r="P40" s="42"/>
      <c r="Q40" s="43"/>
    </row>
    <row r="41" spans="1:17" ht="24" x14ac:dyDescent="0.2">
      <c r="A41" s="31" t="s">
        <v>337</v>
      </c>
      <c r="B41" s="28" t="s">
        <v>150</v>
      </c>
      <c r="C41" s="29"/>
      <c r="D41" s="30"/>
      <c r="E41" s="31">
        <v>2</v>
      </c>
      <c r="F41" s="29" t="s">
        <v>340</v>
      </c>
      <c r="G41" s="32" t="s">
        <v>583</v>
      </c>
      <c r="H41" s="31" t="str">
        <f>IFERROR(INDEX('الإعدادات واللجنة'!$C$24:$C$32,MATCH(LEFT(A41,3),'الإعدادات واللجنة'!$A$24:$A$32,0)),"")</f>
        <v>د. سلطان بن سعيد الشمراني</v>
      </c>
      <c r="I41" s="33"/>
      <c r="J41" s="33"/>
      <c r="K41" s="31" t="str">
        <f t="shared" si="0"/>
        <v/>
      </c>
      <c r="L41" s="34"/>
      <c r="M41" s="33"/>
      <c r="N41" s="34"/>
      <c r="O41" s="34"/>
      <c r="P41" s="33"/>
      <c r="Q41" s="34"/>
    </row>
    <row r="42" spans="1:17" ht="24" x14ac:dyDescent="0.2">
      <c r="A42" s="31" t="s">
        <v>337</v>
      </c>
      <c r="B42" s="28" t="s">
        <v>150</v>
      </c>
      <c r="C42" s="29"/>
      <c r="D42" s="30"/>
      <c r="E42" s="31">
        <v>3</v>
      </c>
      <c r="F42" s="29" t="s">
        <v>341</v>
      </c>
      <c r="G42" s="32" t="s">
        <v>583</v>
      </c>
      <c r="H42" s="31" t="str">
        <f>IFERROR(INDEX('الإعدادات واللجنة'!$C$24:$C$32,MATCH(LEFT(A42,3),'الإعدادات واللجنة'!$A$24:$A$32,0)),"")</f>
        <v>د. سلطان بن سعيد الشمراني</v>
      </c>
      <c r="I42" s="33"/>
      <c r="J42" s="33"/>
      <c r="K42" s="31" t="str">
        <f t="shared" si="0"/>
        <v/>
      </c>
      <c r="L42" s="34"/>
      <c r="M42" s="33"/>
      <c r="N42" s="34"/>
      <c r="O42" s="34"/>
      <c r="P42" s="33"/>
      <c r="Q42" s="34"/>
    </row>
    <row r="43" spans="1:17" ht="24" x14ac:dyDescent="0.2">
      <c r="A43" s="31" t="s">
        <v>337</v>
      </c>
      <c r="B43" s="28" t="s">
        <v>150</v>
      </c>
      <c r="C43" s="29"/>
      <c r="D43" s="30"/>
      <c r="E43" s="31">
        <v>4</v>
      </c>
      <c r="F43" s="29" t="s">
        <v>342</v>
      </c>
      <c r="G43" s="32" t="s">
        <v>583</v>
      </c>
      <c r="H43" s="31" t="str">
        <f>IFERROR(INDEX('الإعدادات واللجنة'!$C$24:$C$32,MATCH(LEFT(A43,3),'الإعدادات واللجنة'!$A$24:$A$32,0)),"")</f>
        <v>د. سلطان بن سعيد الشمراني</v>
      </c>
      <c r="I43" s="33"/>
      <c r="J43" s="33"/>
      <c r="K43" s="31" t="str">
        <f t="shared" si="0"/>
        <v/>
      </c>
      <c r="L43" s="34"/>
      <c r="M43" s="33"/>
      <c r="N43" s="34"/>
      <c r="O43" s="34"/>
      <c r="P43" s="33"/>
      <c r="Q43" s="34"/>
    </row>
    <row r="44" spans="1:17" ht="26" x14ac:dyDescent="0.2">
      <c r="A44" s="48" t="s">
        <v>343</v>
      </c>
      <c r="B44" s="49" t="s">
        <v>150</v>
      </c>
      <c r="C44" s="50" t="s">
        <v>344</v>
      </c>
      <c r="D44" s="51"/>
      <c r="E44" s="41">
        <v>1</v>
      </c>
      <c r="F44" s="50" t="s">
        <v>345</v>
      </c>
      <c r="G44" s="40" t="s">
        <v>583</v>
      </c>
      <c r="H44" s="41" t="str">
        <f>IFERROR(INDEX('الإعدادات واللجنة'!$C$24:$C$32,MATCH(LEFT(A44,3),'الإعدادات واللجنة'!$A$24:$A$32,0)),"")</f>
        <v>د. حسن بن سعد القحطاني</v>
      </c>
      <c r="I44" s="42"/>
      <c r="J44" s="42"/>
      <c r="K44" s="41" t="str">
        <f t="shared" si="0"/>
        <v/>
      </c>
      <c r="L44" s="43"/>
      <c r="M44" s="42"/>
      <c r="N44" s="43"/>
      <c r="O44" s="43"/>
      <c r="P44" s="42"/>
      <c r="Q44" s="43"/>
    </row>
    <row r="45" spans="1:17" ht="24" x14ac:dyDescent="0.2">
      <c r="A45" s="31" t="s">
        <v>343</v>
      </c>
      <c r="B45" s="28" t="s">
        <v>150</v>
      </c>
      <c r="C45" s="29"/>
      <c r="D45" s="30"/>
      <c r="E45" s="31">
        <v>2</v>
      </c>
      <c r="F45" s="29" t="s">
        <v>346</v>
      </c>
      <c r="G45" s="32" t="s">
        <v>583</v>
      </c>
      <c r="H45" s="31" t="str">
        <f>IFERROR(INDEX('الإعدادات واللجنة'!$C$24:$C$32,MATCH(LEFT(A45,3),'الإعدادات واللجنة'!$A$24:$A$32,0)),"")</f>
        <v>د. حسن بن سعد القحطاني</v>
      </c>
      <c r="I45" s="33"/>
      <c r="J45" s="33"/>
      <c r="K45" s="31" t="str">
        <f t="shared" si="0"/>
        <v/>
      </c>
      <c r="L45" s="34"/>
      <c r="M45" s="33"/>
      <c r="N45" s="34"/>
      <c r="O45" s="34"/>
      <c r="P45" s="33"/>
      <c r="Q45" s="34"/>
    </row>
    <row r="46" spans="1:17" ht="24" x14ac:dyDescent="0.2">
      <c r="A46" s="31" t="s">
        <v>343</v>
      </c>
      <c r="B46" s="28" t="s">
        <v>150</v>
      </c>
      <c r="C46" s="29"/>
      <c r="D46" s="30"/>
      <c r="E46" s="31">
        <v>3</v>
      </c>
      <c r="F46" s="29" t="s">
        <v>347</v>
      </c>
      <c r="G46" s="32" t="s">
        <v>583</v>
      </c>
      <c r="H46" s="31" t="str">
        <f>IFERROR(INDEX('الإعدادات واللجنة'!$C$24:$C$32,MATCH(LEFT(A46,3),'الإعدادات واللجنة'!$A$24:$A$32,0)),"")</f>
        <v>د. حسن بن سعد القحطاني</v>
      </c>
      <c r="I46" s="33"/>
      <c r="J46" s="33"/>
      <c r="K46" s="31" t="str">
        <f t="shared" si="0"/>
        <v/>
      </c>
      <c r="L46" s="34"/>
      <c r="M46" s="33"/>
      <c r="N46" s="34"/>
      <c r="O46" s="34"/>
      <c r="P46" s="33"/>
      <c r="Q46" s="34"/>
    </row>
    <row r="47" spans="1:17" ht="24" x14ac:dyDescent="0.2">
      <c r="A47" s="31" t="s">
        <v>343</v>
      </c>
      <c r="B47" s="28" t="s">
        <v>150</v>
      </c>
      <c r="C47" s="29"/>
      <c r="D47" s="30"/>
      <c r="E47" s="31">
        <v>4</v>
      </c>
      <c r="F47" s="29" t="s">
        <v>348</v>
      </c>
      <c r="G47" s="32" t="s">
        <v>583</v>
      </c>
      <c r="H47" s="31" t="str">
        <f>IFERROR(INDEX('الإعدادات واللجنة'!$C$24:$C$32,MATCH(LEFT(A47,3),'الإعدادات واللجنة'!$A$24:$A$32,0)),"")</f>
        <v>د. حسن بن سعد القحطاني</v>
      </c>
      <c r="I47" s="33"/>
      <c r="J47" s="33"/>
      <c r="K47" s="31" t="str">
        <f t="shared" si="0"/>
        <v/>
      </c>
      <c r="L47" s="34"/>
      <c r="M47" s="33"/>
      <c r="N47" s="34"/>
      <c r="O47" s="34"/>
      <c r="P47" s="33"/>
      <c r="Q47" s="34"/>
    </row>
    <row r="48" spans="1:17" ht="26" x14ac:dyDescent="0.2">
      <c r="A48" s="35" t="s">
        <v>349</v>
      </c>
      <c r="B48" s="36" t="s">
        <v>150</v>
      </c>
      <c r="C48" s="37" t="s">
        <v>350</v>
      </c>
      <c r="D48" s="38" t="s">
        <v>293</v>
      </c>
      <c r="E48" s="39">
        <v>1</v>
      </c>
      <c r="F48" s="37" t="s">
        <v>351</v>
      </c>
      <c r="G48" s="40" t="s">
        <v>583</v>
      </c>
      <c r="H48" s="41" t="str">
        <f>IFERROR(INDEX('الإعدادات واللجنة'!$C$24:$C$32,MATCH(LEFT(A48,3),'الإعدادات واللجنة'!$A$24:$A$32,0)),"")</f>
        <v>د. حسن بن سعد القحطاني</v>
      </c>
      <c r="I48" s="42"/>
      <c r="J48" s="42"/>
      <c r="K48" s="41" t="str">
        <f t="shared" si="0"/>
        <v/>
      </c>
      <c r="L48" s="43"/>
      <c r="M48" s="42"/>
      <c r="N48" s="43"/>
      <c r="O48" s="43"/>
      <c r="P48" s="42"/>
      <c r="Q48" s="43"/>
    </row>
    <row r="49" spans="1:17" ht="26" x14ac:dyDescent="0.2">
      <c r="A49" s="44" t="s">
        <v>349</v>
      </c>
      <c r="B49" s="45" t="s">
        <v>150</v>
      </c>
      <c r="C49" s="46"/>
      <c r="D49" s="47" t="s">
        <v>293</v>
      </c>
      <c r="E49" s="44">
        <v>2</v>
      </c>
      <c r="F49" s="46" t="s">
        <v>352</v>
      </c>
      <c r="G49" s="32" t="s">
        <v>583</v>
      </c>
      <c r="H49" s="31" t="str">
        <f>IFERROR(INDEX('الإعدادات واللجنة'!$C$24:$C$32,MATCH(LEFT(A49,3),'الإعدادات واللجنة'!$A$24:$A$32,0)),"")</f>
        <v>د. حسن بن سعد القحطاني</v>
      </c>
      <c r="I49" s="33"/>
      <c r="J49" s="33"/>
      <c r="K49" s="31" t="str">
        <f t="shared" si="0"/>
        <v/>
      </c>
      <c r="L49" s="34"/>
      <c r="M49" s="33"/>
      <c r="N49" s="34"/>
      <c r="O49" s="34"/>
      <c r="P49" s="33"/>
      <c r="Q49" s="34"/>
    </row>
    <row r="50" spans="1:17" ht="24" x14ac:dyDescent="0.2">
      <c r="A50" s="44" t="s">
        <v>349</v>
      </c>
      <c r="B50" s="45" t="s">
        <v>150</v>
      </c>
      <c r="C50" s="46"/>
      <c r="D50" s="47" t="s">
        <v>293</v>
      </c>
      <c r="E50" s="44">
        <v>3</v>
      </c>
      <c r="F50" s="46" t="s">
        <v>353</v>
      </c>
      <c r="G50" s="32" t="s">
        <v>583</v>
      </c>
      <c r="H50" s="31" t="str">
        <f>IFERROR(INDEX('الإعدادات واللجنة'!$C$24:$C$32,MATCH(LEFT(A50,3),'الإعدادات واللجنة'!$A$24:$A$32,0)),"")</f>
        <v>د. حسن بن سعد القحطاني</v>
      </c>
      <c r="I50" s="33"/>
      <c r="J50" s="33"/>
      <c r="K50" s="31" t="str">
        <f t="shared" si="0"/>
        <v/>
      </c>
      <c r="L50" s="34"/>
      <c r="M50" s="33"/>
      <c r="N50" s="34"/>
      <c r="O50" s="34"/>
      <c r="P50" s="33"/>
      <c r="Q50" s="34"/>
    </row>
    <row r="51" spans="1:17" ht="24" x14ac:dyDescent="0.2">
      <c r="A51" s="48" t="s">
        <v>354</v>
      </c>
      <c r="B51" s="49" t="s">
        <v>150</v>
      </c>
      <c r="C51" s="50" t="s">
        <v>355</v>
      </c>
      <c r="D51" s="51"/>
      <c r="E51" s="41">
        <v>1</v>
      </c>
      <c r="F51" s="50" t="s">
        <v>356</v>
      </c>
      <c r="G51" s="40" t="s">
        <v>583</v>
      </c>
      <c r="H51" s="41" t="str">
        <f>IFERROR(INDEX('الإعدادات واللجنة'!$C$24:$C$32,MATCH(LEFT(A51,3),'الإعدادات واللجنة'!$A$24:$A$32,0)),"")</f>
        <v>د. حسن بن سعد القحطاني</v>
      </c>
      <c r="I51" s="42"/>
      <c r="J51" s="42"/>
      <c r="K51" s="41" t="str">
        <f t="shared" si="0"/>
        <v/>
      </c>
      <c r="L51" s="43"/>
      <c r="M51" s="42"/>
      <c r="N51" s="43"/>
      <c r="O51" s="43"/>
      <c r="P51" s="42"/>
      <c r="Q51" s="43"/>
    </row>
    <row r="52" spans="1:17" ht="24" x14ac:dyDescent="0.2">
      <c r="A52" s="31" t="s">
        <v>354</v>
      </c>
      <c r="B52" s="28" t="s">
        <v>150</v>
      </c>
      <c r="C52" s="29"/>
      <c r="D52" s="30"/>
      <c r="E52" s="31">
        <v>2</v>
      </c>
      <c r="F52" s="29" t="s">
        <v>357</v>
      </c>
      <c r="G52" s="32" t="s">
        <v>583</v>
      </c>
      <c r="H52" s="31" t="str">
        <f>IFERROR(INDEX('الإعدادات واللجنة'!$C$24:$C$32,MATCH(LEFT(A52,3),'الإعدادات واللجنة'!$A$24:$A$32,0)),"")</f>
        <v>د. حسن بن سعد القحطاني</v>
      </c>
      <c r="I52" s="33"/>
      <c r="J52" s="33"/>
      <c r="K52" s="31" t="str">
        <f t="shared" si="0"/>
        <v/>
      </c>
      <c r="L52" s="34"/>
      <c r="M52" s="33"/>
      <c r="N52" s="34"/>
      <c r="O52" s="34"/>
      <c r="P52" s="33"/>
      <c r="Q52" s="34"/>
    </row>
    <row r="53" spans="1:17" ht="24" x14ac:dyDescent="0.2">
      <c r="A53" s="31" t="s">
        <v>354</v>
      </c>
      <c r="B53" s="28" t="s">
        <v>150</v>
      </c>
      <c r="C53" s="29"/>
      <c r="D53" s="30"/>
      <c r="E53" s="31">
        <v>3</v>
      </c>
      <c r="F53" s="29" t="s">
        <v>358</v>
      </c>
      <c r="G53" s="32" t="s">
        <v>583</v>
      </c>
      <c r="H53" s="31" t="str">
        <f>IFERROR(INDEX('الإعدادات واللجنة'!$C$24:$C$32,MATCH(LEFT(A53,3),'الإعدادات واللجنة'!$A$24:$A$32,0)),"")</f>
        <v>د. حسن بن سعد القحطاني</v>
      </c>
      <c r="I53" s="33"/>
      <c r="J53" s="33"/>
      <c r="K53" s="31" t="str">
        <f t="shared" si="0"/>
        <v/>
      </c>
      <c r="L53" s="34"/>
      <c r="M53" s="33"/>
      <c r="N53" s="34"/>
      <c r="O53" s="34"/>
      <c r="P53" s="33"/>
      <c r="Q53" s="34"/>
    </row>
    <row r="54" spans="1:17" ht="24" x14ac:dyDescent="0.2">
      <c r="A54" s="31" t="s">
        <v>354</v>
      </c>
      <c r="B54" s="28" t="s">
        <v>150</v>
      </c>
      <c r="C54" s="29"/>
      <c r="D54" s="30"/>
      <c r="E54" s="31">
        <v>4</v>
      </c>
      <c r="F54" s="29" t="s">
        <v>359</v>
      </c>
      <c r="G54" s="32" t="s">
        <v>583</v>
      </c>
      <c r="H54" s="31" t="str">
        <f>IFERROR(INDEX('الإعدادات واللجنة'!$C$24:$C$32,MATCH(LEFT(A54,3),'الإعدادات واللجنة'!$A$24:$A$32,0)),"")</f>
        <v>د. حسن بن سعد القحطاني</v>
      </c>
      <c r="I54" s="33"/>
      <c r="J54" s="33"/>
      <c r="K54" s="31" t="str">
        <f t="shared" si="0"/>
        <v/>
      </c>
      <c r="L54" s="34"/>
      <c r="M54" s="33"/>
      <c r="N54" s="34"/>
      <c r="O54" s="34"/>
      <c r="P54" s="33"/>
      <c r="Q54" s="34"/>
    </row>
    <row r="55" spans="1:17" ht="24" x14ac:dyDescent="0.2">
      <c r="A55" s="31" t="s">
        <v>354</v>
      </c>
      <c r="B55" s="28" t="s">
        <v>150</v>
      </c>
      <c r="C55" s="29"/>
      <c r="D55" s="30"/>
      <c r="E55" s="31">
        <v>5</v>
      </c>
      <c r="F55" s="29" t="s">
        <v>360</v>
      </c>
      <c r="G55" s="32" t="s">
        <v>583</v>
      </c>
      <c r="H55" s="31" t="str">
        <f>IFERROR(INDEX('الإعدادات واللجنة'!$C$24:$C$32,MATCH(LEFT(A55,3),'الإعدادات واللجنة'!$A$24:$A$32,0)),"")</f>
        <v>د. حسن بن سعد القحطاني</v>
      </c>
      <c r="I55" s="33"/>
      <c r="J55" s="33"/>
      <c r="K55" s="31" t="str">
        <f t="shared" si="0"/>
        <v/>
      </c>
      <c r="L55" s="34"/>
      <c r="M55" s="33"/>
      <c r="N55" s="34"/>
      <c r="O55" s="34"/>
      <c r="P55" s="33"/>
      <c r="Q55" s="34"/>
    </row>
    <row r="56" spans="1:17" ht="24" x14ac:dyDescent="0.2">
      <c r="A56" s="31" t="s">
        <v>354</v>
      </c>
      <c r="B56" s="28" t="s">
        <v>150</v>
      </c>
      <c r="C56" s="29"/>
      <c r="D56" s="30"/>
      <c r="E56" s="31">
        <v>6</v>
      </c>
      <c r="F56" s="29" t="s">
        <v>361</v>
      </c>
      <c r="G56" s="32" t="s">
        <v>583</v>
      </c>
      <c r="H56" s="31" t="str">
        <f>IFERROR(INDEX('الإعدادات واللجنة'!$C$24:$C$32,MATCH(LEFT(A56,3),'الإعدادات واللجنة'!$A$24:$A$32,0)),"")</f>
        <v>د. حسن بن سعد القحطاني</v>
      </c>
      <c r="I56" s="33"/>
      <c r="J56" s="33"/>
      <c r="K56" s="31" t="str">
        <f t="shared" si="0"/>
        <v/>
      </c>
      <c r="L56" s="34"/>
      <c r="M56" s="33"/>
      <c r="N56" s="34"/>
      <c r="O56" s="34"/>
      <c r="P56" s="33"/>
      <c r="Q56" s="34"/>
    </row>
    <row r="57" spans="1:17" ht="26" x14ac:dyDescent="0.2">
      <c r="A57" s="48" t="s">
        <v>362</v>
      </c>
      <c r="B57" s="49" t="s">
        <v>151</v>
      </c>
      <c r="C57" s="50" t="s">
        <v>363</v>
      </c>
      <c r="D57" s="51"/>
      <c r="E57" s="41">
        <v>1</v>
      </c>
      <c r="F57" s="50" t="s">
        <v>364</v>
      </c>
      <c r="G57" s="40" t="s">
        <v>583</v>
      </c>
      <c r="H57" s="41" t="str">
        <f>IFERROR(INDEX('الإعدادات واللجنة'!$C$24:$C$32,MATCH(LEFT(A57,3),'الإعدادات واللجنة'!$A$24:$A$32,0)),"")</f>
        <v>د. احمد بن عوض البشري</v>
      </c>
      <c r="I57" s="42"/>
      <c r="J57" s="42"/>
      <c r="K57" s="41" t="str">
        <f t="shared" si="0"/>
        <v/>
      </c>
      <c r="L57" s="43"/>
      <c r="M57" s="42"/>
      <c r="N57" s="43"/>
      <c r="O57" s="43"/>
      <c r="P57" s="42"/>
      <c r="Q57" s="43"/>
    </row>
    <row r="58" spans="1:17" x14ac:dyDescent="0.2">
      <c r="A58" s="31" t="s">
        <v>362</v>
      </c>
      <c r="B58" s="28" t="s">
        <v>151</v>
      </c>
      <c r="C58" s="29"/>
      <c r="D58" s="30"/>
      <c r="E58" s="31">
        <v>2</v>
      </c>
      <c r="F58" s="29" t="s">
        <v>365</v>
      </c>
      <c r="G58" s="32" t="s">
        <v>583</v>
      </c>
      <c r="H58" s="31" t="str">
        <f>IFERROR(INDEX('الإعدادات واللجنة'!$C$24:$C$32,MATCH(LEFT(A58,3),'الإعدادات واللجنة'!$A$24:$A$32,0)),"")</f>
        <v>د. احمد بن عوض البشري</v>
      </c>
      <c r="I58" s="33"/>
      <c r="J58" s="33"/>
      <c r="K58" s="31" t="str">
        <f t="shared" si="0"/>
        <v/>
      </c>
      <c r="L58" s="34"/>
      <c r="M58" s="33"/>
      <c r="N58" s="34"/>
      <c r="O58" s="34"/>
      <c r="P58" s="33"/>
      <c r="Q58" s="34"/>
    </row>
    <row r="59" spans="1:17" ht="26" x14ac:dyDescent="0.2">
      <c r="A59" s="31" t="s">
        <v>362</v>
      </c>
      <c r="B59" s="28" t="s">
        <v>151</v>
      </c>
      <c r="C59" s="29"/>
      <c r="D59" s="30"/>
      <c r="E59" s="31">
        <v>3</v>
      </c>
      <c r="F59" s="29" t="s">
        <v>366</v>
      </c>
      <c r="G59" s="32" t="s">
        <v>583</v>
      </c>
      <c r="H59" s="31" t="str">
        <f>IFERROR(INDEX('الإعدادات واللجنة'!$C$24:$C$32,MATCH(LEFT(A59,3),'الإعدادات واللجنة'!$A$24:$A$32,0)),"")</f>
        <v>د. احمد بن عوض البشري</v>
      </c>
      <c r="I59" s="33"/>
      <c r="J59" s="33"/>
      <c r="K59" s="31" t="str">
        <f t="shared" si="0"/>
        <v/>
      </c>
      <c r="L59" s="34"/>
      <c r="M59" s="33"/>
      <c r="N59" s="34"/>
      <c r="O59" s="34"/>
      <c r="P59" s="33"/>
      <c r="Q59" s="34"/>
    </row>
    <row r="60" spans="1:17" x14ac:dyDescent="0.2">
      <c r="A60" s="31" t="s">
        <v>362</v>
      </c>
      <c r="B60" s="28" t="s">
        <v>151</v>
      </c>
      <c r="C60" s="29"/>
      <c r="D60" s="30"/>
      <c r="E60" s="31">
        <v>4</v>
      </c>
      <c r="F60" s="29" t="s">
        <v>367</v>
      </c>
      <c r="G60" s="32" t="s">
        <v>583</v>
      </c>
      <c r="H60" s="31" t="str">
        <f>IFERROR(INDEX('الإعدادات واللجنة'!$C$24:$C$32,MATCH(LEFT(A60,3),'الإعدادات واللجنة'!$A$24:$A$32,0)),"")</f>
        <v>د. احمد بن عوض البشري</v>
      </c>
      <c r="I60" s="33"/>
      <c r="J60" s="33"/>
      <c r="K60" s="31" t="str">
        <f t="shared" si="0"/>
        <v/>
      </c>
      <c r="L60" s="34"/>
      <c r="M60" s="33"/>
      <c r="N60" s="34"/>
      <c r="O60" s="34"/>
      <c r="P60" s="33"/>
      <c r="Q60" s="34"/>
    </row>
    <row r="61" spans="1:17" x14ac:dyDescent="0.2">
      <c r="A61" s="31" t="s">
        <v>362</v>
      </c>
      <c r="B61" s="28" t="s">
        <v>151</v>
      </c>
      <c r="C61" s="29"/>
      <c r="D61" s="30"/>
      <c r="E61" s="31">
        <v>5</v>
      </c>
      <c r="F61" s="29" t="s">
        <v>368</v>
      </c>
      <c r="G61" s="32" t="s">
        <v>583</v>
      </c>
      <c r="H61" s="31" t="str">
        <f>IFERROR(INDEX('الإعدادات واللجنة'!$C$24:$C$32,MATCH(LEFT(A61,3),'الإعدادات واللجنة'!$A$24:$A$32,0)),"")</f>
        <v>د. احمد بن عوض البشري</v>
      </c>
      <c r="I61" s="33"/>
      <c r="J61" s="33"/>
      <c r="K61" s="31" t="str">
        <f t="shared" si="0"/>
        <v/>
      </c>
      <c r="L61" s="34"/>
      <c r="M61" s="33"/>
      <c r="N61" s="34"/>
      <c r="O61" s="34"/>
      <c r="P61" s="33"/>
      <c r="Q61" s="34"/>
    </row>
    <row r="62" spans="1:17" x14ac:dyDescent="0.2">
      <c r="A62" s="31" t="s">
        <v>362</v>
      </c>
      <c r="B62" s="28" t="s">
        <v>151</v>
      </c>
      <c r="C62" s="29"/>
      <c r="D62" s="30"/>
      <c r="E62" s="31">
        <v>6</v>
      </c>
      <c r="F62" s="29" t="s">
        <v>369</v>
      </c>
      <c r="G62" s="32" t="s">
        <v>583</v>
      </c>
      <c r="H62" s="31" t="str">
        <f>IFERROR(INDEX('الإعدادات واللجنة'!$C$24:$C$32,MATCH(LEFT(A62,3),'الإعدادات واللجنة'!$A$24:$A$32,0)),"")</f>
        <v>د. احمد بن عوض البشري</v>
      </c>
      <c r="I62" s="33"/>
      <c r="J62" s="33"/>
      <c r="K62" s="31" t="str">
        <f t="shared" si="0"/>
        <v/>
      </c>
      <c r="L62" s="34"/>
      <c r="M62" s="33"/>
      <c r="N62" s="34"/>
      <c r="O62" s="34"/>
      <c r="P62" s="33"/>
      <c r="Q62" s="34"/>
    </row>
    <row r="63" spans="1:17" x14ac:dyDescent="0.2">
      <c r="A63" s="31" t="s">
        <v>362</v>
      </c>
      <c r="B63" s="28" t="s">
        <v>151</v>
      </c>
      <c r="C63" s="29"/>
      <c r="D63" s="30"/>
      <c r="E63" s="31">
        <v>7</v>
      </c>
      <c r="F63" s="29" t="s">
        <v>370</v>
      </c>
      <c r="G63" s="32" t="s">
        <v>583</v>
      </c>
      <c r="H63" s="31" t="str">
        <f>IFERROR(INDEX('الإعدادات واللجنة'!$C$24:$C$32,MATCH(LEFT(A63,3),'الإعدادات واللجنة'!$A$24:$A$32,0)),"")</f>
        <v>د. احمد بن عوض البشري</v>
      </c>
      <c r="I63" s="33"/>
      <c r="J63" s="33"/>
      <c r="K63" s="31" t="str">
        <f t="shared" si="0"/>
        <v/>
      </c>
      <c r="L63" s="34"/>
      <c r="M63" s="33"/>
      <c r="N63" s="34"/>
      <c r="O63" s="34"/>
      <c r="P63" s="33"/>
      <c r="Q63" s="34"/>
    </row>
    <row r="64" spans="1:17" x14ac:dyDescent="0.2">
      <c r="A64" s="31" t="s">
        <v>362</v>
      </c>
      <c r="B64" s="28" t="s">
        <v>151</v>
      </c>
      <c r="C64" s="29"/>
      <c r="D64" s="30"/>
      <c r="E64" s="31">
        <v>8</v>
      </c>
      <c r="F64" s="29" t="s">
        <v>371</v>
      </c>
      <c r="G64" s="32" t="s">
        <v>583</v>
      </c>
      <c r="H64" s="31" t="str">
        <f>IFERROR(INDEX('الإعدادات واللجنة'!$C$24:$C$32,MATCH(LEFT(A64,3),'الإعدادات واللجنة'!$A$24:$A$32,0)),"")</f>
        <v>د. احمد بن عوض البشري</v>
      </c>
      <c r="I64" s="33"/>
      <c r="J64" s="33"/>
      <c r="K64" s="31" t="str">
        <f t="shared" si="0"/>
        <v/>
      </c>
      <c r="L64" s="34"/>
      <c r="M64" s="33"/>
      <c r="N64" s="34"/>
      <c r="O64" s="34"/>
      <c r="P64" s="33"/>
      <c r="Q64" s="34"/>
    </row>
    <row r="65" spans="1:17" ht="26" x14ac:dyDescent="0.2">
      <c r="A65" s="31" t="s">
        <v>362</v>
      </c>
      <c r="B65" s="28" t="s">
        <v>151</v>
      </c>
      <c r="C65" s="29"/>
      <c r="D65" s="30"/>
      <c r="E65" s="31">
        <v>9</v>
      </c>
      <c r="F65" s="29" t="s">
        <v>372</v>
      </c>
      <c r="G65" s="32" t="s">
        <v>583</v>
      </c>
      <c r="H65" s="31" t="str">
        <f>IFERROR(INDEX('الإعدادات واللجنة'!$C$24:$C$32,MATCH(LEFT(A65,3),'الإعدادات واللجنة'!$A$24:$A$32,0)),"")</f>
        <v>د. احمد بن عوض البشري</v>
      </c>
      <c r="I65" s="33"/>
      <c r="J65" s="33"/>
      <c r="K65" s="31" t="str">
        <f t="shared" si="0"/>
        <v/>
      </c>
      <c r="L65" s="34"/>
      <c r="M65" s="33"/>
      <c r="N65" s="34"/>
      <c r="O65" s="34"/>
      <c r="P65" s="33"/>
      <c r="Q65" s="34"/>
    </row>
    <row r="66" spans="1:17" ht="26" x14ac:dyDescent="0.2">
      <c r="A66" s="31" t="s">
        <v>362</v>
      </c>
      <c r="B66" s="28" t="s">
        <v>151</v>
      </c>
      <c r="C66" s="29"/>
      <c r="D66" s="30"/>
      <c r="E66" s="31">
        <v>10</v>
      </c>
      <c r="F66" s="29" t="s">
        <v>373</v>
      </c>
      <c r="G66" s="32" t="s">
        <v>583</v>
      </c>
      <c r="H66" s="31" t="str">
        <f>IFERROR(INDEX('الإعدادات واللجنة'!$C$24:$C$32,MATCH(LEFT(A66,3),'الإعدادات واللجنة'!$A$24:$A$32,0)),"")</f>
        <v>د. احمد بن عوض البشري</v>
      </c>
      <c r="I66" s="33"/>
      <c r="J66" s="33"/>
      <c r="K66" s="31" t="str">
        <f t="shared" si="0"/>
        <v/>
      </c>
      <c r="L66" s="34"/>
      <c r="M66" s="33"/>
      <c r="N66" s="34"/>
      <c r="O66" s="34"/>
      <c r="P66" s="33"/>
      <c r="Q66" s="34"/>
    </row>
    <row r="67" spans="1:17" ht="26" x14ac:dyDescent="0.2">
      <c r="A67" s="35" t="s">
        <v>374</v>
      </c>
      <c r="B67" s="36" t="s">
        <v>151</v>
      </c>
      <c r="C67" s="37" t="s">
        <v>375</v>
      </c>
      <c r="D67" s="38" t="s">
        <v>293</v>
      </c>
      <c r="E67" s="39">
        <v>1</v>
      </c>
      <c r="F67" s="37" t="s">
        <v>376</v>
      </c>
      <c r="G67" s="40" t="s">
        <v>583</v>
      </c>
      <c r="H67" s="41" t="str">
        <f>IFERROR(INDEX('الإعدادات واللجنة'!$C$24:$C$32,MATCH(LEFT(A67,3),'الإعدادات واللجنة'!$A$24:$A$32,0)),"")</f>
        <v>د. احمد بن عوض البشري</v>
      </c>
      <c r="I67" s="42"/>
      <c r="J67" s="42"/>
      <c r="K67" s="41" t="str">
        <f t="shared" si="0"/>
        <v/>
      </c>
      <c r="L67" s="43"/>
      <c r="M67" s="42"/>
      <c r="N67" s="43"/>
      <c r="O67" s="43"/>
      <c r="P67" s="42"/>
      <c r="Q67" s="43"/>
    </row>
    <row r="68" spans="1:17" ht="26" x14ac:dyDescent="0.2">
      <c r="A68" s="44" t="s">
        <v>374</v>
      </c>
      <c r="B68" s="45" t="s">
        <v>151</v>
      </c>
      <c r="C68" s="46"/>
      <c r="D68" s="47" t="s">
        <v>293</v>
      </c>
      <c r="E68" s="44">
        <v>2</v>
      </c>
      <c r="F68" s="46" t="s">
        <v>377</v>
      </c>
      <c r="G68" s="32" t="s">
        <v>583</v>
      </c>
      <c r="H68" s="31" t="str">
        <f>IFERROR(INDEX('الإعدادات واللجنة'!$C$24:$C$32,MATCH(LEFT(A68,3),'الإعدادات واللجنة'!$A$24:$A$32,0)),"")</f>
        <v>د. احمد بن عوض البشري</v>
      </c>
      <c r="I68" s="33"/>
      <c r="J68" s="33"/>
      <c r="K68" s="31" t="str">
        <f t="shared" si="0"/>
        <v/>
      </c>
      <c r="L68" s="34"/>
      <c r="M68" s="33"/>
      <c r="N68" s="34"/>
      <c r="O68" s="34"/>
      <c r="P68" s="33"/>
      <c r="Q68" s="34"/>
    </row>
    <row r="69" spans="1:17" ht="26" x14ac:dyDescent="0.2">
      <c r="A69" s="44" t="s">
        <v>374</v>
      </c>
      <c r="B69" s="45" t="s">
        <v>151</v>
      </c>
      <c r="C69" s="46"/>
      <c r="D69" s="47" t="s">
        <v>293</v>
      </c>
      <c r="E69" s="44">
        <v>3</v>
      </c>
      <c r="F69" s="46" t="s">
        <v>378</v>
      </c>
      <c r="G69" s="32" t="s">
        <v>583</v>
      </c>
      <c r="H69" s="31" t="str">
        <f>IFERROR(INDEX('الإعدادات واللجنة'!$C$24:$C$32,MATCH(LEFT(A69,3),'الإعدادات واللجنة'!$A$24:$A$32,0)),"")</f>
        <v>د. احمد بن عوض البشري</v>
      </c>
      <c r="I69" s="33"/>
      <c r="J69" s="33"/>
      <c r="K69" s="31" t="str">
        <f t="shared" ref="K69:K132" si="1">IF(OR(I69="",I69="متوفر ومكتمل"),"",IF(OR(D69="★",I69="غير متوفر"),"عالية","متوسطة"))</f>
        <v/>
      </c>
      <c r="L69" s="34"/>
      <c r="M69" s="33"/>
      <c r="N69" s="34"/>
      <c r="O69" s="34"/>
      <c r="P69" s="33"/>
      <c r="Q69" s="34"/>
    </row>
    <row r="70" spans="1:17" ht="26" x14ac:dyDescent="0.2">
      <c r="A70" s="48" t="s">
        <v>379</v>
      </c>
      <c r="B70" s="49" t="s">
        <v>151</v>
      </c>
      <c r="C70" s="50" t="s">
        <v>380</v>
      </c>
      <c r="D70" s="51"/>
      <c r="E70" s="41">
        <v>1</v>
      </c>
      <c r="F70" s="50" t="s">
        <v>381</v>
      </c>
      <c r="G70" s="40" t="s">
        <v>583</v>
      </c>
      <c r="H70" s="41" t="str">
        <f>IFERROR(INDEX('الإعدادات واللجنة'!$C$24:$C$32,MATCH(LEFT(A70,3),'الإعدادات واللجنة'!$A$24:$A$32,0)),"")</f>
        <v>د. احمد بن عوض البشري</v>
      </c>
      <c r="I70" s="42"/>
      <c r="J70" s="42"/>
      <c r="K70" s="41" t="str">
        <f t="shared" si="1"/>
        <v/>
      </c>
      <c r="L70" s="43"/>
      <c r="M70" s="42"/>
      <c r="N70" s="43"/>
      <c r="O70" s="43"/>
      <c r="P70" s="42"/>
      <c r="Q70" s="43"/>
    </row>
    <row r="71" spans="1:17" ht="26" x14ac:dyDescent="0.2">
      <c r="A71" s="31" t="s">
        <v>379</v>
      </c>
      <c r="B71" s="28" t="s">
        <v>151</v>
      </c>
      <c r="C71" s="29"/>
      <c r="D71" s="30"/>
      <c r="E71" s="31">
        <v>2</v>
      </c>
      <c r="F71" s="29" t="s">
        <v>382</v>
      </c>
      <c r="G71" s="32" t="s">
        <v>583</v>
      </c>
      <c r="H71" s="31" t="str">
        <f>IFERROR(INDEX('الإعدادات واللجنة'!$C$24:$C$32,MATCH(LEFT(A71,3),'الإعدادات واللجنة'!$A$24:$A$32,0)),"")</f>
        <v>د. احمد بن عوض البشري</v>
      </c>
      <c r="I71" s="33"/>
      <c r="J71" s="33"/>
      <c r="K71" s="31" t="str">
        <f t="shared" si="1"/>
        <v/>
      </c>
      <c r="L71" s="34"/>
      <c r="M71" s="33"/>
      <c r="N71" s="34"/>
      <c r="O71" s="34"/>
      <c r="P71" s="33"/>
      <c r="Q71" s="34"/>
    </row>
    <row r="72" spans="1:17" ht="26" x14ac:dyDescent="0.2">
      <c r="A72" s="31" t="s">
        <v>379</v>
      </c>
      <c r="B72" s="28" t="s">
        <v>151</v>
      </c>
      <c r="C72" s="29"/>
      <c r="D72" s="30"/>
      <c r="E72" s="31">
        <v>3</v>
      </c>
      <c r="F72" s="29" t="s">
        <v>383</v>
      </c>
      <c r="G72" s="32" t="s">
        <v>583</v>
      </c>
      <c r="H72" s="31" t="str">
        <f>IFERROR(INDEX('الإعدادات واللجنة'!$C$24:$C$32,MATCH(LEFT(A72,3),'الإعدادات واللجنة'!$A$24:$A$32,0)),"")</f>
        <v>د. احمد بن عوض البشري</v>
      </c>
      <c r="I72" s="33"/>
      <c r="J72" s="33"/>
      <c r="K72" s="31" t="str">
        <f t="shared" si="1"/>
        <v/>
      </c>
      <c r="L72" s="34"/>
      <c r="M72" s="33"/>
      <c r="N72" s="34"/>
      <c r="O72" s="34"/>
      <c r="P72" s="33"/>
      <c r="Q72" s="34"/>
    </row>
    <row r="73" spans="1:17" ht="26" x14ac:dyDescent="0.2">
      <c r="A73" s="31" t="s">
        <v>379</v>
      </c>
      <c r="B73" s="28" t="s">
        <v>151</v>
      </c>
      <c r="C73" s="29"/>
      <c r="D73" s="30"/>
      <c r="E73" s="31">
        <v>4</v>
      </c>
      <c r="F73" s="29" t="s">
        <v>384</v>
      </c>
      <c r="G73" s="32" t="s">
        <v>583</v>
      </c>
      <c r="H73" s="31" t="str">
        <f>IFERROR(INDEX('الإعدادات واللجنة'!$C$24:$C$32,MATCH(LEFT(A73,3),'الإعدادات واللجنة'!$A$24:$A$32,0)),"")</f>
        <v>د. احمد بن عوض البشري</v>
      </c>
      <c r="I73" s="33"/>
      <c r="J73" s="33"/>
      <c r="K73" s="31" t="str">
        <f t="shared" si="1"/>
        <v/>
      </c>
      <c r="L73" s="34"/>
      <c r="M73" s="33"/>
      <c r="N73" s="34"/>
      <c r="O73" s="34"/>
      <c r="P73" s="33"/>
      <c r="Q73" s="34"/>
    </row>
    <row r="74" spans="1:17" ht="26" x14ac:dyDescent="0.2">
      <c r="A74" s="35" t="s">
        <v>385</v>
      </c>
      <c r="B74" s="36" t="s">
        <v>151</v>
      </c>
      <c r="C74" s="37" t="s">
        <v>386</v>
      </c>
      <c r="D74" s="38" t="s">
        <v>293</v>
      </c>
      <c r="E74" s="39">
        <v>1</v>
      </c>
      <c r="F74" s="37" t="s">
        <v>365</v>
      </c>
      <c r="G74" s="40" t="s">
        <v>583</v>
      </c>
      <c r="H74" s="41" t="str">
        <f>IFERROR(INDEX('الإعدادات واللجنة'!$C$24:$C$32,MATCH(LEFT(A74,3),'الإعدادات واللجنة'!$A$24:$A$32,0)),"")</f>
        <v>د. احمد بن عوض البشري</v>
      </c>
      <c r="I74" s="42"/>
      <c r="J74" s="42"/>
      <c r="K74" s="41" t="str">
        <f t="shared" si="1"/>
        <v/>
      </c>
      <c r="L74" s="43"/>
      <c r="M74" s="42"/>
      <c r="N74" s="43"/>
      <c r="O74" s="43"/>
      <c r="P74" s="42"/>
      <c r="Q74" s="43"/>
    </row>
    <row r="75" spans="1:17" x14ac:dyDescent="0.2">
      <c r="A75" s="44" t="s">
        <v>385</v>
      </c>
      <c r="B75" s="45" t="s">
        <v>151</v>
      </c>
      <c r="C75" s="46"/>
      <c r="D75" s="47" t="s">
        <v>293</v>
      </c>
      <c r="E75" s="44">
        <v>2</v>
      </c>
      <c r="F75" s="46" t="s">
        <v>387</v>
      </c>
      <c r="G75" s="32" t="s">
        <v>583</v>
      </c>
      <c r="H75" s="31" t="str">
        <f>IFERROR(INDEX('الإعدادات واللجنة'!$C$24:$C$32,MATCH(LEFT(A75,3),'الإعدادات واللجنة'!$A$24:$A$32,0)),"")</f>
        <v>د. احمد بن عوض البشري</v>
      </c>
      <c r="I75" s="33"/>
      <c r="J75" s="33"/>
      <c r="K75" s="31" t="str">
        <f t="shared" si="1"/>
        <v/>
      </c>
      <c r="L75" s="34"/>
      <c r="M75" s="33"/>
      <c r="N75" s="34"/>
      <c r="O75" s="34"/>
      <c r="P75" s="33"/>
      <c r="Q75" s="34"/>
    </row>
    <row r="76" spans="1:17" ht="26" x14ac:dyDescent="0.2">
      <c r="A76" s="44" t="s">
        <v>385</v>
      </c>
      <c r="B76" s="45" t="s">
        <v>151</v>
      </c>
      <c r="C76" s="46"/>
      <c r="D76" s="47" t="s">
        <v>293</v>
      </c>
      <c r="E76" s="44">
        <v>3</v>
      </c>
      <c r="F76" s="46" t="s">
        <v>388</v>
      </c>
      <c r="G76" s="32" t="s">
        <v>583</v>
      </c>
      <c r="H76" s="31" t="str">
        <f>IFERROR(INDEX('الإعدادات واللجنة'!$C$24:$C$32,MATCH(LEFT(A76,3),'الإعدادات واللجنة'!$A$24:$A$32,0)),"")</f>
        <v>د. احمد بن عوض البشري</v>
      </c>
      <c r="I76" s="33"/>
      <c r="J76" s="33"/>
      <c r="K76" s="31" t="str">
        <f t="shared" si="1"/>
        <v/>
      </c>
      <c r="L76" s="34"/>
      <c r="M76" s="33"/>
      <c r="N76" s="34"/>
      <c r="O76" s="34"/>
      <c r="P76" s="33"/>
      <c r="Q76" s="34"/>
    </row>
    <row r="77" spans="1:17" x14ac:dyDescent="0.2">
      <c r="A77" s="44" t="s">
        <v>385</v>
      </c>
      <c r="B77" s="45" t="s">
        <v>151</v>
      </c>
      <c r="C77" s="46"/>
      <c r="D77" s="47" t="s">
        <v>293</v>
      </c>
      <c r="E77" s="44">
        <v>4</v>
      </c>
      <c r="F77" s="46" t="s">
        <v>389</v>
      </c>
      <c r="G77" s="32" t="s">
        <v>583</v>
      </c>
      <c r="H77" s="31" t="str">
        <f>IFERROR(INDEX('الإعدادات واللجنة'!$C$24:$C$32,MATCH(LEFT(A77,3),'الإعدادات واللجنة'!$A$24:$A$32,0)),"")</f>
        <v>د. احمد بن عوض البشري</v>
      </c>
      <c r="I77" s="33"/>
      <c r="J77" s="33"/>
      <c r="K77" s="31" t="str">
        <f t="shared" si="1"/>
        <v/>
      </c>
      <c r="L77" s="34"/>
      <c r="M77" s="33"/>
      <c r="N77" s="34"/>
      <c r="O77" s="34"/>
      <c r="P77" s="33"/>
      <c r="Q77" s="34"/>
    </row>
    <row r="78" spans="1:17" ht="26" x14ac:dyDescent="0.2">
      <c r="A78" s="48" t="s">
        <v>390</v>
      </c>
      <c r="B78" s="49" t="s">
        <v>151</v>
      </c>
      <c r="C78" s="50" t="s">
        <v>391</v>
      </c>
      <c r="D78" s="51"/>
      <c r="E78" s="41">
        <v>1</v>
      </c>
      <c r="F78" s="50" t="s">
        <v>392</v>
      </c>
      <c r="G78" s="40" t="s">
        <v>583</v>
      </c>
      <c r="H78" s="41" t="str">
        <f>IFERROR(INDEX('الإعدادات واللجنة'!$C$24:$C$32,MATCH(LEFT(A78,3),'الإعدادات واللجنة'!$A$24:$A$32,0)),"")</f>
        <v>د. احمد بن عوض البشري</v>
      </c>
      <c r="I78" s="42"/>
      <c r="J78" s="42"/>
      <c r="K78" s="41" t="str">
        <f t="shared" si="1"/>
        <v/>
      </c>
      <c r="L78" s="43"/>
      <c r="M78" s="42"/>
      <c r="N78" s="43"/>
      <c r="O78" s="43"/>
      <c r="P78" s="42"/>
      <c r="Q78" s="43"/>
    </row>
    <row r="79" spans="1:17" ht="26" x14ac:dyDescent="0.2">
      <c r="A79" s="31" t="s">
        <v>390</v>
      </c>
      <c r="B79" s="28" t="s">
        <v>151</v>
      </c>
      <c r="C79" s="29"/>
      <c r="D79" s="30"/>
      <c r="E79" s="31">
        <v>2</v>
      </c>
      <c r="F79" s="29" t="s">
        <v>393</v>
      </c>
      <c r="G79" s="32" t="s">
        <v>583</v>
      </c>
      <c r="H79" s="31" t="str">
        <f>IFERROR(INDEX('الإعدادات واللجنة'!$C$24:$C$32,MATCH(LEFT(A79,3),'الإعدادات واللجنة'!$A$24:$A$32,0)),"")</f>
        <v>د. احمد بن عوض البشري</v>
      </c>
      <c r="I79" s="33"/>
      <c r="J79" s="33"/>
      <c r="K79" s="31" t="str">
        <f t="shared" si="1"/>
        <v/>
      </c>
      <c r="L79" s="34"/>
      <c r="M79" s="33"/>
      <c r="N79" s="34"/>
      <c r="O79" s="34"/>
      <c r="P79" s="33"/>
      <c r="Q79" s="34"/>
    </row>
    <row r="80" spans="1:17" ht="26" x14ac:dyDescent="0.2">
      <c r="A80" s="31" t="s">
        <v>390</v>
      </c>
      <c r="B80" s="28" t="s">
        <v>151</v>
      </c>
      <c r="C80" s="29"/>
      <c r="D80" s="30"/>
      <c r="E80" s="31">
        <v>3</v>
      </c>
      <c r="F80" s="29" t="s">
        <v>394</v>
      </c>
      <c r="G80" s="32" t="s">
        <v>583</v>
      </c>
      <c r="H80" s="31" t="str">
        <f>IFERROR(INDEX('الإعدادات واللجنة'!$C$24:$C$32,MATCH(LEFT(A80,3),'الإعدادات واللجنة'!$A$24:$A$32,0)),"")</f>
        <v>د. احمد بن عوض البشري</v>
      </c>
      <c r="I80" s="33"/>
      <c r="J80" s="33"/>
      <c r="K80" s="31" t="str">
        <f t="shared" si="1"/>
        <v/>
      </c>
      <c r="L80" s="34"/>
      <c r="M80" s="33"/>
      <c r="N80" s="34"/>
      <c r="O80" s="34"/>
      <c r="P80" s="33"/>
      <c r="Q80" s="34"/>
    </row>
    <row r="81" spans="1:17" x14ac:dyDescent="0.2">
      <c r="A81" s="31" t="s">
        <v>390</v>
      </c>
      <c r="B81" s="28" t="s">
        <v>151</v>
      </c>
      <c r="C81" s="29"/>
      <c r="D81" s="30"/>
      <c r="E81" s="31">
        <v>4</v>
      </c>
      <c r="F81" s="29" t="s">
        <v>395</v>
      </c>
      <c r="G81" s="32" t="s">
        <v>583</v>
      </c>
      <c r="H81" s="31" t="str">
        <f>IFERROR(INDEX('الإعدادات واللجنة'!$C$24:$C$32,MATCH(LEFT(A81,3),'الإعدادات واللجنة'!$A$24:$A$32,0)),"")</f>
        <v>د. احمد بن عوض البشري</v>
      </c>
      <c r="I81" s="33"/>
      <c r="J81" s="33"/>
      <c r="K81" s="31" t="str">
        <f t="shared" si="1"/>
        <v/>
      </c>
      <c r="L81" s="34"/>
      <c r="M81" s="33"/>
      <c r="N81" s="34"/>
      <c r="O81" s="34"/>
      <c r="P81" s="33"/>
      <c r="Q81" s="34"/>
    </row>
    <row r="82" spans="1:17" ht="26" x14ac:dyDescent="0.2">
      <c r="A82" s="35" t="s">
        <v>396</v>
      </c>
      <c r="B82" s="36" t="s">
        <v>151</v>
      </c>
      <c r="C82" s="37" t="s">
        <v>397</v>
      </c>
      <c r="D82" s="38" t="s">
        <v>293</v>
      </c>
      <c r="E82" s="39">
        <v>1</v>
      </c>
      <c r="F82" s="37" t="s">
        <v>398</v>
      </c>
      <c r="G82" s="40" t="s">
        <v>583</v>
      </c>
      <c r="H82" s="41" t="str">
        <f>IFERROR(INDEX('الإعدادات واللجنة'!$C$24:$C$32,MATCH(LEFT(A82,3),'الإعدادات واللجنة'!$A$24:$A$32,0)),"")</f>
        <v>د. احمد بن عوض البشري</v>
      </c>
      <c r="I82" s="42"/>
      <c r="J82" s="42"/>
      <c r="K82" s="41" t="str">
        <f t="shared" si="1"/>
        <v/>
      </c>
      <c r="L82" s="43"/>
      <c r="M82" s="42"/>
      <c r="N82" s="43"/>
      <c r="O82" s="43"/>
      <c r="P82" s="42"/>
      <c r="Q82" s="43"/>
    </row>
    <row r="83" spans="1:17" ht="26" x14ac:dyDescent="0.2">
      <c r="A83" s="44" t="s">
        <v>396</v>
      </c>
      <c r="B83" s="45" t="s">
        <v>151</v>
      </c>
      <c r="C83" s="46"/>
      <c r="D83" s="47" t="s">
        <v>293</v>
      </c>
      <c r="E83" s="44">
        <v>2</v>
      </c>
      <c r="F83" s="46" t="s">
        <v>399</v>
      </c>
      <c r="G83" s="32" t="s">
        <v>583</v>
      </c>
      <c r="H83" s="31" t="str">
        <f>IFERROR(INDEX('الإعدادات واللجنة'!$C$24:$C$32,MATCH(LEFT(A83,3),'الإعدادات واللجنة'!$A$24:$A$32,0)),"")</f>
        <v>د. احمد بن عوض البشري</v>
      </c>
      <c r="I83" s="33"/>
      <c r="J83" s="33"/>
      <c r="K83" s="31" t="str">
        <f t="shared" si="1"/>
        <v/>
      </c>
      <c r="L83" s="34"/>
      <c r="M83" s="33"/>
      <c r="N83" s="34"/>
      <c r="O83" s="34"/>
      <c r="P83" s="33"/>
      <c r="Q83" s="34"/>
    </row>
    <row r="84" spans="1:17" x14ac:dyDescent="0.2">
      <c r="A84" s="44" t="s">
        <v>396</v>
      </c>
      <c r="B84" s="45" t="s">
        <v>151</v>
      </c>
      <c r="C84" s="46"/>
      <c r="D84" s="47" t="s">
        <v>293</v>
      </c>
      <c r="E84" s="44">
        <v>3</v>
      </c>
      <c r="F84" s="46" t="s">
        <v>400</v>
      </c>
      <c r="G84" s="32" t="s">
        <v>583</v>
      </c>
      <c r="H84" s="31" t="str">
        <f>IFERROR(INDEX('الإعدادات واللجنة'!$C$24:$C$32,MATCH(LEFT(A84,3),'الإعدادات واللجنة'!$A$24:$A$32,0)),"")</f>
        <v>د. احمد بن عوض البشري</v>
      </c>
      <c r="I84" s="33"/>
      <c r="J84" s="33"/>
      <c r="K84" s="31" t="str">
        <f t="shared" si="1"/>
        <v/>
      </c>
      <c r="L84" s="34"/>
      <c r="M84" s="33"/>
      <c r="N84" s="34"/>
      <c r="O84" s="34"/>
      <c r="P84" s="33"/>
      <c r="Q84" s="34"/>
    </row>
    <row r="85" spans="1:17" ht="26" x14ac:dyDescent="0.2">
      <c r="A85" s="44" t="s">
        <v>396</v>
      </c>
      <c r="B85" s="45" t="s">
        <v>151</v>
      </c>
      <c r="C85" s="46"/>
      <c r="D85" s="47" t="s">
        <v>293</v>
      </c>
      <c r="E85" s="44">
        <v>4</v>
      </c>
      <c r="F85" s="46" t="s">
        <v>401</v>
      </c>
      <c r="G85" s="32" t="s">
        <v>583</v>
      </c>
      <c r="H85" s="31" t="str">
        <f>IFERROR(INDEX('الإعدادات واللجنة'!$C$24:$C$32,MATCH(LEFT(A85,3),'الإعدادات واللجنة'!$A$24:$A$32,0)),"")</f>
        <v>د. احمد بن عوض البشري</v>
      </c>
      <c r="I85" s="33"/>
      <c r="J85" s="33"/>
      <c r="K85" s="31" t="str">
        <f t="shared" si="1"/>
        <v/>
      </c>
      <c r="L85" s="34"/>
      <c r="M85" s="33"/>
      <c r="N85" s="34"/>
      <c r="O85" s="34"/>
      <c r="P85" s="33"/>
      <c r="Q85" s="34"/>
    </row>
    <row r="86" spans="1:17" ht="26" x14ac:dyDescent="0.2">
      <c r="A86" s="44" t="s">
        <v>396</v>
      </c>
      <c r="B86" s="45" t="s">
        <v>151</v>
      </c>
      <c r="C86" s="46"/>
      <c r="D86" s="47" t="s">
        <v>293</v>
      </c>
      <c r="E86" s="44">
        <v>5</v>
      </c>
      <c r="F86" s="46" t="s">
        <v>402</v>
      </c>
      <c r="G86" s="32" t="s">
        <v>583</v>
      </c>
      <c r="H86" s="31" t="str">
        <f>IFERROR(INDEX('الإعدادات واللجنة'!$C$24:$C$32,MATCH(LEFT(A86,3),'الإعدادات واللجنة'!$A$24:$A$32,0)),"")</f>
        <v>د. احمد بن عوض البشري</v>
      </c>
      <c r="I86" s="33"/>
      <c r="J86" s="33"/>
      <c r="K86" s="31" t="str">
        <f t="shared" si="1"/>
        <v/>
      </c>
      <c r="L86" s="34"/>
      <c r="M86" s="33"/>
      <c r="N86" s="34"/>
      <c r="O86" s="34"/>
      <c r="P86" s="33"/>
      <c r="Q86" s="34"/>
    </row>
    <row r="87" spans="1:17" ht="26" x14ac:dyDescent="0.2">
      <c r="A87" s="44" t="s">
        <v>396</v>
      </c>
      <c r="B87" s="45" t="s">
        <v>151</v>
      </c>
      <c r="C87" s="46"/>
      <c r="D87" s="47" t="s">
        <v>293</v>
      </c>
      <c r="E87" s="44">
        <v>6</v>
      </c>
      <c r="F87" s="46" t="s">
        <v>403</v>
      </c>
      <c r="G87" s="32" t="s">
        <v>583</v>
      </c>
      <c r="H87" s="31" t="str">
        <f>IFERROR(INDEX('الإعدادات واللجنة'!$C$24:$C$32,MATCH(LEFT(A87,3),'الإعدادات واللجنة'!$A$24:$A$32,0)),"")</f>
        <v>د. احمد بن عوض البشري</v>
      </c>
      <c r="I87" s="33"/>
      <c r="J87" s="33"/>
      <c r="K87" s="31" t="str">
        <f t="shared" si="1"/>
        <v/>
      </c>
      <c r="L87" s="34"/>
      <c r="M87" s="33"/>
      <c r="N87" s="34"/>
      <c r="O87" s="34"/>
      <c r="P87" s="33"/>
      <c r="Q87" s="34"/>
    </row>
    <row r="88" spans="1:17" ht="39" x14ac:dyDescent="0.2">
      <c r="A88" s="35" t="s">
        <v>404</v>
      </c>
      <c r="B88" s="36" t="s">
        <v>151</v>
      </c>
      <c r="C88" s="37" t="s">
        <v>405</v>
      </c>
      <c r="D88" s="38" t="s">
        <v>293</v>
      </c>
      <c r="E88" s="39">
        <v>1</v>
      </c>
      <c r="F88" s="37" t="s">
        <v>406</v>
      </c>
      <c r="G88" s="40" t="s">
        <v>583</v>
      </c>
      <c r="H88" s="41" t="str">
        <f>IFERROR(INDEX('الإعدادات واللجنة'!$C$24:$C$32,MATCH(LEFT(A88,3),'الإعدادات واللجنة'!$A$24:$A$32,0)),"")</f>
        <v>د. احمد بن عوض البشري</v>
      </c>
      <c r="I88" s="42"/>
      <c r="J88" s="42"/>
      <c r="K88" s="41" t="str">
        <f t="shared" si="1"/>
        <v/>
      </c>
      <c r="L88" s="43"/>
      <c r="M88" s="42"/>
      <c r="N88" s="43"/>
      <c r="O88" s="43"/>
      <c r="P88" s="42"/>
      <c r="Q88" s="43"/>
    </row>
    <row r="89" spans="1:17" ht="26" x14ac:dyDescent="0.2">
      <c r="A89" s="44" t="s">
        <v>404</v>
      </c>
      <c r="B89" s="45" t="s">
        <v>151</v>
      </c>
      <c r="C89" s="46"/>
      <c r="D89" s="47" t="s">
        <v>293</v>
      </c>
      <c r="E89" s="44">
        <v>2</v>
      </c>
      <c r="F89" s="46" t="s">
        <v>407</v>
      </c>
      <c r="G89" s="32" t="s">
        <v>583</v>
      </c>
      <c r="H89" s="31" t="str">
        <f>IFERROR(INDEX('الإعدادات واللجنة'!$C$24:$C$32,MATCH(LEFT(A89,3),'الإعدادات واللجنة'!$A$24:$A$32,0)),"")</f>
        <v>د. احمد بن عوض البشري</v>
      </c>
      <c r="I89" s="33"/>
      <c r="J89" s="33"/>
      <c r="K89" s="31" t="str">
        <f t="shared" si="1"/>
        <v/>
      </c>
      <c r="L89" s="34"/>
      <c r="M89" s="33"/>
      <c r="N89" s="34"/>
      <c r="O89" s="34"/>
      <c r="P89" s="33"/>
      <c r="Q89" s="34"/>
    </row>
    <row r="90" spans="1:17" ht="26" x14ac:dyDescent="0.2">
      <c r="A90" s="44" t="s">
        <v>404</v>
      </c>
      <c r="B90" s="45" t="s">
        <v>151</v>
      </c>
      <c r="C90" s="46"/>
      <c r="D90" s="47" t="s">
        <v>293</v>
      </c>
      <c r="E90" s="44">
        <v>3</v>
      </c>
      <c r="F90" s="46" t="s">
        <v>401</v>
      </c>
      <c r="G90" s="32" t="s">
        <v>583</v>
      </c>
      <c r="H90" s="31" t="str">
        <f>IFERROR(INDEX('الإعدادات واللجنة'!$C$24:$C$32,MATCH(LEFT(A90,3),'الإعدادات واللجنة'!$A$24:$A$32,0)),"")</f>
        <v>د. احمد بن عوض البشري</v>
      </c>
      <c r="I90" s="33"/>
      <c r="J90" s="33"/>
      <c r="K90" s="31" t="str">
        <f t="shared" si="1"/>
        <v/>
      </c>
      <c r="L90" s="34"/>
      <c r="M90" s="33"/>
      <c r="N90" s="34"/>
      <c r="O90" s="34"/>
      <c r="P90" s="33"/>
      <c r="Q90" s="34"/>
    </row>
    <row r="91" spans="1:17" x14ac:dyDescent="0.2">
      <c r="A91" s="44" t="s">
        <v>404</v>
      </c>
      <c r="B91" s="45" t="s">
        <v>151</v>
      </c>
      <c r="C91" s="46"/>
      <c r="D91" s="47" t="s">
        <v>293</v>
      </c>
      <c r="E91" s="44">
        <v>4</v>
      </c>
      <c r="F91" s="46" t="s">
        <v>408</v>
      </c>
      <c r="G91" s="32" t="s">
        <v>583</v>
      </c>
      <c r="H91" s="31" t="str">
        <f>IFERROR(INDEX('الإعدادات واللجنة'!$C$24:$C$32,MATCH(LEFT(A91,3),'الإعدادات واللجنة'!$A$24:$A$32,0)),"")</f>
        <v>د. احمد بن عوض البشري</v>
      </c>
      <c r="I91" s="33"/>
      <c r="J91" s="33"/>
      <c r="K91" s="31" t="str">
        <f t="shared" si="1"/>
        <v/>
      </c>
      <c r="L91" s="34"/>
      <c r="M91" s="33"/>
      <c r="N91" s="34"/>
      <c r="O91" s="34"/>
      <c r="P91" s="33"/>
      <c r="Q91" s="34"/>
    </row>
    <row r="92" spans="1:17" ht="26" x14ac:dyDescent="0.2">
      <c r="A92" s="48" t="s">
        <v>409</v>
      </c>
      <c r="B92" s="49" t="s">
        <v>151</v>
      </c>
      <c r="C92" s="50" t="s">
        <v>416</v>
      </c>
      <c r="D92" s="51"/>
      <c r="E92" s="41">
        <v>1</v>
      </c>
      <c r="F92" s="50" t="s">
        <v>399</v>
      </c>
      <c r="G92" s="40" t="s">
        <v>583</v>
      </c>
      <c r="H92" s="41" t="str">
        <f>IFERROR(INDEX('الإعدادات واللجنة'!$C$24:$C$32,MATCH(LEFT(A92,3),'الإعدادات واللجنة'!$A$24:$A$32,0)),"")</f>
        <v>د. احمد بن عوض البشري</v>
      </c>
      <c r="I92" s="42"/>
      <c r="J92" s="42"/>
      <c r="K92" s="41" t="str">
        <f t="shared" si="1"/>
        <v/>
      </c>
      <c r="L92" s="43"/>
      <c r="M92" s="42"/>
      <c r="N92" s="43"/>
      <c r="O92" s="43"/>
      <c r="P92" s="42"/>
      <c r="Q92" s="43"/>
    </row>
    <row r="93" spans="1:17" x14ac:dyDescent="0.2">
      <c r="A93" s="31" t="s">
        <v>409</v>
      </c>
      <c r="B93" s="28" t="s">
        <v>151</v>
      </c>
      <c r="C93" s="29"/>
      <c r="D93" s="30"/>
      <c r="E93" s="31">
        <v>2</v>
      </c>
      <c r="F93" s="29" t="s">
        <v>417</v>
      </c>
      <c r="G93" s="32" t="s">
        <v>583</v>
      </c>
      <c r="H93" s="31" t="str">
        <f>IFERROR(INDEX('الإعدادات واللجنة'!$C$24:$C$32,MATCH(LEFT(A93,3),'الإعدادات واللجنة'!$A$24:$A$32,0)),"")</f>
        <v>د. احمد بن عوض البشري</v>
      </c>
      <c r="I93" s="33"/>
      <c r="J93" s="33"/>
      <c r="K93" s="31" t="str">
        <f t="shared" si="1"/>
        <v/>
      </c>
      <c r="L93" s="34"/>
      <c r="M93" s="33"/>
      <c r="N93" s="34"/>
      <c r="O93" s="34"/>
      <c r="P93" s="33"/>
      <c r="Q93" s="34"/>
    </row>
    <row r="94" spans="1:17" x14ac:dyDescent="0.2">
      <c r="A94" s="31" t="s">
        <v>409</v>
      </c>
      <c r="B94" s="28" t="s">
        <v>151</v>
      </c>
      <c r="C94" s="29"/>
      <c r="D94" s="30"/>
      <c r="E94" s="31">
        <v>3</v>
      </c>
      <c r="F94" s="29" t="s">
        <v>418</v>
      </c>
      <c r="G94" s="32" t="s">
        <v>583</v>
      </c>
      <c r="H94" s="31" t="str">
        <f>IFERROR(INDEX('الإعدادات واللجنة'!$C$24:$C$32,MATCH(LEFT(A94,3),'الإعدادات واللجنة'!$A$24:$A$32,0)),"")</f>
        <v>د. احمد بن عوض البشري</v>
      </c>
      <c r="I94" s="33"/>
      <c r="J94" s="33"/>
      <c r="K94" s="31" t="str">
        <f t="shared" si="1"/>
        <v/>
      </c>
      <c r="L94" s="34"/>
      <c r="M94" s="33"/>
      <c r="N94" s="34"/>
      <c r="O94" s="34"/>
      <c r="P94" s="33"/>
      <c r="Q94" s="34"/>
    </row>
    <row r="95" spans="1:17" ht="39" x14ac:dyDescent="0.2">
      <c r="A95" s="31" t="s">
        <v>409</v>
      </c>
      <c r="B95" s="28" t="s">
        <v>151</v>
      </c>
      <c r="C95" s="29"/>
      <c r="D95" s="30"/>
      <c r="E95" s="31">
        <v>4</v>
      </c>
      <c r="F95" s="29" t="s">
        <v>419</v>
      </c>
      <c r="G95" s="32" t="s">
        <v>583</v>
      </c>
      <c r="H95" s="31" t="str">
        <f>IFERROR(INDEX('الإعدادات واللجنة'!$C$24:$C$32,MATCH(LEFT(A95,3),'الإعدادات واللجنة'!$A$24:$A$32,0)),"")</f>
        <v>د. احمد بن عوض البشري</v>
      </c>
      <c r="I95" s="33"/>
      <c r="J95" s="33"/>
      <c r="K95" s="31" t="str">
        <f t="shared" si="1"/>
        <v/>
      </c>
      <c r="L95" s="34"/>
      <c r="M95" s="33"/>
      <c r="N95" s="34"/>
      <c r="O95" s="34"/>
      <c r="P95" s="33"/>
      <c r="Q95" s="34"/>
    </row>
    <row r="96" spans="1:17" ht="26" x14ac:dyDescent="0.2">
      <c r="A96" s="35" t="s">
        <v>415</v>
      </c>
      <c r="B96" s="36" t="s">
        <v>151</v>
      </c>
      <c r="C96" s="37" t="s">
        <v>430</v>
      </c>
      <c r="D96" s="38" t="s">
        <v>293</v>
      </c>
      <c r="E96" s="39">
        <v>1</v>
      </c>
      <c r="F96" s="37" t="s">
        <v>431</v>
      </c>
      <c r="G96" s="40" t="s">
        <v>583</v>
      </c>
      <c r="H96" s="41" t="str">
        <f>IFERROR(INDEX('الإعدادات واللجنة'!$C$24:$C$32,MATCH(LEFT(A96,3),'الإعدادات واللجنة'!$A$24:$A$32,0)),"")</f>
        <v>د. احمد بن عوض البشري</v>
      </c>
      <c r="I96" s="42"/>
      <c r="J96" s="42"/>
      <c r="K96" s="41" t="str">
        <f t="shared" si="1"/>
        <v/>
      </c>
      <c r="L96" s="43"/>
      <c r="M96" s="42"/>
      <c r="N96" s="43"/>
      <c r="O96" s="43"/>
      <c r="P96" s="42"/>
      <c r="Q96" s="43"/>
    </row>
    <row r="97" spans="1:17" ht="26" x14ac:dyDescent="0.2">
      <c r="A97" s="44" t="s">
        <v>415</v>
      </c>
      <c r="B97" s="45" t="s">
        <v>151</v>
      </c>
      <c r="C97" s="46"/>
      <c r="D97" s="47" t="s">
        <v>293</v>
      </c>
      <c r="E97" s="44">
        <v>2</v>
      </c>
      <c r="F97" s="46" t="s">
        <v>432</v>
      </c>
      <c r="G97" s="32" t="s">
        <v>583</v>
      </c>
      <c r="H97" s="31" t="str">
        <f>IFERROR(INDEX('الإعدادات واللجنة'!$C$24:$C$32,MATCH(LEFT(A97,3),'الإعدادات واللجنة'!$A$24:$A$32,0)),"")</f>
        <v>د. احمد بن عوض البشري</v>
      </c>
      <c r="I97" s="33"/>
      <c r="J97" s="33"/>
      <c r="K97" s="31" t="str">
        <f t="shared" si="1"/>
        <v/>
      </c>
      <c r="L97" s="34"/>
      <c r="M97" s="33"/>
      <c r="N97" s="34"/>
      <c r="O97" s="34"/>
      <c r="P97" s="33"/>
      <c r="Q97" s="34"/>
    </row>
    <row r="98" spans="1:17" ht="26" x14ac:dyDescent="0.2">
      <c r="A98" s="35" t="s">
        <v>433</v>
      </c>
      <c r="B98" s="36" t="s">
        <v>151</v>
      </c>
      <c r="C98" s="37" t="s">
        <v>584</v>
      </c>
      <c r="D98" s="38" t="s">
        <v>293</v>
      </c>
      <c r="E98" s="39">
        <v>1</v>
      </c>
      <c r="F98" s="37" t="s">
        <v>435</v>
      </c>
      <c r="G98" s="40" t="s">
        <v>583</v>
      </c>
      <c r="H98" s="41" t="str">
        <f>IFERROR(INDEX('الإعدادات واللجنة'!$C$24:$C$32,MATCH(LEFT(A98,3),'الإعدادات واللجنة'!$A$24:$A$32,0)),"")</f>
        <v>د. يثرب بنت سعد القحطاني</v>
      </c>
      <c r="I98" s="42"/>
      <c r="J98" s="42"/>
      <c r="K98" s="41" t="str">
        <f t="shared" si="1"/>
        <v/>
      </c>
      <c r="L98" s="43"/>
      <c r="M98" s="42"/>
      <c r="N98" s="43"/>
      <c r="O98" s="43"/>
      <c r="P98" s="42"/>
      <c r="Q98" s="43"/>
    </row>
    <row r="99" spans="1:17" x14ac:dyDescent="0.2">
      <c r="A99" s="44" t="s">
        <v>433</v>
      </c>
      <c r="B99" s="45" t="s">
        <v>151</v>
      </c>
      <c r="C99" s="46"/>
      <c r="D99" s="47" t="s">
        <v>293</v>
      </c>
      <c r="E99" s="44">
        <v>2</v>
      </c>
      <c r="F99" s="46" t="s">
        <v>436</v>
      </c>
      <c r="G99" s="32" t="s">
        <v>583</v>
      </c>
      <c r="H99" s="31" t="str">
        <f>IFERROR(INDEX('الإعدادات واللجنة'!$C$24:$C$32,MATCH(LEFT(A99,3),'الإعدادات واللجنة'!$A$24:$A$32,0)),"")</f>
        <v>د. يثرب بنت سعد القحطاني</v>
      </c>
      <c r="I99" s="33"/>
      <c r="J99" s="33"/>
      <c r="K99" s="31" t="str">
        <f t="shared" si="1"/>
        <v/>
      </c>
      <c r="L99" s="34"/>
      <c r="M99" s="33"/>
      <c r="N99" s="34"/>
      <c r="O99" s="34"/>
      <c r="P99" s="33"/>
      <c r="Q99" s="34"/>
    </row>
    <row r="100" spans="1:17" ht="26" x14ac:dyDescent="0.2">
      <c r="A100" s="44" t="s">
        <v>433</v>
      </c>
      <c r="B100" s="45" t="s">
        <v>151</v>
      </c>
      <c r="C100" s="46"/>
      <c r="D100" s="47" t="s">
        <v>293</v>
      </c>
      <c r="E100" s="44">
        <v>3</v>
      </c>
      <c r="F100" s="46" t="s">
        <v>437</v>
      </c>
      <c r="G100" s="32" t="s">
        <v>583</v>
      </c>
      <c r="H100" s="31" t="str">
        <f>IFERROR(INDEX('الإعدادات واللجنة'!$C$24:$C$32,MATCH(LEFT(A100,3),'الإعدادات واللجنة'!$A$24:$A$32,0)),"")</f>
        <v>د. يثرب بنت سعد القحطاني</v>
      </c>
      <c r="I100" s="33"/>
      <c r="J100" s="33"/>
      <c r="K100" s="31" t="str">
        <f t="shared" si="1"/>
        <v/>
      </c>
      <c r="L100" s="34"/>
      <c r="M100" s="33"/>
      <c r="N100" s="34"/>
      <c r="O100" s="34"/>
      <c r="P100" s="33"/>
      <c r="Q100" s="34"/>
    </row>
    <row r="101" spans="1:17" ht="26" x14ac:dyDescent="0.2">
      <c r="A101" s="44" t="s">
        <v>433</v>
      </c>
      <c r="B101" s="45" t="s">
        <v>151</v>
      </c>
      <c r="C101" s="46"/>
      <c r="D101" s="47" t="s">
        <v>293</v>
      </c>
      <c r="E101" s="44">
        <v>4</v>
      </c>
      <c r="F101" s="46" t="s">
        <v>438</v>
      </c>
      <c r="G101" s="32" t="s">
        <v>583</v>
      </c>
      <c r="H101" s="31" t="str">
        <f>IFERROR(INDEX('الإعدادات واللجنة'!$C$24:$C$32,MATCH(LEFT(A101,3),'الإعدادات واللجنة'!$A$24:$A$32,0)),"")</f>
        <v>د. يثرب بنت سعد القحطاني</v>
      </c>
      <c r="I101" s="33"/>
      <c r="J101" s="33"/>
      <c r="K101" s="31" t="str">
        <f t="shared" si="1"/>
        <v/>
      </c>
      <c r="L101" s="34"/>
      <c r="M101" s="33"/>
      <c r="N101" s="34"/>
      <c r="O101" s="34"/>
      <c r="P101" s="33"/>
      <c r="Q101" s="34"/>
    </row>
    <row r="102" spans="1:17" ht="26" x14ac:dyDescent="0.2">
      <c r="A102" s="44" t="s">
        <v>433</v>
      </c>
      <c r="B102" s="45" t="s">
        <v>151</v>
      </c>
      <c r="C102" s="46"/>
      <c r="D102" s="47" t="s">
        <v>293</v>
      </c>
      <c r="E102" s="44">
        <v>5</v>
      </c>
      <c r="F102" s="46" t="s">
        <v>439</v>
      </c>
      <c r="G102" s="32" t="s">
        <v>583</v>
      </c>
      <c r="H102" s="31" t="str">
        <f>IFERROR(INDEX('الإعدادات واللجنة'!$C$24:$C$32,MATCH(LEFT(A102,3),'الإعدادات واللجنة'!$A$24:$A$32,0)),"")</f>
        <v>د. يثرب بنت سعد القحطاني</v>
      </c>
      <c r="I102" s="33"/>
      <c r="J102" s="33"/>
      <c r="K102" s="31" t="str">
        <f t="shared" si="1"/>
        <v/>
      </c>
      <c r="L102" s="34"/>
      <c r="M102" s="33"/>
      <c r="N102" s="34"/>
      <c r="O102" s="34"/>
      <c r="P102" s="33"/>
      <c r="Q102" s="34"/>
    </row>
    <row r="103" spans="1:17" ht="39" x14ac:dyDescent="0.2">
      <c r="A103" s="48" t="s">
        <v>440</v>
      </c>
      <c r="B103" s="49" t="s">
        <v>151</v>
      </c>
      <c r="C103" s="50" t="s">
        <v>421</v>
      </c>
      <c r="D103" s="51"/>
      <c r="E103" s="41">
        <v>1</v>
      </c>
      <c r="F103" s="50" t="s">
        <v>422</v>
      </c>
      <c r="G103" s="40" t="s">
        <v>583</v>
      </c>
      <c r="H103" s="41" t="str">
        <f>IFERROR(INDEX('الإعدادات واللجنة'!$C$24:$C$32,MATCH(LEFT(A103,3),'الإعدادات واللجنة'!$A$24:$A$32,0)),"")</f>
        <v>د. يثرب بنت سعد القحطاني</v>
      </c>
      <c r="I103" s="42"/>
      <c r="J103" s="42"/>
      <c r="K103" s="41" t="str">
        <f t="shared" si="1"/>
        <v/>
      </c>
      <c r="L103" s="43"/>
      <c r="M103" s="42"/>
      <c r="N103" s="43"/>
      <c r="O103" s="43"/>
      <c r="P103" s="42"/>
      <c r="Q103" s="43"/>
    </row>
    <row r="104" spans="1:17" x14ac:dyDescent="0.2">
      <c r="A104" s="31" t="s">
        <v>440</v>
      </c>
      <c r="B104" s="28" t="s">
        <v>151</v>
      </c>
      <c r="C104" s="29"/>
      <c r="D104" s="30"/>
      <c r="E104" s="31">
        <v>2</v>
      </c>
      <c r="F104" s="29" t="s">
        <v>423</v>
      </c>
      <c r="G104" s="32" t="s">
        <v>583</v>
      </c>
      <c r="H104" s="31" t="str">
        <f>IFERROR(INDEX('الإعدادات واللجنة'!$C$24:$C$32,MATCH(LEFT(A104,3),'الإعدادات واللجنة'!$A$24:$A$32,0)),"")</f>
        <v>د. يثرب بنت سعد القحطاني</v>
      </c>
      <c r="I104" s="33"/>
      <c r="J104" s="33"/>
      <c r="K104" s="31" t="str">
        <f t="shared" si="1"/>
        <v/>
      </c>
      <c r="L104" s="34"/>
      <c r="M104" s="33"/>
      <c r="N104" s="34"/>
      <c r="O104" s="34"/>
      <c r="P104" s="33"/>
      <c r="Q104" s="34"/>
    </row>
    <row r="105" spans="1:17" ht="39" x14ac:dyDescent="0.2">
      <c r="A105" s="48" t="s">
        <v>446</v>
      </c>
      <c r="B105" s="49" t="s">
        <v>151</v>
      </c>
      <c r="C105" s="50" t="s">
        <v>441</v>
      </c>
      <c r="D105" s="51"/>
      <c r="E105" s="41">
        <v>1</v>
      </c>
      <c r="F105" s="50" t="s">
        <v>442</v>
      </c>
      <c r="G105" s="40" t="s">
        <v>583</v>
      </c>
      <c r="H105" s="41" t="str">
        <f>IFERROR(INDEX('الإعدادات واللجنة'!$C$24:$C$32,MATCH(LEFT(A105,3),'الإعدادات واللجنة'!$A$24:$A$32,0)),"")</f>
        <v>د. يثرب بنت سعد القحطاني</v>
      </c>
      <c r="I105" s="42"/>
      <c r="J105" s="42"/>
      <c r="K105" s="41" t="str">
        <f t="shared" si="1"/>
        <v/>
      </c>
      <c r="L105" s="43"/>
      <c r="M105" s="42"/>
      <c r="N105" s="43"/>
      <c r="O105" s="43"/>
      <c r="P105" s="42"/>
      <c r="Q105" s="43"/>
    </row>
    <row r="106" spans="1:17" x14ac:dyDescent="0.2">
      <c r="A106" s="31" t="s">
        <v>446</v>
      </c>
      <c r="B106" s="28" t="s">
        <v>151</v>
      </c>
      <c r="C106" s="29"/>
      <c r="D106" s="30"/>
      <c r="E106" s="31">
        <v>2</v>
      </c>
      <c r="F106" s="29" t="s">
        <v>443</v>
      </c>
      <c r="G106" s="32" t="s">
        <v>583</v>
      </c>
      <c r="H106" s="31" t="str">
        <f>IFERROR(INDEX('الإعدادات واللجنة'!$C$24:$C$32,MATCH(LEFT(A106,3),'الإعدادات واللجنة'!$A$24:$A$32,0)),"")</f>
        <v>د. يثرب بنت سعد القحطاني</v>
      </c>
      <c r="I106" s="33"/>
      <c r="J106" s="33"/>
      <c r="K106" s="31" t="str">
        <f t="shared" si="1"/>
        <v/>
      </c>
      <c r="L106" s="34"/>
      <c r="M106" s="33"/>
      <c r="N106" s="34"/>
      <c r="O106" s="34"/>
      <c r="P106" s="33"/>
      <c r="Q106" s="34"/>
    </row>
    <row r="107" spans="1:17" x14ac:dyDescent="0.2">
      <c r="A107" s="31" t="s">
        <v>446</v>
      </c>
      <c r="B107" s="28" t="s">
        <v>151</v>
      </c>
      <c r="C107" s="29"/>
      <c r="D107" s="30"/>
      <c r="E107" s="31">
        <v>3</v>
      </c>
      <c r="F107" s="29" t="s">
        <v>444</v>
      </c>
      <c r="G107" s="32" t="s">
        <v>583</v>
      </c>
      <c r="H107" s="31" t="str">
        <f>IFERROR(INDEX('الإعدادات واللجنة'!$C$24:$C$32,MATCH(LEFT(A107,3),'الإعدادات واللجنة'!$A$24:$A$32,0)),"")</f>
        <v>د. يثرب بنت سعد القحطاني</v>
      </c>
      <c r="I107" s="33"/>
      <c r="J107" s="33"/>
      <c r="K107" s="31" t="str">
        <f t="shared" si="1"/>
        <v/>
      </c>
      <c r="L107" s="34"/>
      <c r="M107" s="33"/>
      <c r="N107" s="34"/>
      <c r="O107" s="34"/>
      <c r="P107" s="33"/>
      <c r="Q107" s="34"/>
    </row>
    <row r="108" spans="1:17" ht="26" x14ac:dyDescent="0.2">
      <c r="A108" s="31" t="s">
        <v>446</v>
      </c>
      <c r="B108" s="28" t="s">
        <v>151</v>
      </c>
      <c r="C108" s="29"/>
      <c r="D108" s="30"/>
      <c r="E108" s="31">
        <v>4</v>
      </c>
      <c r="F108" s="29" t="s">
        <v>445</v>
      </c>
      <c r="G108" s="32" t="s">
        <v>583</v>
      </c>
      <c r="H108" s="31" t="str">
        <f>IFERROR(INDEX('الإعدادات واللجنة'!$C$24:$C$32,MATCH(LEFT(A108,3),'الإعدادات واللجنة'!$A$24:$A$32,0)),"")</f>
        <v>د. يثرب بنت سعد القحطاني</v>
      </c>
      <c r="I108" s="33"/>
      <c r="J108" s="33"/>
      <c r="K108" s="31" t="str">
        <f t="shared" si="1"/>
        <v/>
      </c>
      <c r="L108" s="34"/>
      <c r="M108" s="33"/>
      <c r="N108" s="34"/>
      <c r="O108" s="34"/>
      <c r="P108" s="33"/>
      <c r="Q108" s="34"/>
    </row>
    <row r="109" spans="1:17" ht="39" x14ac:dyDescent="0.2">
      <c r="A109" s="48" t="s">
        <v>451</v>
      </c>
      <c r="B109" s="49" t="s">
        <v>151</v>
      </c>
      <c r="C109" s="50" t="s">
        <v>447</v>
      </c>
      <c r="D109" s="51"/>
      <c r="E109" s="41">
        <v>1</v>
      </c>
      <c r="F109" s="50" t="s">
        <v>448</v>
      </c>
      <c r="G109" s="40" t="s">
        <v>583</v>
      </c>
      <c r="H109" s="41" t="str">
        <f>IFERROR(INDEX('الإعدادات واللجنة'!$C$24:$C$32,MATCH(LEFT(A109,3),'الإعدادات واللجنة'!$A$24:$A$32,0)),"")</f>
        <v>د. يثرب بنت سعد القحطاني</v>
      </c>
      <c r="I109" s="42"/>
      <c r="J109" s="42"/>
      <c r="K109" s="41" t="str">
        <f t="shared" si="1"/>
        <v/>
      </c>
      <c r="L109" s="43"/>
      <c r="M109" s="42"/>
      <c r="N109" s="43"/>
      <c r="O109" s="43"/>
      <c r="P109" s="42"/>
      <c r="Q109" s="43"/>
    </row>
    <row r="110" spans="1:17" ht="39" x14ac:dyDescent="0.2">
      <c r="A110" s="31" t="s">
        <v>451</v>
      </c>
      <c r="B110" s="28" t="s">
        <v>151</v>
      </c>
      <c r="C110" s="29"/>
      <c r="D110" s="30"/>
      <c r="E110" s="31">
        <v>2</v>
      </c>
      <c r="F110" s="29" t="s">
        <v>449</v>
      </c>
      <c r="G110" s="32" t="s">
        <v>583</v>
      </c>
      <c r="H110" s="31" t="str">
        <f>IFERROR(INDEX('الإعدادات واللجنة'!$C$24:$C$32,MATCH(LEFT(A110,3),'الإعدادات واللجنة'!$A$24:$A$32,0)),"")</f>
        <v>د. يثرب بنت سعد القحطاني</v>
      </c>
      <c r="I110" s="33"/>
      <c r="J110" s="33"/>
      <c r="K110" s="31" t="str">
        <f t="shared" si="1"/>
        <v/>
      </c>
      <c r="L110" s="34"/>
      <c r="M110" s="33"/>
      <c r="N110" s="34"/>
      <c r="O110" s="34"/>
      <c r="P110" s="33"/>
      <c r="Q110" s="34"/>
    </row>
    <row r="111" spans="1:17" x14ac:dyDescent="0.2">
      <c r="A111" s="31" t="s">
        <v>451</v>
      </c>
      <c r="B111" s="28" t="s">
        <v>151</v>
      </c>
      <c r="C111" s="29"/>
      <c r="D111" s="30"/>
      <c r="E111" s="31">
        <v>3</v>
      </c>
      <c r="F111" s="29" t="s">
        <v>450</v>
      </c>
      <c r="G111" s="32" t="s">
        <v>583</v>
      </c>
      <c r="H111" s="31" t="str">
        <f>IFERROR(INDEX('الإعدادات واللجنة'!$C$24:$C$32,MATCH(LEFT(A111,3),'الإعدادات واللجنة'!$A$24:$A$32,0)),"")</f>
        <v>د. يثرب بنت سعد القحطاني</v>
      </c>
      <c r="I111" s="33"/>
      <c r="J111" s="33"/>
      <c r="K111" s="31" t="str">
        <f t="shared" si="1"/>
        <v/>
      </c>
      <c r="L111" s="34"/>
      <c r="M111" s="33"/>
      <c r="N111" s="34"/>
      <c r="O111" s="34"/>
      <c r="P111" s="33"/>
      <c r="Q111" s="34"/>
    </row>
    <row r="112" spans="1:17" ht="26" x14ac:dyDescent="0.2">
      <c r="A112" s="48" t="s">
        <v>456</v>
      </c>
      <c r="B112" s="49" t="s">
        <v>151</v>
      </c>
      <c r="C112" s="50" t="s">
        <v>452</v>
      </c>
      <c r="D112" s="51"/>
      <c r="E112" s="41">
        <v>1</v>
      </c>
      <c r="F112" s="50" t="s">
        <v>453</v>
      </c>
      <c r="G112" s="40" t="s">
        <v>583</v>
      </c>
      <c r="H112" s="41" t="str">
        <f>IFERROR(INDEX('الإعدادات واللجنة'!$C$24:$C$32,MATCH(LEFT(A112,3),'الإعدادات واللجنة'!$A$24:$A$32,0)),"")</f>
        <v>د. يثرب بنت سعد القحطاني</v>
      </c>
      <c r="I112" s="42"/>
      <c r="J112" s="42"/>
      <c r="K112" s="41" t="str">
        <f t="shared" si="1"/>
        <v/>
      </c>
      <c r="L112" s="43"/>
      <c r="M112" s="42"/>
      <c r="N112" s="43"/>
      <c r="O112" s="43"/>
      <c r="P112" s="42"/>
      <c r="Q112" s="43"/>
    </row>
    <row r="113" spans="1:17" ht="26" x14ac:dyDescent="0.2">
      <c r="A113" s="31" t="s">
        <v>456</v>
      </c>
      <c r="B113" s="28" t="s">
        <v>151</v>
      </c>
      <c r="C113" s="29"/>
      <c r="D113" s="30"/>
      <c r="E113" s="31">
        <v>2</v>
      </c>
      <c r="F113" s="29" t="s">
        <v>454</v>
      </c>
      <c r="G113" s="32" t="s">
        <v>583</v>
      </c>
      <c r="H113" s="31" t="str">
        <f>IFERROR(INDEX('الإعدادات واللجنة'!$C$24:$C$32,MATCH(LEFT(A113,3),'الإعدادات واللجنة'!$A$24:$A$32,0)),"")</f>
        <v>د. يثرب بنت سعد القحطاني</v>
      </c>
      <c r="I113" s="33"/>
      <c r="J113" s="33"/>
      <c r="K113" s="31" t="str">
        <f t="shared" si="1"/>
        <v/>
      </c>
      <c r="L113" s="34"/>
      <c r="M113" s="33"/>
      <c r="N113" s="34"/>
      <c r="O113" s="34"/>
      <c r="P113" s="33"/>
      <c r="Q113" s="34"/>
    </row>
    <row r="114" spans="1:17" ht="26" x14ac:dyDescent="0.2">
      <c r="A114" s="31" t="s">
        <v>456</v>
      </c>
      <c r="B114" s="28" t="s">
        <v>151</v>
      </c>
      <c r="C114" s="29"/>
      <c r="D114" s="30"/>
      <c r="E114" s="31">
        <v>3</v>
      </c>
      <c r="F114" s="29" t="s">
        <v>455</v>
      </c>
      <c r="G114" s="32" t="s">
        <v>583</v>
      </c>
      <c r="H114" s="31" t="str">
        <f>IFERROR(INDEX('الإعدادات واللجنة'!$C$24:$C$32,MATCH(LEFT(A114,3),'الإعدادات واللجنة'!$A$24:$A$32,0)),"")</f>
        <v>د. يثرب بنت سعد القحطاني</v>
      </c>
      <c r="I114" s="33"/>
      <c r="J114" s="33"/>
      <c r="K114" s="31" t="str">
        <f t="shared" si="1"/>
        <v/>
      </c>
      <c r="L114" s="34"/>
      <c r="M114" s="33"/>
      <c r="N114" s="34"/>
      <c r="O114" s="34"/>
      <c r="P114" s="33"/>
      <c r="Q114" s="34"/>
    </row>
    <row r="115" spans="1:17" ht="26" x14ac:dyDescent="0.2">
      <c r="A115" s="48" t="s">
        <v>463</v>
      </c>
      <c r="B115" s="49" t="s">
        <v>151</v>
      </c>
      <c r="C115" s="50" t="s">
        <v>457</v>
      </c>
      <c r="D115" s="51"/>
      <c r="E115" s="41">
        <v>1</v>
      </c>
      <c r="F115" s="50" t="s">
        <v>458</v>
      </c>
      <c r="G115" s="40" t="s">
        <v>583</v>
      </c>
      <c r="H115" s="41" t="str">
        <f>IFERROR(INDEX('الإعدادات واللجنة'!$C$24:$C$32,MATCH(LEFT(A115,3),'الإعدادات واللجنة'!$A$24:$A$32,0)),"")</f>
        <v>د. يثرب بنت سعد القحطاني</v>
      </c>
      <c r="I115" s="42"/>
      <c r="J115" s="42"/>
      <c r="K115" s="41" t="str">
        <f t="shared" si="1"/>
        <v/>
      </c>
      <c r="L115" s="43"/>
      <c r="M115" s="42"/>
      <c r="N115" s="43"/>
      <c r="O115" s="43"/>
      <c r="P115" s="42"/>
      <c r="Q115" s="43"/>
    </row>
    <row r="116" spans="1:17" x14ac:dyDescent="0.2">
      <c r="A116" s="31" t="s">
        <v>463</v>
      </c>
      <c r="B116" s="28" t="s">
        <v>151</v>
      </c>
      <c r="C116" s="29"/>
      <c r="D116" s="30"/>
      <c r="E116" s="31">
        <v>2</v>
      </c>
      <c r="F116" s="29" t="s">
        <v>459</v>
      </c>
      <c r="G116" s="32" t="s">
        <v>583</v>
      </c>
      <c r="H116" s="31" t="str">
        <f>IFERROR(INDEX('الإعدادات واللجنة'!$C$24:$C$32,MATCH(LEFT(A116,3),'الإعدادات واللجنة'!$A$24:$A$32,0)),"")</f>
        <v>د. يثرب بنت سعد القحطاني</v>
      </c>
      <c r="I116" s="33"/>
      <c r="J116" s="33"/>
      <c r="K116" s="31" t="str">
        <f t="shared" si="1"/>
        <v/>
      </c>
      <c r="L116" s="34"/>
      <c r="M116" s="33"/>
      <c r="N116" s="34"/>
      <c r="O116" s="34"/>
      <c r="P116" s="33"/>
      <c r="Q116" s="34"/>
    </row>
    <row r="117" spans="1:17" x14ac:dyDescent="0.2">
      <c r="A117" s="31" t="s">
        <v>463</v>
      </c>
      <c r="B117" s="28" t="s">
        <v>151</v>
      </c>
      <c r="C117" s="29"/>
      <c r="D117" s="30"/>
      <c r="E117" s="31">
        <v>3</v>
      </c>
      <c r="F117" s="29" t="s">
        <v>460</v>
      </c>
      <c r="G117" s="32" t="s">
        <v>583</v>
      </c>
      <c r="H117" s="31" t="str">
        <f>IFERROR(INDEX('الإعدادات واللجنة'!$C$24:$C$32,MATCH(LEFT(A117,3),'الإعدادات واللجنة'!$A$24:$A$32,0)),"")</f>
        <v>د. يثرب بنت سعد القحطاني</v>
      </c>
      <c r="I117" s="33"/>
      <c r="J117" s="33"/>
      <c r="K117" s="31" t="str">
        <f t="shared" si="1"/>
        <v/>
      </c>
      <c r="L117" s="34"/>
      <c r="M117" s="33"/>
      <c r="N117" s="34"/>
      <c r="O117" s="34"/>
      <c r="P117" s="33"/>
      <c r="Q117" s="34"/>
    </row>
    <row r="118" spans="1:17" x14ac:dyDescent="0.2">
      <c r="A118" s="31" t="s">
        <v>463</v>
      </c>
      <c r="B118" s="28" t="s">
        <v>151</v>
      </c>
      <c r="C118" s="29"/>
      <c r="D118" s="30"/>
      <c r="E118" s="31">
        <v>4</v>
      </c>
      <c r="F118" s="29" t="s">
        <v>461</v>
      </c>
      <c r="G118" s="32" t="s">
        <v>583</v>
      </c>
      <c r="H118" s="31" t="str">
        <f>IFERROR(INDEX('الإعدادات واللجنة'!$C$24:$C$32,MATCH(LEFT(A118,3),'الإعدادات واللجنة'!$A$24:$A$32,0)),"")</f>
        <v>د. يثرب بنت سعد القحطاني</v>
      </c>
      <c r="I118" s="33"/>
      <c r="J118" s="33"/>
      <c r="K118" s="31" t="str">
        <f t="shared" si="1"/>
        <v/>
      </c>
      <c r="L118" s="34"/>
      <c r="M118" s="33"/>
      <c r="N118" s="34"/>
      <c r="O118" s="34"/>
      <c r="P118" s="33"/>
      <c r="Q118" s="34"/>
    </row>
    <row r="119" spans="1:17" x14ac:dyDescent="0.2">
      <c r="A119" s="31" t="s">
        <v>463</v>
      </c>
      <c r="B119" s="28" t="s">
        <v>151</v>
      </c>
      <c r="C119" s="29"/>
      <c r="D119" s="30"/>
      <c r="E119" s="31">
        <v>5</v>
      </c>
      <c r="F119" s="29" t="s">
        <v>462</v>
      </c>
      <c r="G119" s="32" t="s">
        <v>583</v>
      </c>
      <c r="H119" s="31" t="str">
        <f>IFERROR(INDEX('الإعدادات واللجنة'!$C$24:$C$32,MATCH(LEFT(A119,3),'الإعدادات واللجنة'!$A$24:$A$32,0)),"")</f>
        <v>د. يثرب بنت سعد القحطاني</v>
      </c>
      <c r="I119" s="33"/>
      <c r="J119" s="33"/>
      <c r="K119" s="31" t="str">
        <f t="shared" si="1"/>
        <v/>
      </c>
      <c r="L119" s="34"/>
      <c r="M119" s="33"/>
      <c r="N119" s="34"/>
      <c r="O119" s="34"/>
      <c r="P119" s="33"/>
      <c r="Q119" s="34"/>
    </row>
    <row r="120" spans="1:17" ht="26" x14ac:dyDescent="0.2">
      <c r="A120" s="35" t="s">
        <v>585</v>
      </c>
      <c r="B120" s="36" t="s">
        <v>151</v>
      </c>
      <c r="C120" s="37" t="s">
        <v>464</v>
      </c>
      <c r="D120" s="38" t="s">
        <v>293</v>
      </c>
      <c r="E120" s="39">
        <v>1</v>
      </c>
      <c r="F120" s="37" t="s">
        <v>465</v>
      </c>
      <c r="G120" s="40" t="s">
        <v>583</v>
      </c>
      <c r="H120" s="41" t="str">
        <f>IFERROR(INDEX('الإعدادات واللجنة'!$C$24:$C$32,MATCH(LEFT(A120,3),'الإعدادات واللجنة'!$A$24:$A$32,0)),"")</f>
        <v>د. يثرب بنت سعد القحطاني</v>
      </c>
      <c r="I120" s="42"/>
      <c r="J120" s="42"/>
      <c r="K120" s="41" t="str">
        <f t="shared" si="1"/>
        <v/>
      </c>
      <c r="L120" s="43"/>
      <c r="M120" s="42"/>
      <c r="N120" s="43"/>
      <c r="O120" s="43"/>
      <c r="P120" s="42"/>
      <c r="Q120" s="43"/>
    </row>
    <row r="121" spans="1:17" x14ac:dyDescent="0.2">
      <c r="A121" s="44" t="s">
        <v>585</v>
      </c>
      <c r="B121" s="45" t="s">
        <v>151</v>
      </c>
      <c r="C121" s="46"/>
      <c r="D121" s="47" t="s">
        <v>293</v>
      </c>
      <c r="E121" s="44">
        <v>2</v>
      </c>
      <c r="F121" s="46" t="s">
        <v>466</v>
      </c>
      <c r="G121" s="32" t="s">
        <v>583</v>
      </c>
      <c r="H121" s="31" t="str">
        <f>IFERROR(INDEX('الإعدادات واللجنة'!$C$24:$C$32,MATCH(LEFT(A121,3),'الإعدادات واللجنة'!$A$24:$A$32,0)),"")</f>
        <v>د. يثرب بنت سعد القحطاني</v>
      </c>
      <c r="I121" s="33"/>
      <c r="J121" s="33"/>
      <c r="K121" s="31" t="str">
        <f t="shared" si="1"/>
        <v/>
      </c>
      <c r="L121" s="34"/>
      <c r="M121" s="33"/>
      <c r="N121" s="34"/>
      <c r="O121" s="34"/>
      <c r="P121" s="33"/>
      <c r="Q121" s="34"/>
    </row>
    <row r="122" spans="1:17" ht="26" x14ac:dyDescent="0.2">
      <c r="A122" s="44" t="s">
        <v>585</v>
      </c>
      <c r="B122" s="45" t="s">
        <v>151</v>
      </c>
      <c r="C122" s="46"/>
      <c r="D122" s="47" t="s">
        <v>293</v>
      </c>
      <c r="E122" s="44">
        <v>3</v>
      </c>
      <c r="F122" s="46" t="s">
        <v>467</v>
      </c>
      <c r="G122" s="32" t="s">
        <v>583</v>
      </c>
      <c r="H122" s="31" t="str">
        <f>IFERROR(INDEX('الإعدادات واللجنة'!$C$24:$C$32,MATCH(LEFT(A122,3),'الإعدادات واللجنة'!$A$24:$A$32,0)),"")</f>
        <v>د. يثرب بنت سعد القحطاني</v>
      </c>
      <c r="I122" s="33"/>
      <c r="J122" s="33"/>
      <c r="K122" s="31" t="str">
        <f t="shared" si="1"/>
        <v/>
      </c>
      <c r="L122" s="34"/>
      <c r="M122" s="33"/>
      <c r="N122" s="34"/>
      <c r="O122" s="34"/>
      <c r="P122" s="33"/>
      <c r="Q122" s="34"/>
    </row>
    <row r="123" spans="1:17" ht="26" x14ac:dyDescent="0.2">
      <c r="A123" s="44" t="s">
        <v>585</v>
      </c>
      <c r="B123" s="45" t="s">
        <v>151</v>
      </c>
      <c r="C123" s="46"/>
      <c r="D123" s="47" t="s">
        <v>293</v>
      </c>
      <c r="E123" s="44">
        <v>4</v>
      </c>
      <c r="F123" s="46" t="s">
        <v>468</v>
      </c>
      <c r="G123" s="32" t="s">
        <v>583</v>
      </c>
      <c r="H123" s="31" t="str">
        <f>IFERROR(INDEX('الإعدادات واللجنة'!$C$24:$C$32,MATCH(LEFT(A123,3),'الإعدادات واللجنة'!$A$24:$A$32,0)),"")</f>
        <v>د. يثرب بنت سعد القحطاني</v>
      </c>
      <c r="I123" s="33"/>
      <c r="J123" s="33"/>
      <c r="K123" s="31" t="str">
        <f t="shared" si="1"/>
        <v/>
      </c>
      <c r="L123" s="34"/>
      <c r="M123" s="33"/>
      <c r="N123" s="34"/>
      <c r="O123" s="34"/>
      <c r="P123" s="33"/>
      <c r="Q123" s="34"/>
    </row>
    <row r="124" spans="1:17" x14ac:dyDescent="0.2">
      <c r="A124" s="44" t="s">
        <v>585</v>
      </c>
      <c r="B124" s="45" t="s">
        <v>151</v>
      </c>
      <c r="C124" s="46"/>
      <c r="D124" s="47" t="s">
        <v>293</v>
      </c>
      <c r="E124" s="44">
        <v>5</v>
      </c>
      <c r="F124" s="46" t="s">
        <v>469</v>
      </c>
      <c r="G124" s="32" t="s">
        <v>583</v>
      </c>
      <c r="H124" s="31" t="str">
        <f>IFERROR(INDEX('الإعدادات واللجنة'!$C$24:$C$32,MATCH(LEFT(A124,3),'الإعدادات واللجنة'!$A$24:$A$32,0)),"")</f>
        <v>د. يثرب بنت سعد القحطاني</v>
      </c>
      <c r="I124" s="33"/>
      <c r="J124" s="33"/>
      <c r="K124" s="31" t="str">
        <f t="shared" si="1"/>
        <v/>
      </c>
      <c r="L124" s="34"/>
      <c r="M124" s="33"/>
      <c r="N124" s="34"/>
      <c r="O124" s="34"/>
      <c r="P124" s="33"/>
      <c r="Q124" s="34"/>
    </row>
    <row r="125" spans="1:17" ht="39" x14ac:dyDescent="0.2">
      <c r="A125" s="48" t="s">
        <v>470</v>
      </c>
      <c r="B125" s="49" t="s">
        <v>152</v>
      </c>
      <c r="C125" s="50" t="s">
        <v>471</v>
      </c>
      <c r="D125" s="51"/>
      <c r="E125" s="41">
        <v>1</v>
      </c>
      <c r="F125" s="50" t="s">
        <v>472</v>
      </c>
      <c r="G125" s="40" t="s">
        <v>583</v>
      </c>
      <c r="H125" s="41" t="str">
        <f>IFERROR(INDEX('الإعدادات واللجنة'!$C$24:$C$32,MATCH(LEFT(A125,3),'الإعدادات واللجنة'!$A$24:$A$32,0)),"")</f>
        <v>د. عبدالله بن محمد البركاتي</v>
      </c>
      <c r="I125" s="42"/>
      <c r="J125" s="42"/>
      <c r="K125" s="41" t="str">
        <f t="shared" si="1"/>
        <v/>
      </c>
      <c r="L125" s="43"/>
      <c r="M125" s="42"/>
      <c r="N125" s="43"/>
      <c r="O125" s="43"/>
      <c r="P125" s="42"/>
      <c r="Q125" s="43"/>
    </row>
    <row r="126" spans="1:17" x14ac:dyDescent="0.2">
      <c r="A126" s="31" t="s">
        <v>470</v>
      </c>
      <c r="B126" s="28" t="s">
        <v>152</v>
      </c>
      <c r="C126" s="29"/>
      <c r="D126" s="30"/>
      <c r="E126" s="31">
        <v>2</v>
      </c>
      <c r="F126" s="29" t="s">
        <v>473</v>
      </c>
      <c r="G126" s="32" t="s">
        <v>583</v>
      </c>
      <c r="H126" s="31" t="str">
        <f>IFERROR(INDEX('الإعدادات واللجنة'!$C$24:$C$32,MATCH(LEFT(A126,3),'الإعدادات واللجنة'!$A$24:$A$32,0)),"")</f>
        <v>د. عبدالله بن محمد البركاتي</v>
      </c>
      <c r="I126" s="33"/>
      <c r="J126" s="33"/>
      <c r="K126" s="31" t="str">
        <f t="shared" si="1"/>
        <v/>
      </c>
      <c r="L126" s="34"/>
      <c r="M126" s="33"/>
      <c r="N126" s="34"/>
      <c r="O126" s="34"/>
      <c r="P126" s="33"/>
      <c r="Q126" s="34"/>
    </row>
    <row r="127" spans="1:17" x14ac:dyDescent="0.2">
      <c r="A127" s="31" t="s">
        <v>470</v>
      </c>
      <c r="B127" s="28" t="s">
        <v>152</v>
      </c>
      <c r="C127" s="29"/>
      <c r="D127" s="30"/>
      <c r="E127" s="31">
        <v>3</v>
      </c>
      <c r="F127" s="29" t="s">
        <v>474</v>
      </c>
      <c r="G127" s="32" t="s">
        <v>583</v>
      </c>
      <c r="H127" s="31" t="str">
        <f>IFERROR(INDEX('الإعدادات واللجنة'!$C$24:$C$32,MATCH(LEFT(A127,3),'الإعدادات واللجنة'!$A$24:$A$32,0)),"")</f>
        <v>د. عبدالله بن محمد البركاتي</v>
      </c>
      <c r="I127" s="33"/>
      <c r="J127" s="33"/>
      <c r="K127" s="31" t="str">
        <f t="shared" si="1"/>
        <v/>
      </c>
      <c r="L127" s="34"/>
      <c r="M127" s="33"/>
      <c r="N127" s="34"/>
      <c r="O127" s="34"/>
      <c r="P127" s="33"/>
      <c r="Q127" s="34"/>
    </row>
    <row r="128" spans="1:17" x14ac:dyDescent="0.2">
      <c r="A128" s="31" t="s">
        <v>470</v>
      </c>
      <c r="B128" s="28" t="s">
        <v>152</v>
      </c>
      <c r="C128" s="29"/>
      <c r="D128" s="30"/>
      <c r="E128" s="31">
        <v>4</v>
      </c>
      <c r="F128" s="29" t="s">
        <v>475</v>
      </c>
      <c r="G128" s="32" t="s">
        <v>583</v>
      </c>
      <c r="H128" s="31" t="str">
        <f>IFERROR(INDEX('الإعدادات واللجنة'!$C$24:$C$32,MATCH(LEFT(A128,3),'الإعدادات واللجنة'!$A$24:$A$32,0)),"")</f>
        <v>د. عبدالله بن محمد البركاتي</v>
      </c>
      <c r="I128" s="33"/>
      <c r="J128" s="33"/>
      <c r="K128" s="31" t="str">
        <f t="shared" si="1"/>
        <v/>
      </c>
      <c r="L128" s="34"/>
      <c r="M128" s="33"/>
      <c r="N128" s="34"/>
      <c r="O128" s="34"/>
      <c r="P128" s="33"/>
      <c r="Q128" s="34"/>
    </row>
    <row r="129" spans="1:17" x14ac:dyDescent="0.2">
      <c r="A129" s="31" t="s">
        <v>470</v>
      </c>
      <c r="B129" s="28" t="s">
        <v>152</v>
      </c>
      <c r="C129" s="29"/>
      <c r="D129" s="30"/>
      <c r="E129" s="31">
        <v>5</v>
      </c>
      <c r="F129" s="29" t="s">
        <v>476</v>
      </c>
      <c r="G129" s="32" t="s">
        <v>583</v>
      </c>
      <c r="H129" s="31" t="str">
        <f>IFERROR(INDEX('الإعدادات واللجنة'!$C$24:$C$32,MATCH(LEFT(A129,3),'الإعدادات واللجنة'!$A$24:$A$32,0)),"")</f>
        <v>د. عبدالله بن محمد البركاتي</v>
      </c>
      <c r="I129" s="33"/>
      <c r="J129" s="33"/>
      <c r="K129" s="31" t="str">
        <f t="shared" si="1"/>
        <v/>
      </c>
      <c r="L129" s="34"/>
      <c r="M129" s="33"/>
      <c r="N129" s="34"/>
      <c r="O129" s="34"/>
      <c r="P129" s="33"/>
      <c r="Q129" s="34"/>
    </row>
    <row r="130" spans="1:17" ht="26" x14ac:dyDescent="0.2">
      <c r="A130" s="48" t="s">
        <v>477</v>
      </c>
      <c r="B130" s="49" t="s">
        <v>152</v>
      </c>
      <c r="C130" s="50" t="s">
        <v>478</v>
      </c>
      <c r="D130" s="51"/>
      <c r="E130" s="41">
        <v>1</v>
      </c>
      <c r="F130" s="50" t="s">
        <v>479</v>
      </c>
      <c r="G130" s="40" t="s">
        <v>583</v>
      </c>
      <c r="H130" s="41" t="str">
        <f>IFERROR(INDEX('الإعدادات واللجنة'!$C$24:$C$32,MATCH(LEFT(A130,3),'الإعدادات واللجنة'!$A$24:$A$32,0)),"")</f>
        <v>د. عبدالله بن محمد البركاتي</v>
      </c>
      <c r="I130" s="42"/>
      <c r="J130" s="42"/>
      <c r="K130" s="41" t="str">
        <f t="shared" si="1"/>
        <v/>
      </c>
      <c r="L130" s="43"/>
      <c r="M130" s="42"/>
      <c r="N130" s="43"/>
      <c r="O130" s="43"/>
      <c r="P130" s="42"/>
      <c r="Q130" s="43"/>
    </row>
    <row r="131" spans="1:17" ht="26" x14ac:dyDescent="0.2">
      <c r="A131" s="31" t="s">
        <v>477</v>
      </c>
      <c r="B131" s="28" t="s">
        <v>152</v>
      </c>
      <c r="C131" s="29"/>
      <c r="D131" s="30"/>
      <c r="E131" s="31">
        <v>2</v>
      </c>
      <c r="F131" s="29" t="s">
        <v>480</v>
      </c>
      <c r="G131" s="32" t="s">
        <v>583</v>
      </c>
      <c r="H131" s="31" t="str">
        <f>IFERROR(INDEX('الإعدادات واللجنة'!$C$24:$C$32,MATCH(LEFT(A131,3),'الإعدادات واللجنة'!$A$24:$A$32,0)),"")</f>
        <v>د. عبدالله بن محمد البركاتي</v>
      </c>
      <c r="I131" s="33"/>
      <c r="J131" s="33"/>
      <c r="K131" s="31" t="str">
        <f t="shared" si="1"/>
        <v/>
      </c>
      <c r="L131" s="34"/>
      <c r="M131" s="33"/>
      <c r="N131" s="34"/>
      <c r="O131" s="34"/>
      <c r="P131" s="33"/>
      <c r="Q131" s="34"/>
    </row>
    <row r="132" spans="1:17" x14ac:dyDescent="0.2">
      <c r="A132" s="31" t="s">
        <v>477</v>
      </c>
      <c r="B132" s="28" t="s">
        <v>152</v>
      </c>
      <c r="C132" s="29"/>
      <c r="D132" s="30"/>
      <c r="E132" s="31">
        <v>3</v>
      </c>
      <c r="F132" s="29" t="s">
        <v>481</v>
      </c>
      <c r="G132" s="32" t="s">
        <v>583</v>
      </c>
      <c r="H132" s="31" t="str">
        <f>IFERROR(INDEX('الإعدادات واللجنة'!$C$24:$C$32,MATCH(LEFT(A132,3),'الإعدادات واللجنة'!$A$24:$A$32,0)),"")</f>
        <v>د. عبدالله بن محمد البركاتي</v>
      </c>
      <c r="I132" s="33"/>
      <c r="J132" s="33"/>
      <c r="K132" s="31" t="str">
        <f t="shared" si="1"/>
        <v/>
      </c>
      <c r="L132" s="34"/>
      <c r="M132" s="33"/>
      <c r="N132" s="34"/>
      <c r="O132" s="34"/>
      <c r="P132" s="33"/>
      <c r="Q132" s="34"/>
    </row>
    <row r="133" spans="1:17" ht="26" x14ac:dyDescent="0.2">
      <c r="A133" s="35" t="s">
        <v>482</v>
      </c>
      <c r="B133" s="36" t="s">
        <v>152</v>
      </c>
      <c r="C133" s="37" t="s">
        <v>483</v>
      </c>
      <c r="D133" s="38" t="s">
        <v>293</v>
      </c>
      <c r="E133" s="39">
        <v>1</v>
      </c>
      <c r="F133" s="37" t="s">
        <v>484</v>
      </c>
      <c r="G133" s="40" t="s">
        <v>583</v>
      </c>
      <c r="H133" s="41" t="str">
        <f>IFERROR(INDEX('الإعدادات واللجنة'!$C$24:$C$32,MATCH(LEFT(A133,3),'الإعدادات واللجنة'!$A$24:$A$32,0)),"")</f>
        <v>د. عبدالله بن محمد البركاتي</v>
      </c>
      <c r="I133" s="42"/>
      <c r="J133" s="42"/>
      <c r="K133" s="41" t="str">
        <f t="shared" ref="K133:K196" si="2">IF(OR(I133="",I133="متوفر ومكتمل"),"",IF(OR(D133="★",I133="غير متوفر"),"عالية","متوسطة"))</f>
        <v/>
      </c>
      <c r="L133" s="43"/>
      <c r="M133" s="42"/>
      <c r="N133" s="43"/>
      <c r="O133" s="43"/>
      <c r="P133" s="42"/>
      <c r="Q133" s="43"/>
    </row>
    <row r="134" spans="1:17" x14ac:dyDescent="0.2">
      <c r="A134" s="44" t="s">
        <v>482</v>
      </c>
      <c r="B134" s="45" t="s">
        <v>152</v>
      </c>
      <c r="C134" s="46"/>
      <c r="D134" s="47" t="s">
        <v>293</v>
      </c>
      <c r="E134" s="44">
        <v>2</v>
      </c>
      <c r="F134" s="46" t="s">
        <v>485</v>
      </c>
      <c r="G134" s="32" t="s">
        <v>583</v>
      </c>
      <c r="H134" s="31" t="str">
        <f>IFERROR(INDEX('الإعدادات واللجنة'!$C$24:$C$32,MATCH(LEFT(A134,3),'الإعدادات واللجنة'!$A$24:$A$32,0)),"")</f>
        <v>د. عبدالله بن محمد البركاتي</v>
      </c>
      <c r="I134" s="33"/>
      <c r="J134" s="33"/>
      <c r="K134" s="31" t="str">
        <f t="shared" si="2"/>
        <v/>
      </c>
      <c r="L134" s="34"/>
      <c r="M134" s="33"/>
      <c r="N134" s="34"/>
      <c r="O134" s="34"/>
      <c r="P134" s="33"/>
      <c r="Q134" s="34"/>
    </row>
    <row r="135" spans="1:17" x14ac:dyDescent="0.2">
      <c r="A135" s="44" t="s">
        <v>482</v>
      </c>
      <c r="B135" s="45" t="s">
        <v>152</v>
      </c>
      <c r="C135" s="46"/>
      <c r="D135" s="47" t="s">
        <v>293</v>
      </c>
      <c r="E135" s="44">
        <v>3</v>
      </c>
      <c r="F135" s="46" t="s">
        <v>486</v>
      </c>
      <c r="G135" s="32" t="s">
        <v>583</v>
      </c>
      <c r="H135" s="31" t="str">
        <f>IFERROR(INDEX('الإعدادات واللجنة'!$C$24:$C$32,MATCH(LEFT(A135,3),'الإعدادات واللجنة'!$A$24:$A$32,0)),"")</f>
        <v>د. عبدالله بن محمد البركاتي</v>
      </c>
      <c r="I135" s="33"/>
      <c r="J135" s="33"/>
      <c r="K135" s="31" t="str">
        <f t="shared" si="2"/>
        <v/>
      </c>
      <c r="L135" s="34"/>
      <c r="M135" s="33"/>
      <c r="N135" s="34"/>
      <c r="O135" s="34"/>
      <c r="P135" s="33"/>
      <c r="Q135" s="34"/>
    </row>
    <row r="136" spans="1:17" x14ac:dyDescent="0.2">
      <c r="A136" s="44" t="s">
        <v>482</v>
      </c>
      <c r="B136" s="45" t="s">
        <v>152</v>
      </c>
      <c r="C136" s="46"/>
      <c r="D136" s="47" t="s">
        <v>293</v>
      </c>
      <c r="E136" s="44">
        <v>4</v>
      </c>
      <c r="F136" s="46" t="s">
        <v>487</v>
      </c>
      <c r="G136" s="32" t="s">
        <v>583</v>
      </c>
      <c r="H136" s="31" t="str">
        <f>IFERROR(INDEX('الإعدادات واللجنة'!$C$24:$C$32,MATCH(LEFT(A136,3),'الإعدادات واللجنة'!$A$24:$A$32,0)),"")</f>
        <v>د. عبدالله بن محمد البركاتي</v>
      </c>
      <c r="I136" s="33"/>
      <c r="J136" s="33"/>
      <c r="K136" s="31" t="str">
        <f t="shared" si="2"/>
        <v/>
      </c>
      <c r="L136" s="34"/>
      <c r="M136" s="33"/>
      <c r="N136" s="34"/>
      <c r="O136" s="34"/>
      <c r="P136" s="33"/>
      <c r="Q136" s="34"/>
    </row>
    <row r="137" spans="1:17" ht="26" x14ac:dyDescent="0.2">
      <c r="A137" s="44" t="s">
        <v>482</v>
      </c>
      <c r="B137" s="45" t="s">
        <v>152</v>
      </c>
      <c r="C137" s="46"/>
      <c r="D137" s="47" t="s">
        <v>293</v>
      </c>
      <c r="E137" s="44">
        <v>5</v>
      </c>
      <c r="F137" s="46" t="s">
        <v>488</v>
      </c>
      <c r="G137" s="32" t="s">
        <v>583</v>
      </c>
      <c r="H137" s="31" t="str">
        <f>IFERROR(INDEX('الإعدادات واللجنة'!$C$24:$C$32,MATCH(LEFT(A137,3),'الإعدادات واللجنة'!$A$24:$A$32,0)),"")</f>
        <v>د. عبدالله بن محمد البركاتي</v>
      </c>
      <c r="I137" s="33"/>
      <c r="J137" s="33"/>
      <c r="K137" s="31" t="str">
        <f t="shared" si="2"/>
        <v/>
      </c>
      <c r="L137" s="34"/>
      <c r="M137" s="33"/>
      <c r="N137" s="34"/>
      <c r="O137" s="34"/>
      <c r="P137" s="33"/>
      <c r="Q137" s="34"/>
    </row>
    <row r="138" spans="1:17" ht="26" x14ac:dyDescent="0.2">
      <c r="A138" s="44" t="s">
        <v>482</v>
      </c>
      <c r="B138" s="45" t="s">
        <v>152</v>
      </c>
      <c r="C138" s="46"/>
      <c r="D138" s="47" t="s">
        <v>293</v>
      </c>
      <c r="E138" s="44">
        <v>6</v>
      </c>
      <c r="F138" s="46" t="s">
        <v>489</v>
      </c>
      <c r="G138" s="32" t="s">
        <v>583</v>
      </c>
      <c r="H138" s="31" t="str">
        <f>IFERROR(INDEX('الإعدادات واللجنة'!$C$24:$C$32,MATCH(LEFT(A138,3),'الإعدادات واللجنة'!$A$24:$A$32,0)),"")</f>
        <v>د. عبدالله بن محمد البركاتي</v>
      </c>
      <c r="I138" s="33"/>
      <c r="J138" s="33"/>
      <c r="K138" s="31" t="str">
        <f t="shared" si="2"/>
        <v/>
      </c>
      <c r="L138" s="34"/>
      <c r="M138" s="33"/>
      <c r="N138" s="34"/>
      <c r="O138" s="34"/>
      <c r="P138" s="33"/>
      <c r="Q138" s="34"/>
    </row>
    <row r="139" spans="1:17" ht="26" x14ac:dyDescent="0.2">
      <c r="A139" s="44" t="s">
        <v>482</v>
      </c>
      <c r="B139" s="45" t="s">
        <v>152</v>
      </c>
      <c r="C139" s="46"/>
      <c r="D139" s="47" t="s">
        <v>293</v>
      </c>
      <c r="E139" s="44">
        <v>7</v>
      </c>
      <c r="F139" s="46" t="s">
        <v>490</v>
      </c>
      <c r="G139" s="32" t="s">
        <v>583</v>
      </c>
      <c r="H139" s="31" t="str">
        <f>IFERROR(INDEX('الإعدادات واللجنة'!$C$24:$C$32,MATCH(LEFT(A139,3),'الإعدادات واللجنة'!$A$24:$A$32,0)),"")</f>
        <v>د. عبدالله بن محمد البركاتي</v>
      </c>
      <c r="I139" s="33"/>
      <c r="J139" s="33"/>
      <c r="K139" s="31" t="str">
        <f t="shared" si="2"/>
        <v/>
      </c>
      <c r="L139" s="34"/>
      <c r="M139" s="33"/>
      <c r="N139" s="34"/>
      <c r="O139" s="34"/>
      <c r="P139" s="33"/>
      <c r="Q139" s="34"/>
    </row>
    <row r="140" spans="1:17" ht="39" x14ac:dyDescent="0.2">
      <c r="A140" s="48" t="s">
        <v>491</v>
      </c>
      <c r="B140" s="49" t="s">
        <v>152</v>
      </c>
      <c r="C140" s="50" t="s">
        <v>492</v>
      </c>
      <c r="D140" s="51"/>
      <c r="E140" s="41">
        <v>1</v>
      </c>
      <c r="F140" s="50" t="s">
        <v>493</v>
      </c>
      <c r="G140" s="40" t="s">
        <v>583</v>
      </c>
      <c r="H140" s="41" t="str">
        <f>IFERROR(INDEX('الإعدادات واللجنة'!$C$24:$C$32,MATCH(LEFT(A140,3),'الإعدادات واللجنة'!$A$24:$A$32,0)),"")</f>
        <v>د. عبدالله بن محمد البركاتي</v>
      </c>
      <c r="I140" s="42"/>
      <c r="J140" s="42"/>
      <c r="K140" s="41" t="str">
        <f t="shared" si="2"/>
        <v/>
      </c>
      <c r="L140" s="43"/>
      <c r="M140" s="42"/>
      <c r="N140" s="43"/>
      <c r="O140" s="43"/>
      <c r="P140" s="42"/>
      <c r="Q140" s="43"/>
    </row>
    <row r="141" spans="1:17" ht="26" x14ac:dyDescent="0.2">
      <c r="A141" s="31" t="s">
        <v>491</v>
      </c>
      <c r="B141" s="28" t="s">
        <v>152</v>
      </c>
      <c r="C141" s="29"/>
      <c r="D141" s="30"/>
      <c r="E141" s="31">
        <v>2</v>
      </c>
      <c r="F141" s="29" t="s">
        <v>494</v>
      </c>
      <c r="G141" s="32" t="s">
        <v>583</v>
      </c>
      <c r="H141" s="31" t="str">
        <f>IFERROR(INDEX('الإعدادات واللجنة'!$C$24:$C$32,MATCH(LEFT(A141,3),'الإعدادات واللجنة'!$A$24:$A$32,0)),"")</f>
        <v>د. عبدالله بن محمد البركاتي</v>
      </c>
      <c r="I141" s="33"/>
      <c r="J141" s="33"/>
      <c r="K141" s="31" t="str">
        <f t="shared" si="2"/>
        <v/>
      </c>
      <c r="L141" s="34"/>
      <c r="M141" s="33"/>
      <c r="N141" s="34"/>
      <c r="O141" s="34"/>
      <c r="P141" s="33"/>
      <c r="Q141" s="34"/>
    </row>
    <row r="142" spans="1:17" x14ac:dyDescent="0.2">
      <c r="A142" s="31" t="s">
        <v>491</v>
      </c>
      <c r="B142" s="28" t="s">
        <v>152</v>
      </c>
      <c r="C142" s="29"/>
      <c r="D142" s="30"/>
      <c r="E142" s="31">
        <v>3</v>
      </c>
      <c r="F142" s="29" t="s">
        <v>495</v>
      </c>
      <c r="G142" s="32" t="s">
        <v>583</v>
      </c>
      <c r="H142" s="31" t="str">
        <f>IFERROR(INDEX('الإعدادات واللجنة'!$C$24:$C$32,MATCH(LEFT(A142,3),'الإعدادات واللجنة'!$A$24:$A$32,0)),"")</f>
        <v>د. عبدالله بن محمد البركاتي</v>
      </c>
      <c r="I142" s="33"/>
      <c r="J142" s="33"/>
      <c r="K142" s="31" t="str">
        <f t="shared" si="2"/>
        <v/>
      </c>
      <c r="L142" s="34"/>
      <c r="M142" s="33"/>
      <c r="N142" s="34"/>
      <c r="O142" s="34"/>
      <c r="P142" s="33"/>
      <c r="Q142" s="34"/>
    </row>
    <row r="143" spans="1:17" x14ac:dyDescent="0.2">
      <c r="A143" s="31" t="s">
        <v>491</v>
      </c>
      <c r="B143" s="28" t="s">
        <v>152</v>
      </c>
      <c r="C143" s="29"/>
      <c r="D143" s="30"/>
      <c r="E143" s="31">
        <v>4</v>
      </c>
      <c r="F143" s="29" t="s">
        <v>496</v>
      </c>
      <c r="G143" s="32" t="s">
        <v>583</v>
      </c>
      <c r="H143" s="31" t="str">
        <f>IFERROR(INDEX('الإعدادات واللجنة'!$C$24:$C$32,MATCH(LEFT(A143,3),'الإعدادات واللجنة'!$A$24:$A$32,0)),"")</f>
        <v>د. عبدالله بن محمد البركاتي</v>
      </c>
      <c r="I143" s="33"/>
      <c r="J143" s="33"/>
      <c r="K143" s="31" t="str">
        <f t="shared" si="2"/>
        <v/>
      </c>
      <c r="L143" s="34"/>
      <c r="M143" s="33"/>
      <c r="N143" s="34"/>
      <c r="O143" s="34"/>
      <c r="P143" s="33"/>
      <c r="Q143" s="34"/>
    </row>
    <row r="144" spans="1:17" ht="39" x14ac:dyDescent="0.2">
      <c r="A144" s="48" t="s">
        <v>497</v>
      </c>
      <c r="B144" s="49" t="s">
        <v>152</v>
      </c>
      <c r="C144" s="50" t="s">
        <v>504</v>
      </c>
      <c r="D144" s="51"/>
      <c r="E144" s="41">
        <v>1</v>
      </c>
      <c r="F144" s="50" t="s">
        <v>505</v>
      </c>
      <c r="G144" s="40" t="s">
        <v>583</v>
      </c>
      <c r="H144" s="41" t="str">
        <f>IFERROR(INDEX('الإعدادات واللجنة'!$C$24:$C$32,MATCH(LEFT(A144,3),'الإعدادات واللجنة'!$A$24:$A$32,0)),"")</f>
        <v>د. عبدالله بن محمد البركاتي</v>
      </c>
      <c r="I144" s="42"/>
      <c r="J144" s="42"/>
      <c r="K144" s="41" t="str">
        <f t="shared" si="2"/>
        <v/>
      </c>
      <c r="L144" s="43"/>
      <c r="M144" s="42"/>
      <c r="N144" s="43"/>
      <c r="O144" s="43"/>
      <c r="P144" s="42"/>
      <c r="Q144" s="43"/>
    </row>
    <row r="145" spans="1:17" x14ac:dyDescent="0.2">
      <c r="A145" s="31" t="s">
        <v>497</v>
      </c>
      <c r="B145" s="28" t="s">
        <v>152</v>
      </c>
      <c r="C145" s="29"/>
      <c r="D145" s="30"/>
      <c r="E145" s="31">
        <v>2</v>
      </c>
      <c r="F145" s="29" t="s">
        <v>506</v>
      </c>
      <c r="G145" s="32" t="s">
        <v>583</v>
      </c>
      <c r="H145" s="31" t="str">
        <f>IFERROR(INDEX('الإعدادات واللجنة'!$C$24:$C$32,MATCH(LEFT(A145,3),'الإعدادات واللجنة'!$A$24:$A$32,0)),"")</f>
        <v>د. عبدالله بن محمد البركاتي</v>
      </c>
      <c r="I145" s="33"/>
      <c r="J145" s="33"/>
      <c r="K145" s="31" t="str">
        <f t="shared" si="2"/>
        <v/>
      </c>
      <c r="L145" s="34"/>
      <c r="M145" s="33"/>
      <c r="N145" s="34"/>
      <c r="O145" s="34"/>
      <c r="P145" s="33"/>
      <c r="Q145" s="34"/>
    </row>
    <row r="146" spans="1:17" x14ac:dyDescent="0.2">
      <c r="A146" s="31" t="s">
        <v>497</v>
      </c>
      <c r="B146" s="28" t="s">
        <v>152</v>
      </c>
      <c r="C146" s="29"/>
      <c r="D146" s="30"/>
      <c r="E146" s="31">
        <v>3</v>
      </c>
      <c r="F146" s="29" t="s">
        <v>507</v>
      </c>
      <c r="G146" s="32" t="s">
        <v>583</v>
      </c>
      <c r="H146" s="31" t="str">
        <f>IFERROR(INDEX('الإعدادات واللجنة'!$C$24:$C$32,MATCH(LEFT(A146,3),'الإعدادات واللجنة'!$A$24:$A$32,0)),"")</f>
        <v>د. عبدالله بن محمد البركاتي</v>
      </c>
      <c r="I146" s="33"/>
      <c r="J146" s="33"/>
      <c r="K146" s="31" t="str">
        <f t="shared" si="2"/>
        <v/>
      </c>
      <c r="L146" s="34"/>
      <c r="M146" s="33"/>
      <c r="N146" s="34"/>
      <c r="O146" s="34"/>
      <c r="P146" s="33"/>
      <c r="Q146" s="34"/>
    </row>
    <row r="147" spans="1:17" ht="26" x14ac:dyDescent="0.2">
      <c r="A147" s="31" t="s">
        <v>497</v>
      </c>
      <c r="B147" s="28" t="s">
        <v>152</v>
      </c>
      <c r="C147" s="29"/>
      <c r="D147" s="30"/>
      <c r="E147" s="31">
        <v>4</v>
      </c>
      <c r="F147" s="29" t="s">
        <v>508</v>
      </c>
      <c r="G147" s="32" t="s">
        <v>583</v>
      </c>
      <c r="H147" s="31" t="str">
        <f>IFERROR(INDEX('الإعدادات واللجنة'!$C$24:$C$32,MATCH(LEFT(A147,3),'الإعدادات واللجنة'!$A$24:$A$32,0)),"")</f>
        <v>د. عبدالله بن محمد البركاتي</v>
      </c>
      <c r="I147" s="33"/>
      <c r="J147" s="33"/>
      <c r="K147" s="31" t="str">
        <f t="shared" si="2"/>
        <v/>
      </c>
      <c r="L147" s="34"/>
      <c r="M147" s="33"/>
      <c r="N147" s="34"/>
      <c r="O147" s="34"/>
      <c r="P147" s="33"/>
      <c r="Q147" s="34"/>
    </row>
    <row r="148" spans="1:17" x14ac:dyDescent="0.2">
      <c r="A148" s="31" t="s">
        <v>497</v>
      </c>
      <c r="B148" s="28" t="s">
        <v>152</v>
      </c>
      <c r="C148" s="29"/>
      <c r="D148" s="30"/>
      <c r="E148" s="31">
        <v>5</v>
      </c>
      <c r="F148" s="29" t="s">
        <v>509</v>
      </c>
      <c r="G148" s="32" t="s">
        <v>583</v>
      </c>
      <c r="H148" s="31" t="str">
        <f>IFERROR(INDEX('الإعدادات واللجنة'!$C$24:$C$32,MATCH(LEFT(A148,3),'الإعدادات واللجنة'!$A$24:$A$32,0)),"")</f>
        <v>د. عبدالله بن محمد البركاتي</v>
      </c>
      <c r="I148" s="33"/>
      <c r="J148" s="33"/>
      <c r="K148" s="31" t="str">
        <f t="shared" si="2"/>
        <v/>
      </c>
      <c r="L148" s="34"/>
      <c r="M148" s="33"/>
      <c r="N148" s="34"/>
      <c r="O148" s="34"/>
      <c r="P148" s="33"/>
      <c r="Q148" s="34"/>
    </row>
    <row r="149" spans="1:17" ht="26" x14ac:dyDescent="0.2">
      <c r="A149" s="31" t="s">
        <v>497</v>
      </c>
      <c r="B149" s="28" t="s">
        <v>152</v>
      </c>
      <c r="C149" s="29"/>
      <c r="D149" s="30"/>
      <c r="E149" s="31">
        <v>6</v>
      </c>
      <c r="F149" s="29" t="s">
        <v>510</v>
      </c>
      <c r="G149" s="32" t="s">
        <v>583</v>
      </c>
      <c r="H149" s="31" t="str">
        <f>IFERROR(INDEX('الإعدادات واللجنة'!$C$24:$C$32,MATCH(LEFT(A149,3),'الإعدادات واللجنة'!$A$24:$A$32,0)),"")</f>
        <v>د. عبدالله بن محمد البركاتي</v>
      </c>
      <c r="I149" s="33"/>
      <c r="J149" s="33"/>
      <c r="K149" s="31" t="str">
        <f t="shared" si="2"/>
        <v/>
      </c>
      <c r="L149" s="34"/>
      <c r="M149" s="33"/>
      <c r="N149" s="34"/>
      <c r="O149" s="34"/>
      <c r="P149" s="33"/>
      <c r="Q149" s="34"/>
    </row>
    <row r="150" spans="1:17" ht="26" x14ac:dyDescent="0.2">
      <c r="A150" s="35" t="s">
        <v>503</v>
      </c>
      <c r="B150" s="36" t="s">
        <v>152</v>
      </c>
      <c r="C150" s="37" t="s">
        <v>512</v>
      </c>
      <c r="D150" s="38" t="s">
        <v>293</v>
      </c>
      <c r="E150" s="39">
        <v>1</v>
      </c>
      <c r="F150" s="37" t="s">
        <v>513</v>
      </c>
      <c r="G150" s="40" t="s">
        <v>583</v>
      </c>
      <c r="H150" s="41" t="str">
        <f>IFERROR(INDEX('الإعدادات واللجنة'!$C$24:$C$32,MATCH(LEFT(A150,3),'الإعدادات واللجنة'!$A$24:$A$32,0)),"")</f>
        <v>د. عبدالله بن محمد البركاتي</v>
      </c>
      <c r="I150" s="42"/>
      <c r="J150" s="42"/>
      <c r="K150" s="41" t="str">
        <f t="shared" si="2"/>
        <v/>
      </c>
      <c r="L150" s="43"/>
      <c r="M150" s="42"/>
      <c r="N150" s="43"/>
      <c r="O150" s="43"/>
      <c r="P150" s="42"/>
      <c r="Q150" s="43"/>
    </row>
    <row r="151" spans="1:17" x14ac:dyDescent="0.2">
      <c r="A151" s="44" t="s">
        <v>503</v>
      </c>
      <c r="B151" s="45" t="s">
        <v>152</v>
      </c>
      <c r="C151" s="46"/>
      <c r="D151" s="47" t="s">
        <v>293</v>
      </c>
      <c r="E151" s="44">
        <v>2</v>
      </c>
      <c r="F151" s="46" t="s">
        <v>514</v>
      </c>
      <c r="G151" s="32" t="s">
        <v>583</v>
      </c>
      <c r="H151" s="31" t="str">
        <f>IFERROR(INDEX('الإعدادات واللجنة'!$C$24:$C$32,MATCH(LEFT(A151,3),'الإعدادات واللجنة'!$A$24:$A$32,0)),"")</f>
        <v>د. عبدالله بن محمد البركاتي</v>
      </c>
      <c r="I151" s="33"/>
      <c r="J151" s="33"/>
      <c r="K151" s="31" t="str">
        <f t="shared" si="2"/>
        <v/>
      </c>
      <c r="L151" s="34"/>
      <c r="M151" s="33"/>
      <c r="N151" s="34"/>
      <c r="O151" s="34"/>
      <c r="P151" s="33"/>
      <c r="Q151" s="34"/>
    </row>
    <row r="152" spans="1:17" ht="26" x14ac:dyDescent="0.2">
      <c r="A152" s="44" t="s">
        <v>503</v>
      </c>
      <c r="B152" s="45" t="s">
        <v>152</v>
      </c>
      <c r="C152" s="46"/>
      <c r="D152" s="47" t="s">
        <v>293</v>
      </c>
      <c r="E152" s="44">
        <v>3</v>
      </c>
      <c r="F152" s="46" t="s">
        <v>515</v>
      </c>
      <c r="G152" s="32" t="s">
        <v>583</v>
      </c>
      <c r="H152" s="31" t="str">
        <f>IFERROR(INDEX('الإعدادات واللجنة'!$C$24:$C$32,MATCH(LEFT(A152,3),'الإعدادات واللجنة'!$A$24:$A$32,0)),"")</f>
        <v>د. عبدالله بن محمد البركاتي</v>
      </c>
      <c r="I152" s="33"/>
      <c r="J152" s="33"/>
      <c r="K152" s="31" t="str">
        <f t="shared" si="2"/>
        <v/>
      </c>
      <c r="L152" s="34"/>
      <c r="M152" s="33"/>
      <c r="N152" s="34"/>
      <c r="O152" s="34"/>
      <c r="P152" s="33"/>
      <c r="Q152" s="34"/>
    </row>
    <row r="153" spans="1:17" ht="26" x14ac:dyDescent="0.2">
      <c r="A153" s="35" t="s">
        <v>516</v>
      </c>
      <c r="B153" s="36" t="s">
        <v>153</v>
      </c>
      <c r="C153" s="37" t="s">
        <v>517</v>
      </c>
      <c r="D153" s="38" t="s">
        <v>293</v>
      </c>
      <c r="E153" s="39">
        <v>1</v>
      </c>
      <c r="F153" s="37" t="s">
        <v>518</v>
      </c>
      <c r="G153" s="40" t="s">
        <v>583</v>
      </c>
      <c r="H153" s="41" t="str">
        <f>IFERROR(INDEX('الإعدادات واللجنة'!$C$24:$C$32,MATCH(LEFT(A153,3),'الإعدادات واللجنة'!$A$24:$A$32,0)),"")</f>
        <v>د. عمر بن محمد موسى</v>
      </c>
      <c r="I153" s="42"/>
      <c r="J153" s="42"/>
      <c r="K153" s="41" t="str">
        <f t="shared" si="2"/>
        <v/>
      </c>
      <c r="L153" s="43"/>
      <c r="M153" s="42"/>
      <c r="N153" s="43"/>
      <c r="O153" s="43"/>
      <c r="P153" s="42"/>
      <c r="Q153" s="43"/>
    </row>
    <row r="154" spans="1:17" x14ac:dyDescent="0.2">
      <c r="A154" s="44" t="s">
        <v>516</v>
      </c>
      <c r="B154" s="45" t="s">
        <v>153</v>
      </c>
      <c r="C154" s="46"/>
      <c r="D154" s="47" t="s">
        <v>293</v>
      </c>
      <c r="E154" s="44">
        <v>2</v>
      </c>
      <c r="F154" s="46" t="s">
        <v>519</v>
      </c>
      <c r="G154" s="32" t="s">
        <v>583</v>
      </c>
      <c r="H154" s="31" t="str">
        <f>IFERROR(INDEX('الإعدادات واللجنة'!$C$24:$C$32,MATCH(LEFT(A154,3),'الإعدادات واللجنة'!$A$24:$A$32,0)),"")</f>
        <v>د. عمر بن محمد موسى</v>
      </c>
      <c r="I154" s="33"/>
      <c r="J154" s="33"/>
      <c r="K154" s="31" t="str">
        <f t="shared" si="2"/>
        <v/>
      </c>
      <c r="L154" s="34"/>
      <c r="M154" s="33"/>
      <c r="N154" s="34"/>
      <c r="O154" s="34"/>
      <c r="P154" s="33"/>
      <c r="Q154" s="34"/>
    </row>
    <row r="155" spans="1:17" ht="26" x14ac:dyDescent="0.2">
      <c r="A155" s="44" t="s">
        <v>516</v>
      </c>
      <c r="B155" s="45" t="s">
        <v>153</v>
      </c>
      <c r="C155" s="46"/>
      <c r="D155" s="47" t="s">
        <v>293</v>
      </c>
      <c r="E155" s="44">
        <v>3</v>
      </c>
      <c r="F155" s="46" t="s">
        <v>520</v>
      </c>
      <c r="G155" s="32" t="s">
        <v>583</v>
      </c>
      <c r="H155" s="31" t="str">
        <f>IFERROR(INDEX('الإعدادات واللجنة'!$C$24:$C$32,MATCH(LEFT(A155,3),'الإعدادات واللجنة'!$A$24:$A$32,0)),"")</f>
        <v>د. عمر بن محمد موسى</v>
      </c>
      <c r="I155" s="33"/>
      <c r="J155" s="33"/>
      <c r="K155" s="31" t="str">
        <f t="shared" si="2"/>
        <v/>
      </c>
      <c r="L155" s="34"/>
      <c r="M155" s="33"/>
      <c r="N155" s="34"/>
      <c r="O155" s="34"/>
      <c r="P155" s="33"/>
      <c r="Q155" s="34"/>
    </row>
    <row r="156" spans="1:17" ht="26" x14ac:dyDescent="0.2">
      <c r="A156" s="44" t="s">
        <v>516</v>
      </c>
      <c r="B156" s="45" t="s">
        <v>153</v>
      </c>
      <c r="C156" s="46"/>
      <c r="D156" s="47" t="s">
        <v>293</v>
      </c>
      <c r="E156" s="44">
        <v>4</v>
      </c>
      <c r="F156" s="46" t="s">
        <v>521</v>
      </c>
      <c r="G156" s="32" t="s">
        <v>583</v>
      </c>
      <c r="H156" s="31" t="str">
        <f>IFERROR(INDEX('الإعدادات واللجنة'!$C$24:$C$32,MATCH(LEFT(A156,3),'الإعدادات واللجنة'!$A$24:$A$32,0)),"")</f>
        <v>د. عمر بن محمد موسى</v>
      </c>
      <c r="I156" s="33"/>
      <c r="J156" s="33"/>
      <c r="K156" s="31" t="str">
        <f t="shared" si="2"/>
        <v/>
      </c>
      <c r="L156" s="34"/>
      <c r="M156" s="33"/>
      <c r="N156" s="34"/>
      <c r="O156" s="34"/>
      <c r="P156" s="33"/>
      <c r="Q156" s="34"/>
    </row>
    <row r="157" spans="1:17" ht="26" x14ac:dyDescent="0.2">
      <c r="A157" s="48" t="s">
        <v>522</v>
      </c>
      <c r="B157" s="49" t="s">
        <v>153</v>
      </c>
      <c r="C157" s="50" t="s">
        <v>523</v>
      </c>
      <c r="D157" s="51"/>
      <c r="E157" s="41">
        <v>1</v>
      </c>
      <c r="F157" s="50" t="s">
        <v>524</v>
      </c>
      <c r="G157" s="40" t="s">
        <v>583</v>
      </c>
      <c r="H157" s="41" t="str">
        <f>IFERROR(INDEX('الإعدادات واللجنة'!$C$24:$C$32,MATCH(LEFT(A157,3),'الإعدادات واللجنة'!$A$24:$A$32,0)),"")</f>
        <v>د. عمر بن محمد موسى</v>
      </c>
      <c r="I157" s="42"/>
      <c r="J157" s="42"/>
      <c r="K157" s="41" t="str">
        <f t="shared" si="2"/>
        <v/>
      </c>
      <c r="L157" s="43"/>
      <c r="M157" s="42"/>
      <c r="N157" s="43"/>
      <c r="O157" s="43"/>
      <c r="P157" s="42"/>
      <c r="Q157" s="43"/>
    </row>
    <row r="158" spans="1:17" ht="26" x14ac:dyDescent="0.2">
      <c r="A158" s="31" t="s">
        <v>522</v>
      </c>
      <c r="B158" s="28" t="s">
        <v>153</v>
      </c>
      <c r="C158" s="29"/>
      <c r="D158" s="30"/>
      <c r="E158" s="31">
        <v>2</v>
      </c>
      <c r="F158" s="29" t="s">
        <v>525</v>
      </c>
      <c r="G158" s="32" t="s">
        <v>583</v>
      </c>
      <c r="H158" s="31" t="str">
        <f>IFERROR(INDEX('الإعدادات واللجنة'!$C$24:$C$32,MATCH(LEFT(A158,3),'الإعدادات واللجنة'!$A$24:$A$32,0)),"")</f>
        <v>د. عمر بن محمد موسى</v>
      </c>
      <c r="I158" s="33"/>
      <c r="J158" s="33"/>
      <c r="K158" s="31" t="str">
        <f t="shared" si="2"/>
        <v/>
      </c>
      <c r="L158" s="34"/>
      <c r="M158" s="33"/>
      <c r="N158" s="34"/>
      <c r="O158" s="34"/>
      <c r="P158" s="33"/>
      <c r="Q158" s="34"/>
    </row>
    <row r="159" spans="1:17" ht="26" x14ac:dyDescent="0.2">
      <c r="A159" s="48" t="s">
        <v>526</v>
      </c>
      <c r="B159" s="49" t="s">
        <v>153</v>
      </c>
      <c r="C159" s="50" t="s">
        <v>527</v>
      </c>
      <c r="D159" s="51"/>
      <c r="E159" s="41">
        <v>1</v>
      </c>
      <c r="F159" s="50" t="s">
        <v>528</v>
      </c>
      <c r="G159" s="40" t="s">
        <v>583</v>
      </c>
      <c r="H159" s="41" t="str">
        <f>IFERROR(INDEX('الإعدادات واللجنة'!$C$24:$C$32,MATCH(LEFT(A159,3),'الإعدادات واللجنة'!$A$24:$A$32,0)),"")</f>
        <v>د. عمر بن محمد موسى</v>
      </c>
      <c r="I159" s="42"/>
      <c r="J159" s="42"/>
      <c r="K159" s="41" t="str">
        <f t="shared" si="2"/>
        <v/>
      </c>
      <c r="L159" s="43"/>
      <c r="M159" s="42"/>
      <c r="N159" s="43"/>
      <c r="O159" s="43"/>
      <c r="P159" s="42"/>
      <c r="Q159" s="43"/>
    </row>
    <row r="160" spans="1:17" ht="26" x14ac:dyDescent="0.2">
      <c r="A160" s="31" t="s">
        <v>526</v>
      </c>
      <c r="B160" s="28" t="s">
        <v>153</v>
      </c>
      <c r="C160" s="29"/>
      <c r="D160" s="30"/>
      <c r="E160" s="31">
        <v>2</v>
      </c>
      <c r="F160" s="29" t="s">
        <v>529</v>
      </c>
      <c r="G160" s="32" t="s">
        <v>583</v>
      </c>
      <c r="H160" s="31" t="str">
        <f>IFERROR(INDEX('الإعدادات واللجنة'!$C$24:$C$32,MATCH(LEFT(A160,3),'الإعدادات واللجنة'!$A$24:$A$32,0)),"")</f>
        <v>د. عمر بن محمد موسى</v>
      </c>
      <c r="I160" s="33"/>
      <c r="J160" s="33"/>
      <c r="K160" s="31" t="str">
        <f t="shared" si="2"/>
        <v/>
      </c>
      <c r="L160" s="34"/>
      <c r="M160" s="33"/>
      <c r="N160" s="34"/>
      <c r="O160" s="34"/>
      <c r="P160" s="33"/>
      <c r="Q160" s="34"/>
    </row>
    <row r="161" spans="1:17" ht="26" x14ac:dyDescent="0.2">
      <c r="A161" s="31" t="s">
        <v>526</v>
      </c>
      <c r="B161" s="28" t="s">
        <v>153</v>
      </c>
      <c r="C161" s="29"/>
      <c r="D161" s="30"/>
      <c r="E161" s="31">
        <v>3</v>
      </c>
      <c r="F161" s="29" t="s">
        <v>530</v>
      </c>
      <c r="G161" s="32" t="s">
        <v>583</v>
      </c>
      <c r="H161" s="31" t="str">
        <f>IFERROR(INDEX('الإعدادات واللجنة'!$C$24:$C$32,MATCH(LEFT(A161,3),'الإعدادات واللجنة'!$A$24:$A$32,0)),"")</f>
        <v>د. عمر بن محمد موسى</v>
      </c>
      <c r="I161" s="33"/>
      <c r="J161" s="33"/>
      <c r="K161" s="31" t="str">
        <f t="shared" si="2"/>
        <v/>
      </c>
      <c r="L161" s="34"/>
      <c r="M161" s="33"/>
      <c r="N161" s="34"/>
      <c r="O161" s="34"/>
      <c r="P161" s="33"/>
      <c r="Q161" s="34"/>
    </row>
    <row r="162" spans="1:17" ht="26" x14ac:dyDescent="0.2">
      <c r="A162" s="31" t="s">
        <v>526</v>
      </c>
      <c r="B162" s="28" t="s">
        <v>153</v>
      </c>
      <c r="C162" s="29"/>
      <c r="D162" s="30"/>
      <c r="E162" s="31">
        <v>4</v>
      </c>
      <c r="F162" s="29" t="s">
        <v>531</v>
      </c>
      <c r="G162" s="32" t="s">
        <v>583</v>
      </c>
      <c r="H162" s="31" t="str">
        <f>IFERROR(INDEX('الإعدادات واللجنة'!$C$24:$C$32,MATCH(LEFT(A162,3),'الإعدادات واللجنة'!$A$24:$A$32,0)),"")</f>
        <v>د. عمر بن محمد موسى</v>
      </c>
      <c r="I162" s="33"/>
      <c r="J162" s="33"/>
      <c r="K162" s="31" t="str">
        <f t="shared" si="2"/>
        <v/>
      </c>
      <c r="L162" s="34"/>
      <c r="M162" s="33"/>
      <c r="N162" s="34"/>
      <c r="O162" s="34"/>
      <c r="P162" s="33"/>
      <c r="Q162" s="34"/>
    </row>
    <row r="163" spans="1:17" x14ac:dyDescent="0.2">
      <c r="A163" s="31" t="s">
        <v>526</v>
      </c>
      <c r="B163" s="28" t="s">
        <v>153</v>
      </c>
      <c r="C163" s="29"/>
      <c r="D163" s="30"/>
      <c r="E163" s="31">
        <v>5</v>
      </c>
      <c r="F163" s="29" t="s">
        <v>532</v>
      </c>
      <c r="G163" s="32" t="s">
        <v>583</v>
      </c>
      <c r="H163" s="31" t="str">
        <f>IFERROR(INDEX('الإعدادات واللجنة'!$C$24:$C$32,MATCH(LEFT(A163,3),'الإعدادات واللجنة'!$A$24:$A$32,0)),"")</f>
        <v>د. عمر بن محمد موسى</v>
      </c>
      <c r="I163" s="33"/>
      <c r="J163" s="33"/>
      <c r="K163" s="31" t="str">
        <f t="shared" si="2"/>
        <v/>
      </c>
      <c r="L163" s="34"/>
      <c r="M163" s="33"/>
      <c r="N163" s="34"/>
      <c r="O163" s="34"/>
      <c r="P163" s="33"/>
      <c r="Q163" s="34"/>
    </row>
    <row r="164" spans="1:17" x14ac:dyDescent="0.2">
      <c r="A164" s="31" t="s">
        <v>526</v>
      </c>
      <c r="B164" s="28" t="s">
        <v>153</v>
      </c>
      <c r="C164" s="29"/>
      <c r="D164" s="30"/>
      <c r="E164" s="31">
        <v>6</v>
      </c>
      <c r="F164" s="29" t="s">
        <v>533</v>
      </c>
      <c r="G164" s="32" t="s">
        <v>583</v>
      </c>
      <c r="H164" s="31" t="str">
        <f>IFERROR(INDEX('الإعدادات واللجنة'!$C$24:$C$32,MATCH(LEFT(A164,3),'الإعدادات واللجنة'!$A$24:$A$32,0)),"")</f>
        <v>د. عمر بن محمد موسى</v>
      </c>
      <c r="I164" s="33"/>
      <c r="J164" s="33"/>
      <c r="K164" s="31" t="str">
        <f t="shared" si="2"/>
        <v/>
      </c>
      <c r="L164" s="34"/>
      <c r="M164" s="33"/>
      <c r="N164" s="34"/>
      <c r="O164" s="34"/>
      <c r="P164" s="33"/>
      <c r="Q164" s="34"/>
    </row>
    <row r="165" spans="1:17" ht="26" x14ac:dyDescent="0.2">
      <c r="A165" s="31" t="s">
        <v>526</v>
      </c>
      <c r="B165" s="28" t="s">
        <v>153</v>
      </c>
      <c r="C165" s="29"/>
      <c r="D165" s="30"/>
      <c r="E165" s="31">
        <v>7</v>
      </c>
      <c r="F165" s="29" t="s">
        <v>534</v>
      </c>
      <c r="G165" s="32" t="s">
        <v>583</v>
      </c>
      <c r="H165" s="31" t="str">
        <f>IFERROR(INDEX('الإعدادات واللجنة'!$C$24:$C$32,MATCH(LEFT(A165,3),'الإعدادات واللجنة'!$A$24:$A$32,0)),"")</f>
        <v>د. عمر بن محمد موسى</v>
      </c>
      <c r="I165" s="33"/>
      <c r="J165" s="33"/>
      <c r="K165" s="31" t="str">
        <f t="shared" si="2"/>
        <v/>
      </c>
      <c r="L165" s="34"/>
      <c r="M165" s="33"/>
      <c r="N165" s="34"/>
      <c r="O165" s="34"/>
      <c r="P165" s="33"/>
      <c r="Q165" s="34"/>
    </row>
    <row r="166" spans="1:17" ht="26" x14ac:dyDescent="0.2">
      <c r="A166" s="48" t="s">
        <v>535</v>
      </c>
      <c r="B166" s="49" t="s">
        <v>153</v>
      </c>
      <c r="C166" s="50" t="s">
        <v>536</v>
      </c>
      <c r="D166" s="51"/>
      <c r="E166" s="41">
        <v>1</v>
      </c>
      <c r="F166" s="50" t="s">
        <v>537</v>
      </c>
      <c r="G166" s="40" t="s">
        <v>583</v>
      </c>
      <c r="H166" s="41" t="str">
        <f>IFERROR(INDEX('الإعدادات واللجنة'!$C$24:$C$32,MATCH(LEFT(A166,3),'الإعدادات واللجنة'!$A$24:$A$32,0)),"")</f>
        <v>د. عمر بن محمد موسى</v>
      </c>
      <c r="I166" s="42"/>
      <c r="J166" s="42"/>
      <c r="K166" s="41" t="str">
        <f t="shared" si="2"/>
        <v/>
      </c>
      <c r="L166" s="43"/>
      <c r="M166" s="42"/>
      <c r="N166" s="43"/>
      <c r="O166" s="43"/>
      <c r="P166" s="42"/>
      <c r="Q166" s="43"/>
    </row>
    <row r="167" spans="1:17" x14ac:dyDescent="0.2">
      <c r="A167" s="31" t="s">
        <v>535</v>
      </c>
      <c r="B167" s="28" t="s">
        <v>153</v>
      </c>
      <c r="C167" s="29"/>
      <c r="D167" s="30"/>
      <c r="E167" s="31">
        <v>2</v>
      </c>
      <c r="F167" s="29" t="s">
        <v>538</v>
      </c>
      <c r="G167" s="32" t="s">
        <v>583</v>
      </c>
      <c r="H167" s="31" t="str">
        <f>IFERROR(INDEX('الإعدادات واللجنة'!$C$24:$C$32,MATCH(LEFT(A167,3),'الإعدادات واللجنة'!$A$24:$A$32,0)),"")</f>
        <v>د. عمر بن محمد موسى</v>
      </c>
      <c r="I167" s="33"/>
      <c r="J167" s="33"/>
      <c r="K167" s="31" t="str">
        <f t="shared" si="2"/>
        <v/>
      </c>
      <c r="L167" s="34"/>
      <c r="M167" s="33"/>
      <c r="N167" s="34"/>
      <c r="O167" s="34"/>
      <c r="P167" s="33"/>
      <c r="Q167" s="34"/>
    </row>
    <row r="168" spans="1:17" ht="26" x14ac:dyDescent="0.2">
      <c r="A168" s="31" t="s">
        <v>535</v>
      </c>
      <c r="B168" s="28" t="s">
        <v>153</v>
      </c>
      <c r="C168" s="29"/>
      <c r="D168" s="30"/>
      <c r="E168" s="31">
        <v>3</v>
      </c>
      <c r="F168" s="29" t="s">
        <v>539</v>
      </c>
      <c r="G168" s="32" t="s">
        <v>583</v>
      </c>
      <c r="H168" s="31" t="str">
        <f>IFERROR(INDEX('الإعدادات واللجنة'!$C$24:$C$32,MATCH(LEFT(A168,3),'الإعدادات واللجنة'!$A$24:$A$32,0)),"")</f>
        <v>د. عمر بن محمد موسى</v>
      </c>
      <c r="I168" s="33"/>
      <c r="J168" s="33"/>
      <c r="K168" s="31" t="str">
        <f t="shared" si="2"/>
        <v/>
      </c>
      <c r="L168" s="34"/>
      <c r="M168" s="33"/>
      <c r="N168" s="34"/>
      <c r="O168" s="34"/>
      <c r="P168" s="33"/>
      <c r="Q168" s="34"/>
    </row>
    <row r="169" spans="1:17" ht="26" x14ac:dyDescent="0.2">
      <c r="A169" s="48" t="s">
        <v>540</v>
      </c>
      <c r="B169" s="49" t="s">
        <v>153</v>
      </c>
      <c r="C169" s="50" t="s">
        <v>541</v>
      </c>
      <c r="D169" s="51"/>
      <c r="E169" s="41">
        <v>1</v>
      </c>
      <c r="F169" s="50" t="s">
        <v>542</v>
      </c>
      <c r="G169" s="40" t="s">
        <v>583</v>
      </c>
      <c r="H169" s="41" t="str">
        <f>IFERROR(INDEX('الإعدادات واللجنة'!$C$24:$C$32,MATCH(LEFT(A169,3),'الإعدادات واللجنة'!$A$24:$A$32,0)),"")</f>
        <v>د. عمر بن محمد موسى</v>
      </c>
      <c r="I169" s="42"/>
      <c r="J169" s="42"/>
      <c r="K169" s="41" t="str">
        <f t="shared" si="2"/>
        <v/>
      </c>
      <c r="L169" s="43"/>
      <c r="M169" s="42"/>
      <c r="N169" s="43"/>
      <c r="O169" s="43"/>
      <c r="P169" s="42"/>
      <c r="Q169" s="43"/>
    </row>
    <row r="170" spans="1:17" x14ac:dyDescent="0.2">
      <c r="A170" s="31" t="s">
        <v>540</v>
      </c>
      <c r="B170" s="28" t="s">
        <v>153</v>
      </c>
      <c r="C170" s="29"/>
      <c r="D170" s="30"/>
      <c r="E170" s="31">
        <v>2</v>
      </c>
      <c r="F170" s="29" t="s">
        <v>543</v>
      </c>
      <c r="G170" s="32" t="s">
        <v>583</v>
      </c>
      <c r="H170" s="31" t="str">
        <f>IFERROR(INDEX('الإعدادات واللجنة'!$C$24:$C$32,MATCH(LEFT(A170,3),'الإعدادات واللجنة'!$A$24:$A$32,0)),"")</f>
        <v>د. عمر بن محمد موسى</v>
      </c>
      <c r="I170" s="33"/>
      <c r="J170" s="33"/>
      <c r="K170" s="31" t="str">
        <f t="shared" si="2"/>
        <v/>
      </c>
      <c r="L170" s="34"/>
      <c r="M170" s="33"/>
      <c r="N170" s="34"/>
      <c r="O170" s="34"/>
      <c r="P170" s="33"/>
      <c r="Q170" s="34"/>
    </row>
    <row r="171" spans="1:17" x14ac:dyDescent="0.2">
      <c r="A171" s="31" t="s">
        <v>540</v>
      </c>
      <c r="B171" s="28" t="s">
        <v>153</v>
      </c>
      <c r="C171" s="29"/>
      <c r="D171" s="30"/>
      <c r="E171" s="31">
        <v>3</v>
      </c>
      <c r="F171" s="29" t="s">
        <v>544</v>
      </c>
      <c r="G171" s="32" t="s">
        <v>583</v>
      </c>
      <c r="H171" s="31" t="str">
        <f>IFERROR(INDEX('الإعدادات واللجنة'!$C$24:$C$32,MATCH(LEFT(A171,3),'الإعدادات واللجنة'!$A$24:$A$32,0)),"")</f>
        <v>د. عمر بن محمد موسى</v>
      </c>
      <c r="I171" s="33"/>
      <c r="J171" s="33"/>
      <c r="K171" s="31" t="str">
        <f t="shared" si="2"/>
        <v/>
      </c>
      <c r="L171" s="34"/>
      <c r="M171" s="33"/>
      <c r="N171" s="34"/>
      <c r="O171" s="34"/>
      <c r="P171" s="33"/>
      <c r="Q171" s="34"/>
    </row>
    <row r="172" spans="1:17" ht="26" x14ac:dyDescent="0.2">
      <c r="A172" s="31" t="s">
        <v>540</v>
      </c>
      <c r="B172" s="28" t="s">
        <v>153</v>
      </c>
      <c r="C172" s="29"/>
      <c r="D172" s="30"/>
      <c r="E172" s="31">
        <v>4</v>
      </c>
      <c r="F172" s="29" t="s">
        <v>545</v>
      </c>
      <c r="G172" s="32" t="s">
        <v>583</v>
      </c>
      <c r="H172" s="31" t="str">
        <f>IFERROR(INDEX('الإعدادات واللجنة'!$C$24:$C$32,MATCH(LEFT(A172,3),'الإعدادات واللجنة'!$A$24:$A$32,0)),"")</f>
        <v>د. عمر بن محمد موسى</v>
      </c>
      <c r="I172" s="33"/>
      <c r="J172" s="33"/>
      <c r="K172" s="31" t="str">
        <f t="shared" si="2"/>
        <v/>
      </c>
      <c r="L172" s="34"/>
      <c r="M172" s="33"/>
      <c r="N172" s="34"/>
      <c r="O172" s="34"/>
      <c r="P172" s="33"/>
      <c r="Q172" s="34"/>
    </row>
    <row r="173" spans="1:17" x14ac:dyDescent="0.2">
      <c r="A173" s="31" t="s">
        <v>540</v>
      </c>
      <c r="B173" s="28" t="s">
        <v>153</v>
      </c>
      <c r="C173" s="29"/>
      <c r="D173" s="30"/>
      <c r="E173" s="31">
        <v>5</v>
      </c>
      <c r="F173" s="29" t="s">
        <v>546</v>
      </c>
      <c r="G173" s="32" t="s">
        <v>583</v>
      </c>
      <c r="H173" s="31" t="str">
        <f>IFERROR(INDEX('الإعدادات واللجنة'!$C$24:$C$32,MATCH(LEFT(A173,3),'الإعدادات واللجنة'!$A$24:$A$32,0)),"")</f>
        <v>د. عمر بن محمد موسى</v>
      </c>
      <c r="I173" s="33"/>
      <c r="J173" s="33"/>
      <c r="K173" s="31" t="str">
        <f t="shared" si="2"/>
        <v/>
      </c>
      <c r="L173" s="34"/>
      <c r="M173" s="33"/>
      <c r="N173" s="34"/>
      <c r="O173" s="34"/>
      <c r="P173" s="33"/>
      <c r="Q173" s="34"/>
    </row>
    <row r="174" spans="1:17" ht="26" x14ac:dyDescent="0.2">
      <c r="A174" s="48" t="s">
        <v>547</v>
      </c>
      <c r="B174" s="49" t="s">
        <v>153</v>
      </c>
      <c r="C174" s="50" t="s">
        <v>548</v>
      </c>
      <c r="D174" s="51"/>
      <c r="E174" s="41">
        <v>1</v>
      </c>
      <c r="F174" s="50" t="s">
        <v>549</v>
      </c>
      <c r="G174" s="40" t="s">
        <v>583</v>
      </c>
      <c r="H174" s="41" t="str">
        <f>IFERROR(INDEX('الإعدادات واللجنة'!$C$24:$C$32,MATCH(LEFT(A174,3),'الإعدادات واللجنة'!$A$24:$A$32,0)),"")</f>
        <v>د. عمر بن محمد موسى</v>
      </c>
      <c r="I174" s="42"/>
      <c r="J174" s="42"/>
      <c r="K174" s="41" t="str">
        <f t="shared" si="2"/>
        <v/>
      </c>
      <c r="L174" s="43"/>
      <c r="M174" s="42"/>
      <c r="N174" s="43"/>
      <c r="O174" s="43"/>
      <c r="P174" s="42"/>
      <c r="Q174" s="43"/>
    </row>
    <row r="175" spans="1:17" x14ac:dyDescent="0.2">
      <c r="A175" s="31" t="s">
        <v>547</v>
      </c>
      <c r="B175" s="28" t="s">
        <v>153</v>
      </c>
      <c r="C175" s="29"/>
      <c r="D175" s="30"/>
      <c r="E175" s="31">
        <v>2</v>
      </c>
      <c r="F175" s="29" t="s">
        <v>550</v>
      </c>
      <c r="G175" s="32" t="s">
        <v>583</v>
      </c>
      <c r="H175" s="31" t="str">
        <f>IFERROR(INDEX('الإعدادات واللجنة'!$C$24:$C$32,MATCH(LEFT(A175,3),'الإعدادات واللجنة'!$A$24:$A$32,0)),"")</f>
        <v>د. عمر بن محمد موسى</v>
      </c>
      <c r="I175" s="33"/>
      <c r="J175" s="33"/>
      <c r="K175" s="31" t="str">
        <f t="shared" si="2"/>
        <v/>
      </c>
      <c r="L175" s="34"/>
      <c r="M175" s="33"/>
      <c r="N175" s="34"/>
      <c r="O175" s="34"/>
      <c r="P175" s="33"/>
      <c r="Q175" s="34"/>
    </row>
    <row r="176" spans="1:17" x14ac:dyDescent="0.2">
      <c r="A176" s="31" t="s">
        <v>547</v>
      </c>
      <c r="B176" s="28" t="s">
        <v>153</v>
      </c>
      <c r="C176" s="29"/>
      <c r="D176" s="30"/>
      <c r="E176" s="31">
        <v>3</v>
      </c>
      <c r="F176" s="29" t="s">
        <v>551</v>
      </c>
      <c r="G176" s="32" t="s">
        <v>583</v>
      </c>
      <c r="H176" s="31" t="str">
        <f>IFERROR(INDEX('الإعدادات واللجنة'!$C$24:$C$32,MATCH(LEFT(A176,3),'الإعدادات واللجنة'!$A$24:$A$32,0)),"")</f>
        <v>د. عمر بن محمد موسى</v>
      </c>
      <c r="I176" s="33"/>
      <c r="J176" s="33"/>
      <c r="K176" s="31" t="str">
        <f t="shared" si="2"/>
        <v/>
      </c>
      <c r="L176" s="34"/>
      <c r="M176" s="33"/>
      <c r="N176" s="34"/>
      <c r="O176" s="34"/>
      <c r="P176" s="33"/>
      <c r="Q176" s="34"/>
    </row>
    <row r="177" spans="1:17" ht="39" x14ac:dyDescent="0.2">
      <c r="A177" s="31" t="s">
        <v>547</v>
      </c>
      <c r="B177" s="28" t="s">
        <v>153</v>
      </c>
      <c r="C177" s="29"/>
      <c r="D177" s="30"/>
      <c r="E177" s="31">
        <v>4</v>
      </c>
      <c r="F177" s="29" t="s">
        <v>552</v>
      </c>
      <c r="G177" s="32" t="s">
        <v>583</v>
      </c>
      <c r="H177" s="31" t="str">
        <f>IFERROR(INDEX('الإعدادات واللجنة'!$C$24:$C$32,MATCH(LEFT(A177,3),'الإعدادات واللجنة'!$A$24:$A$32,0)),"")</f>
        <v>د. عمر بن محمد موسى</v>
      </c>
      <c r="I177" s="33"/>
      <c r="J177" s="33"/>
      <c r="K177" s="31" t="str">
        <f t="shared" si="2"/>
        <v/>
      </c>
      <c r="L177" s="34"/>
      <c r="M177" s="33"/>
      <c r="N177" s="34"/>
      <c r="O177" s="34"/>
      <c r="P177" s="33"/>
      <c r="Q177" s="34"/>
    </row>
    <row r="178" spans="1:17" x14ac:dyDescent="0.2">
      <c r="A178" s="31" t="s">
        <v>547</v>
      </c>
      <c r="B178" s="28" t="s">
        <v>153</v>
      </c>
      <c r="C178" s="29"/>
      <c r="D178" s="30"/>
      <c r="E178" s="31">
        <v>5</v>
      </c>
      <c r="F178" s="29" t="s">
        <v>553</v>
      </c>
      <c r="G178" s="32" t="s">
        <v>583</v>
      </c>
      <c r="H178" s="31" t="str">
        <f>IFERROR(INDEX('الإعدادات واللجنة'!$C$24:$C$32,MATCH(LEFT(A178,3),'الإعدادات واللجنة'!$A$24:$A$32,0)),"")</f>
        <v>د. عمر بن محمد موسى</v>
      </c>
      <c r="I178" s="33"/>
      <c r="J178" s="33"/>
      <c r="K178" s="31" t="str">
        <f t="shared" si="2"/>
        <v/>
      </c>
      <c r="L178" s="34"/>
      <c r="M178" s="33"/>
      <c r="N178" s="34"/>
      <c r="O178" s="34"/>
      <c r="P178" s="33"/>
      <c r="Q178" s="34"/>
    </row>
    <row r="179" spans="1:17" ht="26" x14ac:dyDescent="0.2">
      <c r="A179" s="48" t="s">
        <v>554</v>
      </c>
      <c r="B179" s="49" t="s">
        <v>154</v>
      </c>
      <c r="C179" s="50" t="s">
        <v>555</v>
      </c>
      <c r="D179" s="51"/>
      <c r="E179" s="41">
        <v>1</v>
      </c>
      <c r="F179" s="50" t="s">
        <v>556</v>
      </c>
      <c r="G179" s="40" t="s">
        <v>583</v>
      </c>
      <c r="H179" s="41" t="str">
        <f>IFERROR(INDEX('الإعدادات واللجنة'!$C$24:$C$32,MATCH(LEFT(A179,3),'الإعدادات واللجنة'!$A$24:$A$32,0)),"")</f>
        <v>د. حسن بن سعد القحطاني</v>
      </c>
      <c r="I179" s="42"/>
      <c r="J179" s="42"/>
      <c r="K179" s="41" t="str">
        <f t="shared" si="2"/>
        <v/>
      </c>
      <c r="L179" s="43"/>
      <c r="M179" s="42"/>
      <c r="N179" s="43"/>
      <c r="O179" s="43"/>
      <c r="P179" s="42"/>
      <c r="Q179" s="43"/>
    </row>
    <row r="180" spans="1:17" ht="24" x14ac:dyDescent="0.2">
      <c r="A180" s="31" t="s">
        <v>554</v>
      </c>
      <c r="B180" s="28" t="s">
        <v>154</v>
      </c>
      <c r="C180" s="29"/>
      <c r="D180" s="30"/>
      <c r="E180" s="31">
        <v>2</v>
      </c>
      <c r="F180" s="29" t="s">
        <v>557</v>
      </c>
      <c r="G180" s="32" t="s">
        <v>583</v>
      </c>
      <c r="H180" s="31" t="str">
        <f>IFERROR(INDEX('الإعدادات واللجنة'!$C$24:$C$32,MATCH(LEFT(A180,3),'الإعدادات واللجنة'!$A$24:$A$32,0)),"")</f>
        <v>د. حسن بن سعد القحطاني</v>
      </c>
      <c r="I180" s="33"/>
      <c r="J180" s="33"/>
      <c r="K180" s="31" t="str">
        <f t="shared" si="2"/>
        <v/>
      </c>
      <c r="L180" s="34"/>
      <c r="M180" s="33"/>
      <c r="N180" s="34"/>
      <c r="O180" s="34"/>
      <c r="P180" s="33"/>
      <c r="Q180" s="34"/>
    </row>
    <row r="181" spans="1:17" ht="26" x14ac:dyDescent="0.2">
      <c r="A181" s="31" t="s">
        <v>554</v>
      </c>
      <c r="B181" s="28" t="s">
        <v>154</v>
      </c>
      <c r="C181" s="29"/>
      <c r="D181" s="30"/>
      <c r="E181" s="31">
        <v>3</v>
      </c>
      <c r="F181" s="29" t="s">
        <v>558</v>
      </c>
      <c r="G181" s="32" t="s">
        <v>583</v>
      </c>
      <c r="H181" s="31" t="str">
        <f>IFERROR(INDEX('الإعدادات واللجنة'!$C$24:$C$32,MATCH(LEFT(A181,3),'الإعدادات واللجنة'!$A$24:$A$32,0)),"")</f>
        <v>د. حسن بن سعد القحطاني</v>
      </c>
      <c r="I181" s="33"/>
      <c r="J181" s="33"/>
      <c r="K181" s="31" t="str">
        <f t="shared" si="2"/>
        <v/>
      </c>
      <c r="L181" s="34"/>
      <c r="M181" s="33"/>
      <c r="N181" s="34"/>
      <c r="O181" s="34"/>
      <c r="P181" s="33"/>
      <c r="Q181" s="34"/>
    </row>
    <row r="182" spans="1:17" ht="26" x14ac:dyDescent="0.2">
      <c r="A182" s="48" t="s">
        <v>559</v>
      </c>
      <c r="B182" s="49" t="s">
        <v>154</v>
      </c>
      <c r="C182" s="50" t="s">
        <v>560</v>
      </c>
      <c r="D182" s="51"/>
      <c r="E182" s="41">
        <v>1</v>
      </c>
      <c r="F182" s="50" t="s">
        <v>561</v>
      </c>
      <c r="G182" s="40" t="s">
        <v>583</v>
      </c>
      <c r="H182" s="41" t="str">
        <f>IFERROR(INDEX('الإعدادات واللجنة'!$C$24:$C$32,MATCH(LEFT(A182,3),'الإعدادات واللجنة'!$A$24:$A$32,0)),"")</f>
        <v>د. حسن بن سعد القحطاني</v>
      </c>
      <c r="I182" s="42"/>
      <c r="J182" s="42"/>
      <c r="K182" s="41" t="str">
        <f t="shared" si="2"/>
        <v/>
      </c>
      <c r="L182" s="43"/>
      <c r="M182" s="42"/>
      <c r="N182" s="43"/>
      <c r="O182" s="43"/>
      <c r="P182" s="42"/>
      <c r="Q182" s="43"/>
    </row>
    <row r="183" spans="1:17" ht="26" x14ac:dyDescent="0.2">
      <c r="A183" s="31" t="s">
        <v>559</v>
      </c>
      <c r="B183" s="28" t="s">
        <v>154</v>
      </c>
      <c r="C183" s="29"/>
      <c r="D183" s="30"/>
      <c r="E183" s="31">
        <v>2</v>
      </c>
      <c r="F183" s="29" t="s">
        <v>562</v>
      </c>
      <c r="G183" s="32" t="s">
        <v>583</v>
      </c>
      <c r="H183" s="31" t="str">
        <f>IFERROR(INDEX('الإعدادات واللجنة'!$C$24:$C$32,MATCH(LEFT(A183,3),'الإعدادات واللجنة'!$A$24:$A$32,0)),"")</f>
        <v>د. حسن بن سعد القحطاني</v>
      </c>
      <c r="I183" s="33"/>
      <c r="J183" s="33"/>
      <c r="K183" s="31" t="str">
        <f t="shared" si="2"/>
        <v/>
      </c>
      <c r="L183" s="34"/>
      <c r="M183" s="33"/>
      <c r="N183" s="34"/>
      <c r="O183" s="34"/>
      <c r="P183" s="33"/>
      <c r="Q183" s="34"/>
    </row>
    <row r="184" spans="1:17" ht="26" x14ac:dyDescent="0.2">
      <c r="A184" s="31" t="s">
        <v>559</v>
      </c>
      <c r="B184" s="28" t="s">
        <v>154</v>
      </c>
      <c r="C184" s="29"/>
      <c r="D184" s="30"/>
      <c r="E184" s="31">
        <v>3</v>
      </c>
      <c r="F184" s="29" t="s">
        <v>563</v>
      </c>
      <c r="G184" s="32" t="s">
        <v>583</v>
      </c>
      <c r="H184" s="31" t="str">
        <f>IFERROR(INDEX('الإعدادات واللجنة'!$C$24:$C$32,MATCH(LEFT(A184,3),'الإعدادات واللجنة'!$A$24:$A$32,0)),"")</f>
        <v>د. حسن بن سعد القحطاني</v>
      </c>
      <c r="I184" s="33"/>
      <c r="J184" s="33"/>
      <c r="K184" s="31" t="str">
        <f t="shared" si="2"/>
        <v/>
      </c>
      <c r="L184" s="34"/>
      <c r="M184" s="33"/>
      <c r="N184" s="34"/>
      <c r="O184" s="34"/>
      <c r="P184" s="33"/>
      <c r="Q184" s="34"/>
    </row>
    <row r="185" spans="1:17" ht="39" x14ac:dyDescent="0.2">
      <c r="A185" s="35" t="s">
        <v>564</v>
      </c>
      <c r="B185" s="36" t="s">
        <v>154</v>
      </c>
      <c r="C185" s="37" t="s">
        <v>565</v>
      </c>
      <c r="D185" s="38" t="s">
        <v>293</v>
      </c>
      <c r="E185" s="39">
        <v>1</v>
      </c>
      <c r="F185" s="37" t="s">
        <v>566</v>
      </c>
      <c r="G185" s="40" t="s">
        <v>583</v>
      </c>
      <c r="H185" s="41" t="str">
        <f>IFERROR(INDEX('الإعدادات واللجنة'!$C$24:$C$32,MATCH(LEFT(A185,3),'الإعدادات واللجنة'!$A$24:$A$32,0)),"")</f>
        <v>د. حسن بن سعد القحطاني</v>
      </c>
      <c r="I185" s="42"/>
      <c r="J185" s="42"/>
      <c r="K185" s="41" t="str">
        <f t="shared" si="2"/>
        <v/>
      </c>
      <c r="L185" s="43"/>
      <c r="M185" s="42"/>
      <c r="N185" s="43"/>
      <c r="O185" s="43"/>
      <c r="P185" s="42"/>
      <c r="Q185" s="43"/>
    </row>
    <row r="186" spans="1:17" ht="26" x14ac:dyDescent="0.2">
      <c r="A186" s="44" t="s">
        <v>564</v>
      </c>
      <c r="B186" s="45" t="s">
        <v>154</v>
      </c>
      <c r="C186" s="46"/>
      <c r="D186" s="47" t="s">
        <v>293</v>
      </c>
      <c r="E186" s="44">
        <v>2</v>
      </c>
      <c r="F186" s="46" t="s">
        <v>567</v>
      </c>
      <c r="G186" s="32" t="s">
        <v>583</v>
      </c>
      <c r="H186" s="31" t="str">
        <f>IFERROR(INDEX('الإعدادات واللجنة'!$C$24:$C$32,MATCH(LEFT(A186,3),'الإعدادات واللجنة'!$A$24:$A$32,0)),"")</f>
        <v>د. حسن بن سعد القحطاني</v>
      </c>
      <c r="I186" s="33"/>
      <c r="J186" s="33"/>
      <c r="K186" s="31" t="str">
        <f t="shared" si="2"/>
        <v/>
      </c>
      <c r="L186" s="34"/>
      <c r="M186" s="33"/>
      <c r="N186" s="34"/>
      <c r="O186" s="34"/>
      <c r="P186" s="33"/>
      <c r="Q186" s="34"/>
    </row>
    <row r="187" spans="1:17" ht="26" x14ac:dyDescent="0.2">
      <c r="A187" s="44" t="s">
        <v>564</v>
      </c>
      <c r="B187" s="45" t="s">
        <v>154</v>
      </c>
      <c r="C187" s="46"/>
      <c r="D187" s="47" t="s">
        <v>293</v>
      </c>
      <c r="E187" s="44">
        <v>3</v>
      </c>
      <c r="F187" s="46" t="s">
        <v>568</v>
      </c>
      <c r="G187" s="32" t="s">
        <v>583</v>
      </c>
      <c r="H187" s="31" t="str">
        <f>IFERROR(INDEX('الإعدادات واللجنة'!$C$24:$C$32,MATCH(LEFT(A187,3),'الإعدادات واللجنة'!$A$24:$A$32,0)),"")</f>
        <v>د. حسن بن سعد القحطاني</v>
      </c>
      <c r="I187" s="33"/>
      <c r="J187" s="33"/>
      <c r="K187" s="31" t="str">
        <f t="shared" si="2"/>
        <v/>
      </c>
      <c r="L187" s="34"/>
      <c r="M187" s="33"/>
      <c r="N187" s="34"/>
      <c r="O187" s="34"/>
      <c r="P187" s="33"/>
      <c r="Q187" s="34"/>
    </row>
    <row r="188" spans="1:17" ht="24" x14ac:dyDescent="0.2">
      <c r="A188" s="44" t="s">
        <v>564</v>
      </c>
      <c r="B188" s="45" t="s">
        <v>154</v>
      </c>
      <c r="C188" s="46"/>
      <c r="D188" s="47" t="s">
        <v>293</v>
      </c>
      <c r="E188" s="44">
        <v>4</v>
      </c>
      <c r="F188" s="46" t="s">
        <v>569</v>
      </c>
      <c r="G188" s="32" t="s">
        <v>583</v>
      </c>
      <c r="H188" s="31" t="str">
        <f>IFERROR(INDEX('الإعدادات واللجنة'!$C$24:$C$32,MATCH(LEFT(A188,3),'الإعدادات واللجنة'!$A$24:$A$32,0)),"")</f>
        <v>د. حسن بن سعد القحطاني</v>
      </c>
      <c r="I188" s="33"/>
      <c r="J188" s="33"/>
      <c r="K188" s="31" t="str">
        <f t="shared" si="2"/>
        <v/>
      </c>
      <c r="L188" s="34"/>
      <c r="M188" s="33"/>
      <c r="N188" s="34"/>
      <c r="O188" s="34"/>
      <c r="P188" s="33"/>
      <c r="Q188" s="34"/>
    </row>
    <row r="189" spans="1:17" ht="24" x14ac:dyDescent="0.2">
      <c r="A189" s="44" t="s">
        <v>564</v>
      </c>
      <c r="B189" s="45" t="s">
        <v>154</v>
      </c>
      <c r="C189" s="46"/>
      <c r="D189" s="47" t="s">
        <v>293</v>
      </c>
      <c r="E189" s="44">
        <v>5</v>
      </c>
      <c r="F189" s="46" t="s">
        <v>570</v>
      </c>
      <c r="G189" s="32" t="s">
        <v>583</v>
      </c>
      <c r="H189" s="31" t="str">
        <f>IFERROR(INDEX('الإعدادات واللجنة'!$C$24:$C$32,MATCH(LEFT(A189,3),'الإعدادات واللجنة'!$A$24:$A$32,0)),"")</f>
        <v>د. حسن بن سعد القحطاني</v>
      </c>
      <c r="I189" s="33"/>
      <c r="J189" s="33"/>
      <c r="K189" s="31" t="str">
        <f t="shared" si="2"/>
        <v/>
      </c>
      <c r="L189" s="34"/>
      <c r="M189" s="33"/>
      <c r="N189" s="34"/>
      <c r="O189" s="34"/>
      <c r="P189" s="33"/>
      <c r="Q189" s="34"/>
    </row>
    <row r="190" spans="1:17" ht="24" x14ac:dyDescent="0.2">
      <c r="A190" s="44" t="s">
        <v>564</v>
      </c>
      <c r="B190" s="45" t="s">
        <v>154</v>
      </c>
      <c r="C190" s="46"/>
      <c r="D190" s="47" t="s">
        <v>293</v>
      </c>
      <c r="E190" s="44">
        <v>6</v>
      </c>
      <c r="F190" s="46" t="s">
        <v>571</v>
      </c>
      <c r="G190" s="32" t="s">
        <v>583</v>
      </c>
      <c r="H190" s="31" t="str">
        <f>IFERROR(INDEX('الإعدادات واللجنة'!$C$24:$C$32,MATCH(LEFT(A190,3),'الإعدادات واللجنة'!$A$24:$A$32,0)),"")</f>
        <v>د. حسن بن سعد القحطاني</v>
      </c>
      <c r="I190" s="33"/>
      <c r="J190" s="33"/>
      <c r="K190" s="31" t="str">
        <f t="shared" si="2"/>
        <v/>
      </c>
      <c r="L190" s="34"/>
      <c r="M190" s="33"/>
      <c r="N190" s="34"/>
      <c r="O190" s="34"/>
      <c r="P190" s="33"/>
      <c r="Q190" s="34"/>
    </row>
    <row r="191" spans="1:17" ht="26" x14ac:dyDescent="0.2">
      <c r="A191" s="48" t="s">
        <v>572</v>
      </c>
      <c r="B191" s="49" t="s">
        <v>154</v>
      </c>
      <c r="C191" s="50" t="s">
        <v>573</v>
      </c>
      <c r="D191" s="51"/>
      <c r="E191" s="41">
        <v>1</v>
      </c>
      <c r="F191" s="50" t="s">
        <v>574</v>
      </c>
      <c r="G191" s="40" t="s">
        <v>583</v>
      </c>
      <c r="H191" s="41" t="str">
        <f>IFERROR(INDEX('الإعدادات واللجنة'!$C$24:$C$32,MATCH(LEFT(A191,3),'الإعدادات واللجنة'!$A$24:$A$32,0)),"")</f>
        <v>د. حسن بن سعد القحطاني</v>
      </c>
      <c r="I191" s="42"/>
      <c r="J191" s="42"/>
      <c r="K191" s="41" t="str">
        <f t="shared" si="2"/>
        <v/>
      </c>
      <c r="L191" s="43"/>
      <c r="M191" s="42"/>
      <c r="N191" s="43"/>
      <c r="O191" s="43"/>
      <c r="P191" s="42"/>
      <c r="Q191" s="43"/>
    </row>
    <row r="192" spans="1:17" ht="26" x14ac:dyDescent="0.2">
      <c r="A192" s="31" t="s">
        <v>572</v>
      </c>
      <c r="B192" s="28" t="s">
        <v>154</v>
      </c>
      <c r="C192" s="29"/>
      <c r="D192" s="30"/>
      <c r="E192" s="31">
        <v>2</v>
      </c>
      <c r="F192" s="29" t="s">
        <v>575</v>
      </c>
      <c r="G192" s="32" t="s">
        <v>583</v>
      </c>
      <c r="H192" s="31" t="str">
        <f>IFERROR(INDEX('الإعدادات واللجنة'!$C$24:$C$32,MATCH(LEFT(A192,3),'الإعدادات واللجنة'!$A$24:$A$32,0)),"")</f>
        <v>د. حسن بن سعد القحطاني</v>
      </c>
      <c r="I192" s="33"/>
      <c r="J192" s="33"/>
      <c r="K192" s="31" t="str">
        <f t="shared" si="2"/>
        <v/>
      </c>
      <c r="L192" s="34"/>
      <c r="M192" s="33"/>
      <c r="N192" s="34"/>
      <c r="O192" s="34"/>
      <c r="P192" s="33"/>
      <c r="Q192" s="34"/>
    </row>
    <row r="193" spans="1:17" ht="24" x14ac:dyDescent="0.2">
      <c r="A193" s="31" t="s">
        <v>572</v>
      </c>
      <c r="B193" s="28" t="s">
        <v>154</v>
      </c>
      <c r="C193" s="29"/>
      <c r="D193" s="30"/>
      <c r="E193" s="31">
        <v>3</v>
      </c>
      <c r="F193" s="29" t="s">
        <v>576</v>
      </c>
      <c r="G193" s="32" t="s">
        <v>583</v>
      </c>
      <c r="H193" s="31" t="str">
        <f>IFERROR(INDEX('الإعدادات واللجنة'!$C$24:$C$32,MATCH(LEFT(A193,3),'الإعدادات واللجنة'!$A$24:$A$32,0)),"")</f>
        <v>د. حسن بن سعد القحطاني</v>
      </c>
      <c r="I193" s="33"/>
      <c r="J193" s="33"/>
      <c r="K193" s="31" t="str">
        <f t="shared" si="2"/>
        <v/>
      </c>
      <c r="L193" s="34"/>
      <c r="M193" s="33"/>
      <c r="N193" s="34"/>
      <c r="O193" s="34"/>
      <c r="P193" s="33"/>
      <c r="Q193" s="34"/>
    </row>
    <row r="194" spans="1:17" ht="24" x14ac:dyDescent="0.2">
      <c r="A194" s="31" t="s">
        <v>572</v>
      </c>
      <c r="B194" s="28" t="s">
        <v>154</v>
      </c>
      <c r="C194" s="29"/>
      <c r="D194" s="30"/>
      <c r="E194" s="31">
        <v>4</v>
      </c>
      <c r="F194" s="29" t="s">
        <v>577</v>
      </c>
      <c r="G194" s="32" t="s">
        <v>583</v>
      </c>
      <c r="H194" s="31" t="str">
        <f>IFERROR(INDEX('الإعدادات واللجنة'!$C$24:$C$32,MATCH(LEFT(A194,3),'الإعدادات واللجنة'!$A$24:$A$32,0)),"")</f>
        <v>د. حسن بن سعد القحطاني</v>
      </c>
      <c r="I194" s="33"/>
      <c r="J194" s="33"/>
      <c r="K194" s="31" t="str">
        <f t="shared" si="2"/>
        <v/>
      </c>
      <c r="L194" s="34"/>
      <c r="M194" s="33"/>
      <c r="N194" s="34"/>
      <c r="O194" s="34"/>
      <c r="P194" s="33"/>
      <c r="Q194" s="34"/>
    </row>
    <row r="195" spans="1:17" ht="26" x14ac:dyDescent="0.2">
      <c r="A195" s="31" t="s">
        <v>572</v>
      </c>
      <c r="B195" s="28" t="s">
        <v>154</v>
      </c>
      <c r="C195" s="29"/>
      <c r="D195" s="30"/>
      <c r="E195" s="31">
        <v>5</v>
      </c>
      <c r="F195" s="29" t="s">
        <v>578</v>
      </c>
      <c r="G195" s="32" t="s">
        <v>583</v>
      </c>
      <c r="H195" s="31" t="str">
        <f>IFERROR(INDEX('الإعدادات واللجنة'!$C$24:$C$32,MATCH(LEFT(A195,3),'الإعدادات واللجنة'!$A$24:$A$32,0)),"")</f>
        <v>د. حسن بن سعد القحطاني</v>
      </c>
      <c r="I195" s="33"/>
      <c r="J195" s="33"/>
      <c r="K195" s="31" t="str">
        <f t="shared" si="2"/>
        <v/>
      </c>
      <c r="L195" s="34"/>
      <c r="M195" s="33"/>
      <c r="N195" s="34"/>
      <c r="O195" s="34"/>
      <c r="P195" s="33"/>
      <c r="Q195" s="34"/>
    </row>
    <row r="196" spans="1:17" ht="26" x14ac:dyDescent="0.2">
      <c r="A196" s="48" t="s">
        <v>579</v>
      </c>
      <c r="B196" s="49" t="s">
        <v>154</v>
      </c>
      <c r="C196" s="50" t="s">
        <v>580</v>
      </c>
      <c r="D196" s="51"/>
      <c r="E196" s="41">
        <v>1</v>
      </c>
      <c r="F196" s="50" t="s">
        <v>581</v>
      </c>
      <c r="G196" s="40" t="s">
        <v>583</v>
      </c>
      <c r="H196" s="41" t="str">
        <f>IFERROR(INDEX('الإعدادات واللجنة'!$C$24:$C$32,MATCH(LEFT(A196,3),'الإعدادات واللجنة'!$A$24:$A$32,0)),"")</f>
        <v>د. حسن بن سعد القحطاني</v>
      </c>
      <c r="I196" s="42"/>
      <c r="J196" s="42"/>
      <c r="K196" s="41" t="str">
        <f t="shared" si="2"/>
        <v/>
      </c>
      <c r="L196" s="43"/>
      <c r="M196" s="42"/>
      <c r="N196" s="43"/>
      <c r="O196" s="43"/>
      <c r="P196" s="42"/>
      <c r="Q196" s="43"/>
    </row>
    <row r="197" spans="1:17" ht="24" x14ac:dyDescent="0.2">
      <c r="A197" s="31" t="s">
        <v>579</v>
      </c>
      <c r="B197" s="28" t="s">
        <v>154</v>
      </c>
      <c r="C197" s="29"/>
      <c r="D197" s="30"/>
      <c r="E197" s="31">
        <v>2</v>
      </c>
      <c r="F197" s="29" t="s">
        <v>582</v>
      </c>
      <c r="G197" s="32" t="s">
        <v>583</v>
      </c>
      <c r="H197" s="31" t="str">
        <f>IFERROR(INDEX('الإعدادات واللجنة'!$C$24:$C$32,MATCH(LEFT(A197,3),'الإعدادات واللجنة'!$A$24:$A$32,0)),"")</f>
        <v>د. حسن بن سعد القحطاني</v>
      </c>
      <c r="I197" s="33"/>
      <c r="J197" s="33"/>
      <c r="K197" s="31" t="str">
        <f t="shared" ref="K197:K230" si="3">IF(OR(I197="",I197="متوفر ومكتمل"),"",IF(OR(D197="★",I197="غير متوفر"),"عالية","متوسطة"))</f>
        <v/>
      </c>
      <c r="L197" s="34"/>
      <c r="M197" s="33"/>
      <c r="N197" s="34"/>
      <c r="O197" s="34"/>
      <c r="P197" s="33"/>
      <c r="Q197" s="34"/>
    </row>
    <row r="198" spans="1:17" ht="26" x14ac:dyDescent="0.2">
      <c r="A198" s="35" t="s">
        <v>586</v>
      </c>
      <c r="B198" s="36" t="s">
        <v>157</v>
      </c>
      <c r="C198" s="37" t="s">
        <v>587</v>
      </c>
      <c r="D198" s="38" t="s">
        <v>293</v>
      </c>
      <c r="E198" s="39">
        <v>1</v>
      </c>
      <c r="F198" s="37" t="s">
        <v>588</v>
      </c>
      <c r="G198" s="52" t="s">
        <v>589</v>
      </c>
      <c r="H198" s="41" t="str">
        <f>IFERROR(INDEX('الإعدادات واللجنة'!$C$24:$C$32,MATCH(LEFT(A198,3),'الإعدادات واللجنة'!$A$24:$A$32,0)),"")</f>
        <v>د. عمر بن محمد موسى</v>
      </c>
      <c r="I198" s="42"/>
      <c r="J198" s="42"/>
      <c r="K198" s="41" t="str">
        <f t="shared" si="3"/>
        <v/>
      </c>
      <c r="L198" s="43"/>
      <c r="M198" s="42"/>
      <c r="N198" s="43"/>
      <c r="O198" s="43"/>
      <c r="P198" s="42"/>
      <c r="Q198" s="43"/>
    </row>
    <row r="199" spans="1:17" ht="26" x14ac:dyDescent="0.2">
      <c r="A199" s="44" t="s">
        <v>586</v>
      </c>
      <c r="B199" s="45" t="s">
        <v>157</v>
      </c>
      <c r="C199" s="46"/>
      <c r="D199" s="47" t="s">
        <v>293</v>
      </c>
      <c r="E199" s="44">
        <v>2</v>
      </c>
      <c r="F199" s="46" t="s">
        <v>590</v>
      </c>
      <c r="G199" s="53" t="s">
        <v>589</v>
      </c>
      <c r="H199" s="31" t="str">
        <f>IFERROR(INDEX('الإعدادات واللجنة'!$C$24:$C$32,MATCH(LEFT(A199,3),'الإعدادات واللجنة'!$A$24:$A$32,0)),"")</f>
        <v>د. عمر بن محمد موسى</v>
      </c>
      <c r="I199" s="33"/>
      <c r="J199" s="33"/>
      <c r="K199" s="31" t="str">
        <f t="shared" si="3"/>
        <v/>
      </c>
      <c r="L199" s="34"/>
      <c r="M199" s="33"/>
      <c r="N199" s="34"/>
      <c r="O199" s="34"/>
      <c r="P199" s="33"/>
      <c r="Q199" s="34"/>
    </row>
    <row r="200" spans="1:17" x14ac:dyDescent="0.2">
      <c r="A200" s="44" t="s">
        <v>586</v>
      </c>
      <c r="B200" s="45" t="s">
        <v>157</v>
      </c>
      <c r="C200" s="46"/>
      <c r="D200" s="47" t="s">
        <v>293</v>
      </c>
      <c r="E200" s="44">
        <v>3</v>
      </c>
      <c r="F200" s="46" t="s">
        <v>591</v>
      </c>
      <c r="G200" s="53" t="s">
        <v>589</v>
      </c>
      <c r="H200" s="31" t="str">
        <f>IFERROR(INDEX('الإعدادات واللجنة'!$C$24:$C$32,MATCH(LEFT(A200,3),'الإعدادات واللجنة'!$A$24:$A$32,0)),"")</f>
        <v>د. عمر بن محمد موسى</v>
      </c>
      <c r="I200" s="33"/>
      <c r="J200" s="33"/>
      <c r="K200" s="31" t="str">
        <f t="shared" si="3"/>
        <v/>
      </c>
      <c r="L200" s="34"/>
      <c r="M200" s="33"/>
      <c r="N200" s="34"/>
      <c r="O200" s="34"/>
      <c r="P200" s="33"/>
      <c r="Q200" s="34"/>
    </row>
    <row r="201" spans="1:17" ht="26" x14ac:dyDescent="0.2">
      <c r="A201" s="48" t="s">
        <v>592</v>
      </c>
      <c r="B201" s="49" t="s">
        <v>157</v>
      </c>
      <c r="C201" s="50" t="s">
        <v>593</v>
      </c>
      <c r="D201" s="51"/>
      <c r="E201" s="41">
        <v>1</v>
      </c>
      <c r="F201" s="50" t="s">
        <v>594</v>
      </c>
      <c r="G201" s="52" t="s">
        <v>589</v>
      </c>
      <c r="H201" s="41" t="str">
        <f>IFERROR(INDEX('الإعدادات واللجنة'!$C$24:$C$32,MATCH(LEFT(A201,3),'الإعدادات واللجنة'!$A$24:$A$32,0)),"")</f>
        <v>د. عمر بن محمد موسى</v>
      </c>
      <c r="I201" s="42"/>
      <c r="J201" s="42"/>
      <c r="K201" s="41" t="str">
        <f t="shared" si="3"/>
        <v/>
      </c>
      <c r="L201" s="43"/>
      <c r="M201" s="42"/>
      <c r="N201" s="43"/>
      <c r="O201" s="43"/>
      <c r="P201" s="42"/>
      <c r="Q201" s="43"/>
    </row>
    <row r="202" spans="1:17" x14ac:dyDescent="0.2">
      <c r="A202" s="31" t="s">
        <v>592</v>
      </c>
      <c r="B202" s="28" t="s">
        <v>157</v>
      </c>
      <c r="C202" s="29"/>
      <c r="D202" s="30"/>
      <c r="E202" s="31">
        <v>2</v>
      </c>
      <c r="F202" s="29" t="s">
        <v>595</v>
      </c>
      <c r="G202" s="53" t="s">
        <v>589</v>
      </c>
      <c r="H202" s="31" t="str">
        <f>IFERROR(INDEX('الإعدادات واللجنة'!$C$24:$C$32,MATCH(LEFT(A202,3),'الإعدادات واللجنة'!$A$24:$A$32,0)),"")</f>
        <v>د. عمر بن محمد موسى</v>
      </c>
      <c r="I202" s="33"/>
      <c r="J202" s="33"/>
      <c r="K202" s="31" t="str">
        <f t="shared" si="3"/>
        <v/>
      </c>
      <c r="L202" s="34"/>
      <c r="M202" s="33"/>
      <c r="N202" s="34"/>
      <c r="O202" s="34"/>
      <c r="P202" s="33"/>
      <c r="Q202" s="34"/>
    </row>
    <row r="203" spans="1:17" x14ac:dyDescent="0.2">
      <c r="A203" s="31" t="s">
        <v>592</v>
      </c>
      <c r="B203" s="28" t="s">
        <v>157</v>
      </c>
      <c r="C203" s="29"/>
      <c r="D203" s="30"/>
      <c r="E203" s="31">
        <v>3</v>
      </c>
      <c r="F203" s="29" t="s">
        <v>596</v>
      </c>
      <c r="G203" s="53" t="s">
        <v>589</v>
      </c>
      <c r="H203" s="31" t="str">
        <f>IFERROR(INDEX('الإعدادات واللجنة'!$C$24:$C$32,MATCH(LEFT(A203,3),'الإعدادات واللجنة'!$A$24:$A$32,0)),"")</f>
        <v>د. عمر بن محمد موسى</v>
      </c>
      <c r="I203" s="33"/>
      <c r="J203" s="33"/>
      <c r="K203" s="31" t="str">
        <f t="shared" si="3"/>
        <v/>
      </c>
      <c r="L203" s="34"/>
      <c r="M203" s="33"/>
      <c r="N203" s="34"/>
      <c r="O203" s="34"/>
      <c r="P203" s="33"/>
      <c r="Q203" s="34"/>
    </row>
    <row r="204" spans="1:17" x14ac:dyDescent="0.2">
      <c r="A204" s="48" t="s">
        <v>597</v>
      </c>
      <c r="B204" s="49" t="s">
        <v>157</v>
      </c>
      <c r="C204" s="50" t="s">
        <v>598</v>
      </c>
      <c r="D204" s="51"/>
      <c r="E204" s="41">
        <v>1</v>
      </c>
      <c r="F204" s="50" t="s">
        <v>599</v>
      </c>
      <c r="G204" s="52" t="s">
        <v>589</v>
      </c>
      <c r="H204" s="41" t="str">
        <f>IFERROR(INDEX('الإعدادات واللجنة'!$C$24:$C$32,MATCH(LEFT(A204,3),'الإعدادات واللجنة'!$A$24:$A$32,0)),"")</f>
        <v>د. عمر بن محمد موسى</v>
      </c>
      <c r="I204" s="42"/>
      <c r="J204" s="42"/>
      <c r="K204" s="41" t="str">
        <f t="shared" si="3"/>
        <v/>
      </c>
      <c r="L204" s="43"/>
      <c r="M204" s="42"/>
      <c r="N204" s="43"/>
      <c r="O204" s="43"/>
      <c r="P204" s="42"/>
      <c r="Q204" s="43"/>
    </row>
    <row r="205" spans="1:17" x14ac:dyDescent="0.2">
      <c r="A205" s="31" t="s">
        <v>597</v>
      </c>
      <c r="B205" s="28" t="s">
        <v>157</v>
      </c>
      <c r="C205" s="29"/>
      <c r="D205" s="30"/>
      <c r="E205" s="31">
        <v>2</v>
      </c>
      <c r="F205" s="29" t="s">
        <v>600</v>
      </c>
      <c r="G205" s="53" t="s">
        <v>589</v>
      </c>
      <c r="H205" s="31" t="str">
        <f>IFERROR(INDEX('الإعدادات واللجنة'!$C$24:$C$32,MATCH(LEFT(A205,3),'الإعدادات واللجنة'!$A$24:$A$32,0)),"")</f>
        <v>د. عمر بن محمد موسى</v>
      </c>
      <c r="I205" s="33"/>
      <c r="J205" s="33"/>
      <c r="K205" s="31" t="str">
        <f t="shared" si="3"/>
        <v/>
      </c>
      <c r="L205" s="34"/>
      <c r="M205" s="33"/>
      <c r="N205" s="34"/>
      <c r="O205" s="34"/>
      <c r="P205" s="33"/>
      <c r="Q205" s="34"/>
    </row>
    <row r="206" spans="1:17" x14ac:dyDescent="0.2">
      <c r="A206" s="31" t="s">
        <v>597</v>
      </c>
      <c r="B206" s="28" t="s">
        <v>157</v>
      </c>
      <c r="C206" s="29"/>
      <c r="D206" s="30"/>
      <c r="E206" s="31">
        <v>3</v>
      </c>
      <c r="F206" s="29" t="s">
        <v>601</v>
      </c>
      <c r="G206" s="53" t="s">
        <v>589</v>
      </c>
      <c r="H206" s="31" t="str">
        <f>IFERROR(INDEX('الإعدادات واللجنة'!$C$24:$C$32,MATCH(LEFT(A206,3),'الإعدادات واللجنة'!$A$24:$A$32,0)),"")</f>
        <v>د. عمر بن محمد موسى</v>
      </c>
      <c r="I206" s="33"/>
      <c r="J206" s="33"/>
      <c r="K206" s="31" t="str">
        <f t="shared" si="3"/>
        <v/>
      </c>
      <c r="L206" s="34"/>
      <c r="M206" s="33"/>
      <c r="N206" s="34"/>
      <c r="O206" s="34"/>
      <c r="P206" s="33"/>
      <c r="Q206" s="34"/>
    </row>
    <row r="207" spans="1:17" ht="26" x14ac:dyDescent="0.2">
      <c r="A207" s="48" t="s">
        <v>602</v>
      </c>
      <c r="B207" s="49" t="s">
        <v>157</v>
      </c>
      <c r="C207" s="50" t="s">
        <v>603</v>
      </c>
      <c r="D207" s="51"/>
      <c r="E207" s="41">
        <v>1</v>
      </c>
      <c r="F207" s="50" t="s">
        <v>604</v>
      </c>
      <c r="G207" s="52" t="s">
        <v>589</v>
      </c>
      <c r="H207" s="41" t="str">
        <f>IFERROR(INDEX('الإعدادات واللجنة'!$C$24:$C$32,MATCH(LEFT(A207,3),'الإعدادات واللجنة'!$A$24:$A$32,0)),"")</f>
        <v>د. عمر بن محمد موسى</v>
      </c>
      <c r="I207" s="42"/>
      <c r="J207" s="42"/>
      <c r="K207" s="41" t="str">
        <f t="shared" si="3"/>
        <v/>
      </c>
      <c r="L207" s="43"/>
      <c r="M207" s="42"/>
      <c r="N207" s="43"/>
      <c r="O207" s="43"/>
      <c r="P207" s="42"/>
      <c r="Q207" s="43"/>
    </row>
    <row r="208" spans="1:17" x14ac:dyDescent="0.2">
      <c r="A208" s="31" t="s">
        <v>602</v>
      </c>
      <c r="B208" s="28" t="s">
        <v>157</v>
      </c>
      <c r="C208" s="29"/>
      <c r="D208" s="30"/>
      <c r="E208" s="31">
        <v>2</v>
      </c>
      <c r="F208" s="29" t="s">
        <v>605</v>
      </c>
      <c r="G208" s="53" t="s">
        <v>589</v>
      </c>
      <c r="H208" s="31" t="str">
        <f>IFERROR(INDEX('الإعدادات واللجنة'!$C$24:$C$32,MATCH(LEFT(A208,3),'الإعدادات واللجنة'!$A$24:$A$32,0)),"")</f>
        <v>د. عمر بن محمد موسى</v>
      </c>
      <c r="I208" s="33"/>
      <c r="J208" s="33"/>
      <c r="K208" s="31" t="str">
        <f t="shared" si="3"/>
        <v/>
      </c>
      <c r="L208" s="34"/>
      <c r="M208" s="33"/>
      <c r="N208" s="34"/>
      <c r="O208" s="34"/>
      <c r="P208" s="33"/>
      <c r="Q208" s="34"/>
    </row>
    <row r="209" spans="1:17" x14ac:dyDescent="0.2">
      <c r="A209" s="31" t="s">
        <v>602</v>
      </c>
      <c r="B209" s="28" t="s">
        <v>157</v>
      </c>
      <c r="C209" s="29"/>
      <c r="D209" s="30"/>
      <c r="E209" s="31">
        <v>3</v>
      </c>
      <c r="F209" s="29" t="s">
        <v>606</v>
      </c>
      <c r="G209" s="53" t="s">
        <v>589</v>
      </c>
      <c r="H209" s="31" t="str">
        <f>IFERROR(INDEX('الإعدادات واللجنة'!$C$24:$C$32,MATCH(LEFT(A209,3),'الإعدادات واللجنة'!$A$24:$A$32,0)),"")</f>
        <v>د. عمر بن محمد موسى</v>
      </c>
      <c r="I209" s="33"/>
      <c r="J209" s="33"/>
      <c r="K209" s="31" t="str">
        <f t="shared" si="3"/>
        <v/>
      </c>
      <c r="L209" s="34"/>
      <c r="M209" s="33"/>
      <c r="N209" s="34"/>
      <c r="O209" s="34"/>
      <c r="P209" s="33"/>
      <c r="Q209" s="34"/>
    </row>
    <row r="210" spans="1:17" ht="26" x14ac:dyDescent="0.2">
      <c r="A210" s="48" t="s">
        <v>607</v>
      </c>
      <c r="B210" s="49" t="s">
        <v>157</v>
      </c>
      <c r="C210" s="50" t="s">
        <v>608</v>
      </c>
      <c r="D210" s="51"/>
      <c r="E210" s="41">
        <v>1</v>
      </c>
      <c r="F210" s="50" t="s">
        <v>609</v>
      </c>
      <c r="G210" s="52" t="s">
        <v>589</v>
      </c>
      <c r="H210" s="41" t="str">
        <f>IFERROR(INDEX('الإعدادات واللجنة'!$C$24:$C$32,MATCH(LEFT(A210,3),'الإعدادات واللجنة'!$A$24:$A$32,0)),"")</f>
        <v>د. عمر بن محمد موسى</v>
      </c>
      <c r="I210" s="42"/>
      <c r="J210" s="42"/>
      <c r="K210" s="41" t="str">
        <f t="shared" si="3"/>
        <v/>
      </c>
      <c r="L210" s="43"/>
      <c r="M210" s="42"/>
      <c r="N210" s="43"/>
      <c r="O210" s="43"/>
      <c r="P210" s="42"/>
      <c r="Q210" s="43"/>
    </row>
    <row r="211" spans="1:17" x14ac:dyDescent="0.2">
      <c r="A211" s="31" t="s">
        <v>607</v>
      </c>
      <c r="B211" s="28" t="s">
        <v>157</v>
      </c>
      <c r="C211" s="29"/>
      <c r="D211" s="30"/>
      <c r="E211" s="31">
        <v>2</v>
      </c>
      <c r="F211" s="29" t="s">
        <v>610</v>
      </c>
      <c r="G211" s="53" t="s">
        <v>589</v>
      </c>
      <c r="H211" s="31" t="str">
        <f>IFERROR(INDEX('الإعدادات واللجنة'!$C$24:$C$32,MATCH(LEFT(A211,3),'الإعدادات واللجنة'!$A$24:$A$32,0)),"")</f>
        <v>د. عمر بن محمد موسى</v>
      </c>
      <c r="I211" s="33"/>
      <c r="J211" s="33"/>
      <c r="K211" s="31" t="str">
        <f t="shared" si="3"/>
        <v/>
      </c>
      <c r="L211" s="34"/>
      <c r="M211" s="33"/>
      <c r="N211" s="34"/>
      <c r="O211" s="34"/>
      <c r="P211" s="33"/>
      <c r="Q211" s="34"/>
    </row>
    <row r="212" spans="1:17" x14ac:dyDescent="0.2">
      <c r="A212" s="31" t="s">
        <v>607</v>
      </c>
      <c r="B212" s="28" t="s">
        <v>157</v>
      </c>
      <c r="C212" s="29"/>
      <c r="D212" s="30"/>
      <c r="E212" s="31">
        <v>3</v>
      </c>
      <c r="F212" s="29" t="s">
        <v>611</v>
      </c>
      <c r="G212" s="53" t="s">
        <v>589</v>
      </c>
      <c r="H212" s="31" t="str">
        <f>IFERROR(INDEX('الإعدادات واللجنة'!$C$24:$C$32,MATCH(LEFT(A212,3),'الإعدادات واللجنة'!$A$24:$A$32,0)),"")</f>
        <v>د. عمر بن محمد موسى</v>
      </c>
      <c r="I212" s="33"/>
      <c r="J212" s="33"/>
      <c r="K212" s="31" t="str">
        <f t="shared" si="3"/>
        <v/>
      </c>
      <c r="L212" s="34"/>
      <c r="M212" s="33"/>
      <c r="N212" s="34"/>
      <c r="O212" s="34"/>
      <c r="P212" s="33"/>
      <c r="Q212" s="34"/>
    </row>
    <row r="213" spans="1:17" ht="26" x14ac:dyDescent="0.2">
      <c r="A213" s="48" t="s">
        <v>612</v>
      </c>
      <c r="B213" s="49" t="s">
        <v>157</v>
      </c>
      <c r="C213" s="50" t="s">
        <v>613</v>
      </c>
      <c r="D213" s="51"/>
      <c r="E213" s="41">
        <v>1</v>
      </c>
      <c r="F213" s="50" t="s">
        <v>614</v>
      </c>
      <c r="G213" s="52" t="s">
        <v>589</v>
      </c>
      <c r="H213" s="41" t="str">
        <f>IFERROR(INDEX('الإعدادات واللجنة'!$C$24:$C$32,MATCH(LEFT(A213,3),'الإعدادات واللجنة'!$A$24:$A$32,0)),"")</f>
        <v>د. عمر بن محمد موسى</v>
      </c>
      <c r="I213" s="42"/>
      <c r="J213" s="42"/>
      <c r="K213" s="41" t="str">
        <f t="shared" si="3"/>
        <v/>
      </c>
      <c r="L213" s="43"/>
      <c r="M213" s="42"/>
      <c r="N213" s="43"/>
      <c r="O213" s="43"/>
      <c r="P213" s="42"/>
      <c r="Q213" s="43"/>
    </row>
    <row r="214" spans="1:17" x14ac:dyDescent="0.2">
      <c r="A214" s="31" t="s">
        <v>612</v>
      </c>
      <c r="B214" s="28" t="s">
        <v>157</v>
      </c>
      <c r="C214" s="29"/>
      <c r="D214" s="30"/>
      <c r="E214" s="31">
        <v>2</v>
      </c>
      <c r="F214" s="29" t="s">
        <v>615</v>
      </c>
      <c r="G214" s="53" t="s">
        <v>589</v>
      </c>
      <c r="H214" s="31" t="str">
        <f>IFERROR(INDEX('الإعدادات واللجنة'!$C$24:$C$32,MATCH(LEFT(A214,3),'الإعدادات واللجنة'!$A$24:$A$32,0)),"")</f>
        <v>د. عمر بن محمد موسى</v>
      </c>
      <c r="I214" s="33"/>
      <c r="J214" s="33"/>
      <c r="K214" s="31" t="str">
        <f t="shared" si="3"/>
        <v/>
      </c>
      <c r="L214" s="34"/>
      <c r="M214" s="33"/>
      <c r="N214" s="34"/>
      <c r="O214" s="34"/>
      <c r="P214" s="33"/>
      <c r="Q214" s="34"/>
    </row>
    <row r="215" spans="1:17" x14ac:dyDescent="0.2">
      <c r="A215" s="31" t="s">
        <v>612</v>
      </c>
      <c r="B215" s="28" t="s">
        <v>157</v>
      </c>
      <c r="C215" s="29"/>
      <c r="D215" s="30"/>
      <c r="E215" s="31">
        <v>3</v>
      </c>
      <c r="F215" s="29" t="s">
        <v>616</v>
      </c>
      <c r="G215" s="53" t="s">
        <v>589</v>
      </c>
      <c r="H215" s="31" t="str">
        <f>IFERROR(INDEX('الإعدادات واللجنة'!$C$24:$C$32,MATCH(LEFT(A215,3),'الإعدادات واللجنة'!$A$24:$A$32,0)),"")</f>
        <v>د. عمر بن محمد موسى</v>
      </c>
      <c r="I215" s="33"/>
      <c r="J215" s="33"/>
      <c r="K215" s="31" t="str">
        <f t="shared" si="3"/>
        <v/>
      </c>
      <c r="L215" s="34"/>
      <c r="M215" s="33"/>
      <c r="N215" s="34"/>
      <c r="O215" s="34"/>
      <c r="P215" s="33"/>
      <c r="Q215" s="34"/>
    </row>
    <row r="216" spans="1:17" ht="26" x14ac:dyDescent="0.2">
      <c r="A216" s="48" t="s">
        <v>617</v>
      </c>
      <c r="B216" s="49" t="s">
        <v>157</v>
      </c>
      <c r="C216" s="50" t="s">
        <v>618</v>
      </c>
      <c r="D216" s="51"/>
      <c r="E216" s="41">
        <v>1</v>
      </c>
      <c r="F216" s="50" t="s">
        <v>619</v>
      </c>
      <c r="G216" s="52" t="s">
        <v>589</v>
      </c>
      <c r="H216" s="41" t="str">
        <f>IFERROR(INDEX('الإعدادات واللجنة'!$C$24:$C$32,MATCH(LEFT(A216,3),'الإعدادات واللجنة'!$A$24:$A$32,0)),"")</f>
        <v>د. عمر بن محمد موسى</v>
      </c>
      <c r="I216" s="42"/>
      <c r="J216" s="42"/>
      <c r="K216" s="41" t="str">
        <f t="shared" si="3"/>
        <v/>
      </c>
      <c r="L216" s="43"/>
      <c r="M216" s="42"/>
      <c r="N216" s="43"/>
      <c r="O216" s="43"/>
      <c r="P216" s="42"/>
      <c r="Q216" s="43"/>
    </row>
    <row r="217" spans="1:17" x14ac:dyDescent="0.2">
      <c r="A217" s="31" t="s">
        <v>617</v>
      </c>
      <c r="B217" s="28" t="s">
        <v>157</v>
      </c>
      <c r="C217" s="29"/>
      <c r="D217" s="30"/>
      <c r="E217" s="31">
        <v>2</v>
      </c>
      <c r="F217" s="29" t="s">
        <v>620</v>
      </c>
      <c r="G217" s="53" t="s">
        <v>589</v>
      </c>
      <c r="H217" s="31" t="str">
        <f>IFERROR(INDEX('الإعدادات واللجنة'!$C$24:$C$32,MATCH(LEFT(A217,3),'الإعدادات واللجنة'!$A$24:$A$32,0)),"")</f>
        <v>د. عمر بن محمد موسى</v>
      </c>
      <c r="I217" s="33"/>
      <c r="J217" s="33"/>
      <c r="K217" s="31" t="str">
        <f t="shared" si="3"/>
        <v/>
      </c>
      <c r="L217" s="34"/>
      <c r="M217" s="33"/>
      <c r="N217" s="34"/>
      <c r="O217" s="34"/>
      <c r="P217" s="33"/>
      <c r="Q217" s="34"/>
    </row>
    <row r="218" spans="1:17" x14ac:dyDescent="0.2">
      <c r="A218" s="31" t="s">
        <v>617</v>
      </c>
      <c r="B218" s="28" t="s">
        <v>157</v>
      </c>
      <c r="C218" s="29"/>
      <c r="D218" s="30"/>
      <c r="E218" s="31">
        <v>3</v>
      </c>
      <c r="F218" s="29" t="s">
        <v>621</v>
      </c>
      <c r="G218" s="53" t="s">
        <v>589</v>
      </c>
      <c r="H218" s="31" t="str">
        <f>IFERROR(INDEX('الإعدادات واللجنة'!$C$24:$C$32,MATCH(LEFT(A218,3),'الإعدادات واللجنة'!$A$24:$A$32,0)),"")</f>
        <v>د. عمر بن محمد موسى</v>
      </c>
      <c r="I218" s="33"/>
      <c r="J218" s="33"/>
      <c r="K218" s="31" t="str">
        <f t="shared" si="3"/>
        <v/>
      </c>
      <c r="L218" s="34"/>
      <c r="M218" s="33"/>
      <c r="N218" s="34"/>
      <c r="O218" s="34"/>
      <c r="P218" s="33"/>
      <c r="Q218" s="34"/>
    </row>
    <row r="219" spans="1:17" ht="26" x14ac:dyDescent="0.2">
      <c r="A219" s="48" t="s">
        <v>622</v>
      </c>
      <c r="B219" s="49" t="s">
        <v>157</v>
      </c>
      <c r="C219" s="50" t="s">
        <v>623</v>
      </c>
      <c r="D219" s="51"/>
      <c r="E219" s="41">
        <v>1</v>
      </c>
      <c r="F219" s="50" t="s">
        <v>624</v>
      </c>
      <c r="G219" s="52" t="s">
        <v>589</v>
      </c>
      <c r="H219" s="41" t="str">
        <f>IFERROR(INDEX('الإعدادات واللجنة'!$C$24:$C$32,MATCH(LEFT(A219,3),'الإعدادات واللجنة'!$A$24:$A$32,0)),"")</f>
        <v>د. عمر بن محمد موسى</v>
      </c>
      <c r="I219" s="42"/>
      <c r="J219" s="42"/>
      <c r="K219" s="41" t="str">
        <f t="shared" si="3"/>
        <v/>
      </c>
      <c r="L219" s="43"/>
      <c r="M219" s="42"/>
      <c r="N219" s="43"/>
      <c r="O219" s="43"/>
      <c r="P219" s="42"/>
      <c r="Q219" s="43"/>
    </row>
    <row r="220" spans="1:17" x14ac:dyDescent="0.2">
      <c r="A220" s="31" t="s">
        <v>622</v>
      </c>
      <c r="B220" s="28" t="s">
        <v>157</v>
      </c>
      <c r="C220" s="29"/>
      <c r="D220" s="30"/>
      <c r="E220" s="31">
        <v>2</v>
      </c>
      <c r="F220" s="29" t="s">
        <v>625</v>
      </c>
      <c r="G220" s="53" t="s">
        <v>589</v>
      </c>
      <c r="H220" s="31" t="str">
        <f>IFERROR(INDEX('الإعدادات واللجنة'!$C$24:$C$32,MATCH(LEFT(A220,3),'الإعدادات واللجنة'!$A$24:$A$32,0)),"")</f>
        <v>د. عمر بن محمد موسى</v>
      </c>
      <c r="I220" s="33"/>
      <c r="J220" s="33"/>
      <c r="K220" s="31" t="str">
        <f t="shared" si="3"/>
        <v/>
      </c>
      <c r="L220" s="34"/>
      <c r="M220" s="33"/>
      <c r="N220" s="34"/>
      <c r="O220" s="34"/>
      <c r="P220" s="33"/>
      <c r="Q220" s="34"/>
    </row>
    <row r="221" spans="1:17" x14ac:dyDescent="0.2">
      <c r="A221" s="31" t="s">
        <v>622</v>
      </c>
      <c r="B221" s="28" t="s">
        <v>157</v>
      </c>
      <c r="C221" s="29"/>
      <c r="D221" s="30"/>
      <c r="E221" s="31">
        <v>3</v>
      </c>
      <c r="F221" s="29" t="s">
        <v>626</v>
      </c>
      <c r="G221" s="53" t="s">
        <v>589</v>
      </c>
      <c r="H221" s="31" t="str">
        <f>IFERROR(INDEX('الإعدادات واللجنة'!$C$24:$C$32,MATCH(LEFT(A221,3),'الإعدادات واللجنة'!$A$24:$A$32,0)),"")</f>
        <v>د. عمر بن محمد موسى</v>
      </c>
      <c r="I221" s="33"/>
      <c r="J221" s="33"/>
      <c r="K221" s="31" t="str">
        <f t="shared" si="3"/>
        <v/>
      </c>
      <c r="L221" s="34"/>
      <c r="M221" s="33"/>
      <c r="N221" s="34"/>
      <c r="O221" s="34"/>
      <c r="P221" s="33"/>
      <c r="Q221" s="34"/>
    </row>
    <row r="222" spans="1:17" ht="26" x14ac:dyDescent="0.2">
      <c r="A222" s="48" t="s">
        <v>627</v>
      </c>
      <c r="B222" s="49" t="s">
        <v>157</v>
      </c>
      <c r="C222" s="50" t="s">
        <v>628</v>
      </c>
      <c r="D222" s="51"/>
      <c r="E222" s="41">
        <v>1</v>
      </c>
      <c r="F222" s="50" t="s">
        <v>629</v>
      </c>
      <c r="G222" s="52" t="s">
        <v>589</v>
      </c>
      <c r="H222" s="41" t="str">
        <f>IFERROR(INDEX('الإعدادات واللجنة'!$C$24:$C$32,MATCH(LEFT(A222,3),'الإعدادات واللجنة'!$A$24:$A$32,0)),"")</f>
        <v>د. عمر بن محمد موسى</v>
      </c>
      <c r="I222" s="42"/>
      <c r="J222" s="42"/>
      <c r="K222" s="41" t="str">
        <f t="shared" si="3"/>
        <v/>
      </c>
      <c r="L222" s="43"/>
      <c r="M222" s="42"/>
      <c r="N222" s="43"/>
      <c r="O222" s="43"/>
      <c r="P222" s="42"/>
      <c r="Q222" s="43"/>
    </row>
    <row r="223" spans="1:17" x14ac:dyDescent="0.2">
      <c r="A223" s="31" t="s">
        <v>627</v>
      </c>
      <c r="B223" s="28" t="s">
        <v>157</v>
      </c>
      <c r="C223" s="29"/>
      <c r="D223" s="30"/>
      <c r="E223" s="31">
        <v>2</v>
      </c>
      <c r="F223" s="29" t="s">
        <v>630</v>
      </c>
      <c r="G223" s="53" t="s">
        <v>589</v>
      </c>
      <c r="H223" s="31" t="str">
        <f>IFERROR(INDEX('الإعدادات واللجنة'!$C$24:$C$32,MATCH(LEFT(A223,3),'الإعدادات واللجنة'!$A$24:$A$32,0)),"")</f>
        <v>د. عمر بن محمد موسى</v>
      </c>
      <c r="I223" s="33"/>
      <c r="J223" s="33"/>
      <c r="K223" s="31" t="str">
        <f t="shared" si="3"/>
        <v/>
      </c>
      <c r="L223" s="34"/>
      <c r="M223" s="33"/>
      <c r="N223" s="34"/>
      <c r="O223" s="34"/>
      <c r="P223" s="33"/>
      <c r="Q223" s="34"/>
    </row>
    <row r="224" spans="1:17" x14ac:dyDescent="0.2">
      <c r="A224" s="31" t="s">
        <v>627</v>
      </c>
      <c r="B224" s="28" t="s">
        <v>157</v>
      </c>
      <c r="C224" s="29"/>
      <c r="D224" s="30"/>
      <c r="E224" s="31">
        <v>3</v>
      </c>
      <c r="F224" s="29" t="s">
        <v>631</v>
      </c>
      <c r="G224" s="53" t="s">
        <v>589</v>
      </c>
      <c r="H224" s="31" t="str">
        <f>IFERROR(INDEX('الإعدادات واللجنة'!$C$24:$C$32,MATCH(LEFT(A224,3),'الإعدادات واللجنة'!$A$24:$A$32,0)),"")</f>
        <v>د. عمر بن محمد موسى</v>
      </c>
      <c r="I224" s="33"/>
      <c r="J224" s="33"/>
      <c r="K224" s="31" t="str">
        <f t="shared" si="3"/>
        <v/>
      </c>
      <c r="L224" s="34"/>
      <c r="M224" s="33"/>
      <c r="N224" s="34"/>
      <c r="O224" s="34"/>
      <c r="P224" s="33"/>
      <c r="Q224" s="34"/>
    </row>
    <row r="225" spans="1:17" ht="26" x14ac:dyDescent="0.2">
      <c r="A225" s="48" t="s">
        <v>632</v>
      </c>
      <c r="B225" s="49" t="s">
        <v>157</v>
      </c>
      <c r="C225" s="50" t="s">
        <v>633</v>
      </c>
      <c r="D225" s="51"/>
      <c r="E225" s="41">
        <v>1</v>
      </c>
      <c r="F225" s="50" t="s">
        <v>634</v>
      </c>
      <c r="G225" s="52" t="s">
        <v>589</v>
      </c>
      <c r="H225" s="41" t="str">
        <f>IFERROR(INDEX('الإعدادات واللجنة'!$C$24:$C$32,MATCH(LEFT(A225,3),'الإعدادات واللجنة'!$A$24:$A$32,0)),"")</f>
        <v>د. عمر بن محمد موسى</v>
      </c>
      <c r="I225" s="42"/>
      <c r="J225" s="42"/>
      <c r="K225" s="41" t="str">
        <f t="shared" si="3"/>
        <v/>
      </c>
      <c r="L225" s="43"/>
      <c r="M225" s="42"/>
      <c r="N225" s="43"/>
      <c r="O225" s="43"/>
      <c r="P225" s="42"/>
      <c r="Q225" s="43"/>
    </row>
    <row r="226" spans="1:17" x14ac:dyDescent="0.2">
      <c r="A226" s="31" t="s">
        <v>632</v>
      </c>
      <c r="B226" s="28" t="s">
        <v>157</v>
      </c>
      <c r="C226" s="29"/>
      <c r="D226" s="30"/>
      <c r="E226" s="31">
        <v>2</v>
      </c>
      <c r="F226" s="29" t="s">
        <v>635</v>
      </c>
      <c r="G226" s="53" t="s">
        <v>589</v>
      </c>
      <c r="H226" s="31" t="str">
        <f>IFERROR(INDEX('الإعدادات واللجنة'!$C$24:$C$32,MATCH(LEFT(A226,3),'الإعدادات واللجنة'!$A$24:$A$32,0)),"")</f>
        <v>د. عمر بن محمد موسى</v>
      </c>
      <c r="I226" s="33"/>
      <c r="J226" s="33"/>
      <c r="K226" s="31" t="str">
        <f t="shared" si="3"/>
        <v/>
      </c>
      <c r="L226" s="34"/>
      <c r="M226" s="33"/>
      <c r="N226" s="34"/>
      <c r="O226" s="34"/>
      <c r="P226" s="33"/>
      <c r="Q226" s="34"/>
    </row>
    <row r="227" spans="1:17" x14ac:dyDescent="0.2">
      <c r="A227" s="31" t="s">
        <v>632</v>
      </c>
      <c r="B227" s="28" t="s">
        <v>157</v>
      </c>
      <c r="C227" s="29"/>
      <c r="D227" s="30"/>
      <c r="E227" s="31">
        <v>3</v>
      </c>
      <c r="F227" s="29" t="s">
        <v>636</v>
      </c>
      <c r="G227" s="53" t="s">
        <v>589</v>
      </c>
      <c r="H227" s="31" t="str">
        <f>IFERROR(INDEX('الإعدادات واللجنة'!$C$24:$C$32,MATCH(LEFT(A227,3),'الإعدادات واللجنة'!$A$24:$A$32,0)),"")</f>
        <v>د. عمر بن محمد موسى</v>
      </c>
      <c r="I227" s="33"/>
      <c r="J227" s="33"/>
      <c r="K227" s="31" t="str">
        <f t="shared" si="3"/>
        <v/>
      </c>
      <c r="L227" s="34"/>
      <c r="M227" s="33"/>
      <c r="N227" s="34"/>
      <c r="O227" s="34"/>
      <c r="P227" s="33"/>
      <c r="Q227" s="34"/>
    </row>
    <row r="228" spans="1:17" ht="26" x14ac:dyDescent="0.2">
      <c r="A228" s="35" t="s">
        <v>637</v>
      </c>
      <c r="B228" s="36" t="s">
        <v>157</v>
      </c>
      <c r="C228" s="37" t="s">
        <v>638</v>
      </c>
      <c r="D228" s="38" t="s">
        <v>293</v>
      </c>
      <c r="E228" s="39">
        <v>1</v>
      </c>
      <c r="F228" s="37" t="s">
        <v>639</v>
      </c>
      <c r="G228" s="52" t="s">
        <v>589</v>
      </c>
      <c r="H228" s="41" t="str">
        <f>IFERROR(INDEX('الإعدادات واللجنة'!$C$24:$C$32,MATCH(LEFT(A228,3),'الإعدادات واللجنة'!$A$24:$A$32,0)),"")</f>
        <v>د. عمر بن محمد موسى</v>
      </c>
      <c r="I228" s="42"/>
      <c r="J228" s="42"/>
      <c r="K228" s="41" t="str">
        <f t="shared" si="3"/>
        <v/>
      </c>
      <c r="L228" s="43"/>
      <c r="M228" s="42"/>
      <c r="N228" s="43"/>
      <c r="O228" s="43"/>
      <c r="P228" s="42"/>
      <c r="Q228" s="43"/>
    </row>
    <row r="229" spans="1:17" x14ac:dyDescent="0.2">
      <c r="A229" s="44" t="s">
        <v>637</v>
      </c>
      <c r="B229" s="45" t="s">
        <v>157</v>
      </c>
      <c r="C229" s="46"/>
      <c r="D229" s="47" t="s">
        <v>293</v>
      </c>
      <c r="E229" s="44">
        <v>2</v>
      </c>
      <c r="F229" s="46" t="s">
        <v>640</v>
      </c>
      <c r="G229" s="53" t="s">
        <v>589</v>
      </c>
      <c r="H229" s="31" t="str">
        <f>IFERROR(INDEX('الإعدادات واللجنة'!$C$24:$C$32,MATCH(LEFT(A229,3),'الإعدادات واللجنة'!$A$24:$A$32,0)),"")</f>
        <v>د. عمر بن محمد موسى</v>
      </c>
      <c r="I229" s="33"/>
      <c r="J229" s="33"/>
      <c r="K229" s="31" t="str">
        <f t="shared" si="3"/>
        <v/>
      </c>
      <c r="L229" s="34"/>
      <c r="M229" s="33"/>
      <c r="N229" s="34"/>
      <c r="O229" s="34"/>
      <c r="P229" s="33"/>
      <c r="Q229" s="34"/>
    </row>
    <row r="230" spans="1:17" x14ac:dyDescent="0.2">
      <c r="A230" s="44" t="s">
        <v>637</v>
      </c>
      <c r="B230" s="45" t="s">
        <v>157</v>
      </c>
      <c r="C230" s="46"/>
      <c r="D230" s="47" t="s">
        <v>293</v>
      </c>
      <c r="E230" s="44">
        <v>3</v>
      </c>
      <c r="F230" s="46" t="s">
        <v>641</v>
      </c>
      <c r="G230" s="53" t="s">
        <v>589</v>
      </c>
      <c r="H230" s="31" t="str">
        <f>IFERROR(INDEX('الإعدادات واللجنة'!$C$24:$C$32,MATCH(LEFT(A230,3),'الإعدادات واللجنة'!$A$24:$A$32,0)),"")</f>
        <v>د. عمر بن محمد موسى</v>
      </c>
      <c r="I230" s="33"/>
      <c r="J230" s="33"/>
      <c r="K230" s="31" t="str">
        <f t="shared" si="3"/>
        <v/>
      </c>
      <c r="L230" s="34"/>
      <c r="M230" s="33"/>
      <c r="N230" s="34"/>
      <c r="O230" s="34"/>
      <c r="P230" s="33"/>
      <c r="Q230" s="34"/>
    </row>
  </sheetData>
  <autoFilter ref="A4:Q230" xr:uid="{00000000-0009-0000-0000-000007000000}"/>
  <mergeCells count="2">
    <mergeCell ref="A1:H1"/>
    <mergeCell ref="A2:Q2"/>
  </mergeCells>
  <conditionalFormatting sqref="I5:I230">
    <cfRule type="cellIs" dxfId="5" priority="2" operator="equal">
      <formula>"متوفر ومكتمل"</formula>
    </cfRule>
    <cfRule type="cellIs" dxfId="4" priority="3" operator="equal">
      <formula>"متوفر ويحتاج تحسين"</formula>
    </cfRule>
    <cfRule type="cellIs" dxfId="3" priority="4" operator="equal">
      <formula>"غير متوفر"</formula>
    </cfRule>
  </conditionalFormatting>
  <conditionalFormatting sqref="K5:K230">
    <cfRule type="cellIs" dxfId="2" priority="5" operator="equal">
      <formula>"عالية"</formula>
    </cfRule>
  </conditionalFormatting>
  <conditionalFormatting sqref="P5:P230">
    <cfRule type="cellIs" dxfId="1" priority="6" operator="equal">
      <formula>"تمت"</formula>
    </cfRule>
    <cfRule type="cellIs" dxfId="0" priority="7" operator="equal">
      <formula>"تحتاج تعديل"</formula>
    </cfRule>
  </conditionalFormatting>
  <dataValidations count="4">
    <dataValidation type="list" allowBlank="1" sqref="I5:I230" xr:uid="{00000000-0002-0000-0700-000000000000}">
      <formula1>"متوفر ومكتمل,متوفر ويحتاج تحسين,غير متوفر"</formula1>
      <formula2>0</formula2>
    </dataValidation>
    <dataValidation type="list" allowBlank="1" sqref="J5:J230" xr:uid="{00000000-0002-0000-0700-000001000000}">
      <formula1>"غير معتمد,غير محدّث,لا يغطي المحك كاملاً,لا يثبت التطبيق الفعلي,لا توجد نتائج وتحسين"</formula1>
      <formula2>0</formula2>
    </dataValidation>
    <dataValidation type="list" allowBlank="1" sqref="M5:M230" xr:uid="{00000000-0002-0000-0700-000002000000}">
      <formula1>"الأسبوع 1,الأسبوع 2,الأسبوع 3,الأسبوع 4,الأسبوع 5,الأسبوع 6,الأسبوع 7,الأسبوع 8,بعد الخطة"</formula1>
      <formula2>0</formula2>
    </dataValidation>
    <dataValidation type="list" allowBlank="1" sqref="P5:P230" xr:uid="{00000000-0002-0000-0700-000003000000}">
      <formula1>"تمت,تحتاج تعديل"</formula1>
      <formula2>0</formula2>
    </dataValidation>
  </dataValidations>
  <pageMargins left="0.75" right="0.75" top="1" bottom="1" header="0.511811023622047" footer="0.511811023622047"/>
  <pageSetup paperSize="9" orientation="portrait" horizontalDpi="300" verticalDpi="300"/>
  <headerFooter>
    <oddFooter xml:space="preserve">&amp;L_x000D_&amp;1#&amp;"Aptos"&amp;10&amp;K000000 Restricted - مقيد </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خطة العمل</vt:lpstr>
      <vt:lpstr>الإعدادات واللجنة</vt:lpstr>
      <vt:lpstr>لوحة المتابعة</vt:lpstr>
      <vt:lpstr>متطلبات التقدم للاعتماد</vt:lpstr>
      <vt:lpstr>مراجعة الرسالة (مقترح)</vt:lpstr>
      <vt:lpstr>فحص-حاسب-بكالوريوس</vt:lpstr>
      <vt:lpstr>فحص-بيانات-بكالوريوس</vt:lpstr>
      <vt:lpstr>فحص-بيانات-ماجستير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نهلة سعد عويض القثامي</cp:lastModifiedBy>
  <cp:revision>0</cp:revision>
  <dcterms:created xsi:type="dcterms:W3CDTF">2026-10-20T12:22:28Z</dcterms:created>
  <dcterms:modified xsi:type="dcterms:W3CDTF">2026-10-20T12:33:40Z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437834d-a884-421a-b14d-4e9522201396_Enabled">
    <vt:lpwstr>true</vt:lpwstr>
  </property>
  <property fmtid="{D5CDD505-2E9C-101B-9397-08002B2CF9AE}" pid="3" name="MSIP_Label_b437834d-a884-421a-b14d-4e9522201396_SetDate">
    <vt:lpwstr>2026-10-20T12:33:38Z</vt:lpwstr>
  </property>
  <property fmtid="{D5CDD505-2E9C-101B-9397-08002B2CF9AE}" pid="4" name="MSIP_Label_b437834d-a884-421a-b14d-4e9522201396_Method">
    <vt:lpwstr>Standard</vt:lpwstr>
  </property>
  <property fmtid="{D5CDD505-2E9C-101B-9397-08002B2CF9AE}" pid="5" name="MSIP_Label_b437834d-a884-421a-b14d-4e9522201396_Name">
    <vt:lpwstr>Data classification -not allowed</vt:lpwstr>
  </property>
  <property fmtid="{D5CDD505-2E9C-101B-9397-08002B2CF9AE}" pid="6" name="MSIP_Label_b437834d-a884-421a-b14d-4e9522201396_SiteId">
    <vt:lpwstr>1f00763a-1f87-473b-bba1-b6c746af03e4</vt:lpwstr>
  </property>
  <property fmtid="{D5CDD505-2E9C-101B-9397-08002B2CF9AE}" pid="7" name="MSIP_Label_b437834d-a884-421a-b14d-4e9522201396_ActionId">
    <vt:lpwstr>a0b2745a-912c-4dc5-a971-236fedfe1b70</vt:lpwstr>
  </property>
  <property fmtid="{D5CDD505-2E9C-101B-9397-08002B2CF9AE}" pid="8" name="MSIP_Label_b437834d-a884-421a-b14d-4e9522201396_ContentBits">
    <vt:lpwstr>2</vt:lpwstr>
  </property>
  <property fmtid="{D5CDD505-2E9C-101B-9397-08002B2CF9AE}" pid="9" name="MSIP_Label_b437834d-a884-421a-b14d-4e9522201396_Tag">
    <vt:lpwstr>50, 3, 0, 1</vt:lpwstr>
  </property>
</Properties>
</file>