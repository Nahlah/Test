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خطة العمل" sheetId="1" state="visible" r:id="rId3"/>
    <sheet name="الإعدادات واللجنة" sheetId="2" state="visible" r:id="rId4"/>
    <sheet name="لوحة المتابعة" sheetId="3" state="visible" r:id="rId5"/>
    <sheet name="متطلبات التقدم للاعتماد" sheetId="4" state="visible" r:id="rId6"/>
    <sheet name="مراجعة الرسالة (مقترح)" sheetId="5" state="visible" r:id="rId7"/>
    <sheet name="فحص-حاسب-بكالوريوس" sheetId="6" state="visible" r:id="rId8"/>
    <sheet name="فحص-بيانات-بكالوريوس" sheetId="7" state="visible" r:id="rId9"/>
    <sheet name="فحص-بيانات-ماجستير" sheetId="8" state="visible" r:id="rId10"/>
  </sheets>
  <definedNames>
    <definedName function="false" hidden="true" localSheetId="6" name="_xlnm._FilterDatabase" vbProcedure="false">'فحص-بيانات-بكالوريوس'!$A$4:$Q$208</definedName>
    <definedName function="false" hidden="true" localSheetId="7" name="_xlnm._FilterDatabase" vbProcedure="false">'فحص-بيانات-ماجستير'!$A$4:$Q$230</definedName>
    <definedName function="false" hidden="true" localSheetId="5" name="_xlnm._FilterDatabase" vbProcedure="false">'فحص-حاسب-بكالوريوس'!$A$4:$Q$208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<sst xmlns="http://schemas.openxmlformats.org/spreadsheetml/2006/main" count="3335" uniqueCount="645">
  <si>
    <t xml:space="preserve">خطة المرحلة الأولى للاعتماد البرامجي: جمع الأدلة وتحديد الفجوات</t>
  </si>
  <si>
    <t xml:space="preserve">البرامج: بكالوريوس علوم الحاسب • بكالوريوس علوم البيانات • ماجستير علوم البيانات   |   المدة: 8 أسابيع   |   يبدأ الأسبوع 1 يوم الأحد 25 أكتوبر 2026</t>
  </si>
  <si>
    <t xml:space="preserve">الأسبوع</t>
  </si>
  <si>
    <t xml:space="preserve">المسار</t>
  </si>
  <si>
    <t xml:space="preserve">المهمة</t>
  </si>
  <si>
    <t xml:space="preserve">المسؤول</t>
  </si>
  <si>
    <t xml:space="preserve">المخرج</t>
  </si>
  <si>
    <t xml:space="preserve">الحالة</t>
  </si>
  <si>
    <t xml:space="preserve">ملاحظات</t>
  </si>
  <si>
    <t xml:space="preserve">الأسبوع 1</t>
  </si>
  <si>
    <t xml:space="preserve">الإدارة</t>
  </si>
  <si>
    <t xml:space="preserve">اجتماع مع إدارة الكلية: اعتماد تشكيل اللجنة وخطتها، وتكليف الأقسام بالتعاون</t>
  </si>
  <si>
    <t xml:space="preserve">قرار/خطاب تكليف</t>
  </si>
  <si>
    <t xml:space="preserve">لم تبدأ</t>
  </si>
  <si>
    <t xml:space="preserve">الأعضاء</t>
  </si>
  <si>
    <t xml:space="preserve">اجتماع الانطلاق مع اللجنة (الاثنين): شرح المعايير وأوراق الفحص وطريقة التقييم، وجلسة توحيد الحكم بتقييم 3 أدلة معاً</t>
  </si>
  <si>
    <t xml:space="preserve">محضر الاجتماع</t>
  </si>
  <si>
    <t xml:space="preserve">عرض المقترح الخاص بمراجعة الرسالة والأهداف، وتحديد طريقة التنفيذ والمسؤول</t>
  </si>
  <si>
    <t xml:space="preserve">قرار اللجنة</t>
  </si>
  <si>
    <t xml:space="preserve">المتابعة والتنظيم</t>
  </si>
  <si>
    <t xml:space="preserve">وضع نظام ترميز الأدلة وتسميتها وهيكل مجلدات المستودع</t>
  </si>
  <si>
    <t xml:space="preserve">دليل الترميز</t>
  </si>
  <si>
    <t xml:space="preserve">إنشاء المستودع والملف المشترك وصلاحيات الأعضاء</t>
  </si>
  <si>
    <t xml:space="preserve">مستودع وملف مشترك جاهزان</t>
  </si>
  <si>
    <t xml:space="preserve">الأسبوع 1 – 2</t>
  </si>
  <si>
    <t xml:space="preserve">متطلبات الجودة</t>
  </si>
  <si>
    <t xml:space="preserve">اعتماد الأدلة المقترحة لمعيار البحث والمشاريع (6) في الماجستير</t>
  </si>
  <si>
    <t xml:space="preserve">أدلة المعيار 6 معتمدة</t>
  </si>
  <si>
    <t xml:space="preserve">الأسبوع 1 – 7</t>
  </si>
  <si>
    <t xml:space="preserve">متابعة متطلبات التقدم مع لجنة الجودة (انظر ورقة متطلبات التقدم للاعتماد)</t>
  </si>
  <si>
    <t xml:space="preserve">حالة المتطلبات في الأسبوعين 4 و7</t>
  </si>
  <si>
    <t xml:space="preserve">الأسبوع 2 – 3</t>
  </si>
  <si>
    <t xml:space="preserve">جمع الأدلة وتعبئة "حالة الدليل" و"سبب النقص" ورفع الأدلة بالترميز المعتمد</t>
  </si>
  <si>
    <t xml:space="preserve">كل عضو في معياره</t>
  </si>
  <si>
    <t xml:space="preserve">أوراق الفحص</t>
  </si>
  <si>
    <t xml:space="preserve">مراجعة الرسالة والأهداف حسب قرار اللجنة</t>
  </si>
  <si>
    <t xml:space="preserve">حسب قرار اللجنة</t>
  </si>
  <si>
    <t xml:space="preserve">أدلة المحك 1-1-1</t>
  </si>
  <si>
    <t xml:space="preserve">الأسبوع 2 – 6</t>
  </si>
  <si>
    <t xml:space="preserve">مراجعة أسبوعية لما رُفع من أدلة، ورسالة الخميس للجنة</t>
  </si>
  <si>
    <t xml:space="preserve">عمود المراجعة + رسالة أسبوعية</t>
  </si>
  <si>
    <t xml:space="preserve">الأسبوع 4</t>
  </si>
  <si>
    <t xml:space="preserve">اجتماع منتصف الخطة: مراجعة لوحة المتابعة والعوائق، وعرض د. عبير لحالة متطلبات التقدم</t>
  </si>
  <si>
    <t xml:space="preserve">محضر</t>
  </si>
  <si>
    <t xml:space="preserve">الأسبوع 4 – 5</t>
  </si>
  <si>
    <t xml:space="preserve">استكمال جمع الأدلة وتقييم جودتها</t>
  </si>
  <si>
    <t xml:space="preserve">الأسبوع 6</t>
  </si>
  <si>
    <t xml:space="preserve">إغلاق جمع الأدلة</t>
  </si>
  <si>
    <t xml:space="preserve">كل الأدلة مُقيّمة</t>
  </si>
  <si>
    <t xml:space="preserve">مراجعة كفاية أدلة المحكات الأساسية (14 للبكالوريوس و16 للماجستير)</t>
  </si>
  <si>
    <t xml:space="preserve">ملاحظات الرئيسة</t>
  </si>
  <si>
    <t xml:space="preserve">الأسبوع 7</t>
  </si>
  <si>
    <t xml:space="preserve">كتابة الإجراء المطلوب والموعد لكل دليل ناقص</t>
  </si>
  <si>
    <t xml:space="preserve">خطة استكمال الأدلة</t>
  </si>
  <si>
    <t xml:space="preserve">اجتماع مناقشة الفجوات وتمييز المشتركة بين البرامج، وعرض د. عبير لحالة متطلبات التقدم</t>
  </si>
  <si>
    <t xml:space="preserve">فهرس الأدلة النهائي لكل برنامج</t>
  </si>
  <si>
    <t xml:space="preserve">3 فهارس</t>
  </si>
  <si>
    <t xml:space="preserve">الأسبوع 8</t>
  </si>
  <si>
    <t xml:space="preserve">إعداد تقرير الجاهزية لكل برنامج من لوحة المتابعة</t>
  </si>
  <si>
    <t xml:space="preserve">3 تقارير</t>
  </si>
  <si>
    <t xml:space="preserve">اجتماع مع إدارة الكلية: عرض الجاهزية والفجوات وخطة المعالجة والقرارات المطلوبة</t>
  </si>
  <si>
    <t xml:space="preserve">قرار اعتماد خطة المعالجة</t>
  </si>
  <si>
    <t xml:space="preserve">المتابعة (بدون اجتماع أسبوعي)</t>
  </si>
  <si>
    <t xml:space="preserve">• ملف مشترك (OneDrive / Google Drive): يعبّئ كل عضو ورقته مباشرة، ولوحة المتابعة تتحدث تلقائياً.</t>
  </si>
  <si>
    <t xml:space="preserve">• رسالة الخميس: ترسل أمينة اللجنة 3 أسطر في قروب اللجنة: نسبة الإنجاز لكل برنامج، ومن تأخر، وما يحتاج قراراً.</t>
  </si>
  <si>
    <t xml:space="preserve">• 3 اجتماعات للجنة عند المحطات: الانطلاق (الأسبوع 1)، ومنتصف الخطة (الأسبوع 4)، ومناقشة الفجوات (الأسبوع 7).</t>
  </si>
  <si>
    <t xml:space="preserve">طريقة تقييم الدليل</t>
  </si>
  <si>
    <t xml:space="preserve">• حالة الدليل: متوفر ومكتمل • متوفر ويحتاج تحسين • غير متوفر.</t>
  </si>
  <si>
    <t xml:space="preserve">• سبب النقص: غير معتمد • غير محدّث • لا يغطي المحك كاملاً • لا يثبت التطبيق الفعلي • لا توجد نتائج وتحسين.</t>
  </si>
  <si>
    <t xml:space="preserve">• الدليل "المكتمل": معتمد، ومحدّث، ويغطي المحك كاملاً، ويثبت التطبيق الفعلي، وفيه نتائج وتحسين.</t>
  </si>
  <si>
    <t xml:space="preserve">• الأولوية تلقائية: عالية إذا كان الدليل غير متوفر أو المحك أساسياً، ومتوسطة لبقية الناقص.</t>
  </si>
  <si>
    <t xml:space="preserve">• معالجة الفجوة تُكتب في سطر الدليل نفسه (الإجراء والموعد)، ولعرض الفجوات يُستخدم فلتر "حالة الدليل".</t>
  </si>
  <si>
    <t xml:space="preserve">• المراجعة: أمينة اللجنة تراجع كل الأدلة (الوجود، الرابط، الاعتماد والتاريخ، الترميز، المطابقة)، والرئيسة تراجع كفاية أدلة المحكات الأساسية.</t>
  </si>
  <si>
    <t xml:space="preserve">• الفترة الزمنية للأدلة: التقارير السنوية لآخر سنتين، ومؤشرات الأداء لآخر 3 سنوات.</t>
  </si>
  <si>
    <t xml:space="preserve">مؤجل بقرار اللجنة</t>
  </si>
  <si>
    <t xml:space="preserve">• الميزانية التقديرية.</t>
  </si>
  <si>
    <t xml:space="preserve">• نشر ثقافة الاعتماد: لقاء قصير قبل زيارة المراجعين.</t>
  </si>
  <si>
    <t xml:space="preserve">• اللجنة الاستشارية للاعتماد (خبراء يقدمون المشورة في عملية الاعتماد). أما اللجنة الاستشارية للبرنامج فهي دليل عادي في المحك 1-1-6 يُفحص في أوراق الفحص.</t>
  </si>
  <si>
    <t xml:space="preserve">ملاحظة عن الماجستير</t>
  </si>
  <si>
    <t xml:space="preserve">• يُقيَّم وفق معايير الدراسات العليا 2022 (56 محكاً منها 16 أساسياً، ومعيار سادس للبحث والمشاريع). أدلة المحكات المشتركة مأخوذة من دليل البكالوريوس، وأدلة المعيار 6 مقترحة ومعلّمة باللون الأحمر وتعتمدها رئيسة الجودة. ترقيم المحكات موحّد بالترتيب المعتاد (مثل 1-1-2).</t>
  </si>
  <si>
    <t xml:space="preserve">الإعدادات وتشكيل لجنة الاعتماد البرامجي</t>
  </si>
  <si>
    <t xml:space="preserve">هذه الصفحة هي المكان الوحيد لتعديل الأسماء: أي تعديل في الخلايا الصفراء يتحدث تلقائياً في الخطة وأوراق الفحص ولوحة المتابعة.</t>
  </si>
  <si>
    <t xml:space="preserve">البرامج</t>
  </si>
  <si>
    <t xml:space="preserve">البرنامج 1</t>
  </si>
  <si>
    <t xml:space="preserve">بكالوريوس علوم الحاسب</t>
  </si>
  <si>
    <t xml:space="preserve">البرنامج 2</t>
  </si>
  <si>
    <t xml:space="preserve">بكالوريوس علوم البيانات</t>
  </si>
  <si>
    <t xml:space="preserve">البرنامج 3</t>
  </si>
  <si>
    <t xml:space="preserve">ماجستير علوم البيانات</t>
  </si>
  <si>
    <t xml:space="preserve">يبدأ الأسبوع 1 يوم الأحد 25 أكتوبر 2026 – مدة الخطة 8 أسابيع.</t>
  </si>
  <si>
    <t xml:space="preserve">أعضاء اللجنة</t>
  </si>
  <si>
    <t xml:space="preserve">م</t>
  </si>
  <si>
    <t xml:space="preserve">الاسم</t>
  </si>
  <si>
    <t xml:space="preserve">الدور</t>
  </si>
  <si>
    <t xml:space="preserve">المسؤولية</t>
  </si>
  <si>
    <t xml:space="preserve">عدد الأدلة المسندة</t>
  </si>
  <si>
    <t xml:space="preserve">د. نهلة بنت سعد القثامي</t>
  </si>
  <si>
    <t xml:space="preserve">رئيسة اللجنة</t>
  </si>
  <si>
    <t xml:space="preserve">القيادة والمتابعة، واعتماد المخرجات، ومراجعة كفاية أدلة المعايير الأساسية (14 للبكالوريوس و16 للماجستير)، والتواصل مع إدارة الكلية</t>
  </si>
  <si>
    <t xml:space="preserve">د. عبير بنت عبدالله راجحي</t>
  </si>
  <si>
    <t xml:space="preserve">رئيسة الجودة</t>
  </si>
  <si>
    <t xml:space="preserve">متطلبات التقدم مع لجنة الجودة (التوصيفات، والتقارير السنوية، والإطار الوطني، ونواتج التعلم، ومؤشرات الأداء) وعرض حالتها في الأسبوعين 4 و7؛ واعتماد الأدلة المقترحة لمعيار البحث في الماجستير</t>
  </si>
  <si>
    <t xml:space="preserve">أ. فاطمة بنت سلمان الخزعل</t>
  </si>
  <si>
    <t xml:space="preserve">أمينة اللجنة والمراجِعة</t>
  </si>
  <si>
    <t xml:space="preserve">مراجعة جميع الأدلة أسبوعياً (الوجود، الرابط، الاعتماد والتاريخ، الترميز، المطابقة للمحك)، ولوحة المتابعة، ورسالة الخميس، والمحاضر</t>
  </si>
  <si>
    <t xml:space="preserve">د. سلطان بن سعيد الشمراني</t>
  </si>
  <si>
    <t xml:space="preserve">عضو</t>
  </si>
  <si>
    <t xml:space="preserve">المعيار 1: إدارة البرنامج (1-1) للبرامج الثلاثة</t>
  </si>
  <si>
    <t xml:space="preserve">د. احمد بن عوض البشري</t>
  </si>
  <si>
    <t xml:space="preserve">المعيار 2: نواتج التعلم والمنهج الدراسي (2-1، 2-2) للبرامج الثلاثة</t>
  </si>
  <si>
    <t xml:space="preserve">د. يثرب بنت سعد القحطاني</t>
  </si>
  <si>
    <t xml:space="preserve">المعيار 2: جودة التدريس وتقييم الطالب (2-3) للبرامج الثلاثة</t>
  </si>
  <si>
    <t xml:space="preserve">د. عبدالله بن محمد البركاتي</t>
  </si>
  <si>
    <t xml:space="preserve">عضو + مسؤول الفهرسة</t>
  </si>
  <si>
    <t xml:space="preserve">المعيار 3: الطالب للبرامج الثلاثة، ونظام ترميز الأدلة وفهرستها وفهرس الأدلة النهائي</t>
  </si>
  <si>
    <t xml:space="preserve">د. عمر بن محمد موسى</t>
  </si>
  <si>
    <t xml:space="preserve">المعيار 4: هيئة التدريس للبرامج الثلاثة، والمعيار 6: البحث والمشاريع للماجستير</t>
  </si>
  <si>
    <t xml:space="preserve">د. حسن بن سعد القحطاني</t>
  </si>
  <si>
    <t xml:space="preserve">المعيار 5: مصادر التعلم والمرافق، ومحور ضمان الجودة (1-2) للبرامج الثلاثة</t>
  </si>
  <si>
    <t xml:space="preserve">توزيع المحاور (المسؤول عن المحور للبرامج الثلاثة) – يمكن تغيير المسؤول من القائمة المنسدلة</t>
  </si>
  <si>
    <t xml:space="preserve">الرمز</t>
  </si>
  <si>
    <t xml:space="preserve">المحور</t>
  </si>
  <si>
    <t xml:space="preserve">عدد المحكات (البرامج الثلاثة)</t>
  </si>
  <si>
    <t xml:space="preserve">عدد الأدلة (البرامج الثلاثة)</t>
  </si>
  <si>
    <t xml:space="preserve">1-1</t>
  </si>
  <si>
    <t xml:space="preserve">إدارة البرنامج</t>
  </si>
  <si>
    <t xml:space="preserve">1-2</t>
  </si>
  <si>
    <t xml:space="preserve">ضمان جودة البرنامج</t>
  </si>
  <si>
    <t xml:space="preserve">2-1</t>
  </si>
  <si>
    <t xml:space="preserve">نواتج التعلم</t>
  </si>
  <si>
    <t xml:space="preserve">2-2</t>
  </si>
  <si>
    <t xml:space="preserve">المنهج الدراسي</t>
  </si>
  <si>
    <t xml:space="preserve">2-3</t>
  </si>
  <si>
    <t xml:space="preserve">جودة التدريس وتقييم الطالب</t>
  </si>
  <si>
    <t xml:space="preserve">3-0</t>
  </si>
  <si>
    <t xml:space="preserve">الطالب</t>
  </si>
  <si>
    <t xml:space="preserve">4-0</t>
  </si>
  <si>
    <t xml:space="preserve">هيئة التدريس</t>
  </si>
  <si>
    <t xml:space="preserve">5-0</t>
  </si>
  <si>
    <t xml:space="preserve">مصادر التعلم والمرافق والتجهيزات</t>
  </si>
  <si>
    <t xml:space="preserve">6-0</t>
  </si>
  <si>
    <t xml:space="preserve">البحث والمشاريع (ماجستير فقط)</t>
  </si>
  <si>
    <t xml:space="preserve">لوحة المتابعة (تتحدث تلقائياً)</t>
  </si>
  <si>
    <t xml:space="preserve">نسبة الاكتمال = الأدلة المتوفرة والمكتملة ÷ إجمالي الأدلة. تُستخدم هذه الصفحة لرسالة الخميس وتقرير الأسبوع 8.</t>
  </si>
  <si>
    <t xml:space="preserve">المعيار</t>
  </si>
  <si>
    <t xml:space="preserve">عدد الأدلة</t>
  </si>
  <si>
    <t xml:space="preserve">مكتمل</t>
  </si>
  <si>
    <t xml:space="preserve">يحتاج تحسين</t>
  </si>
  <si>
    <t xml:space="preserve">غير متوفر</t>
  </si>
  <si>
    <t xml:space="preserve">لم يُقيَّم</t>
  </si>
  <si>
    <t xml:space="preserve">نسبة الاكتمال</t>
  </si>
  <si>
    <t xml:space="preserve">أولوية عالية</t>
  </si>
  <si>
    <t xml:space="preserve">راجعتها أ. فاطمة</t>
  </si>
  <si>
    <t xml:space="preserve">1. إدارة البرنامج وضمان جودته</t>
  </si>
  <si>
    <t xml:space="preserve">2. التعليم والتعلم</t>
  </si>
  <si>
    <t xml:space="preserve">3. الطالب</t>
  </si>
  <si>
    <t xml:space="preserve">4. هيئة التدريس</t>
  </si>
  <si>
    <t xml:space="preserve">5. مصادر التعلم والمرافق والتجهيزات</t>
  </si>
  <si>
    <t xml:space="preserve">المحكات الأساسية ★</t>
  </si>
  <si>
    <t xml:space="preserve">الإجمالي</t>
  </si>
  <si>
    <t xml:space="preserve">6. البحث والمشاريع</t>
  </si>
  <si>
    <t xml:space="preserve">إنجاز الأعضاء (للبرامج الثلاثة)</t>
  </si>
  <si>
    <t xml:space="preserve">الأدلة المسندة</t>
  </si>
  <si>
    <t xml:space="preserve">تم تقييمها</t>
  </si>
  <si>
    <t xml:space="preserve">نسبة الإنجاز</t>
  </si>
  <si>
    <t xml:space="preserve">تحتاج تعديل</t>
  </si>
  <si>
    <t xml:space="preserve">أكثر أسباب النقص</t>
  </si>
  <si>
    <t xml:space="preserve">سبب النقص</t>
  </si>
  <si>
    <t xml:space="preserve">غير معتمد</t>
  </si>
  <si>
    <t xml:space="preserve">غير محدّث</t>
  </si>
  <si>
    <t xml:space="preserve">لا يغطي المحك كاملاً</t>
  </si>
  <si>
    <t xml:space="preserve">لا يثبت التطبيق الفعلي</t>
  </si>
  <si>
    <t xml:space="preserve">لا توجد نتائج وتحسين</t>
  </si>
  <si>
    <t xml:space="preserve">متطلبات التقدم للاعتماد البرامجي وأين تُعالج في خطتنا</t>
  </si>
  <si>
    <t xml:space="preserve">مرجع للجنة: متطلبات التقدم كما في عرض المركز الوطني للتقويم والاعتماد الأكاديمي (النماذج المعتمدة إصدار 2024)، ومكان معالجة كل بند والمسؤول عنه.</t>
  </si>
  <si>
    <t xml:space="preserve">المتطلب</t>
  </si>
  <si>
    <t xml:space="preserve">المطلوب تحديداً</t>
  </si>
  <si>
    <t xml:space="preserve">أين يُعالج</t>
  </si>
  <si>
    <t xml:space="preserve">ملاحظة</t>
  </si>
  <si>
    <t xml:space="preserve">شرطا الأهلية</t>
  </si>
  <si>
    <t xml:space="preserve">الترخيص</t>
  </si>
  <si>
    <t xml:space="preserve">قرار إنشاء البرنامج أو قرار ترخيصه النهائي</t>
  </si>
  <si>
    <t xml:space="preserve">محقق – يُجلب القرار</t>
  </si>
  <si>
    <t xml:space="preserve">قرار الإنشاء أو الترخيص لكل برنامج من البرامج الثلاثة</t>
  </si>
  <si>
    <t xml:space="preserve">دفعة متخرجة</t>
  </si>
  <si>
    <t xml:space="preserve">تخرّج دفعة واحدة على الأقل من البرنامج</t>
  </si>
  <si>
    <t xml:space="preserve">محقق – يُجلب الدليل</t>
  </si>
  <si>
    <t xml:space="preserve">إحصاء الخريجين لكل برنامج مع سنة تخرج أول دفعة</t>
  </si>
  <si>
    <t xml:space="preserve">متطلبات التقدم</t>
  </si>
  <si>
    <t xml:space="preserve">الإطار الوطني للمؤهلات (TP-150)</t>
  </si>
  <si>
    <t xml:space="preserve">تقرير اتساق البرنامج مع الإطار الوطني</t>
  </si>
  <si>
    <t xml:space="preserve">لجنة الجودة</t>
  </si>
  <si>
    <t xml:space="preserve">تُعرض حالته في اجتماعي الأسبوعين 4 و7</t>
  </si>
  <si>
    <t xml:space="preserve">التوصيفات (TP-151، TP-153، TP-155)</t>
  </si>
  <si>
    <t xml:space="preserve">توصيف البرنامج وجميع المقررات والخبرة الميدانية (إن وُجدت) وفق نماذج المركز</t>
  </si>
  <si>
    <t xml:space="preserve">تُعرض حالتها في اجتماعي الأسبوعين 4 و7</t>
  </si>
  <si>
    <t xml:space="preserve">التقارير السنوية (TP-152، TP-154، TP-156)</t>
  </si>
  <si>
    <t xml:space="preserve">تقرير البرنامج لآخر سنتين وتقارير المقررات والخبرة الميدانية</t>
  </si>
  <si>
    <t xml:space="preserve">خطة تقييم نواتج التعلم وتقاريرها</t>
  </si>
  <si>
    <t xml:space="preserve">مؤشرات الأداء</t>
  </si>
  <si>
    <t xml:space="preserve">القياس والمقارنة المرجعية لآخر ثلاث سنوات</t>
  </si>
  <si>
    <t xml:space="preserve">الدراسة الذاتية (TP-102)</t>
  </si>
  <si>
    <t xml:space="preserve">مقاييس التقويم الذاتي والتقرير والأدلة الداعمة</t>
  </si>
  <si>
    <t xml:space="preserve">المرحلة التالية بعد الخطة</t>
  </si>
  <si>
    <t xml:space="preserve">—</t>
  </si>
  <si>
    <t xml:space="preserve">تُكتب بعد جمع الأدلة ومعالجة الفجوات</t>
  </si>
  <si>
    <t xml:space="preserve">تُستكمل معها</t>
  </si>
  <si>
    <t xml:space="preserve">أدلة البرنامج ولوائحه</t>
  </si>
  <si>
    <t xml:space="preserve">أدلة البرنامج وسياساته ولوائحه</t>
  </si>
  <si>
    <t xml:space="preserve">داخل المحكات في أوراق الفحص</t>
  </si>
  <si>
    <t xml:space="preserve">أعضاء الفحص</t>
  </si>
  <si>
    <t xml:space="preserve">مثل 1-1-5 و1-1-7 و1-1-8 و1-1-9 و2-2-1 و3-0-1 و3-0-2 و3-0-3</t>
  </si>
  <si>
    <t xml:space="preserve">نظام ضمان الجودة</t>
  </si>
  <si>
    <t xml:space="preserve">نظام جودة البرنامج المنسجم مع النظام المؤسسي</t>
  </si>
  <si>
    <t xml:space="preserve">المحك 1-2-1 في أوراق الفحص</t>
  </si>
  <si>
    <t xml:space="preserve">اللجنة الاستشارية للبرنامج</t>
  </si>
  <si>
    <t xml:space="preserve">قرار تشكيلها ومهامها ومحاضرها</t>
  </si>
  <si>
    <t xml:space="preserve">المحك 1-1-6 في أوراق الفحص</t>
  </si>
  <si>
    <t xml:space="preserve">الوضع المؤسسي</t>
  </si>
  <si>
    <t xml:space="preserve">المؤسسة معتمدة أو مؤهلة مؤسسياً</t>
  </si>
  <si>
    <t xml:space="preserve">الجامعة حاصلة على الاعتماد المؤسسي الكامل – يُجلب قرار الاعتماد مع تاريخ صلاحيته</t>
  </si>
  <si>
    <t xml:space="preserve">نموذج مقترح: مراجعة رسالة البرنامج وأهدافه (للنقاش في اللجنة)</t>
  </si>
  <si>
    <t xml:space="preserve">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</si>
  <si>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 xml:space="preserve">الهدف: الحصول على أدلة المحك 1-1-1 الأربعة لكل برنامج: مصفوفة الاتساق، وإعلان الرسالة على الموقع، والخطة التشغيلية، وتقرير استطلاع المستفيدين.</t>
  </si>
  <si>
    <t xml:space="preserve">① الأسئلة الثلاثة</t>
  </si>
  <si>
    <t xml:space="preserve">هل هي متسقة؟</t>
  </si>
  <si>
    <t xml:space="preserve">كل هدف من أهداف البرنامج مرتبط بهدف من أهداف الكلية والجامعة (مصفوفة الاتساق).</t>
  </si>
  <si>
    <t xml:space="preserve">هل هي واضحة ومعروفة؟</t>
  </si>
  <si>
    <t xml:space="preserve">استطلاع قصير لأعضاء هيئة التدريس والطلاب والخريجين وجهات التوظيف.</t>
  </si>
  <si>
    <t xml:space="preserve">هل هي مطبّقة؟</t>
  </si>
  <si>
    <t xml:space="preserve">الخطة التشغيلية ونواتج التعلم مبنية على هذه الأهداف.</t>
  </si>
  <si>
    <t xml:space="preserve">② الخطوات</t>
  </si>
  <si>
    <t xml:space="preserve">الخطوة</t>
  </si>
  <si>
    <t xml:space="preserve">جمع الوثائق: رسالة الجامعة والكلية وأهدافهما، ورسالة البرنامج الحالية، والتوصيف، والخطة التشغيلية</t>
  </si>
  <si>
    <t xml:space="preserve">ملف الوثائق</t>
  </si>
  <si>
    <t xml:space="preserve">الفحص بقائمة التحقق ③</t>
  </si>
  <si>
    <t xml:space="preserve">قائمة تحقق معبأة</t>
  </si>
  <si>
    <t xml:space="preserve">تعبئة مصفوفة الاتساق ④</t>
  </si>
  <si>
    <t xml:space="preserve">مصفوفة الاتساق</t>
  </si>
  <si>
    <t xml:space="preserve">الاستطلاع ⑤ (نموذج إلكتروني لمدة أسبوع)</t>
  </si>
  <si>
    <t xml:space="preserve">تقرير الاستطلاع</t>
  </si>
  <si>
    <t xml:space="preserve">القرار: إبقاء / تعديل طفيف / إعادة صياغة</t>
  </si>
  <si>
    <t xml:space="preserve">توصية اللجنة</t>
  </si>
  <si>
    <t xml:space="preserve">الاعتماد من المجلس (إن عُدّلت)</t>
  </si>
  <si>
    <t xml:space="preserve">محضر الاعتماد</t>
  </si>
  <si>
    <t xml:space="preserve">النشر: الموقع، دليل الطالب، التوصيف</t>
  </si>
  <si>
    <t xml:space="preserve">روابط النشر</t>
  </si>
  <si>
    <t xml:space="preserve">③ قائمة التحقق</t>
  </si>
  <si>
    <t xml:space="preserve">السؤال</t>
  </si>
  <si>
    <t xml:space="preserve">الرسالة مختصرة وواضحة ويسهل تذكرها</t>
  </si>
  <si>
    <t xml:space="preserve">الرسالة تبيّن ما يميز البرنامج</t>
  </si>
  <si>
    <t xml:space="preserve">الرسالة متسقة مع رسالة الكلية والجامعة</t>
  </si>
  <si>
    <t xml:space="preserve">الأهداف تغطي التعليم والبحث وخدمة المجتمع</t>
  </si>
  <si>
    <t xml:space="preserve">الأهداف محددة وقابلة للقياس ولكل هدف مؤشر</t>
  </si>
  <si>
    <t xml:space="preserve">الأهداف مرتبطة بنواتج التعلم وخصائص الخريجين</t>
  </si>
  <si>
    <t xml:space="preserve">الأهداف تراعي احتياجات سوق العمل</t>
  </si>
  <si>
    <t xml:space="preserve">الرسالة والأهداف معتمدة ومنشورة</t>
  </si>
  <si>
    <t xml:space="preserve">الخطة التشغيلية مبنية على الأهداف</t>
  </si>
  <si>
    <t xml:space="preserve">④ مصفوفة الاتساق (لكل برنامج نسخة) – ضع ✓ عند وجود ارتباط</t>
  </si>
  <si>
    <t xml:space="preserve">هدف البرنامج</t>
  </si>
  <si>
    <t xml:space="preserve">هدف الكلية ...</t>
  </si>
  <si>
    <t xml:space="preserve">هدف الجامعة ...</t>
  </si>
  <si>
    <t xml:space="preserve">الهدف 1: ...</t>
  </si>
  <si>
    <t xml:space="preserve">الهدف 2: ...</t>
  </si>
  <si>
    <t xml:space="preserve">الهدف 3: ...</t>
  </si>
  <si>
    <t xml:space="preserve">الهدف 4: ...</t>
  </si>
  <si>
    <t xml:space="preserve">الهدف 5: ...</t>
  </si>
  <si>
    <t xml:space="preserve">⑤ أسئلة الاستطلاع (موافق بشدة ← غير موافق بشدة)</t>
  </si>
  <si>
    <t xml:space="preserve">أعرف رسالة البرنامج وأهدافه.</t>
  </si>
  <si>
    <t xml:space="preserve">الرسالة والأهداف واضحة ومفهومة.</t>
  </si>
  <si>
    <t xml:space="preserve">الرسالة تعبّر عما يميز البرنامج.</t>
  </si>
  <si>
    <t xml:space="preserve">أنشطة البرنامج ومقرراته تحقق رسالته وأهدافه.</t>
  </si>
  <si>
    <t xml:space="preserve">الأهداف تلبي احتياجات سوق العمل.</t>
  </si>
  <si>
    <t xml:space="preserve">سؤال مفتوح: ما مقترحك لتحسين الرسالة أو الأهداف؟</t>
  </si>
  <si>
    <t xml:space="preserve">عبّئ الخلايا الصفراء: حالة الدليل، وإن كان ناقصاً: السبب والإجراء والموعد، ثم رابط الدليل. الأعمدة P–Q لأ. فاطمة. الصفوف المظللة = محكات أساسية ★</t>
  </si>
  <si>
    <t xml:space="preserve">نص المحك</t>
  </si>
  <si>
    <t xml:space="preserve">أساسي</t>
  </si>
  <si>
    <t xml:space="preserve">الدليل / الشاهد</t>
  </si>
  <si>
    <t xml:space="preserve">مصدر الدليل</t>
  </si>
  <si>
    <t xml:space="preserve">حالة الدليل</t>
  </si>
  <si>
    <t xml:space="preserve">الأولوية</t>
  </si>
  <si>
    <t xml:space="preserve">الإجراء المطلوب</t>
  </si>
  <si>
    <t xml:space="preserve">الموعد</t>
  </si>
  <si>
    <t xml:space="preserve">رابط الدليل في المستودع</t>
  </si>
  <si>
    <t xml:space="preserve">ملاحظات العضو</t>
  </si>
  <si>
    <t xml:space="preserve">مراجعة أ. فاطمة</t>
  </si>
  <si>
    <t xml:space="preserve">ملاحظات المراجعة</t>
  </si>
  <si>
    <t xml:space="preserve">1-1-1</t>
  </si>
  <si>
    <t xml:space="preserve">تتسق رسالة البرنامج وأهدافه مع رسالة المؤسسة/الكلية وتوجّه جميع عملياته وأنشطته.</t>
  </si>
  <si>
    <t xml:space="preserve">مصفوفة اتساق رسالة وأهداف البرنامج مع رسالة وأهداف الجامعة والكلية.</t>
  </si>
  <si>
    <t xml:space="preserve">الدليل الاسترشادي</t>
  </si>
  <si>
    <t xml:space="preserve">إعلان رسالة وأهداف البرنامج على الموقع الإلكتروني للبرنامج.</t>
  </si>
  <si>
    <t xml:space="preserve">الخطة التشغيلية للبرنامج وتقاريرها وتشمل البحث العلمي وخدمة المجتمع.</t>
  </si>
  <si>
    <t xml:space="preserve">تقرير استطلاع رأي المستفيدين حول وضوح ونشر الرسالة والأهداف.</t>
  </si>
  <si>
    <t xml:space="preserve">1-1-2</t>
  </si>
  <si>
    <t xml:space="preserve">يتوفر لدى البرنامج العدد الكافي من الكوادر المؤهلة للقيام بالمهام الإدارية والمهنية والفنية، ولهم مهام وصلاحيات محددة.</t>
  </si>
  <si>
    <t xml:space="preserve">★</t>
  </si>
  <si>
    <t xml:space="preserve">قاعدة بيانات محدثة لأعضاء هيئة التدريس بالبرنامج والإداريين والفنيين.</t>
  </si>
  <si>
    <t xml:space="preserve">السير الذاتية لأعضاء هيئة التدريس، وقيادات البرنامج، والإداريين، والفنيين.</t>
  </si>
  <si>
    <t xml:space="preserve">نماذج من تشكيلات اللجان بالبرنامج محددة المهام.</t>
  </si>
  <si>
    <t xml:space="preserve">معايير اختيار القيادات الأكاديمية والإدارية.</t>
  </si>
  <si>
    <t xml:space="preserve">استبانة تقييم القيادات الأكاديمية والإدارية بالبرنامج.</t>
  </si>
  <si>
    <t xml:space="preserve">1-1-3</t>
  </si>
  <si>
    <t xml:space="preserve">يتوفر للبرنامج منظومة تحفيزية وبيئة أكاديمية داعمة.</t>
  </si>
  <si>
    <t xml:space="preserve">دليل جوائز التميز بالكلية/الجامعة.</t>
  </si>
  <si>
    <t xml:space="preserve">نماذج من شهادات (تميز/تقدير) منسوبي البرنامج والإداريين والفنيين.</t>
  </si>
  <si>
    <t xml:space="preserve">قائمة بالمرافق والتجهيزات التعليمية والبحثية للبرنامج.</t>
  </si>
  <si>
    <t xml:space="preserve">قائمة بالمرافق والتجهيزات الخاصة بالأنشطة اللاصفية بالبرنامج.</t>
  </si>
  <si>
    <t xml:space="preserve">تقييمات أعضاء هيئة التدريس والإداريين والفنيين والطلاب للمناخ التنظيمي والبيئة الأكاديمية.</t>
  </si>
  <si>
    <t xml:space="preserve">1-1-4</t>
  </si>
  <si>
    <t xml:space="preserve">يتم القياس المستمر لمؤشرات أداء البرنامج الرئيسة، وتُتخذ الإجراءات اللازمة للتحسين.</t>
  </si>
  <si>
    <t xml:space="preserve">تقرير مؤشرات الأداء الرئيسة للبرنامج.</t>
  </si>
  <si>
    <t xml:space="preserve">تقرير إنجاز الخطة التشغيلية للبرنامج مع خطة التحسين.</t>
  </si>
  <si>
    <t xml:space="preserve">1-1-5</t>
  </si>
  <si>
    <t xml:space="preserve">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</si>
  <si>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 xml:space="preserve">لوحة/دليل موضح فيه السياسات والحقوق والواجبات وتكون معلنة.</t>
  </si>
  <si>
    <t xml:space="preserve">استطلاع رأي أعضاء هيئة التدريس والطلبة عن تطبيق إدارة البرنامج لآليات النزاهة والعدالة والمساواة.</t>
  </si>
  <si>
    <t xml:space="preserve">الشواهد على مدى تكافؤ الإمكانيات المادية والبشرية بين شطري الطالب والطالبات.</t>
  </si>
  <si>
    <t xml:space="preserve">تشكيل اللجان والمجالس العاملة بالقسم بما يتضمن إشراك الجنسين والفروع (إن وجدت)، وكذا تمويل الأبحاث والمشاريع وحضور المؤتمرات.</t>
  </si>
  <si>
    <t xml:space="preserve">1-1-6</t>
  </si>
  <si>
    <t xml:space="preserve">تستفيد إدارة البرنامج من آراء المختصين والخبراء في تشكيل لجنة استشارية متنوعة الأعضاء وموضحة المهام، وتخصص البرنامج في تقييم وتطوير وتحسين أدائه.</t>
  </si>
  <si>
    <t xml:space="preserve">قرار تشكيل اللجنة الاستشارية للبرنامج المتنوعة الأعضاء والموضح مهامها.</t>
  </si>
  <si>
    <t xml:space="preserve">نماذج من محاضر اللجنة الاستشارية للبرنامج متضمنة التوصيات وخطط تفعيلها.</t>
  </si>
  <si>
    <t xml:space="preserve">تقرير استطلاع رأي جهات التوظيف حول الخريجين وتوصيات وخطط التحسين.</t>
  </si>
  <si>
    <t xml:space="preserve">محاضر مجلس القسم متضمنة مناقشة توصيات اللجنة الاستشارية واستطلاع رأي جهات التوظيف وأي مقترحات تطوير من خبراء التخصص.</t>
  </si>
  <si>
    <t xml:space="preserve">1-1-7</t>
  </si>
  <si>
    <t xml:space="preserve">تتيح إدارة البرنامج معلومات موثوقة ومحدّثة تُبرز إنجازات البرنامج بما يتناسب مع احتياجات المستفيدين.</t>
  </si>
  <si>
    <t xml:space="preserve">الدليل التعريفي للبرنامج.</t>
  </si>
  <si>
    <t xml:space="preserve">الموقع الإلكتروني للبرنامج متضمناً توصيف البرنامج والمقررات الدراسية وأنشطته وإنجازاته محدّثاً.</t>
  </si>
  <si>
    <t xml:space="preserve">أنشطة لجنة خدمة المجتمع للتعريف بالبرنامج وإمكاناته والخدمات التي يقدمها للمجتمع.</t>
  </si>
  <si>
    <t xml:space="preserve">نماذج من إعلانات ولقاءات التعريف بالبرنامج مع المستفيدين.</t>
  </si>
  <si>
    <t xml:space="preserve">نتائج استطلاع رأي المستفيدين حول إتاحة المعلومات الخاصة بالبرنامج.</t>
  </si>
  <si>
    <t xml:space="preserve">1-1-8</t>
  </si>
  <si>
    <t xml:space="preserve">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</si>
  <si>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 xml:space="preserve">السياسات والإجراءات الموثقة التي يطبقها البرنامج بشأن عمليات الاقتباس والملكية الفكرية للطلبة وأعضاء هيئة التدريس.</t>
  </si>
  <si>
    <t xml:space="preserve">دليل الإطار الأخلاقي للطلبة ومنسوبي الجامعة.</t>
  </si>
  <si>
    <t xml:space="preserve">دليل أخلاقيات البحث العلمي.</t>
  </si>
  <si>
    <t xml:space="preserve">قائمة بالدورات التدريبية المتعلقة بقيم الأمانة العلمية وحقوق الملكية الفكرية وقواعد الممارسات الأخلاقية.</t>
  </si>
  <si>
    <t xml:space="preserve">نماذج من تعميمات رئيس القسم على ضرورة الالتزام بقيم الأمانة العلمية وحقوق الملكية الفكرية.</t>
  </si>
  <si>
    <t xml:space="preserve">عينات من تقارير فحص الاستلال العلمي لأعمال الطلبة.</t>
  </si>
  <si>
    <t xml:space="preserve">1-1-9</t>
  </si>
  <si>
    <t xml:space="preserve">تتبنى إدارة البرنامج آلية واضحة وإجراءات معتمدة من قِبل المؤسسة/الكلية للشكاوى والتظلم والقضايا التأديبية.</t>
  </si>
  <si>
    <t xml:space="preserve">سياسات وآليات الشكاوى والتظلم المعتمدة سواء للطالب أو أعضاء هيئة التدريس.</t>
  </si>
  <si>
    <t xml:space="preserve">نماذج من محاضر الرفع بالشكاوى والتظلمات وقرارات الرد عليها.</t>
  </si>
  <si>
    <t xml:space="preserve">نماذج من قرارات لجان التأديب.</t>
  </si>
  <si>
    <t xml:space="preserve">استطلاعات رأي المستفيدين حول عدالة التعامل مع الشكاوى والتظلمات.</t>
  </si>
  <si>
    <t xml:space="preserve">1-2-1</t>
  </si>
  <si>
    <t xml:space="preserve">تتبنى إدارة البرنامج نظاماً إدارياً كاملاً ومعلناً لضمان الجودة، ينسجم مع نظام الجودة المؤسسي.</t>
  </si>
  <si>
    <t xml:space="preserve">دليل ضمان الجودة بالبرنامج.</t>
  </si>
  <si>
    <t xml:space="preserve">دليل ضمان الجودة بالجامعة.</t>
  </si>
  <si>
    <t xml:space="preserve">الهيكل التنظيمي الموثق والمعلن للبرنامج متضمناً اللجان العاملة به.</t>
  </si>
  <si>
    <t xml:space="preserve">قرارات تشكيل لجان الجودة بالبرنامج.</t>
  </si>
  <si>
    <t xml:space="preserve">1-2-2</t>
  </si>
  <si>
    <t xml:space="preserve">يقوم البرنامج بتحليل مؤشرات الأداء الرئيسة وبيانات التقويم سنوياً، ويُستفاد منها في عمليات التخطيط والتطوير واتخاذ القرارات.</t>
  </si>
  <si>
    <t xml:space="preserve">تقارير قياس مؤشرات الأداء الرئيسة وتشمل المقارنات المرجعية.</t>
  </si>
  <si>
    <t xml:space="preserve">مناقشة تقارير قياس مؤشرات الأداء في مجلس القسم والخطط التحسينية والقرارات المبنية عليها.</t>
  </si>
  <si>
    <t xml:space="preserve">معايير البرنامج/المؤسسة لاختيار جهات المقارنة المرجعية.</t>
  </si>
  <si>
    <t xml:space="preserve">1-2-3</t>
  </si>
  <si>
    <t xml:space="preserve">يُجري البرنامج تقويماً دورياً شاملاً ووفق خطة للتحسين ويتابع تنفيذها.</t>
  </si>
  <si>
    <t xml:space="preserve">سياسات إجراء التقويم الدوري الشامل للبرنامج.</t>
  </si>
  <si>
    <t xml:space="preserve">تشكيلات لجان تنفيذ عمليات التقويم الدوري الشامل للبرنامج.</t>
  </si>
  <si>
    <t xml:space="preserve">تقارير التقويم الدوري الشامل للبرنامج مع الخطط التحسينية.</t>
  </si>
  <si>
    <t xml:space="preserve">مناقشة نتائج عملية التقويم الشامل في مجلس القسم.</t>
  </si>
  <si>
    <t xml:space="preserve">تقرير الدراسة الذاتية السابقة (إن وجد).</t>
  </si>
  <si>
    <t xml:space="preserve">تقارير متابعة الخطط التحسينية للبرنامج.</t>
  </si>
  <si>
    <t xml:space="preserve">2-1-1</t>
  </si>
  <si>
    <t xml:space="preserve">تُحدَّد نواتج تعلم البرنامج المستهدفة وتتواءم مع خصائص الخريجين على المستوى المؤسسي، ويتم اعتمادها من مجلس القسم والكلية ومراجعتها دورياً.</t>
  </si>
  <si>
    <t xml:space="preserve">توصيف البرنامج (يشمل نواتج تعلم البرنامج) معتمد من مجلس القسم والكلية.</t>
  </si>
  <si>
    <t xml:space="preserve">الدليل الإجرائي لصياغة وقياس نواتج التعلم على مستوى البرنامج / المؤسسة.</t>
  </si>
  <si>
    <t xml:space="preserve">مصفوفة الاتساق بين نواتج تعلم البرنامج والمعايير الأكاديمية التخصصية (الاختبارات المعيارية – جاهزية أو ما يكافئها).</t>
  </si>
  <si>
    <t xml:space="preserve">مصفوفة الاتساق بين نواتج تعلم البرنامج ورسالته.</t>
  </si>
  <si>
    <t xml:space="preserve">مصفوفة الاتساق بين نواتج تعلم البرنامج وخصائص خريجي الجامعة.</t>
  </si>
  <si>
    <t xml:space="preserve">استطلاعات رأي الطلاب والخريجين وجهات التوظيف حول مدى وضوح نواتج التعلم.</t>
  </si>
  <si>
    <t xml:space="preserve">تقارير اللجان المعنية التي تفيد مراجعة نواتج التعلم.</t>
  </si>
  <si>
    <t xml:space="preserve">عينة من وسائل إعلان نواتج التعلم مثل الموقع الإلكتروني للبرنامج وكتيب البرنامج.</t>
  </si>
  <si>
    <t xml:space="preserve">سياسات إجراء التقويم الدوري الشامل للبرنامج (وتشمل السياسات والإجراءات المعتمدة للمراجعة الدورية لنواتج تعلم البرنامج).</t>
  </si>
  <si>
    <t xml:space="preserve">تقرير توافق نواتج تعلم البرنامج مع الإطار الوطني للمؤهلات (نموذج الاتساق مع الإطار الوطني للمؤهلات).</t>
  </si>
  <si>
    <t xml:space="preserve">2-1-2</t>
  </si>
  <si>
    <t xml:space="preserve">تتوافق نواتج التعلم مع متطلبات الإطار الوطني للمؤهلات والمعايير التخصصية ومتطلبات سوق العمل.</t>
  </si>
  <si>
    <t xml:space="preserve">مصفوفة الاتساق بين نواتج تعلم البرنامج والمعايير التخصصية.</t>
  </si>
  <si>
    <t xml:space="preserve">تقارير استطلاعات رأي جهات التوظيف حول توافق نواتج التعلم مع متطلبات سوق العمل.</t>
  </si>
  <si>
    <t xml:space="preserve">نماذج من محاضر لجان ومجلس القسم لمناقشة توافق خصائص الخريجين ونواتج التعلم مع متطلبات سوق العمل.</t>
  </si>
  <si>
    <t xml:space="preserve">2-1-3</t>
  </si>
  <si>
    <t xml:space="preserve">يحدد البرنامج نواتج تعلم للمسارات المختلفة (إن وجدت).</t>
  </si>
  <si>
    <t xml:space="preserve">توصيف البرنامج (يشمل نواتج تعلم المسارات المختلفة بالبرنامج إن وجدت) معتمد من مجلس القسم والكلية.</t>
  </si>
  <si>
    <t xml:space="preserve">مصفوفة الاتساق بين نواتج التعلم المحددة بالمسارات المختلفة (إن وجدت) وخصائص خريجي الجامعة.</t>
  </si>
  <si>
    <t xml:space="preserve">استطلاعات الرأي المتعلقة بإشراك المستفيدين في تحديد نواتج التعلم في المسارات المختلفة.</t>
  </si>
  <si>
    <t xml:space="preserve">تقرير استطلاعات الرأي حول رضا المستفيدين عن مدى وضوح نواتج التعلم في المسارات المحددة بالبرنامج.</t>
  </si>
  <si>
    <t xml:space="preserve">2-1-4</t>
  </si>
  <si>
    <t xml:space="preserve">يطبق البرنامج آليات وأدوات مناسبة لقياس نواتج التعلم والتحقق من استيفائها وفق مستويات أداء وخطط تقييم محددة.</t>
  </si>
  <si>
    <t xml:space="preserve">خطة قياس نواتج تعلم البرنامج.</t>
  </si>
  <si>
    <t xml:space="preserve">تقرير البرنامج لآخر عامين موضحاً به تقييم نواتج التعلم وخطط التحسين المرتبطة بتقييم نواتج التعلم.</t>
  </si>
  <si>
    <t xml:space="preserve">تقارير قياس نواتج تعلم البرنامج والخطة التحسينية.</t>
  </si>
  <si>
    <t xml:space="preserve">2-1-5</t>
  </si>
  <si>
    <t xml:space="preserve">يتبنى البرنامج استراتيجيات واضحة ومعتمدة للتعليم والتعلم والتقييم تحقق فلسفته التعليمية وتكفل تحقيق نواتج التعلم في البرنامج.</t>
  </si>
  <si>
    <t xml:space="preserve">توصيف البرنامج (يشمل استراتيجيات التعليم والتعلم وطرق تقويم نواتج التعلم للبرنامج) معتمد من مجلس القسم والكلية.</t>
  </si>
  <si>
    <t xml:space="preserve">نماذج من تقارير المقررات والبرنامج تظهر الخطط التطويرية بها والمبنية على نتائج تقييم تحقق نواتج التعلم.</t>
  </si>
  <si>
    <t xml:space="preserve">الدورات التدريبية المقدمة لأعضاء هيئة التدريس حول استراتيجيات التدريس وأساليب التقويم.</t>
  </si>
  <si>
    <t xml:space="preserve">استطلاع رأي الطلاب حول استراتيجيات التعليم والتعلم وأساليب التقييم.</t>
  </si>
  <si>
    <t xml:space="preserve">2-2-1</t>
  </si>
  <si>
    <t xml:space="preserve">يراعي المنهج الدراسي تحقيق أهداف البرنامج ونواتجه التعليمية والتطورات العلمية والتقنية والمهنية في مجال التخصص، ويُراجع بصورة دورية.</t>
  </si>
  <si>
    <t xml:space="preserve">الدليل الإجرائي لاستحداث وتطوير البرامج والخطط الدراسية.</t>
  </si>
  <si>
    <t xml:space="preserve">توصيف البرنامج (يشمل مصفوفة الربط بين كل من نواتج تعلم البرنامج والمقررات) معتمد من مجلس القسم والكلية.</t>
  </si>
  <si>
    <t xml:space="preserve">توصيفات المقررات موضحاً بها أحدث الكتب والمراجع المقررة في مجال التخصص.</t>
  </si>
  <si>
    <t xml:space="preserve">محاضر اجتماع اللجنة الاستشارية واللجان المعنية ومجلس القسم التي ناقشت تطوير الخطة الدراسية.</t>
  </si>
  <si>
    <t xml:space="preserve">استطلاعات رأي الخريجين وأرباب العمل حول مواكبة نواتج تعلم البرنامج للتطورات العلمية والتقنية والمهنية.</t>
  </si>
  <si>
    <t xml:space="preserve">نماذج من محاضر مراجعة توصيف البرنامج وتوصيف المقررات متضمنة التطورات التي تم إقرارها.</t>
  </si>
  <si>
    <t xml:space="preserve">2-2-2</t>
  </si>
  <si>
    <t xml:space="preserve">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</si>
  <si>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 xml:space="preserve">مصفوفة التوازن بين المتطلبات العامة (الكلية) ومتطلبات التخصص في الخطة الدراسية للبرنامج.</t>
  </si>
  <si>
    <t xml:space="preserve">مصفوفة التوازن بين الجوانب النظرية والتطبيقية في الخطة الدراسية للبرنامج وفق المقارنة المرجعية الخارجية.</t>
  </si>
  <si>
    <t xml:space="preserve">تقييم مراجع مستقل حول التوازن والتتابع والتكامل في الخطة الدراسية للبرنامج.</t>
  </si>
  <si>
    <t xml:space="preserve">2-2-3</t>
  </si>
  <si>
    <t xml:space="preserve">يراعى في بناء الخطة الدراسية للبرنامج تحديد متطلبات نقاط الخروج (إن وجدت) طبقاً للممارسات العالمية والبرامج المناظرة.</t>
  </si>
  <si>
    <t xml:space="preserve">تقرير مختصر معتمد يوضح نسب التوازن بين الجوانب النظرية والتطبيقية في خطة البرنامج.</t>
  </si>
  <si>
    <t xml:space="preserve">دليل البرنامج موضحاً به مسارات البرنامج ونقاط التخرج.</t>
  </si>
  <si>
    <t xml:space="preserve">المقارنات المرجعية التي تم الاستناد عليها في بناء نقاط الخروج.</t>
  </si>
  <si>
    <t xml:space="preserve">توصيف البرنامج موضحاً به نقاط الخروج (إن وجدت).</t>
  </si>
  <si>
    <t xml:space="preserve">2-2-4</t>
  </si>
  <si>
    <t xml:space="preserve">ترتبط نواتج التعلم بالمقررات بنواتج التعلم بالبرنامج (مصفوفة توزيع نواتج تعلم البرنامج على المقررات).</t>
  </si>
  <si>
    <t xml:space="preserve">توصيف الخبرة الميدانية (إن وجد).</t>
  </si>
  <si>
    <t xml:space="preserve">دليل التدريب الميداني/التعاوني (إن وجد).</t>
  </si>
  <si>
    <t xml:space="preserve">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</si>
  <si>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 xml:space="preserve">2-2-5</t>
  </si>
  <si>
    <t xml:space="preserve">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</si>
  <si>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 xml:space="preserve">نماذج من محاضر اللجان الاستشارية التي ناقشت توافق ومناسبة استراتيجيات التعليم والتعلم وطرق التقييم.</t>
  </si>
  <si>
    <t xml:space="preserve">تقرير استطلاع رأي الطلبة والخريجين حول استراتيجيات التعليم والتعلم وطرق التقييم.</t>
  </si>
  <si>
    <t xml:space="preserve">2-2-6</t>
  </si>
  <si>
    <t xml:space="preserve">يتحقق البرنامج من فاعلية التدريب الميداني وجودة الإشراف عليه، ويتابع البرنامج قدرته على تحقيق المخرجات الموكلة إليه بآليات محددة.</t>
  </si>
  <si>
    <t xml:space="preserve">نماذج من توزيع الطالب وهيئة التدريس على التدريب الميداني.</t>
  </si>
  <si>
    <t xml:space="preserve">نماذج من تقارير التدريب الميداني.</t>
  </si>
  <si>
    <t xml:space="preserve">استطلاعات وتقارير رضا الطلاب وهيئة التدريس عن أنشطة التدريب الميداني.</t>
  </si>
  <si>
    <t xml:space="preserve">2-2-7</t>
  </si>
  <si>
    <t xml:space="preserve">يتأكد البرنامج من تطبيق موحد للخطة الدراسية وتوصيف البرنامج والمقررات التي تُقدم في أكثر من موقع (أقسام الطلاب والطالبات وفي الفروع المختلفة).</t>
  </si>
  <si>
    <t xml:space="preserve">أدلة تثبت التطبيق الموحد (مثل التعميمات والتقارير) في الشطرين والفروع للخطة الدراسية وتوصيف البرنامج والمقررات والاختبارات.</t>
  </si>
  <si>
    <t xml:space="preserve">نماذج من تقارير المقررات والبرنامج موضحاً بها توحيد الخطة بين البنين والبنات والفروع المختلفة.</t>
  </si>
  <si>
    <t xml:space="preserve">2-3-1</t>
  </si>
  <si>
    <t xml:space="preserve">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</si>
  <si>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 xml:space="preserve">التعاميم الواردة من إدارة البرنامج بضرورة الالتزام باستراتيجيات التعليم والتعلم وطرق التقييم الواردة في توصيفات البرنامج والمقررات.</t>
  </si>
  <si>
    <t xml:space="preserve">نماذج من ملف المقرر.</t>
  </si>
  <si>
    <t xml:space="preserve">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</si>
  <si>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 xml:space="preserve">تقارير الزيارات المتبادلة بين أعضاء هيئة التدريس حول الالتزام باستراتيجيات التعليم والتعلم وطرق التقييم.</t>
  </si>
  <si>
    <t xml:space="preserve">قائمة دورات تدريب أعضاء هيئة التدريس على استراتيجيات التعليم والتعلم وطرق التقييم واستخدام التقنيات في التعليم.</t>
  </si>
  <si>
    <t xml:space="preserve">2-3-2</t>
  </si>
  <si>
    <t xml:space="preserve">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</si>
  <si>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 xml:space="preserve">قائمة حضور أعضاء هيئة التدريس بالبرنامج للدورات التدريبية، ونماذج من شهادات الحضور.</t>
  </si>
  <si>
    <t xml:space="preserve">تقييم رضا أعضاء هيئة التدريس عن الدورات التدريبية المقدمة لهم.</t>
  </si>
  <si>
    <t xml:space="preserve">تقرير عمادة التعليم الإلكتروني للبرنامج حول تفعيل تقنيات التعليم في التدريس.</t>
  </si>
  <si>
    <t xml:space="preserve">مناقشة مجلس القسم لتقرير عمادة التعليم الإلكتروني للبرنامج حول تفعيل تقنيات التعليم في التدريس.</t>
  </si>
  <si>
    <t xml:space="preserve">2-3-3</t>
  </si>
  <si>
    <t xml:space="preserve">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</si>
  <si>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 xml:space="preserve">نماذج من إعلان توصيف المقررات الدراسية للطلبة إلكترونياً.</t>
  </si>
  <si>
    <t xml:space="preserve">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</si>
  <si>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 xml:space="preserve">عينات من التغذية الراجعة المقدمة للطلبة.</t>
  </si>
  <si>
    <t xml:space="preserve">2-3-4</t>
  </si>
  <si>
    <t xml:space="preserve">يتبنى البرنامج آليات لدعم وتحفيز التميز في التدريس وتشجيع الإبداع والابتكار لدى هيئة التدريس.</t>
  </si>
  <si>
    <t xml:space="preserve">جوائز التميز على مستوى البرنامج/المؤسسة حول التميز في التدريس والإبداع والابتكار.</t>
  </si>
  <si>
    <t xml:space="preserve">نماذج من التقييم الدوري لأداء أعضاء هيئة التدريس (ويشمل مجالات التدريس والبحث العلمي وخدمة المجتمع).</t>
  </si>
  <si>
    <t xml:space="preserve">تقرير استطلاعات رأي أعضاء هيئة التدريس حول رضاهم عن الدعم والتحفيز للتميز والإبداع والابتكار المقدم لهم.</t>
  </si>
  <si>
    <t xml:space="preserve">2-3-5</t>
  </si>
  <si>
    <t xml:space="preserve">يتبنى البرنامج إجراءات واضحة ومعلنة للتحقق من جودة طرق التقييم ومصداقيتها والتأكد من مستوى تحصيل الطالب.</t>
  </si>
  <si>
    <t xml:space="preserve">خطة قياس نواتج تعلم البرنامج وتقاريرها.</t>
  </si>
  <si>
    <t xml:space="preserve">نماذج من تحليل نتائج الاختبارات لبعض المقررات في البرنامج.</t>
  </si>
  <si>
    <t xml:space="preserve">تقييمات الطالب والخريجين لأساليب التقويم والاختبارات في البرنامج.</t>
  </si>
  <si>
    <t xml:space="preserve">نماذج من مواصفات إعداد الورقة الاختبارية، وطرق التصحيح.</t>
  </si>
  <si>
    <t xml:space="preserve">نماذج لكراسات إجابة موقع عليها مقيّم آخر.</t>
  </si>
  <si>
    <t xml:space="preserve">2-3-6</t>
  </si>
  <si>
    <t xml:space="preserve">تُستخدم إجراءات فعّالة لضبط النزاهة الأكاديمية على مستوى البرنامج للتحقق من أن الأعمال والواجبات التي يقدمها الطالب هي من إنتاجهم.</t>
  </si>
  <si>
    <t xml:space="preserve">دليل الطالب موضحاً به ميثاق الأخلاقيات ومعايير الاقتباس.</t>
  </si>
  <si>
    <t xml:space="preserve">النظام الإلكتروني المستخدم في كشف الاستلال العلمي.</t>
  </si>
  <si>
    <t xml:space="preserve">الدورات التدريبية المقدمة والمتعلقة بتعريف الطلبة وأعضاء هيئة التدريس حول استخدام برامج الاستلال العلمي.</t>
  </si>
  <si>
    <t xml:space="preserve">نماذج من لقاءات التهيئة للطلاب الجدد متضمناً توعية الطالب بمقتضيات النزاهة الأكاديمية.</t>
  </si>
  <si>
    <t xml:space="preserve">نماذج من تقارير الاستلال العلمي في الأعمال والواجبات التي يقدمها الطلبة.</t>
  </si>
  <si>
    <t xml:space="preserve">3-0-1</t>
  </si>
  <si>
    <t xml:space="preserve">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</si>
  <si>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 xml:space="preserve">شروط القبول محددة ومعتمدة في توصيف البرنامج، ومتضمنة في دليل البرنامج.</t>
  </si>
  <si>
    <t xml:space="preserve">شروط القبول معلنة على الموقع الإلكتروني للبرنامج.</t>
  </si>
  <si>
    <t xml:space="preserve">شروط الانتقال إلى البرنامج (التحويل) معلنة ومحددة في دليل البرنامج.</t>
  </si>
  <si>
    <t xml:space="preserve">نماذج معادلة الدراسة السابقة / آلية المعادلة لاستقبال الطلاب المحولين.</t>
  </si>
  <si>
    <t xml:space="preserve">نماذج من قرارات مجلس القسم بقبول أو رفض انتقال طلبة إلى البرنامج.</t>
  </si>
  <si>
    <t xml:space="preserve">3-0-2</t>
  </si>
  <si>
    <t xml:space="preserve">يوفر البرنامج المعلومات الأساسية للطالب مثل: متطلبات الدراسة، الخدمات، والتكاليف المالية (إن وجدت)، بوسائل متنوعة.</t>
  </si>
  <si>
    <t xml:space="preserve">دليل الطالب للخدمات الإلكترونية.</t>
  </si>
  <si>
    <t xml:space="preserve">دليل الطالب أو البرنامج متضمناً متطلبات الدراسة، الخدمات، والتكاليف المالية (إن وجدت).</t>
  </si>
  <si>
    <t xml:space="preserve">الموقع الإلكتروني للبرنامج.</t>
  </si>
  <si>
    <t xml:space="preserve">3-0-3</t>
  </si>
  <si>
    <t xml:space="preserve">يتوفر لطالب البرنامج خدمات فعالة للإرشاد والتوجيه الأكاديمي والمهني والنفسي والاجتماعي، من خلال كوادر مؤهلة وكافية.</t>
  </si>
  <si>
    <t xml:space="preserve">قرار إنشاء لجنة أو وحدة الإرشاد الأكاديمي بالبرنامج أو الكلية.</t>
  </si>
  <si>
    <t xml:space="preserve">دليل الإرشاد والتوجيه الأكاديمي والمهني والنفسي والاجتماعي للطالب.</t>
  </si>
  <si>
    <t xml:space="preserve">السير الذاتية للعاملين بوحدة الإرشاد الأكاديمي.</t>
  </si>
  <si>
    <t xml:space="preserve">نماذج من البرامج التوجيهية لاستقبال الطلاب الجدد على مستوى البرنامج/الكلية.</t>
  </si>
  <si>
    <t xml:space="preserve">الخدمات المقدمة من جهة تقديم الإرشاد المهني للطالب (مثل الدورات المقدمة من وحدة التدريب أو وحدة الخريجين الخاصة بالجانب المهني).</t>
  </si>
  <si>
    <t xml:space="preserve">الخدمات المقدمة من جهة تقديم الإرشاد والدعم النفسي والاجتماعي للطالب (وحدة الإرشاد والتوجيه في الكلية والجامعة).</t>
  </si>
  <si>
    <t xml:space="preserve">استطلاعات الرأي الشاملة التحليل للطلبة والخريجين عن رضاهم حول جودة الإرشاد المقدم إليهم من البرنامج.</t>
  </si>
  <si>
    <t xml:space="preserve">3-0-4</t>
  </si>
  <si>
    <t xml:space="preserve">تُطبَّق آلية ملائمة للتعرف على الطلاب الموهوبين والمبدعين والمتفوقين والمتعثرين في البرنامج، وتتوفر برامج مناسبة لرعاية وتحفيز ودعم كل فئة منهم.</t>
  </si>
  <si>
    <t xml:space="preserve">الإجراءات الموثقة في البرنامج/المؤسسة للكشف عن الطلاب الموهوبين.</t>
  </si>
  <si>
    <t xml:space="preserve">قائمة بالخدمات والبرامج المقدمة من الجهة المسؤولة عن رعاية الطلبة الموهوبين والمبدعين في البرنامج/المؤسسة.</t>
  </si>
  <si>
    <t xml:space="preserve">آليات دعم الطلبة المتفوقين والمتعثرين بالبرنامج.</t>
  </si>
  <si>
    <t xml:space="preserve">آليات الإعلان عن الأنشطة اللاصفية وتحفيز الطلبة على المشاركة فيها.</t>
  </si>
  <si>
    <t xml:space="preserve">3-0-5</t>
  </si>
  <si>
    <t xml:space="preserve">تتوفر لطالب البرنامج أنشطة لا صفية في العديد من المجالات لتنمية قدراتهم ومهاراتهم، ويتخذ البرنامج الإجراءات المناسبة لدعم وتحفيز مشاركتهم.</t>
  </si>
  <si>
    <t xml:space="preserve">آليات الإعلان عن الأنشطة اللاصفية وتحفيز الطلاب على المشاركة فيها.</t>
  </si>
  <si>
    <t xml:space="preserve">بيان بالخدمات اللاصفية المقدمة للطالب.</t>
  </si>
  <si>
    <t xml:space="preserve">تقرير رضا الطلبة عن الأنشطة اللاصفية المقدمة لهم من قبل البرنامج.</t>
  </si>
  <si>
    <t xml:space="preserve">خطة البرنامج فيما يتعلق بالأنشطة اللاصفية وعلاقتها بنواتج تعلم البرنامج وبتنمية قدرات ومهارات الطالب.</t>
  </si>
  <si>
    <t xml:space="preserve">3-0-6</t>
  </si>
  <si>
    <t xml:space="preserve">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</si>
  <si>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 xml:space="preserve">قرار إنشاء وحدة/لجنة تعنى بالخريجين بالبرنامج/المؤسسة وأهدافها ومهامها.</t>
  </si>
  <si>
    <t xml:space="preserve">آليات التواصل مع خريجي البرنامج، وقاعدة البيانات الموثقة الخاصة بالخريجين.</t>
  </si>
  <si>
    <t xml:space="preserve">قائمة بالخدمات التي يقدمها البرنامج لخريجيه.</t>
  </si>
  <si>
    <t xml:space="preserve">تقرير موثق حول مشاركة الخريجين في فعاليات البرنامج مثل محاضر الاجتماعات أو اللجنة الاستشارية للبرنامج أو يوم المهنة.</t>
  </si>
  <si>
    <t xml:space="preserve">تقرير استطلاع رأي الخريجين حول البرنامج.</t>
  </si>
  <si>
    <t xml:space="preserve">قرار تشكيل اللجنة الاستشارية للبرنامج متضمناً في التشكيل خريجي البرنامج ضمن أعضاء اللجنة.</t>
  </si>
  <si>
    <t xml:space="preserve">3-0-7</t>
  </si>
  <si>
    <t xml:space="preserve">تُطبَّق آلية فعالة لتقويم كفاية وجودة الخدمات المقدمة للطالب وقياس رضاهم عنها، والاستفادة من النتائج في التحسين.</t>
  </si>
  <si>
    <t xml:space="preserve">قرار تشكيل المجلس الطلابي ومهامه.</t>
  </si>
  <si>
    <t xml:space="preserve">تقرير استطلاعات رأي الطلبة حول جودة الخدمات المقدمة لهم.</t>
  </si>
  <si>
    <t xml:space="preserve">التقرير السنوي للبرنامج متضمناً خطط التحسين والتطوير بناءً على نتائج استطلاعات رأي الطلبة.</t>
  </si>
  <si>
    <t xml:space="preserve">4-0-1</t>
  </si>
  <si>
    <t xml:space="preserve">يتوافر في البرنامج العدد الكافي من أعضاء هيئة التدريس، في جميع المواقع التي يقدم فيها البرنامج، وتُطبَّق آليات مناسبة للتحقق منها.</t>
  </si>
  <si>
    <t xml:space="preserve">قائمة مفصلة لأعضاء هيئة التدريس في كل موقع يقدم فيه البرنامج مثل: (شطري الطالب والطالبات والفروع إن وجدت).</t>
  </si>
  <si>
    <t xml:space="preserve">نسبة أعضاء هيئة التدريس إلى الطلبة/في كل موقع.</t>
  </si>
  <si>
    <t xml:space="preserve">التقرير السنوي للبرنامج متضمناً مناقشة مؤشر نسبة عدد الطالب إلى عدد أعضاء هيئة التدريس.</t>
  </si>
  <si>
    <t xml:space="preserve">الخطة المستقبلية لتحديد الاحتياجات من أعضاء هيئة التدريس والمقدمة من قِبل البرنامج.</t>
  </si>
  <si>
    <t xml:space="preserve">4-0-2</t>
  </si>
  <si>
    <t xml:space="preserve">تضم هيئة التدريس أو المتعاونين في البرامج المهنية من ذوي الخبرة والمهارة العالية في مجال البرنامج.</t>
  </si>
  <si>
    <t xml:space="preserve">السير الذاتية لأعضاء هيئة التدريس أو المتعاونين من ذوي الخبرة في مجال البرنامج.</t>
  </si>
  <si>
    <t xml:space="preserve">محضر مجلس القسم الخاص بمناقشة احتياجات البرنامج المستقبلية من أعضاء هيئة التدريس المهنيين.</t>
  </si>
  <si>
    <t xml:space="preserve">4-0-3</t>
  </si>
  <si>
    <t xml:space="preserve">يشارك أعضاء هيئة التدريس في الأنشطة الأكاديمية والبحثية والإنتاج العلمي بكفاءة وانتظام، وتُعد مشاركتهم في هذه الأنشطة أحد محكات تقييمهم.</t>
  </si>
  <si>
    <t xml:space="preserve">نماذج من مشاركات أعضاء هيئة التدريس في فعاليات البرنامج الأكاديمية مثل: ورش العمل، والمؤتمرات العلمية، والندوات.</t>
  </si>
  <si>
    <t xml:space="preserve">نماذج من مشاركة أعضاء هيئة التدريس بالبرنامج (مثل القرارات والشهادات وصور المشاركة) في اللجان على مستوى البرنامج والكلية والجامعة.</t>
  </si>
  <si>
    <t xml:space="preserve">نماذج من مشاركة أعضاء هيئة التدريس بالبرنامج في الإشراف العلمي على الرسائل والمشاريع البحثية.</t>
  </si>
  <si>
    <t xml:space="preserve">أمثلة من تحكيم المقترحات البحثية والمقالات العلمية من قبل أعضاء هيئة التدريس في البرنامج.</t>
  </si>
  <si>
    <t xml:space="preserve">قاعدة بيانات الإنتاج البحثي لأعضاء هيئة التدريس في البرنامج.</t>
  </si>
  <si>
    <t xml:space="preserve">تقرير مؤشرات الأداء المتعلقة بمجالات البحث العلمي.</t>
  </si>
  <si>
    <t xml:space="preserve">نموذج ملف تقييم أداء أعضاء هيئة التدريس الذي يتضمن أنشطة بحثية وأكاديمية للأعضاء.</t>
  </si>
  <si>
    <t xml:space="preserve">4-0-4</t>
  </si>
  <si>
    <t xml:space="preserve">تشارك هيئة التدريس في أنشطة الشراكة المجتمعية، وتُعد مشاركتهم في هذه الأنشطة أحد محكات تقييمهم.</t>
  </si>
  <si>
    <t xml:space="preserve">قائمة بمشاركات أعضاء هيئة التدريس في فعاليات خدمة المجتمع.</t>
  </si>
  <si>
    <t xml:space="preserve">تقرير الشراكة المجتمعية للبرنامج.</t>
  </si>
  <si>
    <t xml:space="preserve">نموذج ملف تقييم أداء أعضاء هيئة التدريس الذي يتضمن أنشطة خدمة المجتمع للأعضاء.</t>
  </si>
  <si>
    <t xml:space="preserve">4-0-5</t>
  </si>
  <si>
    <t xml:space="preserve">يتلقى أعضاء هيئة التدريس برامج في التطوير المهني والأكاديمي، وفق خطة تلبي احتياجاتهم وتسهم في تطوير أدائهم.</t>
  </si>
  <si>
    <t xml:space="preserve">تقرير تحديد الاحتياجات التدريبية لأعضاء هيئة التدريس بالبرنامج.</t>
  </si>
  <si>
    <t xml:space="preserve">خطة التطوير المهني لأعضاء هيئة التدريس بالبرنامج.</t>
  </si>
  <si>
    <t xml:space="preserve">قائمة بالدورات التدريبية المقدمة لأعضاء هيئة التدريس، ونماذج من شهادات الحضور.</t>
  </si>
  <si>
    <t xml:space="preserve">تقرير استطلاعات رأي أعضاء هيئة التدريس عن برامج التدريب وأنشطة التطوير المهني.</t>
  </si>
  <si>
    <t xml:space="preserve">تقرير قياس أثر الدورات التدريبية المقدمة.</t>
  </si>
  <si>
    <t xml:space="preserve">4-0-6</t>
  </si>
  <si>
    <t xml:space="preserve">يُقيَّم أداء هيئة التدريس بانتظام وفق معايير محددة ومعلنة، وتُقدَّم التغذية الراجعة لهم، ويُستفاد من النتائج في تحسين الأداء.</t>
  </si>
  <si>
    <t xml:space="preserve">نموذج تقييم أداء أعضاء هيئة التدريس السنوي.</t>
  </si>
  <si>
    <t xml:space="preserve">تقرير تقييم الطلبة للمقرر.</t>
  </si>
  <si>
    <t xml:space="preserve">نماذج من التغذية الراجعة المقدمة عن أداء أعضاء التدريس.</t>
  </si>
  <si>
    <t xml:space="preserve">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</si>
  <si>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 xml:space="preserve">خطة تحسين أداء أعضاء هيئة التدريس في ضوء عمليات التقييم.</t>
  </si>
  <si>
    <t xml:space="preserve">5-0-1</t>
  </si>
  <si>
    <t xml:space="preserve">يتحقق البرنامج من كفاية ومناسبة مصادر التعلم والخدمات المقدمة بما يتناسب مع احتياجاته وأعداد الطالب، ويتم تحديثها بصورة دورية.</t>
  </si>
  <si>
    <t xml:space="preserve">قائمة بالكتب المقررة والمراجع مع عدد النسخ المتوفرة بالمكتبة.</t>
  </si>
  <si>
    <t xml:space="preserve">رابط المكتبة الرقمية السعودية.</t>
  </si>
  <si>
    <t xml:space="preserve">تقرير تقييم الطلبة وأعضاء هيئة التدريس عن كفاية ومناسبة مصادر التعلم والخدمات المقدمة.</t>
  </si>
  <si>
    <t xml:space="preserve">5-0-2</t>
  </si>
  <si>
    <t xml:space="preserve">يتوفر لهيئة التدريس والطالب والموظفين في البرنامج التهيئة والدعم الفني المناسبين للاستخدام الفعال لمصادر ووسائل التعلم.</t>
  </si>
  <si>
    <t xml:space="preserve">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</si>
  <si>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 xml:space="preserve">حصر خدمات الدعم الفني المتوفرة في المكتبة المركزية للطلبة وأعضاء هيئة التدريس في البرنامج.</t>
  </si>
  <si>
    <t xml:space="preserve">تقرير رضا المستفيدين (طلبة، أعضاء هيئة تدريس، موظفين) عن خدمات التدريب والتهيئة حول الاستخدام الفعال لمصادر التعلم.</t>
  </si>
  <si>
    <t xml:space="preserve">5-0-3</t>
  </si>
  <si>
    <t xml:space="preserve">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</si>
  <si>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 xml:space="preserve">دليل إدارة المخاطر بالبرنامج / المؤسسة.</t>
  </si>
  <si>
    <t xml:space="preserve">قائمة بمتطلبات الصحة والسلامة العامة والمهنية في المرافق والتجهيزات، والأنشطة التعليمية والبحثية في البرنامج/الكلية.</t>
  </si>
  <si>
    <t xml:space="preserve">صور توضيحية لمتطلبات الصحة والسلامة العامة والمهنية في المرافق والتجهيزات، والأنشطة التعليمية والبحثية في البرنامج/الكلية.</t>
  </si>
  <si>
    <t xml:space="preserve">نماذج من تقارير مراجعة كفاءة وسائل الصحة، والسلامة العامة، والمهنية.</t>
  </si>
  <si>
    <t xml:space="preserve">عقد الشركة المسؤولة عن التخلص من النفايات الخطرة.</t>
  </si>
  <si>
    <t xml:space="preserve">سجل التخلص الآمن من النفايات الخطرة.</t>
  </si>
  <si>
    <t xml:space="preserve">5-0-4</t>
  </si>
  <si>
    <t xml:space="preserve">يتوفر للبرنامج التقنيات والخدمات والبيئة المناسبة للمقررات التي تُقدَّم إلكترونياً أو عن بُعد وفق المعايير الخاصة بها.</t>
  </si>
  <si>
    <t xml:space="preserve">قائمة بالخدمات التقنية ووسائل الاستخدام التي يقدمها نظام التعلم الإلكتروني للطلبة وأعضاء هيئة التدريس.</t>
  </si>
  <si>
    <t xml:space="preserve">أمثلة من تقارير حضور الطلبة من خلال نظام التعلم الإلكتروني ونماذج من تكليفات الطلبة والمنتديات.</t>
  </si>
  <si>
    <t xml:space="preserve">بيان بالمعامل الإلكترونية بالبرنامج / الكلية.</t>
  </si>
  <si>
    <t xml:space="preserve">الخدمات التي تقدمها المكتبة الرقمية لطلبة البرنامج وأعضاء هيئة التدريس.</t>
  </si>
  <si>
    <t xml:space="preserve">استطلاع رأي الطلبة حول التقنيات والخدمات والبيئة المناسبة للمقررات التي تقدم إلكترونياً أو عن بُعد.</t>
  </si>
  <si>
    <t xml:space="preserve">5-0-5</t>
  </si>
  <si>
    <t xml:space="preserve">يعمل البرنامج على تقويم فاعلية وكفاءة مصادر التعلم والمرافق والتجهيزات بأنواعها، ويُستفاد من ذلك في التحسين.</t>
  </si>
  <si>
    <t xml:space="preserve">تقارير استطلاعات رأي الطلبة وأعضاء هيئة التدريس حول فاعلية وكفاءة مصادر التعلم والمرافق والتجهيزات.</t>
  </si>
  <si>
    <t xml:space="preserve">مناقشة مجلس القسم للتقرير السنوي للبرنامج وخطط التحسين والقرارات المبنية عليها.</t>
  </si>
  <si>
    <t xml:space="preserve">من دليل البكالوريوس</t>
  </si>
  <si>
    <t xml:space="preserve">يتابع البرنامج التزام هيئة التدريس باستراتيجيات التعليم والتعلم وطرق التقييم الواردة في توصيفات البرنامج والمقررات وفق آليات محددة.</t>
  </si>
  <si>
    <t xml:space="preserve">2-3-7</t>
  </si>
  <si>
    <t xml:space="preserve">6-0-1</t>
  </si>
  <si>
    <t xml:space="preserve">يتابع البرنامج معدلات نشاطه البحثي بما يتسق مع دوره في الخطة البحثية المؤسسية، وفق مؤشرات أداء واضحة ومحددة، ويعمل على تطوير أدائه.</t>
  </si>
  <si>
    <t xml:space="preserve">خطة البحث العلمي للبرنامج مرتبطة بالخطة البحثية للمؤسسة.</t>
  </si>
  <si>
    <t xml:space="preserve">مقترح – يعتمده رئيسة الجودة</t>
  </si>
  <si>
    <t xml:space="preserve">تقرير سنوي عن النشاط البحثي ومؤشراته (KPI-PG-9 إلى KPI-PG-13) مع المقارنة المرجعية.</t>
  </si>
  <si>
    <t xml:space="preserve">إجراءات التحسين المتخذة بناءً على نتائج المؤشرات البحثية.</t>
  </si>
  <si>
    <t xml:space="preserve">6-0-2</t>
  </si>
  <si>
    <t xml:space="preserve">يحدد البرنامج أولويات بحثية تتسق مع رسالة المؤسسة والتوجهات الوطنية وخطط التنمية.</t>
  </si>
  <si>
    <t xml:space="preserve">وثيقة الأولويات البحثية للبرنامج معتمدة من المجلس.</t>
  </si>
  <si>
    <t xml:space="preserve">مصفوفة ربط الأولويات البحثية برسالة المؤسسة والتوجهات الوطنية.</t>
  </si>
  <si>
    <t xml:space="preserve">نماذج من عناوين الرسائل والمشاريع المرتبطة بالأولويات البحثية.</t>
  </si>
  <si>
    <t xml:space="preserve">6-0-3</t>
  </si>
  <si>
    <t xml:space="preserve">تتوفر في البرنامج بيئة داعمة ومحفزة ودعم مالي وتجهيزات للأنشطة البحثية.</t>
  </si>
  <si>
    <t xml:space="preserve">قائمة بالمعامل والتجهيزات والبرمجيات وقواعد البيانات المتاحة للبحث.</t>
  </si>
  <si>
    <t xml:space="preserve">بيانات الدعم المالي للبحوث (منح داخلية وخارجية).</t>
  </si>
  <si>
    <t xml:space="preserve">استطلاع رأي هيئة التدريس والطلاب حول البيئة البحثية.</t>
  </si>
  <si>
    <t xml:space="preserve">6-0-4</t>
  </si>
  <si>
    <t xml:space="preserve">يطبق البرنامج آليات متنوعة لتنمية المهارات البحثية ومهارات النشر لدى منسوبيه، وتبادل الخبرات ونتائج البحوث، ويطوّر هذه الآليات ويحسّنها.</t>
  </si>
  <si>
    <t xml:space="preserve">خطة وسجل الورش والدورات في المهارات البحثية والنشر العلمي.</t>
  </si>
  <si>
    <t xml:space="preserve">نماذج من الحلقات العلمية (السمنارات) ولقاءات تبادل الخبرات.</t>
  </si>
  <si>
    <t xml:space="preserve">تقرير تقييم فاعلية هذه الآليات وتطويرها.</t>
  </si>
  <si>
    <t xml:space="preserve">6-0-5</t>
  </si>
  <si>
    <t xml:space="preserve">يطبق البرنامج آليات متنوعة لتوليد التمويل للأنشطة البحثية من الجهات المانحة والاستثمارية.</t>
  </si>
  <si>
    <t xml:space="preserve">قائمة بالمشاريع البحثية الممولة من جهات خارجية.</t>
  </si>
  <si>
    <t xml:space="preserve">اتفاقيات وشراكات التمويل البحثي.</t>
  </si>
  <si>
    <t xml:space="preserve">آليات البرنامج للتقديم على المنح البحثية.</t>
  </si>
  <si>
    <t xml:space="preserve">6-0-6</t>
  </si>
  <si>
    <t xml:space="preserve">تُطبَّق في البرنامج إجراءات أكاديمية وإدارية محددة لاعتماد الرسائل العلمية والمشاريع البحثية في إطار زمني مناسب.</t>
  </si>
  <si>
    <t xml:space="preserve">الإجراءات المعتمدة لتسجيل مقترحات الرسائل واعتمادها ومددها الزمنية.</t>
  </si>
  <si>
    <t xml:space="preserve">نماذج من محاضر اعتماد خطط الرسائل.</t>
  </si>
  <si>
    <t xml:space="preserve">إحصاء بمتوسط مدة اعتماد مقترحات الرسائل.</t>
  </si>
  <si>
    <t xml:space="preserve">6-0-7</t>
  </si>
  <si>
    <t xml:space="preserve">يتوفر لدى البرنامج تعليمات وأدلة واضحة ومعلنة ومتاحة لإعداد البحوث والرسائل والمشاريع وتقويمها.</t>
  </si>
  <si>
    <t xml:space="preserve">دليل إعداد الرسائل العلمية وتقويمها.</t>
  </si>
  <si>
    <t xml:space="preserve">دليل طالب الدراسات العليا.</t>
  </si>
  <si>
    <t xml:space="preserve">روابط نشر الأدلة على الموقع الإلكتروني.</t>
  </si>
  <si>
    <t xml:space="preserve">6-0-8</t>
  </si>
  <si>
    <t xml:space="preserve">يطبق البرنامج آليات محددة لمتابعة كفاءة الإشراف العلمي على الرسائل والبحوث والمشاريع، ويقوّم هذه الآليات ويطورها.</t>
  </si>
  <si>
    <t xml:space="preserve">لائحة أو معايير الإشراف العلمي وعبء الإشراف.</t>
  </si>
  <si>
    <t xml:space="preserve">نماذج تقارير متابعة تقدم الطالب البحثي.</t>
  </si>
  <si>
    <t xml:space="preserve">نتائج تقييم الطلاب لجودة الإشراف (KPI-PG-3) وإجراءات التحسين.</t>
  </si>
  <si>
    <t xml:space="preserve">6-0-9</t>
  </si>
  <si>
    <t xml:space="preserve">يتابع البرنامج عدالة وموضوعية ومصداقية تقويم البحوث ومناقشة الرسائل العلمية وإجازتها.</t>
  </si>
  <si>
    <t xml:space="preserve">إجراءات تشكيل لجان المناقشة ومعايير اختيار الممتحنين الداخليين والخارجيين.</t>
  </si>
  <si>
    <t xml:space="preserve">نماذج من تقارير التحكيم ومحاضر المناقشة.</t>
  </si>
  <si>
    <t xml:space="preserve">نماذج استمارات التقويم وسلالم التقدير.</t>
  </si>
  <si>
    <t xml:space="preserve">6-0-10</t>
  </si>
  <si>
    <t xml:space="preserve">يتحقق البرنامج من أصالة البحوث وإثرائها المعرفي والابتكار في أنشطته البحثية بما يتناسب مع مستوى المؤهل والمعايير الدولية.</t>
  </si>
  <si>
    <t xml:space="preserve">تقارير فحص الاستلال (الانتحال) للرسائل والبحوث.</t>
  </si>
  <si>
    <t xml:space="preserve">قائمة الأبحاث المنشورة للطلاب وهيئة التدريس في أوعية محكمة.</t>
  </si>
  <si>
    <t xml:space="preserve">براءات الاختراع والجوائز (KPI-PG-13).</t>
  </si>
  <si>
    <t xml:space="preserve">6-0-11</t>
  </si>
  <si>
    <t xml:space="preserve">يطبق البرنامج سياسات واضحة لأخلاقيات البحث وضوابطه، ويتحقق من التزام الباحثين بها وفق آليات مناسبة ويطورها.</t>
  </si>
  <si>
    <t xml:space="preserve">سياسة أخلاقيات البحث العلمي المعتمدة.</t>
  </si>
  <si>
    <t xml:space="preserve">موافقات لجنة أخلاقيات البحث على الأبحاث.</t>
  </si>
  <si>
    <t xml:space="preserve">نماذج تعهدات الباحثين وآليات التحقق من الالتزام.</t>
  </si>
</sst>
</file>

<file path=xl/styles.xml><?xml version="1.0" encoding="utf-8"?>
<styleSheet xmlns="http://schemas.openxmlformats.org/spreadsheetml/2006/main">
  <numFmts count="3">
    <numFmt numFmtId="164" formatCode="General"/>
    <numFmt numFmtId="165" formatCode="0%"/>
    <numFmt numFmtId="166" formatCode="General"/>
  </numFmts>
  <fonts count="16">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b val="true"/>
      <sz val="10"/>
      <name val="Arial"/>
      <family val="0"/>
      <charset val="1"/>
    </font>
    <font>
      <b val="true"/>
      <sz val="10"/>
      <color rgb="FFFFFFFF"/>
      <name val="Arial"/>
      <family val="0"/>
      <charset val="1"/>
    </font>
    <font>
      <sz val="10"/>
      <name val="Arial"/>
      <family val="0"/>
      <charset val="1"/>
    </font>
    <font>
      <b val="true"/>
      <sz val="11"/>
      <color rgb="FFFFFFFF"/>
      <name val="Arial"/>
      <family val="0"/>
      <charset val="1"/>
    </font>
    <font>
      <b val="true"/>
      <sz val="12"/>
      <color rgb="FFFFFFFF"/>
      <name val="Arial"/>
      <family val="0"/>
      <charset val="1"/>
    </font>
    <font>
      <b val="true"/>
      <sz val="14"/>
      <color rgb="FF1F3864"/>
      <name val="Arial"/>
      <family val="0"/>
      <charset val="1"/>
    </font>
    <font>
      <b val="true"/>
      <sz val="9"/>
      <name val="Arial"/>
      <family val="0"/>
      <charset val="1"/>
    </font>
    <font>
      <sz val="8"/>
      <color rgb="FF595959"/>
      <name val="Arial"/>
      <family val="0"/>
      <charset val="1"/>
    </font>
    <font>
      <sz val="9"/>
      <name val="Arial"/>
      <family val="0"/>
      <charset val="1"/>
    </font>
    <font>
      <b val="true"/>
      <sz val="10"/>
      <color rgb="FFC00000"/>
      <name val="Arial"/>
      <family val="0"/>
      <charset val="1"/>
    </font>
    <font>
      <b val="true"/>
      <sz val="8"/>
      <color rgb="FFC00000"/>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F2F2F2"/>
        <bgColor rgb="FFFFF9DB"/>
      </patternFill>
    </fill>
    <fill>
      <patternFill patternType="solid">
        <fgColor rgb="FFFFF9DB"/>
        <bgColor rgb="FFFFF2CC"/>
      </patternFill>
    </fill>
    <fill>
      <patternFill patternType="solid">
        <fgColor rgb="FFDDEBF7"/>
        <bgColor rgb="FFD9E2F3"/>
      </patternFill>
    </fill>
    <fill>
      <patternFill patternType="solid">
        <fgColor rgb="FFE2EFDA"/>
        <bgColor rgb="FFDDEBF7"/>
      </patternFill>
    </fill>
    <fill>
      <patternFill patternType="solid">
        <fgColor rgb="FFFCE4D6"/>
        <bgColor rgb="FFFFF2CC"/>
      </patternFill>
    </fill>
    <fill>
      <patternFill patternType="solid">
        <fgColor rgb="FF2E5395"/>
        <bgColor rgb="FF1F3864"/>
      </patternFill>
    </fill>
    <fill>
      <patternFill patternType="solid">
        <fgColor rgb="FFD9E2F3"/>
        <bgColor rgb="FFDDEBF7"/>
      </patternFill>
    </fill>
    <fill>
      <patternFill patternType="solid">
        <fgColor rgb="FFFFF2CC"/>
        <bgColor rgb="FFFFF9DB"/>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8EA9DB"/>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true" indent="0" shrinkToFit="false"/>
      <protection locked="true" hidden="false"/>
    </xf>
    <xf numFmtId="164" fontId="5" fillId="0" borderId="0" xfId="0" applyFont="true" applyBorder="true" applyAlignment="true" applyProtection="false">
      <alignment horizontal="right"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right"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8" fillId="8" borderId="0" xfId="0" applyFont="true" applyBorder="true" applyAlignment="true" applyProtection="false">
      <alignment horizontal="right" vertical="center" textRotation="0" wrapText="tru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5" fillId="9" borderId="1" xfId="0" applyFont="true" applyBorder="true" applyAlignment="true" applyProtection="false">
      <alignment horizontal="right" vertical="center" textRotation="0" wrapText="true" indent="0" shrinkToFit="false"/>
      <protection locked="true" hidden="false"/>
    </xf>
    <xf numFmtId="164" fontId="5" fillId="4" borderId="1" xfId="0" applyFont="true" applyBorder="true" applyAlignment="true" applyProtection="false">
      <alignment horizontal="right" vertical="center" textRotation="0" wrapText="true" indent="0" shrinkToFit="false"/>
      <protection locked="true" hidden="false"/>
    </xf>
    <xf numFmtId="164" fontId="9" fillId="8" borderId="0"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righ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6" fontId="7" fillId="9"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right"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4" fontId="13" fillId="0" borderId="1" xfId="0" applyFont="true" applyBorder="true" applyAlignment="true" applyProtection="false">
      <alignment horizontal="right" vertical="center" textRotation="0" wrapText="tru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right" vertical="center" textRotation="0" wrapText="true" indent="0" shrinkToFit="false"/>
      <protection locked="true" hidden="false"/>
    </xf>
    <xf numFmtId="164" fontId="11" fillId="10" borderId="2" xfId="0" applyFont="true" applyBorder="true" applyAlignment="true" applyProtection="false">
      <alignment horizontal="center" vertical="center" textRotation="0" wrapText="true" indent="0" shrinkToFit="false"/>
      <protection locked="true" hidden="false"/>
    </xf>
    <xf numFmtId="164" fontId="12" fillId="10" borderId="2" xfId="0" applyFont="true" applyBorder="true" applyAlignment="true" applyProtection="false">
      <alignment horizontal="right" vertical="center" textRotation="0" wrapText="true" indent="0" shrinkToFit="false"/>
      <protection locked="true" hidden="false"/>
    </xf>
    <xf numFmtId="164" fontId="13" fillId="10" borderId="2" xfId="0" applyFont="true" applyBorder="true" applyAlignment="true" applyProtection="false">
      <alignment horizontal="right" vertical="center" textRotation="0" wrapText="true" indent="0" shrinkToFit="false"/>
      <protection locked="true" hidden="false"/>
    </xf>
    <xf numFmtId="164" fontId="14" fillId="10" borderId="2" xfId="0" applyFont="true" applyBorder="true" applyAlignment="true" applyProtection="false">
      <alignment horizontal="center" vertical="center" textRotation="0" wrapText="true" indent="0" shrinkToFit="false"/>
      <protection locked="true" hidden="false"/>
    </xf>
    <xf numFmtId="164" fontId="13" fillId="10"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center" vertical="center" textRotation="0" wrapText="true" indent="0" shrinkToFit="false"/>
      <protection locked="true" hidden="false"/>
    </xf>
    <xf numFmtId="164" fontId="13" fillId="0"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right"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12" fillId="10" borderId="1" xfId="0" applyFont="true" applyBorder="true" applyAlignment="true" applyProtection="false">
      <alignment horizontal="right" vertical="center" textRotation="0" wrapText="true" indent="0" shrinkToFit="false"/>
      <protection locked="true" hidden="false"/>
    </xf>
    <xf numFmtId="164" fontId="13" fillId="10" borderId="1" xfId="0" applyFont="true" applyBorder="true" applyAlignment="true" applyProtection="false">
      <alignment horizontal="right" vertical="center" textRotation="0" wrapText="true" indent="0" shrinkToFit="false"/>
      <protection locked="true" hidden="false"/>
    </xf>
    <xf numFmtId="164" fontId="14" fillId="10" borderId="1"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right" vertical="center" textRotation="0" wrapText="true" indent="0" shrinkToFit="false"/>
      <protection locked="true" hidden="false"/>
    </xf>
    <xf numFmtId="164" fontId="13" fillId="0" borderId="2" xfId="0" applyFont="true" applyBorder="true" applyAlignment="true" applyProtection="false">
      <alignment horizontal="right" vertical="center" textRotation="0" wrapText="true" indent="0" shrinkToFit="false"/>
      <protection locked="true" hidden="false"/>
    </xf>
    <xf numFmtId="164" fontId="14" fillId="0" borderId="2" xfId="0" applyFont="true" applyBorder="true" applyAlignment="true" applyProtection="false">
      <alignment horizontal="center" vertical="center" textRotation="0" wrapText="true" indent="0" shrinkToFit="false"/>
      <protection locked="true" hidden="false"/>
    </xf>
    <xf numFmtId="164" fontId="15" fillId="0" borderId="2"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bgColor rgb="FFC6EFCE"/>
        </patternFill>
      </fill>
    </dxf>
    <dxf>
      <fill>
        <patternFill>
          <bgColor rgb="FFFFC7CE"/>
        </patternFill>
      </fill>
    </dxf>
    <dxf>
      <fill>
        <patternFill>
          <bgColor rgb="FFFFEB9C"/>
        </patternFill>
      </fill>
    </dxf>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595959"/>
          <bgColor rgb="FF000000"/>
        </patternFill>
      </fill>
    </dxf>
    <dxf>
      <fill>
        <patternFill patternType="solid">
          <fgColor rgb="FFC00000"/>
          <bgColor rgb="FF000000"/>
        </patternFill>
      </fill>
    </dxf>
    <dxf>
      <fill>
        <patternFill patternType="solid">
          <fgColor rgb="FFFFF9DB"/>
          <bgColor rgb="FF00000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1"/>
        <color rgb="FF9C0006"/>
      </font>
      <fill>
        <patternFill>
          <bgColor rgb="FFFFC7CE"/>
        </patternFill>
      </fill>
    </dxf>
  </dxfs>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G45"/>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5"/>
    <col collapsed="false" customWidth="true" hidden="false" outlineLevel="0" max="3" min="3" style="0" width="60"/>
    <col collapsed="false" customWidth="true" hidden="false" outlineLevel="0" max="4" min="4" style="0" width="30"/>
    <col collapsed="false" customWidth="true" hidden="false" outlineLevel="0" max="5" min="5" style="0" width="26"/>
    <col collapsed="false" customWidth="true" hidden="false" outlineLevel="0" max="6" min="6" style="0" width="12"/>
    <col collapsed="false" customWidth="true" hidden="false" outlineLevel="0" max="7" min="7" style="0" width="20"/>
  </cols>
  <sheetData>
    <row r="1" customFormat="false" ht="18.55" hidden="false" customHeight="true" outlineLevel="0" collapsed="false">
      <c r="A1" s="1" t="s">
        <v>0</v>
      </c>
      <c r="B1" s="1"/>
      <c r="C1" s="1"/>
      <c r="D1" s="1"/>
      <c r="E1" s="1"/>
      <c r="F1" s="1"/>
      <c r="G1" s="1"/>
    </row>
    <row r="2" customFormat="false" ht="15" hidden="false" customHeight="true" outlineLevel="0" collapsed="false">
      <c r="A2" s="2" t="s">
        <v>1</v>
      </c>
      <c r="B2" s="2"/>
      <c r="C2" s="2"/>
      <c r="D2" s="2"/>
      <c r="E2" s="2"/>
      <c r="F2" s="2"/>
      <c r="G2" s="2"/>
    </row>
    <row r="4" customFormat="false" ht="15" hidden="false" customHeight="false" outlineLevel="0" collapsed="false">
      <c r="A4" s="3" t="s">
        <v>2</v>
      </c>
      <c r="B4" s="3" t="s">
        <v>3</v>
      </c>
      <c r="C4" s="3" t="s">
        <v>4</v>
      </c>
      <c r="D4" s="3" t="s">
        <v>5</v>
      </c>
      <c r="E4" s="3" t="s">
        <v>6</v>
      </c>
      <c r="F4" s="3" t="s">
        <v>7</v>
      </c>
      <c r="G4" s="3" t="s">
        <v>8</v>
      </c>
    </row>
    <row r="5" customFormat="false" ht="36" hidden="false" customHeight="true" outlineLevel="0" collapsed="false">
      <c r="A5" s="4" t="s">
        <v>9</v>
      </c>
      <c r="B5" s="5" t="s">
        <v>10</v>
      </c>
      <c r="C5" s="6" t="s">
        <v>11</v>
      </c>
      <c r="D5" s="7" t="str">
        <f aca="false">'الإعدادات واللجنة'!$B$12</f>
        <v>د. نهلة بنت سعد القثامي</v>
      </c>
      <c r="E5" s="6" t="s">
        <v>12</v>
      </c>
      <c r="F5" s="8" t="s">
        <v>13</v>
      </c>
      <c r="G5" s="9"/>
    </row>
    <row r="6" customFormat="false" ht="36" hidden="false" customHeight="true" outlineLevel="0" collapsed="false">
      <c r="A6" s="4" t="s">
        <v>9</v>
      </c>
      <c r="B6" s="10" t="s">
        <v>14</v>
      </c>
      <c r="C6" s="6" t="s">
        <v>15</v>
      </c>
      <c r="D6" s="7" t="str">
        <f aca="false">'الإعدادات واللجنة'!$B$12</f>
        <v>د. نهلة بنت سعد القثامي</v>
      </c>
      <c r="E6" s="6" t="s">
        <v>16</v>
      </c>
      <c r="F6" s="8" t="s">
        <v>13</v>
      </c>
      <c r="G6" s="9"/>
    </row>
    <row r="7" customFormat="false" ht="36" hidden="false" customHeight="true" outlineLevel="0" collapsed="false">
      <c r="A7" s="4" t="s">
        <v>9</v>
      </c>
      <c r="B7" s="10" t="s">
        <v>14</v>
      </c>
      <c r="C7" s="6" t="s">
        <v>17</v>
      </c>
      <c r="D7" s="7" t="str">
        <f aca="false">'الإعدادات واللجنة'!$B$12</f>
        <v>د. نهلة بنت سعد القثامي</v>
      </c>
      <c r="E7" s="6" t="s">
        <v>18</v>
      </c>
      <c r="F7" s="8" t="s">
        <v>13</v>
      </c>
      <c r="G7" s="9"/>
    </row>
    <row r="8" customFormat="false" ht="36" hidden="false" customHeight="true" outlineLevel="0" collapsed="false">
      <c r="A8" s="4" t="s">
        <v>9</v>
      </c>
      <c r="B8" s="11" t="s">
        <v>19</v>
      </c>
      <c r="C8" s="6" t="s">
        <v>20</v>
      </c>
      <c r="D8" s="7" t="str">
        <f aca="false">'الإعدادات واللجنة'!$B$18</f>
        <v>د. عبدالله بن محمد البركاتي</v>
      </c>
      <c r="E8" s="6" t="s">
        <v>21</v>
      </c>
      <c r="F8" s="8" t="s">
        <v>13</v>
      </c>
      <c r="G8" s="9"/>
    </row>
    <row r="9" customFormat="false" ht="36" hidden="false" customHeight="true" outlineLevel="0" collapsed="false">
      <c r="A9" s="4" t="s">
        <v>9</v>
      </c>
      <c r="B9" s="11" t="s">
        <v>19</v>
      </c>
      <c r="C9" s="6" t="s">
        <v>22</v>
      </c>
      <c r="D9" s="7" t="str">
        <f aca="false">'الإعدادات واللجنة'!$B$14</f>
        <v>أ. فاطمة بنت سلمان الخزعل</v>
      </c>
      <c r="E9" s="6" t="s">
        <v>23</v>
      </c>
      <c r="F9" s="8" t="s">
        <v>13</v>
      </c>
      <c r="G9" s="9"/>
    </row>
    <row r="10" customFormat="false" ht="36" hidden="false" customHeight="true" outlineLevel="0" collapsed="false">
      <c r="A10" s="4" t="s">
        <v>24</v>
      </c>
      <c r="B10" s="12" t="s">
        <v>25</v>
      </c>
      <c r="C10" s="6" t="s">
        <v>26</v>
      </c>
      <c r="D10" s="7" t="str">
        <f aca="false">'الإعدادات واللجنة'!$B$13</f>
        <v>د. عبير بنت عبدالله راجحي</v>
      </c>
      <c r="E10" s="6" t="s">
        <v>27</v>
      </c>
      <c r="F10" s="8" t="s">
        <v>13</v>
      </c>
      <c r="G10" s="9"/>
    </row>
    <row r="11" customFormat="false" ht="36" hidden="false" customHeight="true" outlineLevel="0" collapsed="false">
      <c r="A11" s="4" t="s">
        <v>28</v>
      </c>
      <c r="B11" s="12" t="s">
        <v>25</v>
      </c>
      <c r="C11" s="6" t="s">
        <v>29</v>
      </c>
      <c r="D11" s="7" t="str">
        <f aca="false">'الإعدادات واللجنة'!$B$13</f>
        <v>د. عبير بنت عبدالله راجحي</v>
      </c>
      <c r="E11" s="6" t="s">
        <v>30</v>
      </c>
      <c r="F11" s="8" t="s">
        <v>13</v>
      </c>
      <c r="G11" s="9"/>
    </row>
    <row r="12" customFormat="false" ht="36" hidden="false" customHeight="true" outlineLevel="0" collapsed="false">
      <c r="A12" s="4" t="s">
        <v>31</v>
      </c>
      <c r="B12" s="10" t="s">
        <v>14</v>
      </c>
      <c r="C12" s="6" t="s">
        <v>32</v>
      </c>
      <c r="D12" s="7" t="s">
        <v>33</v>
      </c>
      <c r="E12" s="6" t="s">
        <v>34</v>
      </c>
      <c r="F12" s="8" t="s">
        <v>13</v>
      </c>
      <c r="G12" s="9"/>
    </row>
    <row r="13" customFormat="false" ht="36" hidden="false" customHeight="true" outlineLevel="0" collapsed="false">
      <c r="A13" s="4" t="s">
        <v>31</v>
      </c>
      <c r="B13" s="10" t="s">
        <v>14</v>
      </c>
      <c r="C13" s="6" t="s">
        <v>35</v>
      </c>
      <c r="D13" s="7" t="s">
        <v>36</v>
      </c>
      <c r="E13" s="6" t="s">
        <v>37</v>
      </c>
      <c r="F13" s="8" t="s">
        <v>13</v>
      </c>
      <c r="G13" s="9"/>
    </row>
    <row r="14" customFormat="false" ht="36" hidden="false" customHeight="true" outlineLevel="0" collapsed="false">
      <c r="A14" s="4" t="s">
        <v>38</v>
      </c>
      <c r="B14" s="11" t="s">
        <v>19</v>
      </c>
      <c r="C14" s="6" t="s">
        <v>39</v>
      </c>
      <c r="D14" s="7" t="str">
        <f aca="false">'الإعدادات واللجنة'!$B$14</f>
        <v>أ. فاطمة بنت سلمان الخزعل</v>
      </c>
      <c r="E14" s="6" t="s">
        <v>40</v>
      </c>
      <c r="F14" s="8" t="s">
        <v>13</v>
      </c>
      <c r="G14" s="9"/>
    </row>
    <row r="15" customFormat="false" ht="36" hidden="false" customHeight="true" outlineLevel="0" collapsed="false">
      <c r="A15" s="4" t="s">
        <v>41</v>
      </c>
      <c r="B15" s="5" t="s">
        <v>10</v>
      </c>
      <c r="C15" s="6" t="s">
        <v>42</v>
      </c>
      <c r="D15" s="7" t="str">
        <f aca="false">'الإعدادات واللجنة'!$B$12</f>
        <v>د. نهلة بنت سعد القثامي</v>
      </c>
      <c r="E15" s="6" t="s">
        <v>43</v>
      </c>
      <c r="F15" s="8" t="s">
        <v>13</v>
      </c>
      <c r="G15" s="9"/>
    </row>
    <row r="16" customFormat="false" ht="36" hidden="false" customHeight="true" outlineLevel="0" collapsed="false">
      <c r="A16" s="4" t="s">
        <v>44</v>
      </c>
      <c r="B16" s="10" t="s">
        <v>14</v>
      </c>
      <c r="C16" s="6" t="s">
        <v>45</v>
      </c>
      <c r="D16" s="7" t="s">
        <v>33</v>
      </c>
      <c r="E16" s="6" t="s">
        <v>34</v>
      </c>
      <c r="F16" s="8" t="s">
        <v>13</v>
      </c>
      <c r="G16" s="9"/>
    </row>
    <row r="17" customFormat="false" ht="36" hidden="false" customHeight="true" outlineLevel="0" collapsed="false">
      <c r="A17" s="4" t="s">
        <v>46</v>
      </c>
      <c r="B17" s="10" t="s">
        <v>14</v>
      </c>
      <c r="C17" s="6" t="s">
        <v>47</v>
      </c>
      <c r="D17" s="7" t="s">
        <v>33</v>
      </c>
      <c r="E17" s="6" t="s">
        <v>48</v>
      </c>
      <c r="F17" s="8" t="s">
        <v>13</v>
      </c>
      <c r="G17" s="9"/>
    </row>
    <row r="18" customFormat="false" ht="36" hidden="false" customHeight="true" outlineLevel="0" collapsed="false">
      <c r="A18" s="4" t="s">
        <v>46</v>
      </c>
      <c r="B18" s="5" t="s">
        <v>10</v>
      </c>
      <c r="C18" s="6" t="s">
        <v>49</v>
      </c>
      <c r="D18" s="7" t="str">
        <f aca="false">'الإعدادات واللجنة'!$B$12</f>
        <v>د. نهلة بنت سعد القثامي</v>
      </c>
      <c r="E18" s="6" t="s">
        <v>50</v>
      </c>
      <c r="F18" s="8" t="s">
        <v>13</v>
      </c>
      <c r="G18" s="9"/>
    </row>
    <row r="19" customFormat="false" ht="36" hidden="false" customHeight="true" outlineLevel="0" collapsed="false">
      <c r="A19" s="4" t="s">
        <v>51</v>
      </c>
      <c r="B19" s="10" t="s">
        <v>14</v>
      </c>
      <c r="C19" s="6" t="s">
        <v>52</v>
      </c>
      <c r="D19" s="7" t="s">
        <v>33</v>
      </c>
      <c r="E19" s="6" t="s">
        <v>53</v>
      </c>
      <c r="F19" s="8" t="s">
        <v>13</v>
      </c>
      <c r="G19" s="9"/>
    </row>
    <row r="20" customFormat="false" ht="36" hidden="false" customHeight="true" outlineLevel="0" collapsed="false">
      <c r="A20" s="4" t="s">
        <v>51</v>
      </c>
      <c r="B20" s="5" t="s">
        <v>10</v>
      </c>
      <c r="C20" s="6" t="s">
        <v>54</v>
      </c>
      <c r="D20" s="7" t="str">
        <f aca="false">'الإعدادات واللجنة'!$B$12</f>
        <v>د. نهلة بنت سعد القثامي</v>
      </c>
      <c r="E20" s="6" t="s">
        <v>43</v>
      </c>
      <c r="F20" s="8" t="s">
        <v>13</v>
      </c>
      <c r="G20" s="9"/>
    </row>
    <row r="21" customFormat="false" ht="36" hidden="false" customHeight="true" outlineLevel="0" collapsed="false">
      <c r="A21" s="4" t="s">
        <v>51</v>
      </c>
      <c r="B21" s="11" t="s">
        <v>19</v>
      </c>
      <c r="C21" s="6" t="s">
        <v>55</v>
      </c>
      <c r="D21" s="7" t="str">
        <f aca="false">'الإعدادات واللجنة'!$B$18</f>
        <v>د. عبدالله بن محمد البركاتي</v>
      </c>
      <c r="E21" s="6" t="s">
        <v>56</v>
      </c>
      <c r="F21" s="8" t="s">
        <v>13</v>
      </c>
      <c r="G21" s="9"/>
    </row>
    <row r="22" customFormat="false" ht="36" hidden="false" customHeight="true" outlineLevel="0" collapsed="false">
      <c r="A22" s="4" t="s">
        <v>57</v>
      </c>
      <c r="B22" s="5" t="s">
        <v>10</v>
      </c>
      <c r="C22" s="6" t="s">
        <v>58</v>
      </c>
      <c r="D22" s="7" t="str">
        <f aca="false">'الإعدادات واللجنة'!$B$12&amp;" + "&amp;'الإعدادات واللجنة'!$B$14&amp;" + "&amp;'الإعدادات واللجنة'!$B$13</f>
        <v>د. نهلة بنت سعد القثامي + أ. فاطمة بنت سلمان الخزعل + د. عبير بنت عبدالله راجحي</v>
      </c>
      <c r="E22" s="6" t="s">
        <v>59</v>
      </c>
      <c r="F22" s="8" t="s">
        <v>13</v>
      </c>
      <c r="G22" s="9"/>
    </row>
    <row r="23" customFormat="false" ht="36" hidden="false" customHeight="true" outlineLevel="0" collapsed="false">
      <c r="A23" s="4" t="s">
        <v>57</v>
      </c>
      <c r="B23" s="5" t="s">
        <v>10</v>
      </c>
      <c r="C23" s="6" t="s">
        <v>60</v>
      </c>
      <c r="D23" s="7" t="str">
        <f aca="false">'الإعدادات واللجنة'!$B$12</f>
        <v>د. نهلة بنت سعد القثامي</v>
      </c>
      <c r="E23" s="6" t="s">
        <v>61</v>
      </c>
      <c r="F23" s="8" t="s">
        <v>13</v>
      </c>
      <c r="G23" s="9"/>
    </row>
    <row r="25" customFormat="false" ht="15" hidden="false" customHeight="true" outlineLevel="0" collapsed="false">
      <c r="A25" s="13" t="s">
        <v>62</v>
      </c>
      <c r="B25" s="13"/>
      <c r="C25" s="13"/>
      <c r="D25" s="13"/>
      <c r="E25" s="13"/>
      <c r="F25" s="13"/>
      <c r="G25" s="13"/>
    </row>
    <row r="26" customFormat="false" ht="15" hidden="false" customHeight="true" outlineLevel="0" collapsed="false">
      <c r="A26" s="14" t="s">
        <v>63</v>
      </c>
      <c r="B26" s="14"/>
      <c r="C26" s="14"/>
      <c r="D26" s="14"/>
      <c r="E26" s="14"/>
      <c r="F26" s="14"/>
      <c r="G26" s="14"/>
    </row>
    <row r="27" customFormat="false" ht="15" hidden="false" customHeight="true" outlineLevel="0" collapsed="false">
      <c r="A27" s="14" t="s">
        <v>64</v>
      </c>
      <c r="B27" s="14"/>
      <c r="C27" s="14"/>
      <c r="D27" s="14"/>
      <c r="E27" s="14"/>
      <c r="F27" s="14"/>
      <c r="G27" s="14"/>
    </row>
    <row r="28" customFormat="false" ht="15" hidden="false" customHeight="true" outlineLevel="0" collapsed="false">
      <c r="A28" s="14" t="s">
        <v>65</v>
      </c>
      <c r="B28" s="14"/>
      <c r="C28" s="14"/>
      <c r="D28" s="14"/>
      <c r="E28" s="14"/>
      <c r="F28" s="14"/>
      <c r="G28" s="14"/>
    </row>
    <row r="30" customFormat="false" ht="15" hidden="false" customHeight="true" outlineLevel="0" collapsed="false">
      <c r="A30" s="13" t="s">
        <v>66</v>
      </c>
      <c r="B30" s="13"/>
      <c r="C30" s="13"/>
      <c r="D30" s="13"/>
      <c r="E30" s="13"/>
      <c r="F30" s="13"/>
      <c r="G30" s="13"/>
    </row>
    <row r="31" customFormat="false" ht="15" hidden="false" customHeight="true" outlineLevel="0" collapsed="false">
      <c r="A31" s="14" t="s">
        <v>67</v>
      </c>
      <c r="B31" s="14"/>
      <c r="C31" s="14"/>
      <c r="D31" s="14"/>
      <c r="E31" s="14"/>
      <c r="F31" s="14"/>
      <c r="G31" s="14"/>
    </row>
    <row r="32" customFormat="false" ht="27.75" hidden="false" customHeight="true" outlineLevel="0" collapsed="false">
      <c r="A32" s="14" t="s">
        <v>68</v>
      </c>
      <c r="B32" s="14"/>
      <c r="C32" s="14"/>
      <c r="D32" s="14"/>
      <c r="E32" s="14"/>
      <c r="F32" s="14"/>
      <c r="G32" s="14"/>
    </row>
    <row r="33" customFormat="false" ht="15" hidden="false" customHeight="true" outlineLevel="0" collapsed="false">
      <c r="A33" s="14" t="s">
        <v>69</v>
      </c>
      <c r="B33" s="14"/>
      <c r="C33" s="14"/>
      <c r="D33" s="14"/>
      <c r="E33" s="14"/>
      <c r="F33" s="14"/>
      <c r="G33" s="14"/>
    </row>
    <row r="34" customFormat="false" ht="15" hidden="false" customHeight="true" outlineLevel="0" collapsed="false">
      <c r="A34" s="14" t="s">
        <v>70</v>
      </c>
      <c r="B34" s="14"/>
      <c r="C34" s="14"/>
      <c r="D34" s="14"/>
      <c r="E34" s="14"/>
      <c r="F34" s="14"/>
      <c r="G34" s="14"/>
    </row>
    <row r="35" customFormat="false" ht="27.75" hidden="false" customHeight="true" outlineLevel="0" collapsed="false">
      <c r="A35" s="14" t="s">
        <v>71</v>
      </c>
      <c r="B35" s="14"/>
      <c r="C35" s="14"/>
      <c r="D35" s="14"/>
      <c r="E35" s="14"/>
      <c r="F35" s="14"/>
      <c r="G35" s="14"/>
    </row>
    <row r="36" customFormat="false" ht="27.75" hidden="false" customHeight="true" outlineLevel="0" collapsed="false">
      <c r="A36" s="14" t="s">
        <v>72</v>
      </c>
      <c r="B36" s="14"/>
      <c r="C36" s="14"/>
      <c r="D36" s="14"/>
      <c r="E36" s="14"/>
      <c r="F36" s="14"/>
      <c r="G36" s="14"/>
    </row>
    <row r="37" customFormat="false" ht="15" hidden="false" customHeight="true" outlineLevel="0" collapsed="false">
      <c r="A37" s="14" t="s">
        <v>73</v>
      </c>
      <c r="B37" s="14"/>
      <c r="C37" s="14"/>
      <c r="D37" s="14"/>
      <c r="E37" s="14"/>
      <c r="F37" s="14"/>
      <c r="G37" s="14"/>
    </row>
    <row r="39" customFormat="false" ht="15" hidden="false" customHeight="true" outlineLevel="0" collapsed="false">
      <c r="A39" s="13" t="s">
        <v>74</v>
      </c>
      <c r="B39" s="13"/>
      <c r="C39" s="13"/>
      <c r="D39" s="13"/>
      <c r="E39" s="13"/>
      <c r="F39" s="13"/>
      <c r="G39" s="13"/>
    </row>
    <row r="40" customFormat="false" ht="15" hidden="false" customHeight="true" outlineLevel="0" collapsed="false">
      <c r="A40" s="14" t="s">
        <v>75</v>
      </c>
      <c r="B40" s="14"/>
      <c r="C40" s="14"/>
      <c r="D40" s="14"/>
      <c r="E40" s="14"/>
      <c r="F40" s="14"/>
      <c r="G40" s="14"/>
    </row>
    <row r="41" customFormat="false" ht="15" hidden="false" customHeight="true" outlineLevel="0" collapsed="false">
      <c r="A41" s="14" t="s">
        <v>76</v>
      </c>
      <c r="B41" s="14"/>
      <c r="C41" s="14"/>
      <c r="D41" s="14"/>
      <c r="E41" s="14"/>
      <c r="F41" s="14"/>
      <c r="G41" s="14"/>
    </row>
    <row r="42" customFormat="false" ht="27.75" hidden="false" customHeight="true" outlineLevel="0" collapsed="false">
      <c r="A42" s="14" t="s">
        <v>77</v>
      </c>
      <c r="B42" s="14"/>
      <c r="C42" s="14"/>
      <c r="D42" s="14"/>
      <c r="E42" s="14"/>
      <c r="F42" s="14"/>
      <c r="G42" s="14"/>
    </row>
    <row r="44" customFormat="false" ht="15" hidden="false" customHeight="true" outlineLevel="0" collapsed="false">
      <c r="A44" s="13" t="s">
        <v>78</v>
      </c>
      <c r="B44" s="13"/>
      <c r="C44" s="13"/>
      <c r="D44" s="13"/>
      <c r="E44" s="13"/>
      <c r="F44" s="13"/>
      <c r="G44" s="13"/>
    </row>
    <row r="45" customFormat="false" ht="42" hidden="false" customHeight="true" outlineLevel="0" collapsed="false">
      <c r="A45" s="14" t="s">
        <v>79</v>
      </c>
      <c r="B45" s="14"/>
      <c r="C45" s="14"/>
      <c r="D45" s="14"/>
      <c r="E45" s="14"/>
      <c r="F45" s="14"/>
      <c r="G45" s="14"/>
    </row>
  </sheetData>
  <mergeCells count="20">
    <mergeCell ref="A1:G1"/>
    <mergeCell ref="A2:G2"/>
    <mergeCell ref="A25:G25"/>
    <mergeCell ref="A26:G26"/>
    <mergeCell ref="A27:G27"/>
    <mergeCell ref="A28:G28"/>
    <mergeCell ref="A30:G30"/>
    <mergeCell ref="A31:G31"/>
    <mergeCell ref="A32:G32"/>
    <mergeCell ref="A33:G33"/>
    <mergeCell ref="A34:G34"/>
    <mergeCell ref="A35:G35"/>
    <mergeCell ref="A36:G36"/>
    <mergeCell ref="A37:G37"/>
    <mergeCell ref="A39:G39"/>
    <mergeCell ref="A40:G40"/>
    <mergeCell ref="A41:G41"/>
    <mergeCell ref="A42:G42"/>
    <mergeCell ref="A44:G44"/>
    <mergeCell ref="A45:G45"/>
  </mergeCells>
  <conditionalFormatting sqref="F5:F23">
    <cfRule type="cellIs" priority="2" operator="equal" aboveAverage="0" equalAverage="0" bottom="0" percent="0" rank="0" text="" dxfId="0">
      <formula>"مكتملة"</formula>
    </cfRule>
    <cfRule type="cellIs" priority="3" operator="equal" aboveAverage="0" equalAverage="0" bottom="0" percent="0" rank="0" text="" dxfId="1">
      <formula>"متأخرة"</formula>
    </cfRule>
  </conditionalFormatting>
  <dataValidations count="1">
    <dataValidation allowBlank="true" errorStyle="stop" operator="between" showDropDown="false" showErrorMessage="false" showInputMessage="false" sqref="F5:F23" type="list">
      <formula1>"لم تبدأ,قيد التنفيذ,مكتملة,متأخرة"</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18"/>
  </cols>
  <sheetData>
    <row r="1" customFormat="false" ht="18.55" hidden="false" customHeight="true" outlineLevel="0" collapsed="false">
      <c r="A1" s="1" t="s">
        <v>80</v>
      </c>
      <c r="B1" s="1"/>
      <c r="C1" s="1"/>
      <c r="D1" s="1"/>
      <c r="E1" s="1"/>
    </row>
    <row r="2" customFormat="false" ht="15" hidden="false" customHeight="true" outlineLevel="0" collapsed="false">
      <c r="A2" s="14" t="s">
        <v>81</v>
      </c>
      <c r="B2" s="14"/>
      <c r="C2" s="14"/>
      <c r="D2" s="14"/>
      <c r="E2" s="14"/>
    </row>
    <row r="4" customFormat="false" ht="15" hidden="false" customHeight="true" outlineLevel="0" collapsed="false">
      <c r="A4" s="13" t="s">
        <v>82</v>
      </c>
      <c r="B4" s="13"/>
      <c r="C4" s="13"/>
      <c r="D4" s="13"/>
      <c r="E4" s="13"/>
    </row>
    <row r="5" customFormat="false" ht="15" hidden="false" customHeight="true" outlineLevel="0" collapsed="false">
      <c r="A5" s="15" t="s">
        <v>83</v>
      </c>
      <c r="B5" s="16" t="s">
        <v>84</v>
      </c>
      <c r="C5" s="16"/>
    </row>
    <row r="6" customFormat="false" ht="15" hidden="false" customHeight="true" outlineLevel="0" collapsed="false">
      <c r="A6" s="15" t="s">
        <v>85</v>
      </c>
      <c r="B6" s="16" t="s">
        <v>86</v>
      </c>
      <c r="C6" s="16"/>
    </row>
    <row r="7" customFormat="false" ht="15" hidden="false" customHeight="true" outlineLevel="0" collapsed="false">
      <c r="A7" s="15" t="s">
        <v>87</v>
      </c>
      <c r="B7" s="16" t="s">
        <v>88</v>
      </c>
      <c r="C7" s="16"/>
    </row>
    <row r="8" customFormat="false" ht="15" hidden="false" customHeight="true" outlineLevel="0" collapsed="false">
      <c r="A8" s="2" t="s">
        <v>89</v>
      </c>
      <c r="B8" s="2"/>
      <c r="C8" s="2"/>
      <c r="D8" s="2"/>
      <c r="E8" s="2"/>
    </row>
    <row r="10" customFormat="false" ht="15" hidden="false" customHeight="true" outlineLevel="0" collapsed="false">
      <c r="A10" s="13" t="s">
        <v>90</v>
      </c>
      <c r="B10" s="13"/>
      <c r="C10" s="13"/>
      <c r="D10" s="13"/>
      <c r="E10" s="13"/>
    </row>
    <row r="11" customFormat="false" ht="15" hidden="false" customHeight="false" outlineLevel="0" collapsed="false">
      <c r="A11" s="3" t="s">
        <v>91</v>
      </c>
      <c r="B11" s="3" t="s">
        <v>92</v>
      </c>
      <c r="C11" s="3" t="s">
        <v>93</v>
      </c>
      <c r="D11" s="3" t="s">
        <v>94</v>
      </c>
      <c r="E11" s="3" t="s">
        <v>95</v>
      </c>
    </row>
    <row r="12" customFormat="false" ht="42" hidden="false" customHeight="true" outlineLevel="0" collapsed="false">
      <c r="A12" s="7" t="n">
        <v>1</v>
      </c>
      <c r="B12" s="16" t="s">
        <v>96</v>
      </c>
      <c r="C12" s="7" t="s">
        <v>97</v>
      </c>
      <c r="D12" s="6" t="s">
        <v>98</v>
      </c>
      <c r="E12" s="7" t="n">
        <f aca="false">COUNTIF('فحص-حاسب-بكالوريوس'!$H:$H,B12)+COUNTIF('فحص-بيانات-بكالوريوس'!$H:$H,B12)+COUNTIF('فحص-بيانات-ماجستير'!$H:$H,B12)</f>
        <v>0</v>
      </c>
    </row>
    <row r="13" customFormat="false" ht="42" hidden="false" customHeight="true" outlineLevel="0" collapsed="false">
      <c r="A13" s="7" t="n">
        <v>2</v>
      </c>
      <c r="B13" s="16" t="s">
        <v>99</v>
      </c>
      <c r="C13" s="7" t="s">
        <v>100</v>
      </c>
      <c r="D13" s="6" t="s">
        <v>101</v>
      </c>
      <c r="E13" s="7" t="n">
        <f aca="false">COUNTIF('فحص-حاسب-بكالوريوس'!$H:$H,B13)+COUNTIF('فحص-بيانات-بكالوريوس'!$H:$H,B13)+COUNTIF('فحص-بيانات-ماجستير'!$H:$H,B13)</f>
        <v>0</v>
      </c>
    </row>
    <row r="14" customFormat="false" ht="42" hidden="false" customHeight="true" outlineLevel="0" collapsed="false">
      <c r="A14" s="7" t="n">
        <v>3</v>
      </c>
      <c r="B14" s="16" t="s">
        <v>102</v>
      </c>
      <c r="C14" s="7" t="s">
        <v>103</v>
      </c>
      <c r="D14" s="6" t="s">
        <v>104</v>
      </c>
      <c r="E14" s="7" t="n">
        <f aca="false">COUNTIF('فحص-حاسب-بكالوريوس'!$H:$H,B14)+COUNTIF('فحص-بيانات-بكالوريوس'!$H:$H,B14)+COUNTIF('فحص-بيانات-ماجستير'!$H:$H,B14)</f>
        <v>0</v>
      </c>
    </row>
    <row r="15" customFormat="false" ht="42" hidden="false" customHeight="true" outlineLevel="0" collapsed="false">
      <c r="A15" s="7" t="n">
        <v>4</v>
      </c>
      <c r="B15" s="16" t="s">
        <v>105</v>
      </c>
      <c r="C15" s="7" t="s">
        <v>106</v>
      </c>
      <c r="D15" s="6" t="s">
        <v>107</v>
      </c>
      <c r="E15" s="7" t="n">
        <f aca="false">COUNTIF('فحص-حاسب-بكالوريوس'!$H:$H,B15)+COUNTIF('فحص-بيانات-بكالوريوس'!$H:$H,B15)+COUNTIF('فحص-بيانات-ماجستير'!$H:$H,B15)</f>
        <v>117</v>
      </c>
    </row>
    <row r="16" customFormat="false" ht="42" hidden="false" customHeight="true" outlineLevel="0" collapsed="false">
      <c r="A16" s="7" t="n">
        <v>5</v>
      </c>
      <c r="B16" s="16" t="s">
        <v>108</v>
      </c>
      <c r="C16" s="7" t="s">
        <v>106</v>
      </c>
      <c r="D16" s="6" t="s">
        <v>109</v>
      </c>
      <c r="E16" s="7" t="n">
        <f aca="false">COUNTIF('فحص-حاسب-بكالوريوس'!$H:$H,B16)+COUNTIF('فحص-بيانات-بكالوريوس'!$H:$H,B16)+COUNTIF('فحص-بيانات-ماجستير'!$H:$H,B16)</f>
        <v>141</v>
      </c>
    </row>
    <row r="17" customFormat="false" ht="42" hidden="false" customHeight="true" outlineLevel="0" collapsed="false">
      <c r="A17" s="7" t="n">
        <v>6</v>
      </c>
      <c r="B17" s="16" t="s">
        <v>110</v>
      </c>
      <c r="C17" s="7" t="s">
        <v>106</v>
      </c>
      <c r="D17" s="6" t="s">
        <v>111</v>
      </c>
      <c r="E17" s="7" t="n">
        <f aca="false">COUNTIF('فحص-حاسب-بكالوريوس'!$H:$H,B17)+COUNTIF('فحص-بيانات-بكالوريوس'!$H:$H,B17)+COUNTIF('فحص-بيانات-ماجستير'!$H:$H,B17)</f>
        <v>77</v>
      </c>
    </row>
    <row r="18" customFormat="false" ht="42" hidden="false" customHeight="true" outlineLevel="0" collapsed="false">
      <c r="A18" s="7" t="n">
        <v>7</v>
      </c>
      <c r="B18" s="16" t="s">
        <v>112</v>
      </c>
      <c r="C18" s="7" t="s">
        <v>113</v>
      </c>
      <c r="D18" s="6" t="s">
        <v>114</v>
      </c>
      <c r="E18" s="7" t="n">
        <f aca="false">COUNTIF('فحص-حاسب-بكالوريوس'!$H:$H,B18)+COUNTIF('فحص-بيانات-بكالوريوس'!$H:$H,B18)+COUNTIF('فحص-بيانات-ماجستير'!$H:$H,B18)</f>
        <v>92</v>
      </c>
    </row>
    <row r="19" customFormat="false" ht="42" hidden="false" customHeight="true" outlineLevel="0" collapsed="false">
      <c r="A19" s="7" t="n">
        <v>8</v>
      </c>
      <c r="B19" s="16" t="s">
        <v>115</v>
      </c>
      <c r="C19" s="7" t="s">
        <v>106</v>
      </c>
      <c r="D19" s="6" t="s">
        <v>116</v>
      </c>
      <c r="E19" s="7" t="n">
        <f aca="false">COUNTIF('فحص-حاسب-بكالوريوس'!$H:$H,B19)+COUNTIF('فحص-بيانات-بكالوريوس'!$H:$H,B19)+COUNTIF('فحص-بيانات-ماجستير'!$H:$H,B19)</f>
        <v>111</v>
      </c>
    </row>
    <row r="20" customFormat="false" ht="42" hidden="false" customHeight="true" outlineLevel="0" collapsed="false">
      <c r="A20" s="7" t="n">
        <v>9</v>
      </c>
      <c r="B20" s="16" t="s">
        <v>117</v>
      </c>
      <c r="C20" s="7" t="s">
        <v>106</v>
      </c>
      <c r="D20" s="6" t="s">
        <v>118</v>
      </c>
      <c r="E20" s="7" t="n">
        <f aca="false">COUNTIF('فحص-حاسب-بكالوريوس'!$H:$H,B20)+COUNTIF('فحص-بيانات-بكالوريوس'!$H:$H,B20)+COUNTIF('فحص-بيانات-ماجستير'!$H:$H,B20)</f>
        <v>96</v>
      </c>
    </row>
    <row r="22" customFormat="false" ht="15" hidden="false" customHeight="true" outlineLevel="0" collapsed="false">
      <c r="A22" s="13" t="s">
        <v>119</v>
      </c>
      <c r="B22" s="13"/>
      <c r="C22" s="13"/>
      <c r="D22" s="13"/>
      <c r="E22" s="13"/>
    </row>
    <row r="23" customFormat="false" ht="15" hidden="false" customHeight="false" outlineLevel="0" collapsed="false">
      <c r="A23" s="3" t="s">
        <v>120</v>
      </c>
      <c r="B23" s="3" t="s">
        <v>121</v>
      </c>
      <c r="C23" s="3" t="s">
        <v>5</v>
      </c>
      <c r="D23" s="3" t="s">
        <v>122</v>
      </c>
      <c r="E23" s="3" t="s">
        <v>123</v>
      </c>
    </row>
    <row r="24" customFormat="false" ht="15" hidden="false" customHeight="false" outlineLevel="0" collapsed="false">
      <c r="A24" s="4" t="s">
        <v>124</v>
      </c>
      <c r="B24" s="6" t="s">
        <v>125</v>
      </c>
      <c r="C24" s="8" t="str">
        <f aca="false">'الإعدادات واللجنة'!$B$15</f>
        <v>د. سلطان بن سعيد الشمراني</v>
      </c>
      <c r="D24" s="7" t="n">
        <f aca="false">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7" t="n">
        <f aca="false">COUNTIF('فحص-حاسب-بكالوريوس'!$A:$A,A24&amp;"-*")+COUNTIF('فحص-بيانات-بكالوريوس'!$A:$A,A24&amp;"-*")+COUNTIF('فحص-بيانات-ماجستير'!$A:$A,A24&amp;"-*")</f>
        <v>117</v>
      </c>
    </row>
    <row r="25" customFormat="false" ht="15" hidden="false" customHeight="false" outlineLevel="0" collapsed="false">
      <c r="A25" s="4" t="s">
        <v>126</v>
      </c>
      <c r="B25" s="6" t="s">
        <v>127</v>
      </c>
      <c r="C25" s="8" t="str">
        <f aca="false">'الإعدادات واللجنة'!$B$20</f>
        <v>د. حسن بن سعد القحطاني</v>
      </c>
      <c r="D25" s="7" t="n">
        <f aca="false">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7" t="n">
        <f aca="false">COUNTIF('فحص-حاسب-بكالوريوس'!$A:$A,A25&amp;"-*")+COUNTIF('فحص-بيانات-بكالوريوس'!$A:$A,A25&amp;"-*")+COUNTIF('فحص-بيانات-ماجستير'!$A:$A,A25&amp;"-*")</f>
        <v>39</v>
      </c>
    </row>
    <row r="26" customFormat="false" ht="15" hidden="false" customHeight="false" outlineLevel="0" collapsed="false">
      <c r="A26" s="4" t="s">
        <v>128</v>
      </c>
      <c r="B26" s="6" t="s">
        <v>129</v>
      </c>
      <c r="C26" s="8" t="str">
        <f aca="false">'الإعدادات واللجنة'!$B$16</f>
        <v>د. احمد بن عوض البشري</v>
      </c>
      <c r="D26" s="7" t="n">
        <f aca="false">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7" t="n">
        <f aca="false">COUNTIF('فحص-حاسب-بكالوريوس'!$A:$A,A26&amp;"-*")+COUNTIF('فحص-بيانات-بكالوريوس'!$A:$A,A26&amp;"-*")+COUNTIF('فحص-بيانات-ماجستير'!$A:$A,A26&amp;"-*")</f>
        <v>75</v>
      </c>
    </row>
    <row r="27" customFormat="false" ht="15" hidden="false" customHeight="false" outlineLevel="0" collapsed="false">
      <c r="A27" s="4" t="s">
        <v>130</v>
      </c>
      <c r="B27" s="6" t="s">
        <v>131</v>
      </c>
      <c r="C27" s="8" t="str">
        <f aca="false">'الإعدادات واللجنة'!$B$16</f>
        <v>د. احمد بن عوض البشري</v>
      </c>
      <c r="D27" s="7" t="n">
        <f aca="false">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7" t="n">
        <f aca="false">COUNTIF('فحص-حاسب-بكالوريوس'!$A:$A,A27&amp;"-*")+COUNTIF('فحص-بيانات-بكالوريوس'!$A:$A,A27&amp;"-*")+COUNTIF('فحص-بيانات-ماجستير'!$A:$A,A27&amp;"-*")</f>
        <v>66</v>
      </c>
    </row>
    <row r="28" customFormat="false" ht="15" hidden="false" customHeight="false" outlineLevel="0" collapsed="false">
      <c r="A28" s="4" t="s">
        <v>132</v>
      </c>
      <c r="B28" s="6" t="s">
        <v>133</v>
      </c>
      <c r="C28" s="8" t="str">
        <f aca="false">'الإعدادات واللجنة'!$B$17</f>
        <v>د. يثرب بنت سعد القحطاني</v>
      </c>
      <c r="D28" s="7" t="n">
        <f aca="false">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7" t="n">
        <f aca="false">COUNTIF('فحص-حاسب-بكالوريوس'!$A:$A,A28&amp;"-*")+COUNTIF('فحص-بيانات-بكالوريوس'!$A:$A,A28&amp;"-*")+COUNTIF('فحص-بيانات-ماجستير'!$A:$A,A28&amp;"-*")</f>
        <v>77</v>
      </c>
    </row>
    <row r="29" customFormat="false" ht="15" hidden="false" customHeight="false" outlineLevel="0" collapsed="false">
      <c r="A29" s="4" t="s">
        <v>134</v>
      </c>
      <c r="B29" s="6" t="s">
        <v>135</v>
      </c>
      <c r="C29" s="8" t="str">
        <f aca="false">'الإعدادات واللجنة'!$B$18</f>
        <v>د. عبدالله بن محمد البركاتي</v>
      </c>
      <c r="D29" s="7" t="n">
        <f aca="false">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7" t="n">
        <f aca="false">COUNTIF('فحص-حاسب-بكالوريوس'!$A:$A,A29&amp;"-*")+COUNTIF('فحص-بيانات-بكالوريوس'!$A:$A,A29&amp;"-*")+COUNTIF('فحص-بيانات-ماجستير'!$A:$A,A29&amp;"-*")</f>
        <v>92</v>
      </c>
    </row>
    <row r="30" customFormat="false" ht="15" hidden="false" customHeight="false" outlineLevel="0" collapsed="false">
      <c r="A30" s="4" t="s">
        <v>136</v>
      </c>
      <c r="B30" s="6" t="s">
        <v>137</v>
      </c>
      <c r="C30" s="8" t="str">
        <f aca="false">'الإعدادات واللجنة'!$B$19</f>
        <v>د. عمر بن محمد موسى</v>
      </c>
      <c r="D30" s="7" t="n">
        <f aca="false">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7" t="n">
        <f aca="false">COUNTIF('فحص-حاسب-بكالوريوس'!$A:$A,A30&amp;"-*")+COUNTIF('فحص-بيانات-بكالوريوس'!$A:$A,A30&amp;"-*")+COUNTIF('فحص-بيانات-ماجستير'!$A:$A,A30&amp;"-*")</f>
        <v>78</v>
      </c>
    </row>
    <row r="31" customFormat="false" ht="15" hidden="false" customHeight="false" outlineLevel="0" collapsed="false">
      <c r="A31" s="4" t="s">
        <v>138</v>
      </c>
      <c r="B31" s="6" t="s">
        <v>139</v>
      </c>
      <c r="C31" s="8" t="str">
        <f aca="false">'الإعدادات واللجنة'!$B$20</f>
        <v>د. حسن بن سعد القحطاني</v>
      </c>
      <c r="D31" s="7" t="n">
        <f aca="false">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7" t="n">
        <f aca="false">COUNTIF('فحص-حاسب-بكالوريوس'!$A:$A,A31&amp;"-*")+COUNTIF('فحص-بيانات-بكالوريوس'!$A:$A,A31&amp;"-*")+COUNTIF('فحص-بيانات-ماجستير'!$A:$A,A31&amp;"-*")</f>
        <v>57</v>
      </c>
    </row>
    <row r="32" customFormat="false" ht="15" hidden="false" customHeight="false" outlineLevel="0" collapsed="false">
      <c r="A32" s="4" t="s">
        <v>140</v>
      </c>
      <c r="B32" s="6" t="s">
        <v>141</v>
      </c>
      <c r="C32" s="8" t="str">
        <f aca="false">'الإعدادات واللجنة'!$B$19</f>
        <v>د. عمر بن محمد موسى</v>
      </c>
      <c r="D32" s="7" t="n">
        <f aca="false">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7" t="n">
        <f aca="false">COUNTIF('فحص-حاسب-بكالوريوس'!$A:$A,A32&amp;"-*")+COUNTIF('فحص-بيانات-بكالوريوس'!$A:$A,A32&amp;"-*")+COUNTIF('فحص-بيانات-ماجستير'!$A:$A,A32&amp;"-*")</f>
        <v>33</v>
      </c>
    </row>
  </sheetData>
  <mergeCells count="9">
    <mergeCell ref="A1:E1"/>
    <mergeCell ref="A2:E2"/>
    <mergeCell ref="A4:E4"/>
    <mergeCell ref="B5:C5"/>
    <mergeCell ref="B6:C6"/>
    <mergeCell ref="B7:C7"/>
    <mergeCell ref="A8:E8"/>
    <mergeCell ref="A10:E10"/>
    <mergeCell ref="A22:E22"/>
  </mergeCells>
  <dataValidations count="1">
    <dataValidation allowBlank="true" errorStyle="stop" operator="between" showDropDown="false" showErrorMessage="false" showInputMessage="false" sqref="C24:C32" type="list">
      <formula1>'الإعدادات واللجنة'!$B$12:$B$20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I5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4" min="2" style="0" width="14"/>
    <col collapsed="false" customWidth="true" hidden="false" outlineLevel="0" max="6" min="5" style="0" width="11"/>
    <col collapsed="false" customWidth="true" hidden="false" outlineLevel="0" max="7" min="7" style="0" width="13"/>
    <col collapsed="false" customWidth="true" hidden="false" outlineLevel="0" max="8" min="8" style="0" width="12"/>
    <col collapsed="false" customWidth="true" hidden="false" outlineLevel="0" max="9" min="9" style="0" width="15"/>
  </cols>
  <sheetData>
    <row r="1" customFormat="false" ht="18.55" hidden="false" customHeight="true" outlineLevel="0" collapsed="false">
      <c r="A1" s="1" t="s">
        <v>142</v>
      </c>
      <c r="B1" s="1"/>
      <c r="C1" s="1"/>
      <c r="D1" s="1"/>
      <c r="E1" s="1"/>
      <c r="F1" s="1"/>
      <c r="G1" s="1"/>
      <c r="H1" s="1"/>
      <c r="I1" s="1"/>
    </row>
    <row r="2" customFormat="false" ht="15" hidden="false" customHeight="true" outlineLevel="0" collapsed="false">
      <c r="A2" s="14" t="s">
        <v>143</v>
      </c>
      <c r="B2" s="14"/>
      <c r="C2" s="14"/>
      <c r="D2" s="14"/>
      <c r="E2" s="14"/>
      <c r="F2" s="14"/>
      <c r="G2" s="14"/>
      <c r="H2" s="14"/>
      <c r="I2" s="14"/>
    </row>
    <row r="4" customFormat="false" ht="15" hidden="false" customHeight="false" outlineLevel="0" collapsed="false">
      <c r="A4" s="17" t="str">
        <f aca="false">'الإعدادات واللجنة'!$B$5</f>
        <v>بكالوريوس علوم الحاسب</v>
      </c>
      <c r="B4" s="17"/>
      <c r="C4" s="17"/>
      <c r="D4" s="17"/>
      <c r="E4" s="17"/>
      <c r="F4" s="17"/>
      <c r="G4" s="17"/>
      <c r="H4" s="17"/>
      <c r="I4" s="17"/>
    </row>
    <row r="5" customFormat="false" ht="15" hidden="false" customHeight="false" outlineLevel="0" collapsed="false">
      <c r="A5" s="3" t="s">
        <v>144</v>
      </c>
      <c r="B5" s="3" t="s">
        <v>145</v>
      </c>
      <c r="C5" s="3" t="s">
        <v>146</v>
      </c>
      <c r="D5" s="3" t="s">
        <v>147</v>
      </c>
      <c r="E5" s="3" t="s">
        <v>148</v>
      </c>
      <c r="F5" s="3" t="s">
        <v>149</v>
      </c>
      <c r="G5" s="3" t="s">
        <v>150</v>
      </c>
      <c r="H5" s="3" t="s">
        <v>151</v>
      </c>
      <c r="I5" s="3" t="s">
        <v>152</v>
      </c>
    </row>
    <row r="6" customFormat="false" ht="15" hidden="false" customHeight="false" outlineLevel="0" collapsed="false">
      <c r="A6" s="18" t="s">
        <v>153</v>
      </c>
      <c r="B6" s="7" t="n">
        <f aca="false">COUNTIF('فحص-حاسب-بكالوريوس'!$B$5:$B$208,"1. إدارة البرنامج وضمان جودته")</f>
        <v>52</v>
      </c>
      <c r="C6" s="7" t="n">
        <f aca="false">COUNTIFS('فحص-حاسب-بكالوريوس'!$B$5:$B$208,"1. إدارة البرنامج وضمان جودته",'فحص-حاسب-بكالوريوس'!$I$5:$I$208,"متوفر ومكتمل")</f>
        <v>0</v>
      </c>
      <c r="D6" s="7" t="n">
        <f aca="false">COUNTIFS('فحص-حاسب-بكالوريوس'!$B$5:$B$208,"1. إدارة البرنامج وضمان جودته",'فحص-حاسب-بكالوريوس'!$I$5:$I$208,"متوفر ويحتاج تحسين")</f>
        <v>0</v>
      </c>
      <c r="E6" s="7" t="n">
        <f aca="false">COUNTIFS('فحص-حاسب-بكالوريوس'!$B$5:$B$208,"1. إدارة البرنامج وضمان جودته",'فحص-حاسب-بكالوريوس'!$I$5:$I$208,"غير متوفر")</f>
        <v>0</v>
      </c>
      <c r="F6" s="7" t="n">
        <f aca="false">B6-SUM(C6:E6)</f>
        <v>52</v>
      </c>
      <c r="G6" s="19" t="n">
        <f aca="false">IF(B6=0,0,C6/B6)</f>
        <v>0</v>
      </c>
      <c r="H6" s="7" t="n">
        <f aca="false">COUNTIFS('فحص-حاسب-بكالوريوس'!$B$5:$B$208,"1. إدارة البرنامج وضمان جودته",'فحص-حاسب-بكالوريوس'!$K$5:$K$208,"عالية")</f>
        <v>0</v>
      </c>
      <c r="I6" s="7" t="n">
        <f aca="false">COUNTIFS('فحص-حاسب-بكالوريوس'!$B$5:$B$208,"1. إدارة البرنامج وضمان جودته",'فحص-حاسب-بكالوريوس'!$P$5:$P$208,"&lt;&gt;")</f>
        <v>0</v>
      </c>
    </row>
    <row r="7" customFormat="false" ht="15" hidden="false" customHeight="false" outlineLevel="0" collapsed="false">
      <c r="A7" s="18" t="s">
        <v>154</v>
      </c>
      <c r="B7" s="7" t="n">
        <f aca="false">COUNTIF('فحص-حاسب-بكالوريوس'!$B$5:$B$208,"2. التعليم والتعلم")</f>
        <v>75</v>
      </c>
      <c r="C7" s="7" t="n">
        <f aca="false">COUNTIFS('فحص-حاسب-بكالوريوس'!$B$5:$B$208,"2. التعليم والتعلم",'فحص-حاسب-بكالوريوس'!$I$5:$I$208,"متوفر ومكتمل")</f>
        <v>0</v>
      </c>
      <c r="D7" s="7" t="n">
        <f aca="false">COUNTIFS('فحص-حاسب-بكالوريوس'!$B$5:$B$208,"2. التعليم والتعلم",'فحص-حاسب-بكالوريوس'!$I$5:$I$208,"متوفر ويحتاج تحسين")</f>
        <v>0</v>
      </c>
      <c r="E7" s="7" t="n">
        <f aca="false">COUNTIFS('فحص-حاسب-بكالوريوس'!$B$5:$B$208,"2. التعليم والتعلم",'فحص-حاسب-بكالوريوس'!$I$5:$I$208,"غير متوفر")</f>
        <v>0</v>
      </c>
      <c r="F7" s="7" t="n">
        <f aca="false">B7-SUM(C7:E7)</f>
        <v>75</v>
      </c>
      <c r="G7" s="19" t="n">
        <f aca="false">IF(B7=0,0,C7/B7)</f>
        <v>0</v>
      </c>
      <c r="H7" s="7" t="n">
        <f aca="false">COUNTIFS('فحص-حاسب-بكالوريوس'!$B$5:$B$208,"2. التعليم والتعلم",'فحص-حاسب-بكالوريوس'!$K$5:$K$208,"عالية")</f>
        <v>0</v>
      </c>
      <c r="I7" s="7" t="n">
        <f aca="false">COUNTIFS('فحص-حاسب-بكالوريوس'!$B$5:$B$208,"2. التعليم والتعلم",'فحص-حاسب-بكالوريوس'!$P$5:$P$208,"&lt;&gt;")</f>
        <v>0</v>
      </c>
    </row>
    <row r="8" customFormat="false" ht="15" hidden="false" customHeight="false" outlineLevel="0" collapsed="false">
      <c r="A8" s="18" t="s">
        <v>155</v>
      </c>
      <c r="B8" s="7" t="n">
        <f aca="false">COUNTIF('فحص-حاسب-بكالوريوس'!$B$5:$B$208,"3. الطالب")</f>
        <v>32</v>
      </c>
      <c r="C8" s="7" t="n">
        <f aca="false">COUNTIFS('فحص-حاسب-بكالوريوس'!$B$5:$B$208,"3. الطالب",'فحص-حاسب-بكالوريوس'!$I$5:$I$208,"متوفر ومكتمل")</f>
        <v>0</v>
      </c>
      <c r="D8" s="7" t="n">
        <f aca="false">COUNTIFS('فحص-حاسب-بكالوريوس'!$B$5:$B$208,"3. الطالب",'فحص-حاسب-بكالوريوس'!$I$5:$I$208,"متوفر ويحتاج تحسين")</f>
        <v>0</v>
      </c>
      <c r="E8" s="7" t="n">
        <f aca="false">COUNTIFS('فحص-حاسب-بكالوريوس'!$B$5:$B$208,"3. الطالب",'فحص-حاسب-بكالوريوس'!$I$5:$I$208,"غير متوفر")</f>
        <v>0</v>
      </c>
      <c r="F8" s="7" t="n">
        <f aca="false">B8-SUM(C8:E8)</f>
        <v>32</v>
      </c>
      <c r="G8" s="19" t="n">
        <f aca="false">IF(B8=0,0,C8/B8)</f>
        <v>0</v>
      </c>
      <c r="H8" s="7" t="n">
        <f aca="false">COUNTIFS('فحص-حاسب-بكالوريوس'!$B$5:$B$208,"3. الطالب",'فحص-حاسب-بكالوريوس'!$K$5:$K$208,"عالية")</f>
        <v>0</v>
      </c>
      <c r="I8" s="7" t="n">
        <f aca="false">COUNTIFS('فحص-حاسب-بكالوريوس'!$B$5:$B$208,"3. الطالب",'فحص-حاسب-بكالوريوس'!$P$5:$P$208,"&lt;&gt;")</f>
        <v>0</v>
      </c>
    </row>
    <row r="9" customFormat="false" ht="15" hidden="false" customHeight="false" outlineLevel="0" collapsed="false">
      <c r="A9" s="18" t="s">
        <v>156</v>
      </c>
      <c r="B9" s="7" t="n">
        <f aca="false">COUNTIF('فحص-حاسب-بكالوريوس'!$B$5:$B$208,"4. هيئة التدريس")</f>
        <v>26</v>
      </c>
      <c r="C9" s="7" t="n">
        <f aca="false">COUNTIFS('فحص-حاسب-بكالوريوس'!$B$5:$B$208,"4. هيئة التدريس",'فحص-حاسب-بكالوريوس'!$I$5:$I$208,"متوفر ومكتمل")</f>
        <v>0</v>
      </c>
      <c r="D9" s="7" t="n">
        <f aca="false">COUNTIFS('فحص-حاسب-بكالوريوس'!$B$5:$B$208,"4. هيئة التدريس",'فحص-حاسب-بكالوريوس'!$I$5:$I$208,"متوفر ويحتاج تحسين")</f>
        <v>0</v>
      </c>
      <c r="E9" s="7" t="n">
        <f aca="false">COUNTIFS('فحص-حاسب-بكالوريوس'!$B$5:$B$208,"4. هيئة التدريس",'فحص-حاسب-بكالوريوس'!$I$5:$I$208,"غير متوفر")</f>
        <v>0</v>
      </c>
      <c r="F9" s="7" t="n">
        <f aca="false">B9-SUM(C9:E9)</f>
        <v>26</v>
      </c>
      <c r="G9" s="19" t="n">
        <f aca="false">IF(B9=0,0,C9/B9)</f>
        <v>0</v>
      </c>
      <c r="H9" s="7" t="n">
        <f aca="false">COUNTIFS('فحص-حاسب-بكالوريوس'!$B$5:$B$208,"4. هيئة التدريس",'فحص-حاسب-بكالوريوس'!$K$5:$K$208,"عالية")</f>
        <v>0</v>
      </c>
      <c r="I9" s="7" t="n">
        <f aca="false">COUNTIFS('فحص-حاسب-بكالوريوس'!$B$5:$B$208,"4. هيئة التدريس",'فحص-حاسب-بكالوريوس'!$P$5:$P$208,"&lt;&gt;")</f>
        <v>0</v>
      </c>
    </row>
    <row r="10" customFormat="false" ht="15" hidden="false" customHeight="false" outlineLevel="0" collapsed="false">
      <c r="A10" s="18" t="s">
        <v>157</v>
      </c>
      <c r="B10" s="7" t="n">
        <f aca="false">COUNTIF('فحص-حاسب-بكالوريوس'!$B$5:$B$208,"5. مصادر التعلم والمرافق والتجهيزات")</f>
        <v>19</v>
      </c>
      <c r="C10" s="7" t="n">
        <f aca="false">COUNTIFS('فحص-حاسب-بكالوريوس'!$B$5:$B$208,"5. مصادر التعلم والمرافق والتجهيزات",'فحص-حاسب-بكالوريوس'!$I$5:$I$208,"متوفر ومكتمل")</f>
        <v>0</v>
      </c>
      <c r="D10" s="7" t="n">
        <f aca="false">COUNTIFS('فحص-حاسب-بكالوريوس'!$B$5:$B$208,"5. مصادر التعلم والمرافق والتجهيزات",'فحص-حاسب-بكالوريوس'!$I$5:$I$208,"متوفر ويحتاج تحسين")</f>
        <v>0</v>
      </c>
      <c r="E10" s="7" t="n">
        <f aca="false">COUNTIFS('فحص-حاسب-بكالوريوس'!$B$5:$B$208,"5. مصادر التعلم والمرافق والتجهيزات",'فحص-حاسب-بكالوريوس'!$I$5:$I$208,"غير متوفر")</f>
        <v>0</v>
      </c>
      <c r="F10" s="7" t="n">
        <f aca="false">B10-SUM(C10:E10)</f>
        <v>19</v>
      </c>
      <c r="G10" s="19" t="n">
        <f aca="false">IF(B10=0,0,C10/B10)</f>
        <v>0</v>
      </c>
      <c r="H10" s="7" t="n">
        <f aca="false">COUNTIFS('فحص-حاسب-بكالوريوس'!$B$5:$B$208,"5. مصادر التعلم والمرافق والتجهيزات",'فحص-حاسب-بكالوريوس'!$K$5:$K$208,"عالية")</f>
        <v>0</v>
      </c>
      <c r="I10" s="7" t="n">
        <f aca="false">COUNTIFS('فحص-حاسب-بكالوريوس'!$B$5:$B$208,"5. مصادر التعلم والمرافق والتجهيزات",'فحص-حاسب-بكالوريوس'!$P$5:$P$208,"&lt;&gt;")</f>
        <v>0</v>
      </c>
    </row>
    <row r="11" customFormat="false" ht="15" hidden="false" customHeight="false" outlineLevel="0" collapsed="false">
      <c r="A11" s="15" t="s">
        <v>158</v>
      </c>
      <c r="B11" s="20" t="n">
        <f aca="false">COUNTIF('فحص-حاسب-بكالوريوس'!$D$5:$D$208,"★")</f>
        <v>63</v>
      </c>
      <c r="C11" s="20" t="n">
        <f aca="false">COUNTIFS('فحص-حاسب-بكالوريوس'!$D$5:$D$208,"★",'فحص-حاسب-بكالوريوس'!$I$5:$I$208,"متوفر ومكتمل")</f>
        <v>0</v>
      </c>
      <c r="D11" s="20" t="n">
        <f aca="false">COUNTIFS('فحص-حاسب-بكالوريوس'!$D$5:$D$208,"★",'فحص-حاسب-بكالوريوس'!$I$5:$I$208,"متوفر ويحتاج تحسين")</f>
        <v>0</v>
      </c>
      <c r="E11" s="20" t="n">
        <f aca="false">COUNTIFS('فحص-حاسب-بكالوريوس'!$D$5:$D$208,"★",'فحص-حاسب-بكالوريوس'!$I$5:$I$208,"غير متوفر")</f>
        <v>0</v>
      </c>
      <c r="F11" s="20" t="n">
        <f aca="false">B11-SUM(C11:E11)</f>
        <v>63</v>
      </c>
      <c r="G11" s="21" t="n">
        <f aca="false">IF(B11=0,0,C11/B11)</f>
        <v>0</v>
      </c>
      <c r="H11" s="20" t="n">
        <f aca="false">COUNTIFS('فحص-حاسب-بكالوريوس'!$D$5:$D$208,"★",'فحص-حاسب-بكالوريوس'!$K$5:$K$208,"عالية")</f>
        <v>0</v>
      </c>
      <c r="I11" s="20" t="n">
        <f aca="false">COUNTIFS('فحص-حاسب-بكالوريوس'!$D$5:$D$208,"★",'فحص-حاسب-بكالوريوس'!$P$5:$P$208,"&lt;&gt;")</f>
        <v>0</v>
      </c>
    </row>
    <row r="12" customFormat="false" ht="15" hidden="false" customHeight="false" outlineLevel="0" collapsed="false">
      <c r="A12" s="15" t="s">
        <v>159</v>
      </c>
      <c r="B12" s="20" t="n">
        <f aca="false">COUNTIF('فحص-حاسب-بكالوريوس'!$A$5:$A$208,"*")</f>
        <v>204</v>
      </c>
      <c r="C12" s="20" t="n">
        <f aca="false">COUNTIFS('فحص-حاسب-بكالوريوس'!$A$5:$A$208,"*",'فحص-حاسب-بكالوريوس'!$I$5:$I$208,"متوفر ومكتمل")</f>
        <v>0</v>
      </c>
      <c r="D12" s="20" t="n">
        <f aca="false">COUNTIFS('فحص-حاسب-بكالوريوس'!$A$5:$A$208,"*",'فحص-حاسب-بكالوريوس'!$I$5:$I$208,"متوفر ويحتاج تحسين")</f>
        <v>0</v>
      </c>
      <c r="E12" s="20" t="n">
        <f aca="false">COUNTIFS('فحص-حاسب-بكالوريوس'!$A$5:$A$208,"*",'فحص-حاسب-بكالوريوس'!$I$5:$I$208,"غير متوفر")</f>
        <v>0</v>
      </c>
      <c r="F12" s="20" t="n">
        <f aca="false">B12-SUM(C12:E12)</f>
        <v>204</v>
      </c>
      <c r="G12" s="21" t="n">
        <f aca="false">IF(B12=0,0,C12/B12)</f>
        <v>0</v>
      </c>
      <c r="H12" s="20" t="n">
        <f aca="false">COUNTIFS('فحص-حاسب-بكالوريوس'!$A$5:$A$208,"*",'فحص-حاسب-بكالوريوس'!$K$5:$K$208,"عالية")</f>
        <v>0</v>
      </c>
      <c r="I12" s="20" t="n">
        <f aca="false">COUNTIFS('فحص-حاسب-بكالوريوس'!$A$5:$A$208,"*",'فحص-حاسب-بكالوريوس'!$P$5:$P$208,"&lt;&gt;")</f>
        <v>0</v>
      </c>
    </row>
    <row r="14" customFormat="false" ht="15" hidden="false" customHeight="false" outlineLevel="0" collapsed="false">
      <c r="A14" s="17" t="str">
        <f aca="false">'الإعدادات واللجنة'!$B$6</f>
        <v>بكالوريوس علوم البيانات</v>
      </c>
      <c r="B14" s="17"/>
      <c r="C14" s="17"/>
      <c r="D14" s="17"/>
      <c r="E14" s="17"/>
      <c r="F14" s="17"/>
      <c r="G14" s="17"/>
      <c r="H14" s="17"/>
      <c r="I14" s="17"/>
    </row>
    <row r="15" customFormat="false" ht="15" hidden="false" customHeight="false" outlineLevel="0" collapsed="false">
      <c r="A15" s="3" t="s">
        <v>144</v>
      </c>
      <c r="B15" s="3" t="s">
        <v>145</v>
      </c>
      <c r="C15" s="3" t="s">
        <v>146</v>
      </c>
      <c r="D15" s="3" t="s">
        <v>147</v>
      </c>
      <c r="E15" s="3" t="s">
        <v>148</v>
      </c>
      <c r="F15" s="3" t="s">
        <v>149</v>
      </c>
      <c r="G15" s="3" t="s">
        <v>150</v>
      </c>
      <c r="H15" s="3" t="s">
        <v>151</v>
      </c>
      <c r="I15" s="3" t="s">
        <v>152</v>
      </c>
    </row>
    <row r="16" customFormat="false" ht="15" hidden="false" customHeight="false" outlineLevel="0" collapsed="false">
      <c r="A16" s="18" t="s">
        <v>153</v>
      </c>
      <c r="B16" s="7" t="n">
        <f aca="false">COUNTIF('فحص-بيانات-بكالوريوس'!$B$5:$B$208,"1. إدارة البرنامج وضمان جودته")</f>
        <v>52</v>
      </c>
      <c r="C16" s="7" t="n">
        <f aca="false">COUNTIFS('فحص-بيانات-بكالوريوس'!$B$5:$B$208,"1. إدارة البرنامج وضمان جودته",'فحص-بيانات-بكالوريوس'!$I$5:$I$208,"متوفر ومكتمل")</f>
        <v>0</v>
      </c>
      <c r="D16" s="7" t="n">
        <f aca="false">COUNTIFS('فحص-بيانات-بكالوريوس'!$B$5:$B$208,"1. إدارة البرنامج وضمان جودته",'فحص-بيانات-بكالوريوس'!$I$5:$I$208,"متوفر ويحتاج تحسين")</f>
        <v>0</v>
      </c>
      <c r="E16" s="7" t="n">
        <f aca="false">COUNTIFS('فحص-بيانات-بكالوريوس'!$B$5:$B$208,"1. إدارة البرنامج وضمان جودته",'فحص-بيانات-بكالوريوس'!$I$5:$I$208,"غير متوفر")</f>
        <v>0</v>
      </c>
      <c r="F16" s="7" t="n">
        <f aca="false">B16-SUM(C16:E16)</f>
        <v>52</v>
      </c>
      <c r="G16" s="19" t="n">
        <f aca="false">IF(B16=0,0,C16/B16)</f>
        <v>0</v>
      </c>
      <c r="H16" s="7" t="n">
        <f aca="false">COUNTIFS('فحص-بيانات-بكالوريوس'!$B$5:$B$208,"1. إدارة البرنامج وضمان جودته",'فحص-بيانات-بكالوريوس'!$K$5:$K$208,"عالية")</f>
        <v>0</v>
      </c>
      <c r="I16" s="7" t="n">
        <f aca="false">COUNTIFS('فحص-بيانات-بكالوريوس'!$B$5:$B$208,"1. إدارة البرنامج وضمان جودته",'فحص-بيانات-بكالوريوس'!$P$5:$P$208,"&lt;&gt;")</f>
        <v>0</v>
      </c>
    </row>
    <row r="17" customFormat="false" ht="15" hidden="false" customHeight="false" outlineLevel="0" collapsed="false">
      <c r="A17" s="18" t="s">
        <v>154</v>
      </c>
      <c r="B17" s="7" t="n">
        <f aca="false">COUNTIF('فحص-بيانات-بكالوريوس'!$B$5:$B$208,"2. التعليم والتعلم")</f>
        <v>75</v>
      </c>
      <c r="C17" s="7" t="n">
        <f aca="false">COUNTIFS('فحص-بيانات-بكالوريوس'!$B$5:$B$208,"2. التعليم والتعلم",'فحص-بيانات-بكالوريوس'!$I$5:$I$208,"متوفر ومكتمل")</f>
        <v>0</v>
      </c>
      <c r="D17" s="7" t="n">
        <f aca="false">COUNTIFS('فحص-بيانات-بكالوريوس'!$B$5:$B$208,"2. التعليم والتعلم",'فحص-بيانات-بكالوريوس'!$I$5:$I$208,"متوفر ويحتاج تحسين")</f>
        <v>0</v>
      </c>
      <c r="E17" s="7" t="n">
        <f aca="false">COUNTIFS('فحص-بيانات-بكالوريوس'!$B$5:$B$208,"2. التعليم والتعلم",'فحص-بيانات-بكالوريوس'!$I$5:$I$208,"غير متوفر")</f>
        <v>0</v>
      </c>
      <c r="F17" s="7" t="n">
        <f aca="false">B17-SUM(C17:E17)</f>
        <v>75</v>
      </c>
      <c r="G17" s="19" t="n">
        <f aca="false">IF(B17=0,0,C17/B17)</f>
        <v>0</v>
      </c>
      <c r="H17" s="7" t="n">
        <f aca="false">COUNTIFS('فحص-بيانات-بكالوريوس'!$B$5:$B$208,"2. التعليم والتعلم",'فحص-بيانات-بكالوريوس'!$K$5:$K$208,"عالية")</f>
        <v>0</v>
      </c>
      <c r="I17" s="7" t="n">
        <f aca="false">COUNTIFS('فحص-بيانات-بكالوريوس'!$B$5:$B$208,"2. التعليم والتعلم",'فحص-بيانات-بكالوريوس'!$P$5:$P$208,"&lt;&gt;")</f>
        <v>0</v>
      </c>
    </row>
    <row r="18" customFormat="false" ht="15" hidden="false" customHeight="false" outlineLevel="0" collapsed="false">
      <c r="A18" s="18" t="s">
        <v>155</v>
      </c>
      <c r="B18" s="7" t="n">
        <f aca="false">COUNTIF('فحص-بيانات-بكالوريوس'!$B$5:$B$208,"3. الطالب")</f>
        <v>32</v>
      </c>
      <c r="C18" s="7" t="n">
        <f aca="false">COUNTIFS('فحص-بيانات-بكالوريوس'!$B$5:$B$208,"3. الطالب",'فحص-بيانات-بكالوريوس'!$I$5:$I$208,"متوفر ومكتمل")</f>
        <v>0</v>
      </c>
      <c r="D18" s="7" t="n">
        <f aca="false">COUNTIFS('فحص-بيانات-بكالوريوس'!$B$5:$B$208,"3. الطالب",'فحص-بيانات-بكالوريوس'!$I$5:$I$208,"متوفر ويحتاج تحسين")</f>
        <v>0</v>
      </c>
      <c r="E18" s="7" t="n">
        <f aca="false">COUNTIFS('فحص-بيانات-بكالوريوس'!$B$5:$B$208,"3. الطالب",'فحص-بيانات-بكالوريوس'!$I$5:$I$208,"غير متوفر")</f>
        <v>0</v>
      </c>
      <c r="F18" s="7" t="n">
        <f aca="false">B18-SUM(C18:E18)</f>
        <v>32</v>
      </c>
      <c r="G18" s="19" t="n">
        <f aca="false">IF(B18=0,0,C18/B18)</f>
        <v>0</v>
      </c>
      <c r="H18" s="7" t="n">
        <f aca="false">COUNTIFS('فحص-بيانات-بكالوريوس'!$B$5:$B$208,"3. الطالب",'فحص-بيانات-بكالوريوس'!$K$5:$K$208,"عالية")</f>
        <v>0</v>
      </c>
      <c r="I18" s="7" t="n">
        <f aca="false">COUNTIFS('فحص-بيانات-بكالوريوس'!$B$5:$B$208,"3. الطالب",'فحص-بيانات-بكالوريوس'!$P$5:$P$208,"&lt;&gt;")</f>
        <v>0</v>
      </c>
    </row>
    <row r="19" customFormat="false" ht="15" hidden="false" customHeight="false" outlineLevel="0" collapsed="false">
      <c r="A19" s="18" t="s">
        <v>156</v>
      </c>
      <c r="B19" s="7" t="n">
        <f aca="false">COUNTIF('فحص-بيانات-بكالوريوس'!$B$5:$B$208,"4. هيئة التدريس")</f>
        <v>26</v>
      </c>
      <c r="C19" s="7" t="n">
        <f aca="false">COUNTIFS('فحص-بيانات-بكالوريوس'!$B$5:$B$208,"4. هيئة التدريس",'فحص-بيانات-بكالوريوس'!$I$5:$I$208,"متوفر ومكتمل")</f>
        <v>0</v>
      </c>
      <c r="D19" s="7" t="n">
        <f aca="false">COUNTIFS('فحص-بيانات-بكالوريوس'!$B$5:$B$208,"4. هيئة التدريس",'فحص-بيانات-بكالوريوس'!$I$5:$I$208,"متوفر ويحتاج تحسين")</f>
        <v>0</v>
      </c>
      <c r="E19" s="7" t="n">
        <f aca="false">COUNTIFS('فحص-بيانات-بكالوريوس'!$B$5:$B$208,"4. هيئة التدريس",'فحص-بيانات-بكالوريوس'!$I$5:$I$208,"غير متوفر")</f>
        <v>0</v>
      </c>
      <c r="F19" s="7" t="n">
        <f aca="false">B19-SUM(C19:E19)</f>
        <v>26</v>
      </c>
      <c r="G19" s="19" t="n">
        <f aca="false">IF(B19=0,0,C19/B19)</f>
        <v>0</v>
      </c>
      <c r="H19" s="7" t="n">
        <f aca="false">COUNTIFS('فحص-بيانات-بكالوريوس'!$B$5:$B$208,"4. هيئة التدريس",'فحص-بيانات-بكالوريوس'!$K$5:$K$208,"عالية")</f>
        <v>0</v>
      </c>
      <c r="I19" s="7" t="n">
        <f aca="false">COUNTIFS('فحص-بيانات-بكالوريوس'!$B$5:$B$208,"4. هيئة التدريس",'فحص-بيانات-بكالوريوس'!$P$5:$P$208,"&lt;&gt;")</f>
        <v>0</v>
      </c>
    </row>
    <row r="20" customFormat="false" ht="15" hidden="false" customHeight="false" outlineLevel="0" collapsed="false">
      <c r="A20" s="18" t="s">
        <v>157</v>
      </c>
      <c r="B20" s="7" t="n">
        <f aca="false">COUNTIF('فحص-بيانات-بكالوريوس'!$B$5:$B$208,"5. مصادر التعلم والمرافق والتجهيزات")</f>
        <v>19</v>
      </c>
      <c r="C20" s="7" t="n">
        <f aca="false">COUNTIFS('فحص-بيانات-بكالوريوس'!$B$5:$B$208,"5. مصادر التعلم والمرافق والتجهيزات",'فحص-بيانات-بكالوريوس'!$I$5:$I$208,"متوفر ومكتمل")</f>
        <v>0</v>
      </c>
      <c r="D20" s="7" t="n">
        <f aca="false">COUNTIFS('فحص-بيانات-بكالوريوس'!$B$5:$B$208,"5. مصادر التعلم والمرافق والتجهيزات",'فحص-بيانات-بكالوريوس'!$I$5:$I$208,"متوفر ويحتاج تحسين")</f>
        <v>0</v>
      </c>
      <c r="E20" s="7" t="n">
        <f aca="false">COUNTIFS('فحص-بيانات-بكالوريوس'!$B$5:$B$208,"5. مصادر التعلم والمرافق والتجهيزات",'فحص-بيانات-بكالوريوس'!$I$5:$I$208,"غير متوفر")</f>
        <v>0</v>
      </c>
      <c r="F20" s="7" t="n">
        <f aca="false">B20-SUM(C20:E20)</f>
        <v>19</v>
      </c>
      <c r="G20" s="19" t="n">
        <f aca="false">IF(B20=0,0,C20/B20)</f>
        <v>0</v>
      </c>
      <c r="H20" s="7" t="n">
        <f aca="false">COUNTIFS('فحص-بيانات-بكالوريوس'!$B$5:$B$208,"5. مصادر التعلم والمرافق والتجهيزات",'فحص-بيانات-بكالوريوس'!$K$5:$K$208,"عالية")</f>
        <v>0</v>
      </c>
      <c r="I20" s="7" t="n">
        <f aca="false">COUNTIFS('فحص-بيانات-بكالوريوس'!$B$5:$B$208,"5. مصادر التعلم والمرافق والتجهيزات",'فحص-بيانات-بكالوريوس'!$P$5:$P$208,"&lt;&gt;")</f>
        <v>0</v>
      </c>
    </row>
    <row r="21" customFormat="false" ht="15" hidden="false" customHeight="false" outlineLevel="0" collapsed="false">
      <c r="A21" s="15" t="s">
        <v>158</v>
      </c>
      <c r="B21" s="20" t="n">
        <f aca="false">COUNTIF('فحص-بيانات-بكالوريوس'!$D$5:$D$208,"★")</f>
        <v>63</v>
      </c>
      <c r="C21" s="20" t="n">
        <f aca="false">COUNTIFS('فحص-بيانات-بكالوريوس'!$D$5:$D$208,"★",'فحص-بيانات-بكالوريوس'!$I$5:$I$208,"متوفر ومكتمل")</f>
        <v>0</v>
      </c>
      <c r="D21" s="20" t="n">
        <f aca="false">COUNTIFS('فحص-بيانات-بكالوريوس'!$D$5:$D$208,"★",'فحص-بيانات-بكالوريوس'!$I$5:$I$208,"متوفر ويحتاج تحسين")</f>
        <v>0</v>
      </c>
      <c r="E21" s="20" t="n">
        <f aca="false">COUNTIFS('فحص-بيانات-بكالوريوس'!$D$5:$D$208,"★",'فحص-بيانات-بكالوريوس'!$I$5:$I$208,"غير متوفر")</f>
        <v>0</v>
      </c>
      <c r="F21" s="20" t="n">
        <f aca="false">B21-SUM(C21:E21)</f>
        <v>63</v>
      </c>
      <c r="G21" s="21" t="n">
        <f aca="false">IF(B21=0,0,C21/B21)</f>
        <v>0</v>
      </c>
      <c r="H21" s="20" t="n">
        <f aca="false">COUNTIFS('فحص-بيانات-بكالوريوس'!$D$5:$D$208,"★",'فحص-بيانات-بكالوريوس'!$K$5:$K$208,"عالية")</f>
        <v>0</v>
      </c>
      <c r="I21" s="20" t="n">
        <f aca="false">COUNTIFS('فحص-بيانات-بكالوريوس'!$D$5:$D$208,"★",'فحص-بيانات-بكالوريوس'!$P$5:$P$208,"&lt;&gt;")</f>
        <v>0</v>
      </c>
    </row>
    <row r="22" customFormat="false" ht="15" hidden="false" customHeight="false" outlineLevel="0" collapsed="false">
      <c r="A22" s="15" t="s">
        <v>159</v>
      </c>
      <c r="B22" s="20" t="n">
        <f aca="false">COUNTIF('فحص-بيانات-بكالوريوس'!$A$5:$A$208,"*")</f>
        <v>204</v>
      </c>
      <c r="C22" s="20" t="n">
        <f aca="false">COUNTIFS('فحص-بيانات-بكالوريوس'!$A$5:$A$208,"*",'فحص-بيانات-بكالوريوس'!$I$5:$I$208,"متوفر ومكتمل")</f>
        <v>0</v>
      </c>
      <c r="D22" s="20" t="n">
        <f aca="false">COUNTIFS('فحص-بيانات-بكالوريوس'!$A$5:$A$208,"*",'فحص-بيانات-بكالوريوس'!$I$5:$I$208,"متوفر ويحتاج تحسين")</f>
        <v>0</v>
      </c>
      <c r="E22" s="20" t="n">
        <f aca="false">COUNTIFS('فحص-بيانات-بكالوريوس'!$A$5:$A$208,"*",'فحص-بيانات-بكالوريوس'!$I$5:$I$208,"غير متوفر")</f>
        <v>0</v>
      </c>
      <c r="F22" s="20" t="n">
        <f aca="false">B22-SUM(C22:E22)</f>
        <v>204</v>
      </c>
      <c r="G22" s="21" t="n">
        <f aca="false">IF(B22=0,0,C22/B22)</f>
        <v>0</v>
      </c>
      <c r="H22" s="20" t="n">
        <f aca="false">COUNTIFS('فحص-بيانات-بكالوريوس'!$A$5:$A$208,"*",'فحص-بيانات-بكالوريوس'!$K$5:$K$208,"عالية")</f>
        <v>0</v>
      </c>
      <c r="I22" s="20" t="n">
        <f aca="false">COUNTIFS('فحص-بيانات-بكالوريوس'!$A$5:$A$208,"*",'فحص-بيانات-بكالوريوس'!$P$5:$P$208,"&lt;&gt;")</f>
        <v>0</v>
      </c>
    </row>
    <row r="24" customFormat="false" ht="15" hidden="false" customHeight="false" outlineLevel="0" collapsed="false">
      <c r="A24" s="17" t="str">
        <f aca="false">'الإعدادات واللجنة'!$B$7</f>
        <v>ماجستير علوم البيانات</v>
      </c>
      <c r="B24" s="17"/>
      <c r="C24" s="17"/>
      <c r="D24" s="17"/>
      <c r="E24" s="17"/>
      <c r="F24" s="17"/>
      <c r="G24" s="17"/>
      <c r="H24" s="17"/>
      <c r="I24" s="17"/>
    </row>
    <row r="25" customFormat="false" ht="15" hidden="false" customHeight="false" outlineLevel="0" collapsed="false">
      <c r="A25" s="3" t="s">
        <v>144</v>
      </c>
      <c r="B25" s="3" t="s">
        <v>145</v>
      </c>
      <c r="C25" s="3" t="s">
        <v>146</v>
      </c>
      <c r="D25" s="3" t="s">
        <v>147</v>
      </c>
      <c r="E25" s="3" t="s">
        <v>148</v>
      </c>
      <c r="F25" s="3" t="s">
        <v>149</v>
      </c>
      <c r="G25" s="3" t="s">
        <v>150</v>
      </c>
      <c r="H25" s="3" t="s">
        <v>151</v>
      </c>
      <c r="I25" s="3" t="s">
        <v>152</v>
      </c>
    </row>
    <row r="26" customFormat="false" ht="15" hidden="false" customHeight="false" outlineLevel="0" collapsed="false">
      <c r="A26" s="18" t="s">
        <v>153</v>
      </c>
      <c r="B26" s="7" t="n">
        <f aca="false">COUNTIF('فحص-بيانات-ماجستير'!$B$5:$B$230,"1. إدارة البرنامج وضمان جودته")</f>
        <v>52</v>
      </c>
      <c r="C26" s="7" t="n">
        <f aca="false">COUNTIFS('فحص-بيانات-ماجستير'!$B$5:$B$230,"1. إدارة البرنامج وضمان جودته",'فحص-بيانات-ماجستير'!$I$5:$I$230,"متوفر ومكتمل")</f>
        <v>0</v>
      </c>
      <c r="D26" s="7" t="n">
        <f aca="false">COUNTIFS('فحص-بيانات-ماجستير'!$B$5:$B$230,"1. إدارة البرنامج وضمان جودته",'فحص-بيانات-ماجستير'!$I$5:$I$230,"متوفر ويحتاج تحسين")</f>
        <v>0</v>
      </c>
      <c r="E26" s="7" t="n">
        <f aca="false">COUNTIFS('فحص-بيانات-ماجستير'!$B$5:$B$230,"1. إدارة البرنامج وضمان جودته",'فحص-بيانات-ماجستير'!$I$5:$I$230,"غير متوفر")</f>
        <v>0</v>
      </c>
      <c r="F26" s="7" t="n">
        <f aca="false">B26-SUM(C26:E26)</f>
        <v>52</v>
      </c>
      <c r="G26" s="19" t="n">
        <f aca="false">IF(B26=0,0,C26/B26)</f>
        <v>0</v>
      </c>
      <c r="H26" s="7" t="n">
        <f aca="false">COUNTIFS('فحص-بيانات-ماجستير'!$B$5:$B$230,"1. إدارة البرنامج وضمان جودته",'فحص-بيانات-ماجستير'!$K$5:$K$230,"عالية")</f>
        <v>0</v>
      </c>
      <c r="I26" s="7" t="n">
        <f aca="false">COUNTIFS('فحص-بيانات-ماجستير'!$B$5:$B$230,"1. إدارة البرنامج وضمان جودته",'فحص-بيانات-ماجستير'!$P$5:$P$230,"&lt;&gt;")</f>
        <v>0</v>
      </c>
    </row>
    <row r="27" customFormat="false" ht="15" hidden="false" customHeight="false" outlineLevel="0" collapsed="false">
      <c r="A27" s="18" t="s">
        <v>154</v>
      </c>
      <c r="B27" s="7" t="n">
        <f aca="false">COUNTIF('فحص-بيانات-ماجستير'!$B$5:$B$230,"2. التعليم والتعلم")</f>
        <v>68</v>
      </c>
      <c r="C27" s="7" t="n">
        <f aca="false">COUNTIFS('فحص-بيانات-ماجستير'!$B$5:$B$230,"2. التعليم والتعلم",'فحص-بيانات-ماجستير'!$I$5:$I$230,"متوفر ومكتمل")</f>
        <v>0</v>
      </c>
      <c r="D27" s="7" t="n">
        <f aca="false">COUNTIFS('فحص-بيانات-ماجستير'!$B$5:$B$230,"2. التعليم والتعلم",'فحص-بيانات-ماجستير'!$I$5:$I$230,"متوفر ويحتاج تحسين")</f>
        <v>0</v>
      </c>
      <c r="E27" s="7" t="n">
        <f aca="false">COUNTIFS('فحص-بيانات-ماجستير'!$B$5:$B$230,"2. التعليم والتعلم",'فحص-بيانات-ماجستير'!$I$5:$I$230,"غير متوفر")</f>
        <v>0</v>
      </c>
      <c r="F27" s="7" t="n">
        <f aca="false">B27-SUM(C27:E27)</f>
        <v>68</v>
      </c>
      <c r="G27" s="19" t="n">
        <f aca="false">IF(B27=0,0,C27/B27)</f>
        <v>0</v>
      </c>
      <c r="H27" s="7" t="n">
        <f aca="false">COUNTIFS('فحص-بيانات-ماجستير'!$B$5:$B$230,"2. التعليم والتعلم",'فحص-بيانات-ماجستير'!$K$5:$K$230,"عالية")</f>
        <v>0</v>
      </c>
      <c r="I27" s="7" t="n">
        <f aca="false">COUNTIFS('فحص-بيانات-ماجستير'!$B$5:$B$230,"2. التعليم والتعلم",'فحص-بيانات-ماجستير'!$P$5:$P$230,"&lt;&gt;")</f>
        <v>0</v>
      </c>
    </row>
    <row r="28" customFormat="false" ht="15" hidden="false" customHeight="false" outlineLevel="0" collapsed="false">
      <c r="A28" s="18" t="s">
        <v>155</v>
      </c>
      <c r="B28" s="7" t="n">
        <f aca="false">COUNTIF('فحص-بيانات-ماجستير'!$B$5:$B$230,"3. الطالب")</f>
        <v>28</v>
      </c>
      <c r="C28" s="7" t="n">
        <f aca="false">COUNTIFS('فحص-بيانات-ماجستير'!$B$5:$B$230,"3. الطالب",'فحص-بيانات-ماجستير'!$I$5:$I$230,"متوفر ومكتمل")</f>
        <v>0</v>
      </c>
      <c r="D28" s="7" t="n">
        <f aca="false">COUNTIFS('فحص-بيانات-ماجستير'!$B$5:$B$230,"3. الطالب",'فحص-بيانات-ماجستير'!$I$5:$I$230,"متوفر ويحتاج تحسين")</f>
        <v>0</v>
      </c>
      <c r="E28" s="7" t="n">
        <f aca="false">COUNTIFS('فحص-بيانات-ماجستير'!$B$5:$B$230,"3. الطالب",'فحص-بيانات-ماجستير'!$I$5:$I$230,"غير متوفر")</f>
        <v>0</v>
      </c>
      <c r="F28" s="7" t="n">
        <f aca="false">B28-SUM(C28:E28)</f>
        <v>28</v>
      </c>
      <c r="G28" s="19" t="n">
        <f aca="false">IF(B28=0,0,C28/B28)</f>
        <v>0</v>
      </c>
      <c r="H28" s="7" t="n">
        <f aca="false">COUNTIFS('فحص-بيانات-ماجستير'!$B$5:$B$230,"3. الطالب",'فحص-بيانات-ماجستير'!$K$5:$K$230,"عالية")</f>
        <v>0</v>
      </c>
      <c r="I28" s="7" t="n">
        <f aca="false">COUNTIFS('فحص-بيانات-ماجستير'!$B$5:$B$230,"3. الطالب",'فحص-بيانات-ماجستير'!$P$5:$P$230,"&lt;&gt;")</f>
        <v>0</v>
      </c>
    </row>
    <row r="29" customFormat="false" ht="15" hidden="false" customHeight="false" outlineLevel="0" collapsed="false">
      <c r="A29" s="18" t="s">
        <v>156</v>
      </c>
      <c r="B29" s="7" t="n">
        <f aca="false">COUNTIF('فحص-بيانات-ماجستير'!$B$5:$B$230,"4. هيئة التدريس")</f>
        <v>26</v>
      </c>
      <c r="C29" s="7" t="n">
        <f aca="false">COUNTIFS('فحص-بيانات-ماجستير'!$B$5:$B$230,"4. هيئة التدريس",'فحص-بيانات-ماجستير'!$I$5:$I$230,"متوفر ومكتمل")</f>
        <v>0</v>
      </c>
      <c r="D29" s="7" t="n">
        <f aca="false">COUNTIFS('فحص-بيانات-ماجستير'!$B$5:$B$230,"4. هيئة التدريس",'فحص-بيانات-ماجستير'!$I$5:$I$230,"متوفر ويحتاج تحسين")</f>
        <v>0</v>
      </c>
      <c r="E29" s="7" t="n">
        <f aca="false">COUNTIFS('فحص-بيانات-ماجستير'!$B$5:$B$230,"4. هيئة التدريس",'فحص-بيانات-ماجستير'!$I$5:$I$230,"غير متوفر")</f>
        <v>0</v>
      </c>
      <c r="F29" s="7" t="n">
        <f aca="false">B29-SUM(C29:E29)</f>
        <v>26</v>
      </c>
      <c r="G29" s="19" t="n">
        <f aca="false">IF(B29=0,0,C29/B29)</f>
        <v>0</v>
      </c>
      <c r="H29" s="7" t="n">
        <f aca="false">COUNTIFS('فحص-بيانات-ماجستير'!$B$5:$B$230,"4. هيئة التدريس",'فحص-بيانات-ماجستير'!$K$5:$K$230,"عالية")</f>
        <v>0</v>
      </c>
      <c r="I29" s="7" t="n">
        <f aca="false">COUNTIFS('فحص-بيانات-ماجستير'!$B$5:$B$230,"4. هيئة التدريس",'فحص-بيانات-ماجستير'!$P$5:$P$230,"&lt;&gt;")</f>
        <v>0</v>
      </c>
    </row>
    <row r="30" customFormat="false" ht="15" hidden="false" customHeight="false" outlineLevel="0" collapsed="false">
      <c r="A30" s="18" t="s">
        <v>157</v>
      </c>
      <c r="B30" s="7" t="n">
        <f aca="false">COUNTIF('فحص-بيانات-ماجستير'!$B$5:$B$230,"5. مصادر التعلم والمرافق والتجهيزات")</f>
        <v>19</v>
      </c>
      <c r="C30" s="7" t="n">
        <f aca="false">COUNTIFS('فحص-بيانات-ماجستير'!$B$5:$B$230,"5. مصادر التعلم والمرافق والتجهيزات",'فحص-بيانات-ماجستير'!$I$5:$I$230,"متوفر ومكتمل")</f>
        <v>0</v>
      </c>
      <c r="D30" s="7" t="n">
        <f aca="false">COUNTIFS('فحص-بيانات-ماجستير'!$B$5:$B$230,"5. مصادر التعلم والمرافق والتجهيزات",'فحص-بيانات-ماجستير'!$I$5:$I$230,"متوفر ويحتاج تحسين")</f>
        <v>0</v>
      </c>
      <c r="E30" s="7" t="n">
        <f aca="false">COUNTIFS('فحص-بيانات-ماجستير'!$B$5:$B$230,"5. مصادر التعلم والمرافق والتجهيزات",'فحص-بيانات-ماجستير'!$I$5:$I$230,"غير متوفر")</f>
        <v>0</v>
      </c>
      <c r="F30" s="7" t="n">
        <f aca="false">B30-SUM(C30:E30)</f>
        <v>19</v>
      </c>
      <c r="G30" s="19" t="n">
        <f aca="false">IF(B30=0,0,C30/B30)</f>
        <v>0</v>
      </c>
      <c r="H30" s="7" t="n">
        <f aca="false">COUNTIFS('فحص-بيانات-ماجستير'!$B$5:$B$230,"5. مصادر التعلم والمرافق والتجهيزات",'فحص-بيانات-ماجستير'!$K$5:$K$230,"عالية")</f>
        <v>0</v>
      </c>
      <c r="I30" s="7" t="n">
        <f aca="false">COUNTIFS('فحص-بيانات-ماجستير'!$B$5:$B$230,"5. مصادر التعلم والمرافق والتجهيزات",'فحص-بيانات-ماجستير'!$P$5:$P$230,"&lt;&gt;")</f>
        <v>0</v>
      </c>
    </row>
    <row r="31" customFormat="false" ht="15" hidden="false" customHeight="false" outlineLevel="0" collapsed="false">
      <c r="A31" s="18" t="s">
        <v>160</v>
      </c>
      <c r="B31" s="7" t="n">
        <f aca="false">COUNTIF('فحص-بيانات-ماجستير'!$B$5:$B$230,"6. البحث والمشاريع")</f>
        <v>33</v>
      </c>
      <c r="C31" s="7" t="n">
        <f aca="false">COUNTIFS('فحص-بيانات-ماجستير'!$B$5:$B$230,"6. البحث والمشاريع",'فحص-بيانات-ماجستير'!$I$5:$I$230,"متوفر ومكتمل")</f>
        <v>0</v>
      </c>
      <c r="D31" s="7" t="n">
        <f aca="false">COUNTIFS('فحص-بيانات-ماجستير'!$B$5:$B$230,"6. البحث والمشاريع",'فحص-بيانات-ماجستير'!$I$5:$I$230,"متوفر ويحتاج تحسين")</f>
        <v>0</v>
      </c>
      <c r="E31" s="7" t="n">
        <f aca="false">COUNTIFS('فحص-بيانات-ماجستير'!$B$5:$B$230,"6. البحث والمشاريع",'فحص-بيانات-ماجستير'!$I$5:$I$230,"غير متوفر")</f>
        <v>0</v>
      </c>
      <c r="F31" s="7" t="n">
        <f aca="false">B31-SUM(C31:E31)</f>
        <v>33</v>
      </c>
      <c r="G31" s="19" t="n">
        <f aca="false">IF(B31=0,0,C31/B31)</f>
        <v>0</v>
      </c>
      <c r="H31" s="7" t="n">
        <f aca="false">COUNTIFS('فحص-بيانات-ماجستير'!$B$5:$B$230,"6. البحث والمشاريع",'فحص-بيانات-ماجستير'!$K$5:$K$230,"عالية")</f>
        <v>0</v>
      </c>
      <c r="I31" s="7" t="n">
        <f aca="false">COUNTIFS('فحص-بيانات-ماجستير'!$B$5:$B$230,"6. البحث والمشاريع",'فحص-بيانات-ماجستير'!$P$5:$P$230,"&lt;&gt;")</f>
        <v>0</v>
      </c>
    </row>
    <row r="32" customFormat="false" ht="15" hidden="false" customHeight="false" outlineLevel="0" collapsed="false">
      <c r="A32" s="15" t="s">
        <v>158</v>
      </c>
      <c r="B32" s="20" t="n">
        <f aca="false">COUNTIF('فحص-بيانات-ماجستير'!$D$5:$D$230,"★")</f>
        <v>69</v>
      </c>
      <c r="C32" s="20" t="n">
        <f aca="false">COUNTIFS('فحص-بيانات-ماجستير'!$D$5:$D$230,"★",'فحص-بيانات-ماجستير'!$I$5:$I$230,"متوفر ومكتمل")</f>
        <v>0</v>
      </c>
      <c r="D32" s="20" t="n">
        <f aca="false">COUNTIFS('فحص-بيانات-ماجستير'!$D$5:$D$230,"★",'فحص-بيانات-ماجستير'!$I$5:$I$230,"متوفر ويحتاج تحسين")</f>
        <v>0</v>
      </c>
      <c r="E32" s="20" t="n">
        <f aca="false">COUNTIFS('فحص-بيانات-ماجستير'!$D$5:$D$230,"★",'فحص-بيانات-ماجستير'!$I$5:$I$230,"غير متوفر")</f>
        <v>0</v>
      </c>
      <c r="F32" s="20" t="n">
        <f aca="false">B32-SUM(C32:E32)</f>
        <v>69</v>
      </c>
      <c r="G32" s="21" t="n">
        <f aca="false">IF(B32=0,0,C32/B32)</f>
        <v>0</v>
      </c>
      <c r="H32" s="20" t="n">
        <f aca="false">COUNTIFS('فحص-بيانات-ماجستير'!$D$5:$D$230,"★",'فحص-بيانات-ماجستير'!$K$5:$K$230,"عالية")</f>
        <v>0</v>
      </c>
      <c r="I32" s="20" t="n">
        <f aca="false">COUNTIFS('فحص-بيانات-ماجستير'!$D$5:$D$230,"★",'فحص-بيانات-ماجستير'!$P$5:$P$230,"&lt;&gt;")</f>
        <v>0</v>
      </c>
    </row>
    <row r="33" customFormat="false" ht="15" hidden="false" customHeight="false" outlineLevel="0" collapsed="false">
      <c r="A33" s="15" t="s">
        <v>159</v>
      </c>
      <c r="B33" s="20" t="n">
        <f aca="false">COUNTIF('فحص-بيانات-ماجستير'!$A$5:$A$230,"*")</f>
        <v>226</v>
      </c>
      <c r="C33" s="20" t="n">
        <f aca="false">COUNTIFS('فحص-بيانات-ماجستير'!$A$5:$A$230,"*",'فحص-بيانات-ماجستير'!$I$5:$I$230,"متوفر ومكتمل")</f>
        <v>0</v>
      </c>
      <c r="D33" s="20" t="n">
        <f aca="false">COUNTIFS('فحص-بيانات-ماجستير'!$A$5:$A$230,"*",'فحص-بيانات-ماجستير'!$I$5:$I$230,"متوفر ويحتاج تحسين")</f>
        <v>0</v>
      </c>
      <c r="E33" s="20" t="n">
        <f aca="false">COUNTIFS('فحص-بيانات-ماجستير'!$A$5:$A$230,"*",'فحص-بيانات-ماجستير'!$I$5:$I$230,"غير متوفر")</f>
        <v>0</v>
      </c>
      <c r="F33" s="20" t="n">
        <f aca="false">B33-SUM(C33:E33)</f>
        <v>226</v>
      </c>
      <c r="G33" s="21" t="n">
        <f aca="false">IF(B33=0,0,C33/B33)</f>
        <v>0</v>
      </c>
      <c r="H33" s="20" t="n">
        <f aca="false">COUNTIFS('فحص-بيانات-ماجستير'!$A$5:$A$230,"*",'فحص-بيانات-ماجستير'!$K$5:$K$230,"عالية")</f>
        <v>0</v>
      </c>
      <c r="I33" s="20" t="n">
        <f aca="false">COUNTIFS('فحص-بيانات-ماجستير'!$A$5:$A$230,"*",'فحص-بيانات-ماجستير'!$P$5:$P$230,"&lt;&gt;")</f>
        <v>0</v>
      </c>
    </row>
    <row r="35" customFormat="false" ht="15" hidden="false" customHeight="true" outlineLevel="0" collapsed="false">
      <c r="A35" s="13" t="s">
        <v>161</v>
      </c>
      <c r="B35" s="13"/>
      <c r="C35" s="13"/>
      <c r="D35" s="13"/>
      <c r="E35" s="13"/>
      <c r="F35" s="13"/>
      <c r="G35" s="13"/>
      <c r="H35" s="13"/>
      <c r="I35" s="13"/>
    </row>
    <row r="36" customFormat="false" ht="15" hidden="false" customHeight="false" outlineLevel="0" collapsed="false">
      <c r="A36" s="3" t="s">
        <v>92</v>
      </c>
      <c r="B36" s="3" t="s">
        <v>162</v>
      </c>
      <c r="C36" s="3" t="s">
        <v>163</v>
      </c>
      <c r="D36" s="3" t="s">
        <v>164</v>
      </c>
      <c r="E36" s="3" t="s">
        <v>152</v>
      </c>
      <c r="F36" s="3" t="s">
        <v>165</v>
      </c>
      <c r="G36" s="3"/>
      <c r="H36" s="3"/>
      <c r="I36" s="3"/>
    </row>
    <row r="37" customFormat="false" ht="15" hidden="false" customHeight="false" outlineLevel="0" collapsed="false">
      <c r="A37" s="18" t="str">
        <f aca="false">'الإعدادات واللجنة'!$B$15</f>
        <v>د. سلطان بن سعيد الشمراني</v>
      </c>
      <c r="B37" s="7" t="n">
        <f aca="false">COUNTIFS('فحص-حاسب-بكالوريوس'!$H$5:$H$208,'الإعدادات واللجنة'!$B$15)+COUNTIFS('فحص-بيانات-بكالوريوس'!$H$5:$H$208,'الإعدادات واللجنة'!$B$15)+COUNTIFS('فحص-بيانات-ماجستير'!$H$5:$H$230,'الإعدادات واللجنة'!$B$15)</f>
        <v>117</v>
      </c>
      <c r="C37" s="7" t="n">
        <f aca="false">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19" t="n">
        <f aca="false">IF(B37=0,0,C37/B37)</f>
        <v>0</v>
      </c>
      <c r="E37" s="7" t="n">
        <f aca="false">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7" t="n">
        <f aca="false">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customFormat="false" ht="15" hidden="false" customHeight="false" outlineLevel="0" collapsed="false">
      <c r="A38" s="18" t="str">
        <f aca="false">'الإعدادات واللجنة'!$B$16</f>
        <v>د. احمد بن عوض البشري</v>
      </c>
      <c r="B38" s="7" t="n">
        <f aca="false">COUNTIFS('فحص-حاسب-بكالوريوس'!$H$5:$H$208,'الإعدادات واللجنة'!$B$16)+COUNTIFS('فحص-بيانات-بكالوريوس'!$H$5:$H$208,'الإعدادات واللجنة'!$B$16)+COUNTIFS('فحص-بيانات-ماجستير'!$H$5:$H$230,'الإعدادات واللجنة'!$B$16)</f>
        <v>141</v>
      </c>
      <c r="C38" s="7" t="n">
        <f aca="false">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19" t="n">
        <f aca="false">IF(B38=0,0,C38/B38)</f>
        <v>0</v>
      </c>
      <c r="E38" s="7" t="n">
        <f aca="false">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7" t="n">
        <f aca="false">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customFormat="false" ht="15" hidden="false" customHeight="false" outlineLevel="0" collapsed="false">
      <c r="A39" s="18" t="str">
        <f aca="false">'الإعدادات واللجنة'!$B$17</f>
        <v>د. يثرب بنت سعد القحطاني</v>
      </c>
      <c r="B39" s="7" t="n">
        <f aca="false">COUNTIFS('فحص-حاسب-بكالوريوس'!$H$5:$H$208,'الإعدادات واللجنة'!$B$17)+COUNTIFS('فحص-بيانات-بكالوريوس'!$H$5:$H$208,'الإعدادات واللجنة'!$B$17)+COUNTIFS('فحص-بيانات-ماجستير'!$H$5:$H$230,'الإعدادات واللجنة'!$B$17)</f>
        <v>77</v>
      </c>
      <c r="C39" s="7" t="n">
        <f aca="false">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19" t="n">
        <f aca="false">IF(B39=0,0,C39/B39)</f>
        <v>0</v>
      </c>
      <c r="E39" s="7" t="n">
        <f aca="false">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7" t="n">
        <f aca="false">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customFormat="false" ht="15" hidden="false" customHeight="false" outlineLevel="0" collapsed="false">
      <c r="A40" s="18" t="str">
        <f aca="false">'الإعدادات واللجنة'!$B$18</f>
        <v>د. عبدالله بن محمد البركاتي</v>
      </c>
      <c r="B40" s="7" t="n">
        <f aca="false">COUNTIFS('فحص-حاسب-بكالوريوس'!$H$5:$H$208,'الإعدادات واللجنة'!$B$18)+COUNTIFS('فحص-بيانات-بكالوريوس'!$H$5:$H$208,'الإعدادات واللجنة'!$B$18)+COUNTIFS('فحص-بيانات-ماجستير'!$H$5:$H$230,'الإعدادات واللجنة'!$B$18)</f>
        <v>92</v>
      </c>
      <c r="C40" s="7" t="n">
        <f aca="false">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19" t="n">
        <f aca="false">IF(B40=0,0,C40/B40)</f>
        <v>0</v>
      </c>
      <c r="E40" s="7" t="n">
        <f aca="false">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7" t="n">
        <f aca="false">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customFormat="false" ht="15" hidden="false" customHeight="false" outlineLevel="0" collapsed="false">
      <c r="A41" s="18" t="str">
        <f aca="false">'الإعدادات واللجنة'!$B$19</f>
        <v>د. عمر بن محمد موسى</v>
      </c>
      <c r="B41" s="7" t="n">
        <f aca="false">COUNTIFS('فحص-حاسب-بكالوريوس'!$H$5:$H$208,'الإعدادات واللجنة'!$B$19)+COUNTIFS('فحص-بيانات-بكالوريوس'!$H$5:$H$208,'الإعدادات واللجنة'!$B$19)+COUNTIFS('فحص-بيانات-ماجستير'!$H$5:$H$230,'الإعدادات واللجنة'!$B$19)</f>
        <v>111</v>
      </c>
      <c r="C41" s="7" t="n">
        <f aca="false">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19" t="n">
        <f aca="false">IF(B41=0,0,C41/B41)</f>
        <v>0</v>
      </c>
      <c r="E41" s="7" t="n">
        <f aca="false">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7" t="n">
        <f aca="false">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customFormat="false" ht="15" hidden="false" customHeight="false" outlineLevel="0" collapsed="false">
      <c r="A42" s="18" t="str">
        <f aca="false">'الإعدادات واللجنة'!$B$20</f>
        <v>د. حسن بن سعد القحطاني</v>
      </c>
      <c r="B42" s="7" t="n">
        <f aca="false">COUNTIFS('فحص-حاسب-بكالوريوس'!$H$5:$H$208,'الإعدادات واللجنة'!$B$20)+COUNTIFS('فحص-بيانات-بكالوريوس'!$H$5:$H$208,'الإعدادات واللجنة'!$B$20)+COUNTIFS('فحص-بيانات-ماجستير'!$H$5:$H$230,'الإعدادات واللجنة'!$B$20)</f>
        <v>96</v>
      </c>
      <c r="C42" s="7" t="n">
        <f aca="false">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19" t="n">
        <f aca="false">IF(B42=0,0,C42/B42)</f>
        <v>0</v>
      </c>
      <c r="E42" s="7" t="n">
        <f aca="false">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7" t="n">
        <f aca="false">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customFormat="false" ht="15" hidden="false" customHeight="true" outlineLevel="0" collapsed="false">
      <c r="A44" s="13" t="s">
        <v>166</v>
      </c>
      <c r="B44" s="13"/>
      <c r="C44" s="13"/>
      <c r="D44" s="13"/>
      <c r="E44" s="13"/>
      <c r="F44" s="13"/>
      <c r="G44" s="13"/>
      <c r="H44" s="13"/>
      <c r="I44" s="13"/>
    </row>
    <row r="45" customFormat="false" ht="23.85" hidden="false" customHeight="false" outlineLevel="0" collapsed="false">
      <c r="A45" s="3" t="s">
        <v>167</v>
      </c>
      <c r="B45" s="3" t="str">
        <f aca="false">'الإعدادات واللجنة'!$B$5</f>
        <v>بكالوريوس علوم الحاسب</v>
      </c>
      <c r="C45" s="3" t="str">
        <f aca="false">'الإعدادات واللجنة'!$B$6</f>
        <v>بكالوريوس علوم البيانات</v>
      </c>
      <c r="D45" s="3" t="str">
        <f aca="false">'الإعدادات واللجنة'!$B$7</f>
        <v>ماجستير علوم البيانات</v>
      </c>
    </row>
    <row r="46" customFormat="false" ht="15" hidden="false" customHeight="false" outlineLevel="0" collapsed="false">
      <c r="A46" s="18" t="s">
        <v>168</v>
      </c>
      <c r="B46" s="7" t="n">
        <f aca="false">COUNTIF('فحص-حاسب-بكالوريوس'!$J$5:$J$208,"غير معتمد")</f>
        <v>0</v>
      </c>
      <c r="C46" s="7" t="n">
        <f aca="false">COUNTIF('فحص-بيانات-بكالوريوس'!$J$5:$J$208,"غير معتمد")</f>
        <v>0</v>
      </c>
      <c r="D46" s="7" t="n">
        <f aca="false">COUNTIF('فحص-بيانات-ماجستير'!$J$5:$J$230,"غير معتمد")</f>
        <v>0</v>
      </c>
    </row>
    <row r="47" customFormat="false" ht="15" hidden="false" customHeight="false" outlineLevel="0" collapsed="false">
      <c r="A47" s="18" t="s">
        <v>169</v>
      </c>
      <c r="B47" s="7" t="n">
        <f aca="false">COUNTIF('فحص-حاسب-بكالوريوس'!$J$5:$J$208,"غير محدّث")</f>
        <v>0</v>
      </c>
      <c r="C47" s="7" t="n">
        <f aca="false">COUNTIF('فحص-بيانات-بكالوريوس'!$J$5:$J$208,"غير محدّث")</f>
        <v>0</v>
      </c>
      <c r="D47" s="7" t="n">
        <f aca="false">COUNTIF('فحص-بيانات-ماجستير'!$J$5:$J$230,"غير محدّث")</f>
        <v>0</v>
      </c>
    </row>
    <row r="48" customFormat="false" ht="15" hidden="false" customHeight="false" outlineLevel="0" collapsed="false">
      <c r="A48" s="18" t="s">
        <v>170</v>
      </c>
      <c r="B48" s="7" t="n">
        <f aca="false">COUNTIF('فحص-حاسب-بكالوريوس'!$J$5:$J$208,"لا يغطي المحك كاملاً")</f>
        <v>0</v>
      </c>
      <c r="C48" s="7" t="n">
        <f aca="false">COUNTIF('فحص-بيانات-بكالوريوس'!$J$5:$J$208,"لا يغطي المحك كاملاً")</f>
        <v>0</v>
      </c>
      <c r="D48" s="7" t="n">
        <f aca="false">COUNTIF('فحص-بيانات-ماجستير'!$J$5:$J$230,"لا يغطي المحك كاملاً")</f>
        <v>0</v>
      </c>
    </row>
    <row r="49" customFormat="false" ht="15" hidden="false" customHeight="false" outlineLevel="0" collapsed="false">
      <c r="A49" s="18" t="s">
        <v>171</v>
      </c>
      <c r="B49" s="7" t="n">
        <f aca="false">COUNTIF('فحص-حاسب-بكالوريوس'!$J$5:$J$208,"لا يثبت التطبيق الفعلي")</f>
        <v>0</v>
      </c>
      <c r="C49" s="7" t="n">
        <f aca="false">COUNTIF('فحص-بيانات-بكالوريوس'!$J$5:$J$208,"لا يثبت التطبيق الفعلي")</f>
        <v>0</v>
      </c>
      <c r="D49" s="7" t="n">
        <f aca="false">COUNTIF('فحص-بيانات-ماجستير'!$J$5:$J$230,"لا يثبت التطبيق الفعلي")</f>
        <v>0</v>
      </c>
    </row>
    <row r="50" customFormat="false" ht="15" hidden="false" customHeight="false" outlineLevel="0" collapsed="false">
      <c r="A50" s="18" t="s">
        <v>172</v>
      </c>
      <c r="B50" s="7" t="n">
        <f aca="false">COUNTIF('فحص-حاسب-بكالوريوس'!$J$5:$J$208,"لا توجد نتائج وتحسين")</f>
        <v>0</v>
      </c>
      <c r="C50" s="7" t="n">
        <f aca="false">COUNTIF('فحص-بيانات-بكالوريوس'!$J$5:$J$208,"لا توجد نتائج وتحسين")</f>
        <v>0</v>
      </c>
      <c r="D50" s="7" t="n">
        <f aca="false">COUNTIF('فحص-بيانات-ماجستير'!$J$5:$J$230,"لا توجد نتائج وتحسين")</f>
        <v>0</v>
      </c>
    </row>
  </sheetData>
  <mergeCells count="7">
    <mergeCell ref="A1:I1"/>
    <mergeCell ref="A2:I2"/>
    <mergeCell ref="A4:I4"/>
    <mergeCell ref="A14:I14"/>
    <mergeCell ref="A24:I24"/>
    <mergeCell ref="A35:I35"/>
    <mergeCell ref="A44:I44"/>
  </mergeCells>
  <conditionalFormatting sqref="G6:G12">
    <cfRule type="dataBar" priority="2">
      <dataBar showValue="1" minLength="10" maxLength="90">
        <cfvo type="num" val="0"/>
        <cfvo type="num" val="1"/>
        <color rgb="FF5B9BD5"/>
      </dataBar>
      <extLst>
        <ext xmlns:x14="http://schemas.microsoft.com/office/spreadsheetml/2009/9/main" uri="{B025F937-C7B1-47D3-B67F-A62EFF666E3E}">
          <x14:id>{E1E33025-2DCB-47B1-8F4D-5E2541228D92}</x14:id>
        </ext>
      </extLst>
    </cfRule>
  </conditionalFormatting>
  <conditionalFormatting sqref="G16:G22">
    <cfRule type="dataBar" priority="3">
      <dataBar showValue="1" minLength="10" maxLength="90">
        <cfvo type="num" val="0"/>
        <cfvo type="num" val="1"/>
        <color rgb="FF5B9BD5"/>
      </dataBar>
      <extLst>
        <ext xmlns:x14="http://schemas.microsoft.com/office/spreadsheetml/2009/9/main" uri="{B025F937-C7B1-47D3-B67F-A62EFF666E3E}">
          <x14:id>{2AA22E18-42A8-4EE3-BED2-DFBF8F14E14B}</x14:id>
        </ext>
      </extLst>
    </cfRule>
  </conditionalFormatting>
  <conditionalFormatting sqref="G26:G33">
    <cfRule type="dataBar" priority="4">
      <dataBar showValue="1" minLength="10" maxLength="90">
        <cfvo type="num" val="0"/>
        <cfvo type="num" val="1"/>
        <color rgb="FF5B9BD5"/>
      </dataBar>
      <extLst>
        <ext xmlns:x14="http://schemas.microsoft.com/office/spreadsheetml/2009/9/main" uri="{B025F937-C7B1-47D3-B67F-A62EFF666E3E}">
          <x14:id>{5A73AB9B-1768-4BF1-8797-E000335B7390}</x14:id>
        </ext>
      </extLst>
    </cfRule>
  </conditionalFormatting>
  <conditionalFormatting sqref="D37:D42">
    <cfRule type="dataBar" priority="5">
      <dataBar showValue="1" minLength="10" maxLength="90">
        <cfvo type="num" val="0"/>
        <cfvo type="num" val="1"/>
        <color rgb="FF70AD47"/>
      </dataBar>
      <extLst>
        <ext xmlns:x14="http://schemas.microsoft.com/office/spreadsheetml/2009/9/main" uri="{B025F937-C7B1-47D3-B67F-A62EFF666E3E}">
          <x14:id>{6F954580-B19D-4EB6-A51F-F169E0C100BA}</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E1E33025-2DCB-47B1-8F4D-5E2541228D92}">
            <x14:dataBar minLength="10" maxLength="90" axisPosition="none" gradient="true">
              <x14:cfvo type="num">
                <xm:f>0</xm:f>
              </x14:cfvo>
              <x14:cfvo type="num">
                <xm:f>1</xm:f>
              </x14:cfvo>
              <x14:negativeFillColor rgb="FF5B9BD5"/>
              <x14:axisColor rgb="FF000000"/>
            </x14:dataBar>
          </x14:cfRule>
          <xm:sqref>G6:G12</xm:sqref>
        </x14:conditionalFormatting>
        <x14:conditionalFormatting xmlns:xm="http://schemas.microsoft.com/office/excel/2006/main">
          <x14:cfRule type="dataBar" id="{2AA22E18-42A8-4EE3-BED2-DFBF8F14E14B}">
            <x14:dataBar minLength="10" maxLength="90" axisPosition="none" gradient="true">
              <x14:cfvo type="num">
                <xm:f>0</xm:f>
              </x14:cfvo>
              <x14:cfvo type="num">
                <xm:f>1</xm:f>
              </x14:cfvo>
              <x14:negativeFillColor rgb="FF5B9BD5"/>
              <x14:axisColor rgb="FF000000"/>
            </x14:dataBar>
          </x14:cfRule>
          <xm:sqref>G16:G22</xm:sqref>
        </x14:conditionalFormatting>
        <x14:conditionalFormatting xmlns:xm="http://schemas.microsoft.com/office/excel/2006/main">
          <x14:cfRule type="dataBar" id="{5A73AB9B-1768-4BF1-8797-E000335B7390}">
            <x14:dataBar minLength="10" maxLength="90" axisPosition="none" gradient="true">
              <x14:cfvo type="num">
                <xm:f>0</xm:f>
              </x14:cfvo>
              <x14:cfvo type="num">
                <xm:f>1</xm:f>
              </x14:cfvo>
              <x14:negativeFillColor rgb="FF5B9BD5"/>
              <x14:axisColor rgb="FF000000"/>
            </x14:dataBar>
          </x14:cfRule>
          <xm:sqref>G26:G33</xm:sqref>
        </x14:conditionalFormatting>
        <x14:conditionalFormatting xmlns:xm="http://schemas.microsoft.com/office/excel/2006/main">
          <x14:cfRule type="dataBar" id="{6F954580-B19D-4EB6-A51F-F169E0C100BA}">
            <x14:dataBar minLength="10" maxLength="90" axisPosition="none" gradient="true">
              <x14:cfvo type="num">
                <xm:f>0</xm:f>
              </x14:cfvo>
              <x14:cfvo type="num">
                <xm:f>1</xm:f>
              </x14:cfvo>
              <x14:negativeFillColor rgb="FF70AD47"/>
              <x14:axisColor rgb="FF000000"/>
            </x14:dataBar>
          </x14:cfRule>
          <xm:sqref>D37:D42</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1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2"/>
    <col collapsed="false" customWidth="true" hidden="false" outlineLevel="0" max="3" min="3" style="0" width="44"/>
    <col collapsed="false" customWidth="true" hidden="false" outlineLevel="0" max="5" min="4" style="0" width="26"/>
    <col collapsed="false" customWidth="true" hidden="false" outlineLevel="0" max="6" min="6" style="0" width="36"/>
  </cols>
  <sheetData>
    <row r="1" customFormat="false" ht="18.55" hidden="false" customHeight="true" outlineLevel="0" collapsed="false">
      <c r="A1" s="1" t="s">
        <v>173</v>
      </c>
      <c r="B1" s="1"/>
      <c r="C1" s="1"/>
      <c r="D1" s="1"/>
      <c r="E1" s="1"/>
      <c r="F1" s="1"/>
    </row>
    <row r="2" customFormat="false" ht="30" hidden="false" customHeight="true" outlineLevel="0" collapsed="false">
      <c r="A2" s="14" t="s">
        <v>174</v>
      </c>
      <c r="B2" s="14"/>
      <c r="C2" s="14"/>
      <c r="D2" s="14"/>
      <c r="E2" s="14"/>
      <c r="F2" s="14"/>
    </row>
    <row r="4" customFormat="false" ht="15" hidden="false" customHeight="false" outlineLevel="0" collapsed="false">
      <c r="A4" s="3" t="s">
        <v>91</v>
      </c>
      <c r="B4" s="3" t="s">
        <v>175</v>
      </c>
      <c r="C4" s="3" t="s">
        <v>176</v>
      </c>
      <c r="D4" s="3" t="s">
        <v>177</v>
      </c>
      <c r="E4" s="3" t="s">
        <v>5</v>
      </c>
      <c r="F4" s="3" t="s">
        <v>178</v>
      </c>
    </row>
    <row r="5" customFormat="false" ht="15" hidden="false" customHeight="true" outlineLevel="0" collapsed="false">
      <c r="A5" s="13" t="s">
        <v>179</v>
      </c>
      <c r="B5" s="13"/>
      <c r="C5" s="13"/>
      <c r="D5" s="13"/>
      <c r="E5" s="13"/>
      <c r="F5" s="13"/>
    </row>
    <row r="6" customFormat="false" ht="31.5" hidden="false" customHeight="true" outlineLevel="0" collapsed="false">
      <c r="A6" s="7" t="n">
        <v>1</v>
      </c>
      <c r="B6" s="18" t="s">
        <v>180</v>
      </c>
      <c r="C6" s="6" t="s">
        <v>181</v>
      </c>
      <c r="D6" s="11" t="s">
        <v>182</v>
      </c>
      <c r="E6" s="7" t="str">
        <f aca="false">'الإعدادات واللجنة'!$B$12</f>
        <v>د. نهلة بنت سعد القثامي</v>
      </c>
      <c r="F6" s="6" t="s">
        <v>183</v>
      </c>
    </row>
    <row r="7" customFormat="false" ht="31.5" hidden="false" customHeight="true" outlineLevel="0" collapsed="false">
      <c r="A7" s="7" t="n">
        <v>2</v>
      </c>
      <c r="B7" s="18" t="s">
        <v>184</v>
      </c>
      <c r="C7" s="6" t="s">
        <v>185</v>
      </c>
      <c r="D7" s="11" t="s">
        <v>186</v>
      </c>
      <c r="E7" s="7" t="str">
        <f aca="false">'الإعدادات واللجنة'!$B$12</f>
        <v>د. نهلة بنت سعد القثامي</v>
      </c>
      <c r="F7" s="6" t="s">
        <v>187</v>
      </c>
    </row>
    <row r="8" customFormat="false" ht="15" hidden="false" customHeight="true" outlineLevel="0" collapsed="false">
      <c r="A8" s="13" t="s">
        <v>188</v>
      </c>
      <c r="B8" s="13"/>
      <c r="C8" s="13"/>
      <c r="D8" s="13"/>
      <c r="E8" s="13"/>
      <c r="F8" s="13"/>
    </row>
    <row r="9" customFormat="false" ht="31.5" hidden="false" customHeight="true" outlineLevel="0" collapsed="false">
      <c r="A9" s="7" t="n">
        <v>3</v>
      </c>
      <c r="B9" s="18" t="s">
        <v>189</v>
      </c>
      <c r="C9" s="6" t="s">
        <v>190</v>
      </c>
      <c r="D9" s="12" t="s">
        <v>191</v>
      </c>
      <c r="E9" s="7" t="str">
        <f aca="false">'الإعدادات واللجنة'!$B$13</f>
        <v>د. عبير بنت عبدالله راجحي</v>
      </c>
      <c r="F9" s="6" t="s">
        <v>192</v>
      </c>
    </row>
    <row r="10" customFormat="false" ht="31.5" hidden="false" customHeight="true" outlineLevel="0" collapsed="false">
      <c r="A10" s="7" t="n">
        <v>4</v>
      </c>
      <c r="B10" s="18" t="s">
        <v>193</v>
      </c>
      <c r="C10" s="6" t="s">
        <v>194</v>
      </c>
      <c r="D10" s="12" t="s">
        <v>191</v>
      </c>
      <c r="E10" s="7" t="str">
        <f aca="false">'الإعدادات واللجنة'!$B$13</f>
        <v>د. عبير بنت عبدالله راجحي</v>
      </c>
      <c r="F10" s="6" t="s">
        <v>195</v>
      </c>
    </row>
    <row r="11" customFormat="false" ht="31.5" hidden="false" customHeight="true" outlineLevel="0" collapsed="false">
      <c r="A11" s="7" t="n">
        <v>5</v>
      </c>
      <c r="B11" s="18" t="s">
        <v>196</v>
      </c>
      <c r="C11" s="6" t="s">
        <v>197</v>
      </c>
      <c r="D11" s="12" t="s">
        <v>191</v>
      </c>
      <c r="E11" s="7" t="str">
        <f aca="false">'الإعدادات واللجنة'!$B$13</f>
        <v>د. عبير بنت عبدالله راجحي</v>
      </c>
      <c r="F11" s="6" t="s">
        <v>195</v>
      </c>
    </row>
    <row r="12" customFormat="false" ht="31.5" hidden="false" customHeight="true" outlineLevel="0" collapsed="false">
      <c r="A12" s="7" t="n">
        <v>6</v>
      </c>
      <c r="B12" s="18" t="s">
        <v>129</v>
      </c>
      <c r="C12" s="6" t="s">
        <v>198</v>
      </c>
      <c r="D12" s="12" t="s">
        <v>191</v>
      </c>
      <c r="E12" s="7" t="str">
        <f aca="false">'الإعدادات واللجنة'!$B$13</f>
        <v>د. عبير بنت عبدالله راجحي</v>
      </c>
      <c r="F12" s="6" t="s">
        <v>195</v>
      </c>
    </row>
    <row r="13" customFormat="false" ht="31.5" hidden="false" customHeight="true" outlineLevel="0" collapsed="false">
      <c r="A13" s="7" t="n">
        <v>7</v>
      </c>
      <c r="B13" s="18" t="s">
        <v>199</v>
      </c>
      <c r="C13" s="6" t="s">
        <v>200</v>
      </c>
      <c r="D13" s="12" t="s">
        <v>191</v>
      </c>
      <c r="E13" s="7" t="str">
        <f aca="false">'الإعدادات واللجنة'!$B$13</f>
        <v>د. عبير بنت عبدالله راجحي</v>
      </c>
      <c r="F13" s="6" t="s">
        <v>195</v>
      </c>
    </row>
    <row r="14" customFormat="false" ht="31.5" hidden="false" customHeight="true" outlineLevel="0" collapsed="false">
      <c r="A14" s="7" t="n">
        <v>8</v>
      </c>
      <c r="B14" s="18" t="s">
        <v>201</v>
      </c>
      <c r="C14" s="6" t="s">
        <v>202</v>
      </c>
      <c r="D14" s="5" t="s">
        <v>203</v>
      </c>
      <c r="E14" s="7" t="s">
        <v>204</v>
      </c>
      <c r="F14" s="6" t="s">
        <v>205</v>
      </c>
    </row>
    <row r="15" customFormat="false" ht="15" hidden="false" customHeight="true" outlineLevel="0" collapsed="false">
      <c r="A15" s="13" t="s">
        <v>206</v>
      </c>
      <c r="B15" s="13"/>
      <c r="C15" s="13"/>
      <c r="D15" s="13"/>
      <c r="E15" s="13"/>
      <c r="F15" s="13"/>
    </row>
    <row r="16" customFormat="false" ht="31.5" hidden="false" customHeight="true" outlineLevel="0" collapsed="false">
      <c r="A16" s="7" t="n">
        <v>9</v>
      </c>
      <c r="B16" s="18" t="s">
        <v>207</v>
      </c>
      <c r="C16" s="6" t="s">
        <v>208</v>
      </c>
      <c r="D16" s="10" t="s">
        <v>209</v>
      </c>
      <c r="E16" s="7" t="s">
        <v>210</v>
      </c>
      <c r="F16" s="6" t="s">
        <v>211</v>
      </c>
    </row>
    <row r="17" customFormat="false" ht="31.5" hidden="false" customHeight="true" outlineLevel="0" collapsed="false">
      <c r="A17" s="7" t="n">
        <v>10</v>
      </c>
      <c r="B17" s="18" t="s">
        <v>212</v>
      </c>
      <c r="C17" s="6" t="s">
        <v>213</v>
      </c>
      <c r="D17" s="10" t="s">
        <v>214</v>
      </c>
      <c r="E17" s="7" t="str">
        <f aca="false">'الإعدادات واللجنة'!$B$20</f>
        <v>د. حسن بن سعد القحطاني</v>
      </c>
      <c r="F17" s="6"/>
    </row>
    <row r="18" customFormat="false" ht="31.5" hidden="false" customHeight="true" outlineLevel="0" collapsed="false">
      <c r="A18" s="7" t="n">
        <v>11</v>
      </c>
      <c r="B18" s="18" t="s">
        <v>215</v>
      </c>
      <c r="C18" s="6" t="s">
        <v>216</v>
      </c>
      <c r="D18" s="10" t="s">
        <v>217</v>
      </c>
      <c r="E18" s="7" t="str">
        <f aca="false">'الإعدادات واللجنة'!$B$15</f>
        <v>د. سلطان بن سعيد الشمراني</v>
      </c>
      <c r="F18" s="6"/>
    </row>
    <row r="19" customFormat="false" ht="31.5" hidden="false" customHeight="true" outlineLevel="0" collapsed="false">
      <c r="A19" s="7" t="n">
        <v>12</v>
      </c>
      <c r="B19" s="18" t="s">
        <v>218</v>
      </c>
      <c r="C19" s="6" t="s">
        <v>219</v>
      </c>
      <c r="D19" s="11" t="s">
        <v>182</v>
      </c>
      <c r="E19" s="7" t="str">
        <f aca="false">'الإعدادات واللجنة'!$B$12</f>
        <v>د. نهلة بنت سعد القثامي</v>
      </c>
      <c r="F19" s="6" t="s">
        <v>220</v>
      </c>
    </row>
  </sheetData>
  <mergeCells count="5">
    <mergeCell ref="A1:F1"/>
    <mergeCell ref="A2:F2"/>
    <mergeCell ref="A5:F5"/>
    <mergeCell ref="A8:F8"/>
    <mergeCell ref="A15:F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4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30"/>
    <col collapsed="false" customWidth="true" hidden="false" outlineLevel="0" max="6" min="4" style="0" width="18"/>
  </cols>
  <sheetData>
    <row r="1" customFormat="false" ht="18.55" hidden="false" customHeight="true" outlineLevel="0" collapsed="false">
      <c r="A1" s="1" t="s">
        <v>221</v>
      </c>
      <c r="B1" s="1"/>
      <c r="C1" s="1"/>
      <c r="D1" s="1"/>
      <c r="E1" s="1"/>
      <c r="F1" s="1"/>
    </row>
    <row r="2" customFormat="false" ht="31.5" hidden="false" customHeight="true" outlineLevel="0" collapsed="false">
      <c r="A2" s="14" t="s">
        <v>222</v>
      </c>
      <c r="B2" s="14"/>
      <c r="C2" s="14"/>
      <c r="D2" s="14"/>
      <c r="E2" s="14"/>
      <c r="F2" s="14"/>
    </row>
    <row r="3" customFormat="false" ht="30" hidden="false" customHeight="true" outlineLevel="0" collapsed="false">
      <c r="A3" s="14" t="s">
        <v>223</v>
      </c>
      <c r="B3" s="14"/>
      <c r="C3" s="14"/>
      <c r="D3" s="14"/>
      <c r="E3" s="14"/>
      <c r="F3" s="14"/>
    </row>
    <row r="5" customFormat="false" ht="15" hidden="false" customHeight="true" outlineLevel="0" collapsed="false">
      <c r="A5" s="13" t="s">
        <v>224</v>
      </c>
      <c r="B5" s="13"/>
      <c r="C5" s="13"/>
      <c r="D5" s="13"/>
      <c r="E5" s="13"/>
      <c r="F5" s="13"/>
    </row>
    <row r="6" customFormat="false" ht="15" hidden="false" customHeight="true" outlineLevel="0" collapsed="false">
      <c r="A6" s="7" t="n">
        <v>1</v>
      </c>
      <c r="B6" s="22" t="s">
        <v>225</v>
      </c>
      <c r="C6" s="6" t="s">
        <v>226</v>
      </c>
      <c r="D6" s="6"/>
      <c r="E6" s="6"/>
      <c r="F6" s="6"/>
    </row>
    <row r="7" customFormat="false" ht="15" hidden="false" customHeight="true" outlineLevel="0" collapsed="false">
      <c r="A7" s="7" t="n">
        <v>2</v>
      </c>
      <c r="B7" s="22" t="s">
        <v>227</v>
      </c>
      <c r="C7" s="6" t="s">
        <v>228</v>
      </c>
      <c r="D7" s="6"/>
      <c r="E7" s="6"/>
      <c r="F7" s="6"/>
    </row>
    <row r="8" customFormat="false" ht="15" hidden="false" customHeight="true" outlineLevel="0" collapsed="false">
      <c r="A8" s="7" t="n">
        <v>3</v>
      </c>
      <c r="B8" s="22" t="s">
        <v>229</v>
      </c>
      <c r="C8" s="6" t="s">
        <v>230</v>
      </c>
      <c r="D8" s="6"/>
      <c r="E8" s="6"/>
      <c r="F8" s="6"/>
    </row>
    <row r="10" customFormat="false" ht="15" hidden="false" customHeight="true" outlineLevel="0" collapsed="false">
      <c r="A10" s="13" t="s">
        <v>231</v>
      </c>
      <c r="B10" s="13"/>
      <c r="C10" s="13"/>
      <c r="D10" s="13"/>
      <c r="E10" s="13"/>
      <c r="F10" s="13"/>
    </row>
    <row r="11" customFormat="false" ht="15" hidden="false" customHeight="false" outlineLevel="0" collapsed="false">
      <c r="A11" s="3" t="s">
        <v>91</v>
      </c>
      <c r="B11" s="3" t="s">
        <v>232</v>
      </c>
      <c r="C11" s="3" t="s">
        <v>6</v>
      </c>
      <c r="D11" s="3" t="str">
        <f aca="false">'الإعدادات واللجنة'!$B$5</f>
        <v>بكالوريوس علوم الحاسب</v>
      </c>
      <c r="E11" s="3" t="str">
        <f aca="false">'الإعدادات واللجنة'!$B$6</f>
        <v>بكالوريوس علوم البيانات</v>
      </c>
      <c r="F11" s="3" t="str">
        <f aca="false">'الإعدادات واللجنة'!$B$7</f>
        <v>ماجستير علوم البيانات</v>
      </c>
    </row>
    <row r="12" customFormat="false" ht="30" hidden="false" customHeight="true" outlineLevel="0" collapsed="false">
      <c r="A12" s="7" t="n">
        <v>1</v>
      </c>
      <c r="B12" s="6" t="s">
        <v>233</v>
      </c>
      <c r="C12" s="6" t="s">
        <v>234</v>
      </c>
      <c r="D12" s="8" t="s">
        <v>13</v>
      </c>
      <c r="E12" s="8" t="s">
        <v>13</v>
      </c>
      <c r="F12" s="8" t="s">
        <v>13</v>
      </c>
    </row>
    <row r="13" customFormat="false" ht="30" hidden="false" customHeight="true" outlineLevel="0" collapsed="false">
      <c r="A13" s="7" t="n">
        <v>2</v>
      </c>
      <c r="B13" s="6" t="s">
        <v>235</v>
      </c>
      <c r="C13" s="6" t="s">
        <v>236</v>
      </c>
      <c r="D13" s="8" t="s">
        <v>13</v>
      </c>
      <c r="E13" s="8" t="s">
        <v>13</v>
      </c>
      <c r="F13" s="8" t="s">
        <v>13</v>
      </c>
    </row>
    <row r="14" customFormat="false" ht="30" hidden="false" customHeight="true" outlineLevel="0" collapsed="false">
      <c r="A14" s="7" t="n">
        <v>3</v>
      </c>
      <c r="B14" s="6" t="s">
        <v>237</v>
      </c>
      <c r="C14" s="6" t="s">
        <v>238</v>
      </c>
      <c r="D14" s="8" t="s">
        <v>13</v>
      </c>
      <c r="E14" s="8" t="s">
        <v>13</v>
      </c>
      <c r="F14" s="8" t="s">
        <v>13</v>
      </c>
    </row>
    <row r="15" customFormat="false" ht="30" hidden="false" customHeight="true" outlineLevel="0" collapsed="false">
      <c r="A15" s="7" t="n">
        <v>4</v>
      </c>
      <c r="B15" s="6" t="s">
        <v>239</v>
      </c>
      <c r="C15" s="6" t="s">
        <v>240</v>
      </c>
      <c r="D15" s="8" t="s">
        <v>13</v>
      </c>
      <c r="E15" s="8" t="s">
        <v>13</v>
      </c>
      <c r="F15" s="8" t="s">
        <v>13</v>
      </c>
    </row>
    <row r="16" customFormat="false" ht="30" hidden="false" customHeight="true" outlineLevel="0" collapsed="false">
      <c r="A16" s="7" t="n">
        <v>5</v>
      </c>
      <c r="B16" s="6" t="s">
        <v>241</v>
      </c>
      <c r="C16" s="6" t="s">
        <v>242</v>
      </c>
      <c r="D16" s="8" t="s">
        <v>13</v>
      </c>
      <c r="E16" s="8" t="s">
        <v>13</v>
      </c>
      <c r="F16" s="8" t="s">
        <v>13</v>
      </c>
    </row>
    <row r="17" customFormat="false" ht="30" hidden="false" customHeight="true" outlineLevel="0" collapsed="false">
      <c r="A17" s="7" t="n">
        <v>6</v>
      </c>
      <c r="B17" s="6" t="s">
        <v>243</v>
      </c>
      <c r="C17" s="6" t="s">
        <v>244</v>
      </c>
      <c r="D17" s="8" t="s">
        <v>13</v>
      </c>
      <c r="E17" s="8" t="s">
        <v>13</v>
      </c>
      <c r="F17" s="8" t="s">
        <v>13</v>
      </c>
    </row>
    <row r="18" customFormat="false" ht="30" hidden="false" customHeight="true" outlineLevel="0" collapsed="false">
      <c r="A18" s="7" t="n">
        <v>7</v>
      </c>
      <c r="B18" s="6" t="s">
        <v>245</v>
      </c>
      <c r="C18" s="6" t="s">
        <v>246</v>
      </c>
      <c r="D18" s="8" t="s">
        <v>13</v>
      </c>
      <c r="E18" s="8" t="s">
        <v>13</v>
      </c>
      <c r="F18" s="8" t="s">
        <v>13</v>
      </c>
    </row>
    <row r="20" customFormat="false" ht="15" hidden="false" customHeight="true" outlineLevel="0" collapsed="false">
      <c r="A20" s="13" t="s">
        <v>247</v>
      </c>
      <c r="B20" s="13"/>
      <c r="C20" s="13"/>
      <c r="D20" s="13"/>
      <c r="E20" s="13"/>
      <c r="F20" s="13"/>
    </row>
    <row r="21" customFormat="false" ht="15" hidden="false" customHeight="true" outlineLevel="0" collapsed="false">
      <c r="A21" s="3" t="s">
        <v>91</v>
      </c>
      <c r="B21" s="3" t="s">
        <v>248</v>
      </c>
      <c r="C21" s="3"/>
      <c r="D21" s="3" t="str">
        <f aca="false">'الإعدادات واللجنة'!$B$5</f>
        <v>بكالوريوس علوم الحاسب</v>
      </c>
      <c r="E21" s="3" t="str">
        <f aca="false">'الإعدادات واللجنة'!$B$6</f>
        <v>بكالوريوس علوم البيانات</v>
      </c>
      <c r="F21" s="3" t="str">
        <f aca="false">'الإعدادات واللجنة'!$B$7</f>
        <v>ماجستير علوم البيانات</v>
      </c>
    </row>
    <row r="22" customFormat="false" ht="15" hidden="false" customHeight="true" outlineLevel="0" collapsed="false">
      <c r="A22" s="7" t="n">
        <v>1</v>
      </c>
      <c r="B22" s="6" t="s">
        <v>249</v>
      </c>
      <c r="C22" s="6"/>
      <c r="D22" s="8"/>
      <c r="E22" s="8"/>
      <c r="F22" s="8"/>
    </row>
    <row r="23" customFormat="false" ht="15" hidden="false" customHeight="true" outlineLevel="0" collapsed="false">
      <c r="A23" s="7" t="n">
        <v>2</v>
      </c>
      <c r="B23" s="6" t="s">
        <v>250</v>
      </c>
      <c r="C23" s="6"/>
      <c r="D23" s="8"/>
      <c r="E23" s="8"/>
      <c r="F23" s="8"/>
    </row>
    <row r="24" customFormat="false" ht="15" hidden="false" customHeight="true" outlineLevel="0" collapsed="false">
      <c r="A24" s="7" t="n">
        <v>3</v>
      </c>
      <c r="B24" s="6" t="s">
        <v>251</v>
      </c>
      <c r="C24" s="6"/>
      <c r="D24" s="8"/>
      <c r="E24" s="8"/>
      <c r="F24" s="8"/>
    </row>
    <row r="25" customFormat="false" ht="15" hidden="false" customHeight="true" outlineLevel="0" collapsed="false">
      <c r="A25" s="7" t="n">
        <v>4</v>
      </c>
      <c r="B25" s="6" t="s">
        <v>252</v>
      </c>
      <c r="C25" s="6"/>
      <c r="D25" s="8"/>
      <c r="E25" s="8"/>
      <c r="F25" s="8"/>
    </row>
    <row r="26" customFormat="false" ht="15" hidden="false" customHeight="true" outlineLevel="0" collapsed="false">
      <c r="A26" s="7" t="n">
        <v>5</v>
      </c>
      <c r="B26" s="6" t="s">
        <v>253</v>
      </c>
      <c r="C26" s="6"/>
      <c r="D26" s="8"/>
      <c r="E26" s="8"/>
      <c r="F26" s="8"/>
    </row>
    <row r="27" customFormat="false" ht="15" hidden="false" customHeight="true" outlineLevel="0" collapsed="false">
      <c r="A27" s="7" t="n">
        <v>6</v>
      </c>
      <c r="B27" s="6" t="s">
        <v>254</v>
      </c>
      <c r="C27" s="6"/>
      <c r="D27" s="8"/>
      <c r="E27" s="8"/>
      <c r="F27" s="8"/>
    </row>
    <row r="28" customFormat="false" ht="15" hidden="false" customHeight="true" outlineLevel="0" collapsed="false">
      <c r="A28" s="7" t="n">
        <v>7</v>
      </c>
      <c r="B28" s="6" t="s">
        <v>255</v>
      </c>
      <c r="C28" s="6"/>
      <c r="D28" s="8"/>
      <c r="E28" s="8"/>
      <c r="F28" s="8"/>
    </row>
    <row r="29" customFormat="false" ht="15" hidden="false" customHeight="true" outlineLevel="0" collapsed="false">
      <c r="A29" s="7" t="n">
        <v>8</v>
      </c>
      <c r="B29" s="6" t="s">
        <v>256</v>
      </c>
      <c r="C29" s="6"/>
      <c r="D29" s="8"/>
      <c r="E29" s="8"/>
      <c r="F29" s="8"/>
    </row>
    <row r="30" customFormat="false" ht="15" hidden="false" customHeight="true" outlineLevel="0" collapsed="false">
      <c r="A30" s="7" t="n">
        <v>9</v>
      </c>
      <c r="B30" s="6" t="s">
        <v>257</v>
      </c>
      <c r="C30" s="6"/>
      <c r="D30" s="8"/>
      <c r="E30" s="8"/>
      <c r="F30" s="8"/>
    </row>
    <row r="32" customFormat="false" ht="15" hidden="false" customHeight="true" outlineLevel="0" collapsed="false">
      <c r="A32" s="13" t="s">
        <v>258</v>
      </c>
      <c r="B32" s="13"/>
      <c r="C32" s="13"/>
      <c r="D32" s="13"/>
      <c r="E32" s="13"/>
      <c r="F32" s="13"/>
    </row>
    <row r="33" customFormat="false" ht="15" hidden="false" customHeight="false" outlineLevel="0" collapsed="false">
      <c r="A33" s="3" t="s">
        <v>91</v>
      </c>
      <c r="B33" s="3" t="s">
        <v>259</v>
      </c>
      <c r="C33" s="3" t="s">
        <v>260</v>
      </c>
      <c r="D33" s="3" t="s">
        <v>260</v>
      </c>
      <c r="E33" s="3" t="s">
        <v>261</v>
      </c>
      <c r="F33" s="3" t="s">
        <v>261</v>
      </c>
    </row>
    <row r="34" customFormat="false" ht="15" hidden="false" customHeight="false" outlineLevel="0" collapsed="false">
      <c r="A34" s="7" t="n">
        <v>1</v>
      </c>
      <c r="B34" s="9" t="s">
        <v>262</v>
      </c>
      <c r="C34" s="8"/>
      <c r="D34" s="8"/>
      <c r="E34" s="8"/>
      <c r="F34" s="8"/>
    </row>
    <row r="35" customFormat="false" ht="15" hidden="false" customHeight="false" outlineLevel="0" collapsed="false">
      <c r="A35" s="7" t="n">
        <v>2</v>
      </c>
      <c r="B35" s="9" t="s">
        <v>263</v>
      </c>
      <c r="C35" s="8"/>
      <c r="D35" s="8"/>
      <c r="E35" s="8"/>
      <c r="F35" s="8"/>
    </row>
    <row r="36" customFormat="false" ht="15" hidden="false" customHeight="false" outlineLevel="0" collapsed="false">
      <c r="A36" s="7" t="n">
        <v>3</v>
      </c>
      <c r="B36" s="9" t="s">
        <v>264</v>
      </c>
      <c r="C36" s="8"/>
      <c r="D36" s="8"/>
      <c r="E36" s="8"/>
      <c r="F36" s="8"/>
    </row>
    <row r="37" customFormat="false" ht="15" hidden="false" customHeight="false" outlineLevel="0" collapsed="false">
      <c r="A37" s="7" t="n">
        <v>4</v>
      </c>
      <c r="B37" s="9" t="s">
        <v>265</v>
      </c>
      <c r="C37" s="8"/>
      <c r="D37" s="8"/>
      <c r="E37" s="8"/>
      <c r="F37" s="8"/>
    </row>
    <row r="38" customFormat="false" ht="15" hidden="false" customHeight="false" outlineLevel="0" collapsed="false">
      <c r="A38" s="7" t="n">
        <v>5</v>
      </c>
      <c r="B38" s="9" t="s">
        <v>266</v>
      </c>
      <c r="C38" s="8"/>
      <c r="D38" s="8"/>
      <c r="E38" s="8"/>
      <c r="F38" s="8"/>
    </row>
    <row r="40" customFormat="false" ht="15" hidden="false" customHeight="true" outlineLevel="0" collapsed="false">
      <c r="A40" s="13" t="s">
        <v>267</v>
      </c>
      <c r="B40" s="13"/>
      <c r="C40" s="13"/>
      <c r="D40" s="13"/>
      <c r="E40" s="13"/>
      <c r="F40" s="13"/>
    </row>
    <row r="41" customFormat="false" ht="15" hidden="false" customHeight="true" outlineLevel="0" collapsed="false">
      <c r="A41" s="7" t="n">
        <v>1</v>
      </c>
      <c r="B41" s="6" t="s">
        <v>268</v>
      </c>
      <c r="C41" s="6"/>
      <c r="D41" s="6"/>
      <c r="E41" s="6"/>
      <c r="F41" s="6"/>
    </row>
    <row r="42" customFormat="false" ht="15" hidden="false" customHeight="true" outlineLevel="0" collapsed="false">
      <c r="A42" s="7" t="n">
        <v>2</v>
      </c>
      <c r="B42" s="6" t="s">
        <v>269</v>
      </c>
      <c r="C42" s="6"/>
      <c r="D42" s="6"/>
      <c r="E42" s="6"/>
      <c r="F42" s="6"/>
    </row>
    <row r="43" customFormat="false" ht="15" hidden="false" customHeight="true" outlineLevel="0" collapsed="false">
      <c r="A43" s="7" t="n">
        <v>3</v>
      </c>
      <c r="B43" s="6" t="s">
        <v>270</v>
      </c>
      <c r="C43" s="6"/>
      <c r="D43" s="6"/>
      <c r="E43" s="6"/>
      <c r="F43" s="6"/>
    </row>
    <row r="44" customFormat="false" ht="15" hidden="false" customHeight="true" outlineLevel="0" collapsed="false">
      <c r="A44" s="7" t="n">
        <v>4</v>
      </c>
      <c r="B44" s="6" t="s">
        <v>271</v>
      </c>
      <c r="C44" s="6"/>
      <c r="D44" s="6"/>
      <c r="E44" s="6"/>
      <c r="F44" s="6"/>
    </row>
    <row r="45" customFormat="false" ht="15" hidden="false" customHeight="true" outlineLevel="0" collapsed="false">
      <c r="A45" s="7" t="n">
        <v>5</v>
      </c>
      <c r="B45" s="6" t="s">
        <v>272</v>
      </c>
      <c r="C45" s="6"/>
      <c r="D45" s="6"/>
      <c r="E45" s="6"/>
      <c r="F45" s="6"/>
    </row>
    <row r="46" customFormat="false" ht="15" hidden="false" customHeight="true" outlineLevel="0" collapsed="false">
      <c r="A46" s="7" t="n">
        <v>6</v>
      </c>
      <c r="B46" s="6" t="s">
        <v>273</v>
      </c>
      <c r="C46" s="6"/>
      <c r="D46" s="6"/>
      <c r="E46" s="6"/>
      <c r="F46" s="6"/>
    </row>
  </sheetData>
  <mergeCells count="27">
    <mergeCell ref="A1:F1"/>
    <mergeCell ref="A2:F2"/>
    <mergeCell ref="A3:F3"/>
    <mergeCell ref="A5:F5"/>
    <mergeCell ref="C6:F6"/>
    <mergeCell ref="C7:F7"/>
    <mergeCell ref="C8:F8"/>
    <mergeCell ref="A10:F10"/>
    <mergeCell ref="A20:F20"/>
    <mergeCell ref="B21:C21"/>
    <mergeCell ref="B22:C22"/>
    <mergeCell ref="B23:C23"/>
    <mergeCell ref="B24:C24"/>
    <mergeCell ref="B25:C25"/>
    <mergeCell ref="B26:C26"/>
    <mergeCell ref="B27:C27"/>
    <mergeCell ref="B28:C28"/>
    <mergeCell ref="B29:C29"/>
    <mergeCell ref="B30:C30"/>
    <mergeCell ref="A32:F32"/>
    <mergeCell ref="A40:F40"/>
    <mergeCell ref="B41:F41"/>
    <mergeCell ref="B42:F42"/>
    <mergeCell ref="B43:F43"/>
    <mergeCell ref="B44:F44"/>
    <mergeCell ref="B45:F45"/>
    <mergeCell ref="B46:F46"/>
  </mergeCells>
  <conditionalFormatting sqref="D22:F30">
    <cfRule type="cellIs" priority="2" operator="equal" aboveAverage="0" equalAverage="0" bottom="0" percent="0" rank="0" text="" dxfId="0">
      <formula>"نعم"</formula>
    </cfRule>
    <cfRule type="cellIs" priority="3" operator="equal" aboveAverage="0" equalAverage="0" bottom="0" percent="0" rank="0" text="" dxfId="2">
      <formula>"جزئياً"</formula>
    </cfRule>
    <cfRule type="cellIs" priority="4" operator="equal" aboveAverage="0" equalAverage="0" bottom="0" percent="0" rank="0" text="" dxfId="1">
      <formula>"لا"</formula>
    </cfRule>
  </conditionalFormatting>
  <dataValidations count="2">
    <dataValidation allowBlank="true" errorStyle="stop" operator="between" showDropDown="false" showErrorMessage="false" showInputMessage="false" sqref="D12:F18" type="list">
      <formula1>"لم تبدأ,قيد التنفيذ,مكتملة"</formula1>
      <formula2>0</formula2>
    </dataValidation>
    <dataValidation allowBlank="true" errorStyle="stop" operator="between" showDropDown="false" showErrorMessage="false" showInputMessage="false" sqref="D22:F30" type="list">
      <formula1>"نعم,جزئياً,لا"</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3" t="str">
        <f aca="false">"فحص الأدلة – "&amp;'الإعدادات واللجنة'!$B$5</f>
        <v>فحص الأدلة – بكالوريوس علوم الحاسب</v>
      </c>
      <c r="B1" s="23"/>
      <c r="C1" s="23"/>
      <c r="D1" s="23"/>
      <c r="E1" s="23"/>
      <c r="F1" s="23"/>
      <c r="G1" s="23"/>
      <c r="H1" s="23"/>
    </row>
    <row r="2" customFormat="false" ht="15" hidden="false" customHeight="true" outlineLevel="0" collapsed="false">
      <c r="A2" s="14" t="s">
        <v>274</v>
      </c>
      <c r="B2" s="14"/>
      <c r="C2" s="14"/>
      <c r="D2" s="14"/>
      <c r="E2" s="14"/>
      <c r="F2" s="14"/>
      <c r="G2" s="14"/>
      <c r="H2" s="14"/>
      <c r="I2" s="14"/>
      <c r="J2" s="14"/>
      <c r="K2" s="14"/>
      <c r="L2" s="14"/>
      <c r="M2" s="14"/>
      <c r="N2" s="14"/>
      <c r="O2" s="14"/>
      <c r="P2" s="14"/>
      <c r="Q2" s="14"/>
    </row>
    <row r="4" customFormat="false" ht="30" hidden="false" customHeight="true" outlineLevel="0" collapsed="false">
      <c r="A4" s="3" t="s">
        <v>120</v>
      </c>
      <c r="B4" s="3" t="s">
        <v>144</v>
      </c>
      <c r="C4" s="3" t="s">
        <v>275</v>
      </c>
      <c r="D4" s="3" t="s">
        <v>276</v>
      </c>
      <c r="E4" s="3" t="s">
        <v>91</v>
      </c>
      <c r="F4" s="3" t="s">
        <v>277</v>
      </c>
      <c r="G4" s="3" t="s">
        <v>278</v>
      </c>
      <c r="H4" s="3" t="s">
        <v>5</v>
      </c>
      <c r="I4" s="3" t="s">
        <v>279</v>
      </c>
      <c r="J4" s="3" t="s">
        <v>167</v>
      </c>
      <c r="K4" s="3" t="s">
        <v>280</v>
      </c>
      <c r="L4" s="3" t="s">
        <v>281</v>
      </c>
      <c r="M4" s="3" t="s">
        <v>282</v>
      </c>
      <c r="N4" s="3" t="s">
        <v>283</v>
      </c>
      <c r="O4" s="3" t="s">
        <v>284</v>
      </c>
      <c r="P4" s="3" t="s">
        <v>285</v>
      </c>
      <c r="Q4" s="3" t="s">
        <v>286</v>
      </c>
    </row>
    <row r="5" customFormat="false" ht="22.35" hidden="false" customHeight="false" outlineLevel="0" collapsed="false">
      <c r="A5" s="24" t="s">
        <v>287</v>
      </c>
      <c r="B5" s="25" t="s">
        <v>153</v>
      </c>
      <c r="C5" s="26" t="s">
        <v>288</v>
      </c>
      <c r="D5" s="27"/>
      <c r="E5" s="28" t="n">
        <v>1</v>
      </c>
      <c r="F5" s="26" t="s">
        <v>289</v>
      </c>
      <c r="G5" s="29" t="s">
        <v>290</v>
      </c>
      <c r="H5" s="28" t="str">
        <f aca="false">IFERROR(INDEX('الإعدادات واللجنة'!$C$24:$C$32,MATCH(LEFT(A5,3),'الإعدادات واللجنة'!$A$24:$A$32,0)),"")</f>
        <v>د. سلطان بن سعيد الشمراني</v>
      </c>
      <c r="I5" s="30"/>
      <c r="J5" s="30"/>
      <c r="K5" s="28" t="str">
        <f aca="false">IF(OR(I5="",I5="متوفر ومكتمل"),"",IF(OR(D5="★",I5="غير متوفر"),"عالية","متوسطة"))</f>
        <v/>
      </c>
      <c r="L5" s="31"/>
      <c r="M5" s="30"/>
      <c r="N5" s="31"/>
      <c r="O5" s="31"/>
      <c r="P5" s="30"/>
      <c r="Q5" s="31"/>
    </row>
    <row r="6" customFormat="false" ht="22.35" hidden="false" customHeight="false" outlineLevel="0" collapsed="false">
      <c r="A6" s="28" t="s">
        <v>287</v>
      </c>
      <c r="B6" s="25" t="s">
        <v>153</v>
      </c>
      <c r="C6" s="26"/>
      <c r="D6" s="27"/>
      <c r="E6" s="28" t="n">
        <v>2</v>
      </c>
      <c r="F6" s="26" t="s">
        <v>291</v>
      </c>
      <c r="G6" s="29" t="s">
        <v>290</v>
      </c>
      <c r="H6" s="28" t="str">
        <f aca="false">IFERROR(INDEX('الإعدادات واللجنة'!$C$24:$C$32,MATCH(LEFT(A6,3),'الإعدادات واللجنة'!$A$24:$A$32,0)),"")</f>
        <v>د. سلطان بن سعيد الشمراني</v>
      </c>
      <c r="I6" s="30"/>
      <c r="J6" s="30"/>
      <c r="K6" s="28" t="str">
        <f aca="false">IF(OR(I6="",I6="متوفر ومكتمل"),"",IF(OR(D6="★",I6="غير متوفر"),"عالية","متوسطة"))</f>
        <v/>
      </c>
      <c r="L6" s="31"/>
      <c r="M6" s="30"/>
      <c r="N6" s="31"/>
      <c r="O6" s="31"/>
      <c r="P6" s="30"/>
      <c r="Q6" s="31"/>
    </row>
    <row r="7" customFormat="false" ht="22.35" hidden="false" customHeight="false" outlineLevel="0" collapsed="false">
      <c r="A7" s="28" t="s">
        <v>287</v>
      </c>
      <c r="B7" s="25" t="s">
        <v>153</v>
      </c>
      <c r="C7" s="26"/>
      <c r="D7" s="27"/>
      <c r="E7" s="28" t="n">
        <v>3</v>
      </c>
      <c r="F7" s="26" t="s">
        <v>292</v>
      </c>
      <c r="G7" s="29" t="s">
        <v>290</v>
      </c>
      <c r="H7" s="28" t="str">
        <f aca="false">IFERROR(INDEX('الإعدادات واللجنة'!$C$24:$C$32,MATCH(LEFT(A7,3),'الإعدادات واللجنة'!$A$24:$A$32,0)),"")</f>
        <v>د. سلطان بن سعيد الشمراني</v>
      </c>
      <c r="I7" s="30"/>
      <c r="J7" s="30"/>
      <c r="K7" s="28" t="str">
        <f aca="false">IF(OR(I7="",I7="متوفر ومكتمل"),"",IF(OR(D7="★",I7="غير متوفر"),"عالية","متوسطة"))</f>
        <v/>
      </c>
      <c r="L7" s="31"/>
      <c r="M7" s="30"/>
      <c r="N7" s="31"/>
      <c r="O7" s="31"/>
      <c r="P7" s="30"/>
      <c r="Q7" s="31"/>
    </row>
    <row r="8" customFormat="false" ht="22.35" hidden="false" customHeight="false" outlineLevel="0" collapsed="false">
      <c r="A8" s="28" t="s">
        <v>287</v>
      </c>
      <c r="B8" s="25" t="s">
        <v>153</v>
      </c>
      <c r="C8" s="26"/>
      <c r="D8" s="27"/>
      <c r="E8" s="28" t="n">
        <v>4</v>
      </c>
      <c r="F8" s="26" t="s">
        <v>293</v>
      </c>
      <c r="G8" s="29" t="s">
        <v>290</v>
      </c>
      <c r="H8" s="28" t="str">
        <f aca="false">IFERROR(INDEX('الإعدادات واللجنة'!$C$24:$C$32,MATCH(LEFT(A8,3),'الإعدادات واللجنة'!$A$24:$A$32,0)),"")</f>
        <v>د. سلطان بن سعيد الشمراني</v>
      </c>
      <c r="I8" s="30"/>
      <c r="J8" s="30"/>
      <c r="K8" s="28" t="str">
        <f aca="false">IF(OR(I8="",I8="متوفر ومكتمل"),"",IF(OR(D8="★",I8="غير متوفر"),"عالية","متوسطة"))</f>
        <v/>
      </c>
      <c r="L8" s="31"/>
      <c r="M8" s="30"/>
      <c r="N8" s="31"/>
      <c r="O8" s="31"/>
      <c r="P8" s="30"/>
      <c r="Q8" s="31"/>
    </row>
    <row r="9" customFormat="false" ht="22.35" hidden="false" customHeight="false" outlineLevel="0" collapsed="false">
      <c r="A9" s="32" t="s">
        <v>294</v>
      </c>
      <c r="B9" s="33" t="s">
        <v>153</v>
      </c>
      <c r="C9" s="34" t="s">
        <v>295</v>
      </c>
      <c r="D9" s="35" t="s">
        <v>296</v>
      </c>
      <c r="E9" s="36" t="n">
        <v>1</v>
      </c>
      <c r="F9" s="34" t="s">
        <v>297</v>
      </c>
      <c r="G9" s="37" t="s">
        <v>290</v>
      </c>
      <c r="H9" s="38" t="str">
        <f aca="false">IFERROR(INDEX('الإعدادات واللجنة'!$C$24:$C$32,MATCH(LEFT(A9,3),'الإعدادات واللجنة'!$A$24:$A$32,0)),"")</f>
        <v>د. سلطان بن سعيد الشمراني</v>
      </c>
      <c r="I9" s="39"/>
      <c r="J9" s="39"/>
      <c r="K9" s="38" t="str">
        <f aca="false">IF(OR(I9="",I9="متوفر ومكتمل"),"",IF(OR(D9="★",I9="غير متوفر"),"عالية","متوسطة"))</f>
        <v/>
      </c>
      <c r="L9" s="40"/>
      <c r="M9" s="39"/>
      <c r="N9" s="40"/>
      <c r="O9" s="40"/>
      <c r="P9" s="39"/>
      <c r="Q9" s="40"/>
    </row>
    <row r="10" customFormat="false" ht="22.35" hidden="false" customHeight="false" outlineLevel="0" collapsed="false">
      <c r="A10" s="41" t="s">
        <v>294</v>
      </c>
      <c r="B10" s="42" t="s">
        <v>153</v>
      </c>
      <c r="C10" s="43"/>
      <c r="D10" s="44" t="s">
        <v>296</v>
      </c>
      <c r="E10" s="41" t="n">
        <v>2</v>
      </c>
      <c r="F10" s="43" t="s">
        <v>298</v>
      </c>
      <c r="G10" s="29" t="s">
        <v>290</v>
      </c>
      <c r="H10" s="28" t="str">
        <f aca="false">IFERROR(INDEX('الإعدادات واللجنة'!$C$24:$C$32,MATCH(LEFT(A10,3),'الإعدادات واللجنة'!$A$24:$A$32,0)),"")</f>
        <v>د. سلطان بن سعيد الشمراني</v>
      </c>
      <c r="I10" s="30"/>
      <c r="J10" s="30"/>
      <c r="K10" s="28" t="str">
        <f aca="false">IF(OR(I10="",I10="متوفر ومكتمل"),"",IF(OR(D10="★",I10="غير متوفر"),"عالية","متوسطة"))</f>
        <v/>
      </c>
      <c r="L10" s="31"/>
      <c r="M10" s="30"/>
      <c r="N10" s="31"/>
      <c r="O10" s="31"/>
      <c r="P10" s="30"/>
      <c r="Q10" s="31"/>
    </row>
    <row r="11" customFormat="false" ht="22.35" hidden="false" customHeight="false" outlineLevel="0" collapsed="false">
      <c r="A11" s="41" t="s">
        <v>294</v>
      </c>
      <c r="B11" s="42" t="s">
        <v>153</v>
      </c>
      <c r="C11" s="43"/>
      <c r="D11" s="44" t="s">
        <v>296</v>
      </c>
      <c r="E11" s="41" t="n">
        <v>3</v>
      </c>
      <c r="F11" s="43" t="s">
        <v>299</v>
      </c>
      <c r="G11" s="29" t="s">
        <v>290</v>
      </c>
      <c r="H11" s="28" t="str">
        <f aca="false">IFERROR(INDEX('الإعدادات واللجنة'!$C$24:$C$32,MATCH(LEFT(A11,3),'الإعدادات واللجنة'!$A$24:$A$32,0)),"")</f>
        <v>د. سلطان بن سعيد الشمراني</v>
      </c>
      <c r="I11" s="30"/>
      <c r="J11" s="30"/>
      <c r="K11" s="28" t="str">
        <f aca="false">IF(OR(I11="",I11="متوفر ومكتمل"),"",IF(OR(D11="★",I11="غير متوفر"),"عالية","متوسطة"))</f>
        <v/>
      </c>
      <c r="L11" s="31"/>
      <c r="M11" s="30"/>
      <c r="N11" s="31"/>
      <c r="O11" s="31"/>
      <c r="P11" s="30"/>
      <c r="Q11" s="31"/>
    </row>
    <row r="12" customFormat="false" ht="22.35" hidden="false" customHeight="false" outlineLevel="0" collapsed="false">
      <c r="A12" s="41" t="s">
        <v>294</v>
      </c>
      <c r="B12" s="42" t="s">
        <v>153</v>
      </c>
      <c r="C12" s="43"/>
      <c r="D12" s="44" t="s">
        <v>296</v>
      </c>
      <c r="E12" s="41" t="n">
        <v>4</v>
      </c>
      <c r="F12" s="43" t="s">
        <v>300</v>
      </c>
      <c r="G12" s="29" t="s">
        <v>290</v>
      </c>
      <c r="H12" s="28" t="str">
        <f aca="false">IFERROR(INDEX('الإعدادات واللجنة'!$C$24:$C$32,MATCH(LEFT(A12,3),'الإعدادات واللجنة'!$A$24:$A$32,0)),"")</f>
        <v>د. سلطان بن سعيد الشمراني</v>
      </c>
      <c r="I12" s="30"/>
      <c r="J12" s="30"/>
      <c r="K12" s="28" t="str">
        <f aca="false">IF(OR(I12="",I12="متوفر ومكتمل"),"",IF(OR(D12="★",I12="غير متوفر"),"عالية","متوسطة"))</f>
        <v/>
      </c>
      <c r="L12" s="31"/>
      <c r="M12" s="30"/>
      <c r="N12" s="31"/>
      <c r="O12" s="31"/>
      <c r="P12" s="30"/>
      <c r="Q12" s="31"/>
    </row>
    <row r="13" customFormat="false" ht="22.35" hidden="false" customHeight="false" outlineLevel="0" collapsed="false">
      <c r="A13" s="41" t="s">
        <v>294</v>
      </c>
      <c r="B13" s="42" t="s">
        <v>153</v>
      </c>
      <c r="C13" s="43"/>
      <c r="D13" s="44" t="s">
        <v>296</v>
      </c>
      <c r="E13" s="41" t="n">
        <v>5</v>
      </c>
      <c r="F13" s="43" t="s">
        <v>301</v>
      </c>
      <c r="G13" s="29" t="s">
        <v>290</v>
      </c>
      <c r="H13" s="28" t="str">
        <f aca="false">IFERROR(INDEX('الإعدادات واللجنة'!$C$24:$C$32,MATCH(LEFT(A13,3),'الإعدادات واللجنة'!$A$24:$A$32,0)),"")</f>
        <v>د. سلطان بن سعيد الشمراني</v>
      </c>
      <c r="I13" s="30"/>
      <c r="J13" s="30"/>
      <c r="K13" s="28" t="str">
        <f aca="false">IF(OR(I13="",I13="متوفر ومكتمل"),"",IF(OR(D13="★",I13="غير متوفر"),"عالية","متوسطة"))</f>
        <v/>
      </c>
      <c r="L13" s="31"/>
      <c r="M13" s="30"/>
      <c r="N13" s="31"/>
      <c r="O13" s="31"/>
      <c r="P13" s="30"/>
      <c r="Q13" s="31"/>
    </row>
    <row r="14" customFormat="false" ht="22.35" hidden="false" customHeight="false" outlineLevel="0" collapsed="false">
      <c r="A14" s="45" t="s">
        <v>302</v>
      </c>
      <c r="B14" s="46" t="s">
        <v>153</v>
      </c>
      <c r="C14" s="47" t="s">
        <v>303</v>
      </c>
      <c r="D14" s="48"/>
      <c r="E14" s="38" t="n">
        <v>1</v>
      </c>
      <c r="F14" s="47" t="s">
        <v>304</v>
      </c>
      <c r="G14" s="37" t="s">
        <v>290</v>
      </c>
      <c r="H14" s="38" t="str">
        <f aca="false">IFERROR(INDEX('الإعدادات واللجنة'!$C$24:$C$32,MATCH(LEFT(A14,3),'الإعدادات واللجنة'!$A$24:$A$32,0)),"")</f>
        <v>د. سلطان بن سعيد الشمراني</v>
      </c>
      <c r="I14" s="39"/>
      <c r="J14" s="39"/>
      <c r="K14" s="38" t="str">
        <f aca="false">IF(OR(I14="",I14="متوفر ومكتمل"),"",IF(OR(D14="★",I14="غير متوفر"),"عالية","متوسطة"))</f>
        <v/>
      </c>
      <c r="L14" s="40"/>
      <c r="M14" s="39"/>
      <c r="N14" s="40"/>
      <c r="O14" s="40"/>
      <c r="P14" s="39"/>
      <c r="Q14" s="40"/>
    </row>
    <row r="15" customFormat="false" ht="22.35" hidden="false" customHeight="false" outlineLevel="0" collapsed="false">
      <c r="A15" s="28" t="s">
        <v>302</v>
      </c>
      <c r="B15" s="25" t="s">
        <v>153</v>
      </c>
      <c r="C15" s="26"/>
      <c r="D15" s="27"/>
      <c r="E15" s="28" t="n">
        <v>2</v>
      </c>
      <c r="F15" s="26" t="s">
        <v>305</v>
      </c>
      <c r="G15" s="29" t="s">
        <v>290</v>
      </c>
      <c r="H15" s="28" t="str">
        <f aca="false">IFERROR(INDEX('الإعدادات واللجنة'!$C$24:$C$32,MATCH(LEFT(A15,3),'الإعدادات واللجنة'!$A$24:$A$32,0)),"")</f>
        <v>د. سلطان بن سعيد الشمراني</v>
      </c>
      <c r="I15" s="30"/>
      <c r="J15" s="30"/>
      <c r="K15" s="28" t="str">
        <f aca="false">IF(OR(I15="",I15="متوفر ومكتمل"),"",IF(OR(D15="★",I15="غير متوفر"),"عالية","متوسطة"))</f>
        <v/>
      </c>
      <c r="L15" s="31"/>
      <c r="M15" s="30"/>
      <c r="N15" s="31"/>
      <c r="O15" s="31"/>
      <c r="P15" s="30"/>
      <c r="Q15" s="31"/>
    </row>
    <row r="16" customFormat="false" ht="22.35" hidden="false" customHeight="false" outlineLevel="0" collapsed="false">
      <c r="A16" s="28" t="s">
        <v>302</v>
      </c>
      <c r="B16" s="25" t="s">
        <v>153</v>
      </c>
      <c r="C16" s="26"/>
      <c r="D16" s="27"/>
      <c r="E16" s="28" t="n">
        <v>3</v>
      </c>
      <c r="F16" s="26" t="s">
        <v>306</v>
      </c>
      <c r="G16" s="29" t="s">
        <v>290</v>
      </c>
      <c r="H16" s="28" t="str">
        <f aca="false">IFERROR(INDEX('الإعدادات واللجنة'!$C$24:$C$32,MATCH(LEFT(A16,3),'الإعدادات واللجنة'!$A$24:$A$32,0)),"")</f>
        <v>د. سلطان بن سعيد الشمراني</v>
      </c>
      <c r="I16" s="30"/>
      <c r="J16" s="30"/>
      <c r="K16" s="28" t="str">
        <f aca="false">IF(OR(I16="",I16="متوفر ومكتمل"),"",IF(OR(D16="★",I16="غير متوفر"),"عالية","متوسطة"))</f>
        <v/>
      </c>
      <c r="L16" s="31"/>
      <c r="M16" s="30"/>
      <c r="N16" s="31"/>
      <c r="O16" s="31"/>
      <c r="P16" s="30"/>
      <c r="Q16" s="31"/>
    </row>
    <row r="17" customFormat="false" ht="22.35" hidden="false" customHeight="false" outlineLevel="0" collapsed="false">
      <c r="A17" s="28" t="s">
        <v>302</v>
      </c>
      <c r="B17" s="25" t="s">
        <v>153</v>
      </c>
      <c r="C17" s="26"/>
      <c r="D17" s="27"/>
      <c r="E17" s="28" t="n">
        <v>4</v>
      </c>
      <c r="F17" s="26" t="s">
        <v>307</v>
      </c>
      <c r="G17" s="29" t="s">
        <v>290</v>
      </c>
      <c r="H17" s="28" t="str">
        <f aca="false">IFERROR(INDEX('الإعدادات واللجنة'!$C$24:$C$32,MATCH(LEFT(A17,3),'الإعدادات واللجنة'!$A$24:$A$32,0)),"")</f>
        <v>د. سلطان بن سعيد الشمراني</v>
      </c>
      <c r="I17" s="30"/>
      <c r="J17" s="30"/>
      <c r="K17" s="28" t="str">
        <f aca="false">IF(OR(I17="",I17="متوفر ومكتمل"),"",IF(OR(D17="★",I17="غير متوفر"),"عالية","متوسطة"))</f>
        <v/>
      </c>
      <c r="L17" s="31"/>
      <c r="M17" s="30"/>
      <c r="N17" s="31"/>
      <c r="O17" s="31"/>
      <c r="P17" s="30"/>
      <c r="Q17" s="31"/>
    </row>
    <row r="18" customFormat="false" ht="22.35" hidden="false" customHeight="false" outlineLevel="0" collapsed="false">
      <c r="A18" s="28" t="s">
        <v>302</v>
      </c>
      <c r="B18" s="25" t="s">
        <v>153</v>
      </c>
      <c r="C18" s="26"/>
      <c r="D18" s="27"/>
      <c r="E18" s="28" t="n">
        <v>5</v>
      </c>
      <c r="F18" s="26" t="s">
        <v>308</v>
      </c>
      <c r="G18" s="29" t="s">
        <v>290</v>
      </c>
      <c r="H18" s="28" t="str">
        <f aca="false">IFERROR(INDEX('الإعدادات واللجنة'!$C$24:$C$32,MATCH(LEFT(A18,3),'الإعدادات واللجنة'!$A$24:$A$32,0)),"")</f>
        <v>د. سلطان بن سعيد الشمراني</v>
      </c>
      <c r="I18" s="30"/>
      <c r="J18" s="30"/>
      <c r="K18" s="28" t="str">
        <f aca="false">IF(OR(I18="",I18="متوفر ومكتمل"),"",IF(OR(D18="★",I18="غير متوفر"),"عالية","متوسطة"))</f>
        <v/>
      </c>
      <c r="L18" s="31"/>
      <c r="M18" s="30"/>
      <c r="N18" s="31"/>
      <c r="O18" s="31"/>
      <c r="P18" s="30"/>
      <c r="Q18" s="31"/>
    </row>
    <row r="19" customFormat="false" ht="22.35" hidden="false" customHeight="false" outlineLevel="0" collapsed="false">
      <c r="A19" s="45" t="s">
        <v>309</v>
      </c>
      <c r="B19" s="46" t="s">
        <v>153</v>
      </c>
      <c r="C19" s="47" t="s">
        <v>310</v>
      </c>
      <c r="D19" s="48"/>
      <c r="E19" s="38" t="n">
        <v>1</v>
      </c>
      <c r="F19" s="47" t="s">
        <v>311</v>
      </c>
      <c r="G19" s="37" t="s">
        <v>290</v>
      </c>
      <c r="H19" s="38" t="str">
        <f aca="false">IFERROR(INDEX('الإعدادات واللجنة'!$C$24:$C$32,MATCH(LEFT(A19,3),'الإعدادات واللجنة'!$A$24:$A$32,0)),"")</f>
        <v>د. سلطان بن سعيد الشمراني</v>
      </c>
      <c r="I19" s="39"/>
      <c r="J19" s="39"/>
      <c r="K19" s="38" t="str">
        <f aca="false">IF(OR(I19="",I19="متوفر ومكتمل"),"",IF(OR(D19="★",I19="غير متوفر"),"عالية","متوسطة"))</f>
        <v/>
      </c>
      <c r="L19" s="40"/>
      <c r="M19" s="39"/>
      <c r="N19" s="40"/>
      <c r="O19" s="40"/>
      <c r="P19" s="39"/>
      <c r="Q19" s="40"/>
    </row>
    <row r="20" customFormat="false" ht="22.35" hidden="false" customHeight="false" outlineLevel="0" collapsed="false">
      <c r="A20" s="28" t="s">
        <v>309</v>
      </c>
      <c r="B20" s="25" t="s">
        <v>153</v>
      </c>
      <c r="C20" s="26"/>
      <c r="D20" s="27"/>
      <c r="E20" s="28" t="n">
        <v>2</v>
      </c>
      <c r="F20" s="26" t="s">
        <v>312</v>
      </c>
      <c r="G20" s="29" t="s">
        <v>290</v>
      </c>
      <c r="H20" s="28" t="str">
        <f aca="false">IFERROR(INDEX('الإعدادات واللجنة'!$C$24:$C$32,MATCH(LEFT(A20,3),'الإعدادات واللجنة'!$A$24:$A$32,0)),"")</f>
        <v>د. سلطان بن سعيد الشمراني</v>
      </c>
      <c r="I20" s="30"/>
      <c r="J20" s="30"/>
      <c r="K20" s="28" t="str">
        <f aca="false">IF(OR(I20="",I20="متوفر ومكتمل"),"",IF(OR(D20="★",I20="غير متوفر"),"عالية","متوسطة"))</f>
        <v/>
      </c>
      <c r="L20" s="31"/>
      <c r="M20" s="30"/>
      <c r="N20" s="31"/>
      <c r="O20" s="31"/>
      <c r="P20" s="30"/>
      <c r="Q20" s="31"/>
    </row>
    <row r="21" customFormat="false" ht="43.25" hidden="false" customHeight="false" outlineLevel="0" collapsed="false">
      <c r="A21" s="45" t="s">
        <v>313</v>
      </c>
      <c r="B21" s="46" t="s">
        <v>153</v>
      </c>
      <c r="C21" s="47" t="s">
        <v>314</v>
      </c>
      <c r="D21" s="48"/>
      <c r="E21" s="38" t="n">
        <v>1</v>
      </c>
      <c r="F21" s="47" t="s">
        <v>315</v>
      </c>
      <c r="G21" s="37" t="s">
        <v>290</v>
      </c>
      <c r="H21" s="38" t="str">
        <f aca="false">IFERROR(INDEX('الإعدادات واللجنة'!$C$24:$C$32,MATCH(LEFT(A21,3),'الإعدادات واللجنة'!$A$24:$A$32,0)),"")</f>
        <v>د. سلطان بن سعيد الشمراني</v>
      </c>
      <c r="I21" s="39"/>
      <c r="J21" s="39"/>
      <c r="K21" s="38" t="str">
        <f aca="false">IF(OR(I21="",I21="متوفر ومكتمل"),"",IF(OR(D21="★",I21="غير متوفر"),"عالية","متوسطة"))</f>
        <v/>
      </c>
      <c r="L21" s="40"/>
      <c r="M21" s="39"/>
      <c r="N21" s="40"/>
      <c r="O21" s="40"/>
      <c r="P21" s="39"/>
      <c r="Q21" s="40"/>
    </row>
    <row r="22" customFormat="false" ht="22.35" hidden="false" customHeight="false" outlineLevel="0" collapsed="false">
      <c r="A22" s="28" t="s">
        <v>313</v>
      </c>
      <c r="B22" s="25" t="s">
        <v>153</v>
      </c>
      <c r="C22" s="26"/>
      <c r="D22" s="27"/>
      <c r="E22" s="28" t="n">
        <v>2</v>
      </c>
      <c r="F22" s="26" t="s">
        <v>316</v>
      </c>
      <c r="G22" s="29" t="s">
        <v>290</v>
      </c>
      <c r="H22" s="28" t="str">
        <f aca="false">IFERROR(INDEX('الإعدادات واللجنة'!$C$24:$C$32,MATCH(LEFT(A22,3),'الإعدادات واللجنة'!$A$24:$A$32,0)),"")</f>
        <v>د. سلطان بن سعيد الشمراني</v>
      </c>
      <c r="I22" s="30"/>
      <c r="J22" s="30"/>
      <c r="K22" s="28" t="str">
        <f aca="false">IF(OR(I22="",I22="متوفر ومكتمل"),"",IF(OR(D22="★",I22="غير متوفر"),"عالية","متوسطة"))</f>
        <v/>
      </c>
      <c r="L22" s="31"/>
      <c r="M22" s="30"/>
      <c r="N22" s="31"/>
      <c r="O22" s="31"/>
      <c r="P22" s="30"/>
      <c r="Q22" s="31"/>
    </row>
    <row r="23" customFormat="false" ht="22.35" hidden="false" customHeight="false" outlineLevel="0" collapsed="false">
      <c r="A23" s="28" t="s">
        <v>313</v>
      </c>
      <c r="B23" s="25" t="s">
        <v>153</v>
      </c>
      <c r="C23" s="26"/>
      <c r="D23" s="27"/>
      <c r="E23" s="28" t="n">
        <v>3</v>
      </c>
      <c r="F23" s="26" t="s">
        <v>317</v>
      </c>
      <c r="G23" s="29" t="s">
        <v>290</v>
      </c>
      <c r="H23" s="28" t="str">
        <f aca="false">IFERROR(INDEX('الإعدادات واللجنة'!$C$24:$C$32,MATCH(LEFT(A23,3),'الإعدادات واللجنة'!$A$24:$A$32,0)),"")</f>
        <v>د. سلطان بن سعيد الشمراني</v>
      </c>
      <c r="I23" s="30"/>
      <c r="J23" s="30"/>
      <c r="K23" s="28" t="str">
        <f aca="false">IF(OR(I23="",I23="متوفر ومكتمل"),"",IF(OR(D23="★",I23="غير متوفر"),"عالية","متوسطة"))</f>
        <v/>
      </c>
      <c r="L23" s="31"/>
      <c r="M23" s="30"/>
      <c r="N23" s="31"/>
      <c r="O23" s="31"/>
      <c r="P23" s="30"/>
      <c r="Q23" s="31"/>
    </row>
    <row r="24" customFormat="false" ht="32.8" hidden="false" customHeight="false" outlineLevel="0" collapsed="false">
      <c r="A24" s="28" t="s">
        <v>313</v>
      </c>
      <c r="B24" s="25" t="s">
        <v>153</v>
      </c>
      <c r="C24" s="26"/>
      <c r="D24" s="27"/>
      <c r="E24" s="28" t="n">
        <v>4</v>
      </c>
      <c r="F24" s="26" t="s">
        <v>318</v>
      </c>
      <c r="G24" s="29" t="s">
        <v>290</v>
      </c>
      <c r="H24" s="28" t="str">
        <f aca="false">IFERROR(INDEX('الإعدادات واللجنة'!$C$24:$C$32,MATCH(LEFT(A24,3),'الإعدادات واللجنة'!$A$24:$A$32,0)),"")</f>
        <v>د. سلطان بن سعيد الشمراني</v>
      </c>
      <c r="I24" s="30"/>
      <c r="J24" s="30"/>
      <c r="K24" s="28" t="str">
        <f aca="false">IF(OR(I24="",I24="متوفر ومكتمل"),"",IF(OR(D24="★",I24="غير متوفر"),"عالية","متوسطة"))</f>
        <v/>
      </c>
      <c r="L24" s="31"/>
      <c r="M24" s="30"/>
      <c r="N24" s="31"/>
      <c r="O24" s="31"/>
      <c r="P24" s="30"/>
      <c r="Q24" s="31"/>
    </row>
    <row r="25" customFormat="false" ht="32.8" hidden="false" customHeight="false" outlineLevel="0" collapsed="false">
      <c r="A25" s="45" t="s">
        <v>319</v>
      </c>
      <c r="B25" s="46" t="s">
        <v>153</v>
      </c>
      <c r="C25" s="47" t="s">
        <v>320</v>
      </c>
      <c r="D25" s="48"/>
      <c r="E25" s="38" t="n">
        <v>1</v>
      </c>
      <c r="F25" s="47" t="s">
        <v>321</v>
      </c>
      <c r="G25" s="37" t="s">
        <v>290</v>
      </c>
      <c r="H25" s="38" t="str">
        <f aca="false">IFERROR(INDEX('الإعدادات واللجنة'!$C$24:$C$32,MATCH(LEFT(A25,3),'الإعدادات واللجنة'!$A$24:$A$32,0)),"")</f>
        <v>د. سلطان بن سعيد الشمراني</v>
      </c>
      <c r="I25" s="39"/>
      <c r="J25" s="39"/>
      <c r="K25" s="38" t="str">
        <f aca="false">IF(OR(I25="",I25="متوفر ومكتمل"),"",IF(OR(D25="★",I25="غير متوفر"),"عالية","متوسطة"))</f>
        <v/>
      </c>
      <c r="L25" s="40"/>
      <c r="M25" s="39"/>
      <c r="N25" s="40"/>
      <c r="O25" s="40"/>
      <c r="P25" s="39"/>
      <c r="Q25" s="40"/>
    </row>
    <row r="26" customFormat="false" ht="22.35" hidden="false" customHeight="false" outlineLevel="0" collapsed="false">
      <c r="A26" s="28" t="s">
        <v>319</v>
      </c>
      <c r="B26" s="25" t="s">
        <v>153</v>
      </c>
      <c r="C26" s="26"/>
      <c r="D26" s="27"/>
      <c r="E26" s="28" t="n">
        <v>2</v>
      </c>
      <c r="F26" s="26" t="s">
        <v>322</v>
      </c>
      <c r="G26" s="29" t="s">
        <v>290</v>
      </c>
      <c r="H26" s="28" t="str">
        <f aca="false">IFERROR(INDEX('الإعدادات واللجنة'!$C$24:$C$32,MATCH(LEFT(A26,3),'الإعدادات واللجنة'!$A$24:$A$32,0)),"")</f>
        <v>د. سلطان بن سعيد الشمراني</v>
      </c>
      <c r="I26" s="30"/>
      <c r="J26" s="30"/>
      <c r="K26" s="28" t="str">
        <f aca="false">IF(OR(I26="",I26="متوفر ومكتمل"),"",IF(OR(D26="★",I26="غير متوفر"),"عالية","متوسطة"))</f>
        <v/>
      </c>
      <c r="L26" s="31"/>
      <c r="M26" s="30"/>
      <c r="N26" s="31"/>
      <c r="O26" s="31"/>
      <c r="P26" s="30"/>
      <c r="Q26" s="31"/>
    </row>
    <row r="27" customFormat="false" ht="22.35" hidden="false" customHeight="false" outlineLevel="0" collapsed="false">
      <c r="A27" s="28" t="s">
        <v>319</v>
      </c>
      <c r="B27" s="25" t="s">
        <v>153</v>
      </c>
      <c r="C27" s="26"/>
      <c r="D27" s="27"/>
      <c r="E27" s="28" t="n">
        <v>3</v>
      </c>
      <c r="F27" s="26" t="s">
        <v>323</v>
      </c>
      <c r="G27" s="29" t="s">
        <v>290</v>
      </c>
      <c r="H27" s="28" t="str">
        <f aca="false">IFERROR(INDEX('الإعدادات واللجنة'!$C$24:$C$32,MATCH(LEFT(A27,3),'الإعدادات واللجنة'!$A$24:$A$32,0)),"")</f>
        <v>د. سلطان بن سعيد الشمراني</v>
      </c>
      <c r="I27" s="30"/>
      <c r="J27" s="30"/>
      <c r="K27" s="28" t="str">
        <f aca="false">IF(OR(I27="",I27="متوفر ومكتمل"),"",IF(OR(D27="★",I27="غير متوفر"),"عالية","متوسطة"))</f>
        <v/>
      </c>
      <c r="L27" s="31"/>
      <c r="M27" s="30"/>
      <c r="N27" s="31"/>
      <c r="O27" s="31"/>
      <c r="P27" s="30"/>
      <c r="Q27" s="31"/>
    </row>
    <row r="28" customFormat="false" ht="22.35" hidden="false" customHeight="false" outlineLevel="0" collapsed="false">
      <c r="A28" s="28" t="s">
        <v>319</v>
      </c>
      <c r="B28" s="25" t="s">
        <v>153</v>
      </c>
      <c r="C28" s="26"/>
      <c r="D28" s="27"/>
      <c r="E28" s="28" t="n">
        <v>4</v>
      </c>
      <c r="F28" s="26" t="s">
        <v>324</v>
      </c>
      <c r="G28" s="29" t="s">
        <v>290</v>
      </c>
      <c r="H28" s="28" t="str">
        <f aca="false">IFERROR(INDEX('الإعدادات واللجنة'!$C$24:$C$32,MATCH(LEFT(A28,3),'الإعدادات واللجنة'!$A$24:$A$32,0)),"")</f>
        <v>د. سلطان بن سعيد الشمراني</v>
      </c>
      <c r="I28" s="30"/>
      <c r="J28" s="30"/>
      <c r="K28" s="28" t="str">
        <f aca="false">IF(OR(I28="",I28="متوفر ومكتمل"),"",IF(OR(D28="★",I28="غير متوفر"),"عالية","متوسطة"))</f>
        <v/>
      </c>
      <c r="L28" s="31"/>
      <c r="M28" s="30"/>
      <c r="N28" s="31"/>
      <c r="O28" s="31"/>
      <c r="P28" s="30"/>
      <c r="Q28" s="31"/>
    </row>
    <row r="29" customFormat="false" ht="22.35" hidden="false" customHeight="false" outlineLevel="0" collapsed="false">
      <c r="A29" s="45" t="s">
        <v>325</v>
      </c>
      <c r="B29" s="46" t="s">
        <v>153</v>
      </c>
      <c r="C29" s="47" t="s">
        <v>326</v>
      </c>
      <c r="D29" s="48"/>
      <c r="E29" s="38" t="n">
        <v>1</v>
      </c>
      <c r="F29" s="47" t="s">
        <v>327</v>
      </c>
      <c r="G29" s="37" t="s">
        <v>290</v>
      </c>
      <c r="H29" s="38" t="str">
        <f aca="false">IFERROR(INDEX('الإعدادات واللجنة'!$C$24:$C$32,MATCH(LEFT(A29,3),'الإعدادات واللجنة'!$A$24:$A$32,0)),"")</f>
        <v>د. سلطان بن سعيد الشمراني</v>
      </c>
      <c r="I29" s="39"/>
      <c r="J29" s="39"/>
      <c r="K29" s="38" t="str">
        <f aca="false">IF(OR(I29="",I29="متوفر ومكتمل"),"",IF(OR(D29="★",I29="غير متوفر"),"عالية","متوسطة"))</f>
        <v/>
      </c>
      <c r="L29" s="40"/>
      <c r="M29" s="39"/>
      <c r="N29" s="40"/>
      <c r="O29" s="40"/>
      <c r="P29" s="39"/>
      <c r="Q29" s="40"/>
    </row>
    <row r="30" customFormat="false" ht="22.35" hidden="false" customHeight="false" outlineLevel="0" collapsed="false">
      <c r="A30" s="28" t="s">
        <v>325</v>
      </c>
      <c r="B30" s="25" t="s">
        <v>153</v>
      </c>
      <c r="C30" s="26"/>
      <c r="D30" s="27"/>
      <c r="E30" s="28" t="n">
        <v>2</v>
      </c>
      <c r="F30" s="26" t="s">
        <v>328</v>
      </c>
      <c r="G30" s="29" t="s">
        <v>290</v>
      </c>
      <c r="H30" s="28" t="str">
        <f aca="false">IFERROR(INDEX('الإعدادات واللجنة'!$C$24:$C$32,MATCH(LEFT(A30,3),'الإعدادات واللجنة'!$A$24:$A$32,0)),"")</f>
        <v>د. سلطان بن سعيد الشمراني</v>
      </c>
      <c r="I30" s="30"/>
      <c r="J30" s="30"/>
      <c r="K30" s="28" t="str">
        <f aca="false">IF(OR(I30="",I30="متوفر ومكتمل"),"",IF(OR(D30="★",I30="غير متوفر"),"عالية","متوسطة"))</f>
        <v/>
      </c>
      <c r="L30" s="31"/>
      <c r="M30" s="30"/>
      <c r="N30" s="31"/>
      <c r="O30" s="31"/>
      <c r="P30" s="30"/>
      <c r="Q30" s="31"/>
    </row>
    <row r="31" customFormat="false" ht="22.35" hidden="false" customHeight="false" outlineLevel="0" collapsed="false">
      <c r="A31" s="28" t="s">
        <v>325</v>
      </c>
      <c r="B31" s="25" t="s">
        <v>153</v>
      </c>
      <c r="C31" s="26"/>
      <c r="D31" s="27"/>
      <c r="E31" s="28" t="n">
        <v>3</v>
      </c>
      <c r="F31" s="26" t="s">
        <v>329</v>
      </c>
      <c r="G31" s="29" t="s">
        <v>290</v>
      </c>
      <c r="H31" s="28" t="str">
        <f aca="false">IFERROR(INDEX('الإعدادات واللجنة'!$C$24:$C$32,MATCH(LEFT(A31,3),'الإعدادات واللجنة'!$A$24:$A$32,0)),"")</f>
        <v>د. سلطان بن سعيد الشمراني</v>
      </c>
      <c r="I31" s="30"/>
      <c r="J31" s="30"/>
      <c r="K31" s="28" t="str">
        <f aca="false">IF(OR(I31="",I31="متوفر ومكتمل"),"",IF(OR(D31="★",I31="غير متوفر"),"عالية","متوسطة"))</f>
        <v/>
      </c>
      <c r="L31" s="31"/>
      <c r="M31" s="30"/>
      <c r="N31" s="31"/>
      <c r="O31" s="31"/>
      <c r="P31" s="30"/>
      <c r="Q31" s="31"/>
    </row>
    <row r="32" customFormat="false" ht="22.35" hidden="false" customHeight="false" outlineLevel="0" collapsed="false">
      <c r="A32" s="28" t="s">
        <v>325</v>
      </c>
      <c r="B32" s="25" t="s">
        <v>153</v>
      </c>
      <c r="C32" s="26"/>
      <c r="D32" s="27"/>
      <c r="E32" s="28" t="n">
        <v>4</v>
      </c>
      <c r="F32" s="26" t="s">
        <v>330</v>
      </c>
      <c r="G32" s="29" t="s">
        <v>290</v>
      </c>
      <c r="H32" s="28" t="str">
        <f aca="false">IFERROR(INDEX('الإعدادات واللجنة'!$C$24:$C$32,MATCH(LEFT(A32,3),'الإعدادات واللجنة'!$A$24:$A$32,0)),"")</f>
        <v>د. سلطان بن سعيد الشمراني</v>
      </c>
      <c r="I32" s="30"/>
      <c r="J32" s="30"/>
      <c r="K32" s="28" t="str">
        <f aca="false">IF(OR(I32="",I32="متوفر ومكتمل"),"",IF(OR(D32="★",I32="غير متوفر"),"عالية","متوسطة"))</f>
        <v/>
      </c>
      <c r="L32" s="31"/>
      <c r="M32" s="30"/>
      <c r="N32" s="31"/>
      <c r="O32" s="31"/>
      <c r="P32" s="30"/>
      <c r="Q32" s="31"/>
    </row>
    <row r="33" customFormat="false" ht="22.35" hidden="false" customHeight="false" outlineLevel="0" collapsed="false">
      <c r="A33" s="28" t="s">
        <v>325</v>
      </c>
      <c r="B33" s="25" t="s">
        <v>153</v>
      </c>
      <c r="C33" s="26"/>
      <c r="D33" s="27"/>
      <c r="E33" s="28" t="n">
        <v>5</v>
      </c>
      <c r="F33" s="26" t="s">
        <v>331</v>
      </c>
      <c r="G33" s="29" t="s">
        <v>290</v>
      </c>
      <c r="H33" s="28" t="str">
        <f aca="false">IFERROR(INDEX('الإعدادات واللجنة'!$C$24:$C$32,MATCH(LEFT(A33,3),'الإعدادات واللجنة'!$A$24:$A$32,0)),"")</f>
        <v>د. سلطان بن سعيد الشمراني</v>
      </c>
      <c r="I33" s="30"/>
      <c r="J33" s="30"/>
      <c r="K33" s="28" t="str">
        <f aca="false">IF(OR(I33="",I33="متوفر ومكتمل"),"",IF(OR(D33="★",I33="غير متوفر"),"عالية","متوسطة"))</f>
        <v/>
      </c>
      <c r="L33" s="31"/>
      <c r="M33" s="30"/>
      <c r="N33" s="31"/>
      <c r="O33" s="31"/>
      <c r="P33" s="30"/>
      <c r="Q33" s="31"/>
    </row>
    <row r="34" customFormat="false" ht="32.8" hidden="false" customHeight="false" outlineLevel="0" collapsed="false">
      <c r="A34" s="32" t="s">
        <v>332</v>
      </c>
      <c r="B34" s="33" t="s">
        <v>153</v>
      </c>
      <c r="C34" s="34" t="s">
        <v>333</v>
      </c>
      <c r="D34" s="35" t="s">
        <v>296</v>
      </c>
      <c r="E34" s="36" t="n">
        <v>1</v>
      </c>
      <c r="F34" s="34" t="s">
        <v>334</v>
      </c>
      <c r="G34" s="37" t="s">
        <v>290</v>
      </c>
      <c r="H34" s="38" t="str">
        <f aca="false">IFERROR(INDEX('الإعدادات واللجنة'!$C$24:$C$32,MATCH(LEFT(A34,3),'الإعدادات واللجنة'!$A$24:$A$32,0)),"")</f>
        <v>د. سلطان بن سعيد الشمراني</v>
      </c>
      <c r="I34" s="39"/>
      <c r="J34" s="39"/>
      <c r="K34" s="38" t="str">
        <f aca="false">IF(OR(I34="",I34="متوفر ومكتمل"),"",IF(OR(D34="★",I34="غير متوفر"),"عالية","متوسطة"))</f>
        <v/>
      </c>
      <c r="L34" s="40"/>
      <c r="M34" s="39"/>
      <c r="N34" s="40"/>
      <c r="O34" s="40"/>
      <c r="P34" s="39"/>
      <c r="Q34" s="40"/>
    </row>
    <row r="35" customFormat="false" ht="22.35" hidden="false" customHeight="false" outlineLevel="0" collapsed="false">
      <c r="A35" s="41" t="s">
        <v>332</v>
      </c>
      <c r="B35" s="42" t="s">
        <v>153</v>
      </c>
      <c r="C35" s="43"/>
      <c r="D35" s="44" t="s">
        <v>296</v>
      </c>
      <c r="E35" s="41" t="n">
        <v>2</v>
      </c>
      <c r="F35" s="43" t="s">
        <v>335</v>
      </c>
      <c r="G35" s="29" t="s">
        <v>290</v>
      </c>
      <c r="H35" s="28" t="str">
        <f aca="false">IFERROR(INDEX('الإعدادات واللجنة'!$C$24:$C$32,MATCH(LEFT(A35,3),'الإعدادات واللجنة'!$A$24:$A$32,0)),"")</f>
        <v>د. سلطان بن سعيد الشمراني</v>
      </c>
      <c r="I35" s="30"/>
      <c r="J35" s="30"/>
      <c r="K35" s="28" t="str">
        <f aca="false">IF(OR(I35="",I35="متوفر ومكتمل"),"",IF(OR(D35="★",I35="غير متوفر"),"عالية","متوسطة"))</f>
        <v/>
      </c>
      <c r="L35" s="31"/>
      <c r="M35" s="30"/>
      <c r="N35" s="31"/>
      <c r="O35" s="31"/>
      <c r="P35" s="30"/>
      <c r="Q35" s="31"/>
    </row>
    <row r="36" customFormat="false" ht="22.35" hidden="false" customHeight="false" outlineLevel="0" collapsed="false">
      <c r="A36" s="41" t="s">
        <v>332</v>
      </c>
      <c r="B36" s="42" t="s">
        <v>153</v>
      </c>
      <c r="C36" s="43"/>
      <c r="D36" s="44" t="s">
        <v>296</v>
      </c>
      <c r="E36" s="41" t="n">
        <v>3</v>
      </c>
      <c r="F36" s="43" t="s">
        <v>336</v>
      </c>
      <c r="G36" s="29" t="s">
        <v>290</v>
      </c>
      <c r="H36" s="28" t="str">
        <f aca="false">IFERROR(INDEX('الإعدادات واللجنة'!$C$24:$C$32,MATCH(LEFT(A36,3),'الإعدادات واللجنة'!$A$24:$A$32,0)),"")</f>
        <v>د. سلطان بن سعيد الشمراني</v>
      </c>
      <c r="I36" s="30"/>
      <c r="J36" s="30"/>
      <c r="K36" s="28" t="str">
        <f aca="false">IF(OR(I36="",I36="متوفر ومكتمل"),"",IF(OR(D36="★",I36="غير متوفر"),"عالية","متوسطة"))</f>
        <v/>
      </c>
      <c r="L36" s="31"/>
      <c r="M36" s="30"/>
      <c r="N36" s="31"/>
      <c r="O36" s="31"/>
      <c r="P36" s="30"/>
      <c r="Q36" s="31"/>
    </row>
    <row r="37" customFormat="false" ht="22.35" hidden="false" customHeight="false" outlineLevel="0" collapsed="false">
      <c r="A37" s="41" t="s">
        <v>332</v>
      </c>
      <c r="B37" s="42" t="s">
        <v>153</v>
      </c>
      <c r="C37" s="43"/>
      <c r="D37" s="44" t="s">
        <v>296</v>
      </c>
      <c r="E37" s="41" t="n">
        <v>4</v>
      </c>
      <c r="F37" s="43" t="s">
        <v>337</v>
      </c>
      <c r="G37" s="29" t="s">
        <v>290</v>
      </c>
      <c r="H37" s="28" t="str">
        <f aca="false">IFERROR(INDEX('الإعدادات واللجنة'!$C$24:$C$32,MATCH(LEFT(A37,3),'الإعدادات واللجنة'!$A$24:$A$32,0)),"")</f>
        <v>د. سلطان بن سعيد الشمراني</v>
      </c>
      <c r="I37" s="30"/>
      <c r="J37" s="30"/>
      <c r="K37" s="28" t="str">
        <f aca="false">IF(OR(I37="",I37="متوفر ومكتمل"),"",IF(OR(D37="★",I37="غير متوفر"),"عالية","متوسطة"))</f>
        <v/>
      </c>
      <c r="L37" s="31"/>
      <c r="M37" s="30"/>
      <c r="N37" s="31"/>
      <c r="O37" s="31"/>
      <c r="P37" s="30"/>
      <c r="Q37" s="31"/>
    </row>
    <row r="38" customFormat="false" ht="22.35" hidden="false" customHeight="false" outlineLevel="0" collapsed="false">
      <c r="A38" s="41" t="s">
        <v>332</v>
      </c>
      <c r="B38" s="42" t="s">
        <v>153</v>
      </c>
      <c r="C38" s="43"/>
      <c r="D38" s="44" t="s">
        <v>296</v>
      </c>
      <c r="E38" s="41" t="n">
        <v>5</v>
      </c>
      <c r="F38" s="43" t="s">
        <v>338</v>
      </c>
      <c r="G38" s="29" t="s">
        <v>290</v>
      </c>
      <c r="H38" s="28" t="str">
        <f aca="false">IFERROR(INDEX('الإعدادات واللجنة'!$C$24:$C$32,MATCH(LEFT(A38,3),'الإعدادات واللجنة'!$A$24:$A$32,0)),"")</f>
        <v>د. سلطان بن سعيد الشمراني</v>
      </c>
      <c r="I38" s="30"/>
      <c r="J38" s="30"/>
      <c r="K38" s="28" t="str">
        <f aca="false">IF(OR(I38="",I38="متوفر ومكتمل"),"",IF(OR(D38="★",I38="غير متوفر"),"عالية","متوسطة"))</f>
        <v/>
      </c>
      <c r="L38" s="31"/>
      <c r="M38" s="30"/>
      <c r="N38" s="31"/>
      <c r="O38" s="31"/>
      <c r="P38" s="30"/>
      <c r="Q38" s="31"/>
    </row>
    <row r="39" customFormat="false" ht="22.35" hidden="false" customHeight="false" outlineLevel="0" collapsed="false">
      <c r="A39" s="41" t="s">
        <v>332</v>
      </c>
      <c r="B39" s="42" t="s">
        <v>153</v>
      </c>
      <c r="C39" s="43"/>
      <c r="D39" s="44" t="s">
        <v>296</v>
      </c>
      <c r="E39" s="41" t="n">
        <v>6</v>
      </c>
      <c r="F39" s="43" t="s">
        <v>339</v>
      </c>
      <c r="G39" s="29" t="s">
        <v>290</v>
      </c>
      <c r="H39" s="28" t="str">
        <f aca="false">IFERROR(INDEX('الإعدادات واللجنة'!$C$24:$C$32,MATCH(LEFT(A39,3),'الإعدادات واللجنة'!$A$24:$A$32,0)),"")</f>
        <v>د. سلطان بن سعيد الشمراني</v>
      </c>
      <c r="I39" s="30"/>
      <c r="J39" s="30"/>
      <c r="K39" s="28" t="str">
        <f aca="false">IF(OR(I39="",I39="متوفر ومكتمل"),"",IF(OR(D39="★",I39="غير متوفر"),"عالية","متوسطة"))</f>
        <v/>
      </c>
      <c r="L39" s="31"/>
      <c r="M39" s="30"/>
      <c r="N39" s="31"/>
      <c r="O39" s="31"/>
      <c r="P39" s="30"/>
      <c r="Q39" s="31"/>
    </row>
    <row r="40" customFormat="false" ht="22.35" hidden="false" customHeight="false" outlineLevel="0" collapsed="false">
      <c r="A40" s="45" t="s">
        <v>340</v>
      </c>
      <c r="B40" s="46" t="s">
        <v>153</v>
      </c>
      <c r="C40" s="47" t="s">
        <v>341</v>
      </c>
      <c r="D40" s="48"/>
      <c r="E40" s="38" t="n">
        <v>1</v>
      </c>
      <c r="F40" s="47" t="s">
        <v>342</v>
      </c>
      <c r="G40" s="37" t="s">
        <v>290</v>
      </c>
      <c r="H40" s="38" t="str">
        <f aca="false">IFERROR(INDEX('الإعدادات واللجنة'!$C$24:$C$32,MATCH(LEFT(A40,3),'الإعدادات واللجنة'!$A$24:$A$32,0)),"")</f>
        <v>د. سلطان بن سعيد الشمراني</v>
      </c>
      <c r="I40" s="39"/>
      <c r="J40" s="39"/>
      <c r="K40" s="38" t="str">
        <f aca="false">IF(OR(I40="",I40="متوفر ومكتمل"),"",IF(OR(D40="★",I40="غير متوفر"),"عالية","متوسطة"))</f>
        <v/>
      </c>
      <c r="L40" s="40"/>
      <c r="M40" s="39"/>
      <c r="N40" s="40"/>
      <c r="O40" s="40"/>
      <c r="P40" s="39"/>
      <c r="Q40" s="40"/>
    </row>
    <row r="41" customFormat="false" ht="22.35" hidden="false" customHeight="false" outlineLevel="0" collapsed="false">
      <c r="A41" s="28" t="s">
        <v>340</v>
      </c>
      <c r="B41" s="25" t="s">
        <v>153</v>
      </c>
      <c r="C41" s="26"/>
      <c r="D41" s="27"/>
      <c r="E41" s="28" t="n">
        <v>2</v>
      </c>
      <c r="F41" s="26" t="s">
        <v>343</v>
      </c>
      <c r="G41" s="29" t="s">
        <v>290</v>
      </c>
      <c r="H41" s="28" t="str">
        <f aca="false">IFERROR(INDEX('الإعدادات واللجنة'!$C$24:$C$32,MATCH(LEFT(A41,3),'الإعدادات واللجنة'!$A$24:$A$32,0)),"")</f>
        <v>د. سلطان بن سعيد الشمراني</v>
      </c>
      <c r="I41" s="30"/>
      <c r="J41" s="30"/>
      <c r="K41" s="28" t="str">
        <f aca="false">IF(OR(I41="",I41="متوفر ومكتمل"),"",IF(OR(D41="★",I41="غير متوفر"),"عالية","متوسطة"))</f>
        <v/>
      </c>
      <c r="L41" s="31"/>
      <c r="M41" s="30"/>
      <c r="N41" s="31"/>
      <c r="O41" s="31"/>
      <c r="P41" s="30"/>
      <c r="Q41" s="31"/>
    </row>
    <row r="42" customFormat="false" ht="22.35" hidden="false" customHeight="false" outlineLevel="0" collapsed="false">
      <c r="A42" s="28" t="s">
        <v>340</v>
      </c>
      <c r="B42" s="25" t="s">
        <v>153</v>
      </c>
      <c r="C42" s="26"/>
      <c r="D42" s="27"/>
      <c r="E42" s="28" t="n">
        <v>3</v>
      </c>
      <c r="F42" s="26" t="s">
        <v>344</v>
      </c>
      <c r="G42" s="29" t="s">
        <v>290</v>
      </c>
      <c r="H42" s="28" t="str">
        <f aca="false">IFERROR(INDEX('الإعدادات واللجنة'!$C$24:$C$32,MATCH(LEFT(A42,3),'الإعدادات واللجنة'!$A$24:$A$32,0)),"")</f>
        <v>د. سلطان بن سعيد الشمراني</v>
      </c>
      <c r="I42" s="30"/>
      <c r="J42" s="30"/>
      <c r="K42" s="28" t="str">
        <f aca="false">IF(OR(I42="",I42="متوفر ومكتمل"),"",IF(OR(D42="★",I42="غير متوفر"),"عالية","متوسطة"))</f>
        <v/>
      </c>
      <c r="L42" s="31"/>
      <c r="M42" s="30"/>
      <c r="N42" s="31"/>
      <c r="O42" s="31"/>
      <c r="P42" s="30"/>
      <c r="Q42" s="31"/>
    </row>
    <row r="43" customFormat="false" ht="22.35" hidden="false" customHeight="false" outlineLevel="0" collapsed="false">
      <c r="A43" s="28" t="s">
        <v>340</v>
      </c>
      <c r="B43" s="25" t="s">
        <v>153</v>
      </c>
      <c r="C43" s="26"/>
      <c r="D43" s="27"/>
      <c r="E43" s="28" t="n">
        <v>4</v>
      </c>
      <c r="F43" s="26" t="s">
        <v>345</v>
      </c>
      <c r="G43" s="29" t="s">
        <v>290</v>
      </c>
      <c r="H43" s="28" t="str">
        <f aca="false">IFERROR(INDEX('الإعدادات واللجنة'!$C$24:$C$32,MATCH(LEFT(A43,3),'الإعدادات واللجنة'!$A$24:$A$32,0)),"")</f>
        <v>د. سلطان بن سعيد الشمراني</v>
      </c>
      <c r="I43" s="30"/>
      <c r="J43" s="30"/>
      <c r="K43" s="28" t="str">
        <f aca="false">IF(OR(I43="",I43="متوفر ومكتمل"),"",IF(OR(D43="★",I43="غير متوفر"),"عالية","متوسطة"))</f>
        <v/>
      </c>
      <c r="L43" s="31"/>
      <c r="M43" s="30"/>
      <c r="N43" s="31"/>
      <c r="O43" s="31"/>
      <c r="P43" s="30"/>
      <c r="Q43" s="31"/>
    </row>
    <row r="44" customFormat="false" ht="22.35" hidden="false" customHeight="false" outlineLevel="0" collapsed="false">
      <c r="A44" s="45" t="s">
        <v>346</v>
      </c>
      <c r="B44" s="46" t="s">
        <v>153</v>
      </c>
      <c r="C44" s="47" t="s">
        <v>347</v>
      </c>
      <c r="D44" s="48"/>
      <c r="E44" s="38" t="n">
        <v>1</v>
      </c>
      <c r="F44" s="47" t="s">
        <v>348</v>
      </c>
      <c r="G44" s="37" t="s">
        <v>290</v>
      </c>
      <c r="H44" s="38" t="str">
        <f aca="false">IFERROR(INDEX('الإعدادات واللجنة'!$C$24:$C$32,MATCH(LEFT(A44,3),'الإعدادات واللجنة'!$A$24:$A$32,0)),"")</f>
        <v>د. حسن بن سعد القحطاني</v>
      </c>
      <c r="I44" s="39"/>
      <c r="J44" s="39"/>
      <c r="K44" s="38" t="str">
        <f aca="false">IF(OR(I44="",I44="متوفر ومكتمل"),"",IF(OR(D44="★",I44="غير متوفر"),"عالية","متوسطة"))</f>
        <v/>
      </c>
      <c r="L44" s="40"/>
      <c r="M44" s="39"/>
      <c r="N44" s="40"/>
      <c r="O44" s="40"/>
      <c r="P44" s="39"/>
      <c r="Q44" s="40"/>
    </row>
    <row r="45" customFormat="false" ht="19.4" hidden="false" customHeight="false" outlineLevel="0" collapsed="false">
      <c r="A45" s="28" t="s">
        <v>346</v>
      </c>
      <c r="B45" s="25" t="s">
        <v>153</v>
      </c>
      <c r="C45" s="26"/>
      <c r="D45" s="27"/>
      <c r="E45" s="28" t="n">
        <v>2</v>
      </c>
      <c r="F45" s="26" t="s">
        <v>349</v>
      </c>
      <c r="G45" s="29" t="s">
        <v>290</v>
      </c>
      <c r="H45" s="28" t="str">
        <f aca="false">IFERROR(INDEX('الإعدادات واللجنة'!$C$24:$C$32,MATCH(LEFT(A45,3),'الإعدادات واللجنة'!$A$24:$A$32,0)),"")</f>
        <v>د. حسن بن سعد القحطاني</v>
      </c>
      <c r="I45" s="30"/>
      <c r="J45" s="30"/>
      <c r="K45" s="28" t="str">
        <f aca="false">IF(OR(I45="",I45="متوفر ومكتمل"),"",IF(OR(D45="★",I45="غير متوفر"),"عالية","متوسطة"))</f>
        <v/>
      </c>
      <c r="L45" s="31"/>
      <c r="M45" s="30"/>
      <c r="N45" s="31"/>
      <c r="O45" s="31"/>
      <c r="P45" s="30"/>
      <c r="Q45" s="31"/>
    </row>
    <row r="46" customFormat="false" ht="19.4" hidden="false" customHeight="false" outlineLevel="0" collapsed="false">
      <c r="A46" s="28" t="s">
        <v>346</v>
      </c>
      <c r="B46" s="25" t="s">
        <v>153</v>
      </c>
      <c r="C46" s="26"/>
      <c r="D46" s="27"/>
      <c r="E46" s="28" t="n">
        <v>3</v>
      </c>
      <c r="F46" s="26" t="s">
        <v>350</v>
      </c>
      <c r="G46" s="29" t="s">
        <v>290</v>
      </c>
      <c r="H46" s="28" t="str">
        <f aca="false">IFERROR(INDEX('الإعدادات واللجنة'!$C$24:$C$32,MATCH(LEFT(A46,3),'الإعدادات واللجنة'!$A$24:$A$32,0)),"")</f>
        <v>د. حسن بن سعد القحطاني</v>
      </c>
      <c r="I46" s="30"/>
      <c r="J46" s="30"/>
      <c r="K46" s="28" t="str">
        <f aca="false">IF(OR(I46="",I46="متوفر ومكتمل"),"",IF(OR(D46="★",I46="غير متوفر"),"عالية","متوسطة"))</f>
        <v/>
      </c>
      <c r="L46" s="31"/>
      <c r="M46" s="30"/>
      <c r="N46" s="31"/>
      <c r="O46" s="31"/>
      <c r="P46" s="30"/>
      <c r="Q46" s="31"/>
    </row>
    <row r="47" customFormat="false" ht="19.4" hidden="false" customHeight="false" outlineLevel="0" collapsed="false">
      <c r="A47" s="28" t="s">
        <v>346</v>
      </c>
      <c r="B47" s="25" t="s">
        <v>153</v>
      </c>
      <c r="C47" s="26"/>
      <c r="D47" s="27"/>
      <c r="E47" s="28" t="n">
        <v>4</v>
      </c>
      <c r="F47" s="26" t="s">
        <v>351</v>
      </c>
      <c r="G47" s="29" t="s">
        <v>290</v>
      </c>
      <c r="H47" s="28" t="str">
        <f aca="false">IFERROR(INDEX('الإعدادات واللجنة'!$C$24:$C$32,MATCH(LEFT(A47,3),'الإعدادات واللجنة'!$A$24:$A$32,0)),"")</f>
        <v>د. حسن بن سعد القحطاني</v>
      </c>
      <c r="I47" s="30"/>
      <c r="J47" s="30"/>
      <c r="K47" s="28" t="str">
        <f aca="false">IF(OR(I47="",I47="متوفر ومكتمل"),"",IF(OR(D47="★",I47="غير متوفر"),"عالية","متوسطة"))</f>
        <v/>
      </c>
      <c r="L47" s="31"/>
      <c r="M47" s="30"/>
      <c r="N47" s="31"/>
      <c r="O47" s="31"/>
      <c r="P47" s="30"/>
      <c r="Q47" s="31"/>
    </row>
    <row r="48" customFormat="false" ht="22.35" hidden="false" customHeight="false" outlineLevel="0" collapsed="false">
      <c r="A48" s="32" t="s">
        <v>352</v>
      </c>
      <c r="B48" s="33" t="s">
        <v>153</v>
      </c>
      <c r="C48" s="34" t="s">
        <v>353</v>
      </c>
      <c r="D48" s="35" t="s">
        <v>296</v>
      </c>
      <c r="E48" s="36" t="n">
        <v>1</v>
      </c>
      <c r="F48" s="34" t="s">
        <v>354</v>
      </c>
      <c r="G48" s="37" t="s">
        <v>290</v>
      </c>
      <c r="H48" s="38" t="str">
        <f aca="false">IFERROR(INDEX('الإعدادات واللجنة'!$C$24:$C$32,MATCH(LEFT(A48,3),'الإعدادات واللجنة'!$A$24:$A$32,0)),"")</f>
        <v>د. حسن بن سعد القحطاني</v>
      </c>
      <c r="I48" s="39"/>
      <c r="J48" s="39"/>
      <c r="K48" s="38" t="str">
        <f aca="false">IF(OR(I48="",I48="متوفر ومكتمل"),"",IF(OR(D48="★",I48="غير متوفر"),"عالية","متوسطة"))</f>
        <v/>
      </c>
      <c r="L48" s="40"/>
      <c r="M48" s="39"/>
      <c r="N48" s="40"/>
      <c r="O48" s="40"/>
      <c r="P48" s="39"/>
      <c r="Q48" s="40"/>
    </row>
    <row r="49" customFormat="false" ht="22.35" hidden="false" customHeight="false" outlineLevel="0" collapsed="false">
      <c r="A49" s="41" t="s">
        <v>352</v>
      </c>
      <c r="B49" s="42" t="s">
        <v>153</v>
      </c>
      <c r="C49" s="43"/>
      <c r="D49" s="44" t="s">
        <v>296</v>
      </c>
      <c r="E49" s="41" t="n">
        <v>2</v>
      </c>
      <c r="F49" s="43" t="s">
        <v>355</v>
      </c>
      <c r="G49" s="29" t="s">
        <v>290</v>
      </c>
      <c r="H49" s="28" t="str">
        <f aca="false">IFERROR(INDEX('الإعدادات واللجنة'!$C$24:$C$32,MATCH(LEFT(A49,3),'الإعدادات واللجنة'!$A$24:$A$32,0)),"")</f>
        <v>د. حسن بن سعد القحطاني</v>
      </c>
      <c r="I49" s="30"/>
      <c r="J49" s="30"/>
      <c r="K49" s="28" t="str">
        <f aca="false">IF(OR(I49="",I49="متوفر ومكتمل"),"",IF(OR(D49="★",I49="غير متوفر"),"عالية","متوسطة"))</f>
        <v/>
      </c>
      <c r="L49" s="31"/>
      <c r="M49" s="30"/>
      <c r="N49" s="31"/>
      <c r="O49" s="31"/>
      <c r="P49" s="30"/>
      <c r="Q49" s="31"/>
    </row>
    <row r="50" customFormat="false" ht="19.4" hidden="false" customHeight="false" outlineLevel="0" collapsed="false">
      <c r="A50" s="41" t="s">
        <v>352</v>
      </c>
      <c r="B50" s="42" t="s">
        <v>153</v>
      </c>
      <c r="C50" s="43"/>
      <c r="D50" s="44" t="s">
        <v>296</v>
      </c>
      <c r="E50" s="41" t="n">
        <v>3</v>
      </c>
      <c r="F50" s="43" t="s">
        <v>356</v>
      </c>
      <c r="G50" s="29" t="s">
        <v>290</v>
      </c>
      <c r="H50" s="28" t="str">
        <f aca="false">IFERROR(INDEX('الإعدادات واللجنة'!$C$24:$C$32,MATCH(LEFT(A50,3),'الإعدادات واللجنة'!$A$24:$A$32,0)),"")</f>
        <v>د. حسن بن سعد القحطاني</v>
      </c>
      <c r="I50" s="30"/>
      <c r="J50" s="30"/>
      <c r="K50" s="28" t="str">
        <f aca="false">IF(OR(I50="",I50="متوفر ومكتمل"),"",IF(OR(D50="★",I50="غير متوفر"),"عالية","متوسطة"))</f>
        <v/>
      </c>
      <c r="L50" s="31"/>
      <c r="M50" s="30"/>
      <c r="N50" s="31"/>
      <c r="O50" s="31"/>
      <c r="P50" s="30"/>
      <c r="Q50" s="31"/>
    </row>
    <row r="51" customFormat="false" ht="19.4" hidden="false" customHeight="false" outlineLevel="0" collapsed="false">
      <c r="A51" s="45" t="s">
        <v>357</v>
      </c>
      <c r="B51" s="46" t="s">
        <v>153</v>
      </c>
      <c r="C51" s="47" t="s">
        <v>358</v>
      </c>
      <c r="D51" s="48"/>
      <c r="E51" s="38" t="n">
        <v>1</v>
      </c>
      <c r="F51" s="47" t="s">
        <v>359</v>
      </c>
      <c r="G51" s="37" t="s">
        <v>290</v>
      </c>
      <c r="H51" s="38" t="str">
        <f aca="false">IFERROR(INDEX('الإعدادات واللجنة'!$C$24:$C$32,MATCH(LEFT(A51,3),'الإعدادات واللجنة'!$A$24:$A$32,0)),"")</f>
        <v>د. حسن بن سعد القحطاني</v>
      </c>
      <c r="I51" s="39"/>
      <c r="J51" s="39"/>
      <c r="K51" s="38" t="str">
        <f aca="false">IF(OR(I51="",I51="متوفر ومكتمل"),"",IF(OR(D51="★",I51="غير متوفر"),"عالية","متوسطة"))</f>
        <v/>
      </c>
      <c r="L51" s="40"/>
      <c r="M51" s="39"/>
      <c r="N51" s="40"/>
      <c r="O51" s="40"/>
      <c r="P51" s="39"/>
      <c r="Q51" s="40"/>
    </row>
    <row r="52" customFormat="false" ht="19.4" hidden="false" customHeight="false" outlineLevel="0" collapsed="false">
      <c r="A52" s="28" t="s">
        <v>357</v>
      </c>
      <c r="B52" s="25" t="s">
        <v>153</v>
      </c>
      <c r="C52" s="26"/>
      <c r="D52" s="27"/>
      <c r="E52" s="28" t="n">
        <v>2</v>
      </c>
      <c r="F52" s="26" t="s">
        <v>360</v>
      </c>
      <c r="G52" s="29" t="s">
        <v>290</v>
      </c>
      <c r="H52" s="28" t="str">
        <f aca="false">IFERROR(INDEX('الإعدادات واللجنة'!$C$24:$C$32,MATCH(LEFT(A52,3),'الإعدادات واللجنة'!$A$24:$A$32,0)),"")</f>
        <v>د. حسن بن سعد القحطاني</v>
      </c>
      <c r="I52" s="30"/>
      <c r="J52" s="30"/>
      <c r="K52" s="28" t="str">
        <f aca="false">IF(OR(I52="",I52="متوفر ومكتمل"),"",IF(OR(D52="★",I52="غير متوفر"),"عالية","متوسطة"))</f>
        <v/>
      </c>
      <c r="L52" s="31"/>
      <c r="M52" s="30"/>
      <c r="N52" s="31"/>
      <c r="O52" s="31"/>
      <c r="P52" s="30"/>
      <c r="Q52" s="31"/>
    </row>
    <row r="53" customFormat="false" ht="19.4" hidden="false" customHeight="false" outlineLevel="0" collapsed="false">
      <c r="A53" s="28" t="s">
        <v>357</v>
      </c>
      <c r="B53" s="25" t="s">
        <v>153</v>
      </c>
      <c r="C53" s="26"/>
      <c r="D53" s="27"/>
      <c r="E53" s="28" t="n">
        <v>3</v>
      </c>
      <c r="F53" s="26" t="s">
        <v>361</v>
      </c>
      <c r="G53" s="29" t="s">
        <v>290</v>
      </c>
      <c r="H53" s="28" t="str">
        <f aca="false">IFERROR(INDEX('الإعدادات واللجنة'!$C$24:$C$32,MATCH(LEFT(A53,3),'الإعدادات واللجنة'!$A$24:$A$32,0)),"")</f>
        <v>د. حسن بن سعد القحطاني</v>
      </c>
      <c r="I53" s="30"/>
      <c r="J53" s="30"/>
      <c r="K53" s="28" t="str">
        <f aca="false">IF(OR(I53="",I53="متوفر ومكتمل"),"",IF(OR(D53="★",I53="غير متوفر"),"عالية","متوسطة"))</f>
        <v/>
      </c>
      <c r="L53" s="31"/>
      <c r="M53" s="30"/>
      <c r="N53" s="31"/>
      <c r="O53" s="31"/>
      <c r="P53" s="30"/>
      <c r="Q53" s="31"/>
    </row>
    <row r="54" customFormat="false" ht="19.4" hidden="false" customHeight="false" outlineLevel="0" collapsed="false">
      <c r="A54" s="28" t="s">
        <v>357</v>
      </c>
      <c r="B54" s="25" t="s">
        <v>153</v>
      </c>
      <c r="C54" s="26"/>
      <c r="D54" s="27"/>
      <c r="E54" s="28" t="n">
        <v>4</v>
      </c>
      <c r="F54" s="26" t="s">
        <v>362</v>
      </c>
      <c r="G54" s="29" t="s">
        <v>290</v>
      </c>
      <c r="H54" s="28" t="str">
        <f aca="false">IFERROR(INDEX('الإعدادات واللجنة'!$C$24:$C$32,MATCH(LEFT(A54,3),'الإعدادات واللجنة'!$A$24:$A$32,0)),"")</f>
        <v>د. حسن بن سعد القحطاني</v>
      </c>
      <c r="I54" s="30"/>
      <c r="J54" s="30"/>
      <c r="K54" s="28" t="str">
        <f aca="false">IF(OR(I54="",I54="متوفر ومكتمل"),"",IF(OR(D54="★",I54="غير متوفر"),"عالية","متوسطة"))</f>
        <v/>
      </c>
      <c r="L54" s="31"/>
      <c r="M54" s="30"/>
      <c r="N54" s="31"/>
      <c r="O54" s="31"/>
      <c r="P54" s="30"/>
      <c r="Q54" s="31"/>
    </row>
    <row r="55" customFormat="false" ht="19.4" hidden="false" customHeight="false" outlineLevel="0" collapsed="false">
      <c r="A55" s="28" t="s">
        <v>357</v>
      </c>
      <c r="B55" s="25" t="s">
        <v>153</v>
      </c>
      <c r="C55" s="26"/>
      <c r="D55" s="27"/>
      <c r="E55" s="28" t="n">
        <v>5</v>
      </c>
      <c r="F55" s="26" t="s">
        <v>363</v>
      </c>
      <c r="G55" s="29" t="s">
        <v>290</v>
      </c>
      <c r="H55" s="28" t="str">
        <f aca="false">IFERROR(INDEX('الإعدادات واللجنة'!$C$24:$C$32,MATCH(LEFT(A55,3),'الإعدادات واللجنة'!$A$24:$A$32,0)),"")</f>
        <v>د. حسن بن سعد القحطاني</v>
      </c>
      <c r="I55" s="30"/>
      <c r="J55" s="30"/>
      <c r="K55" s="28" t="str">
        <f aca="false">IF(OR(I55="",I55="متوفر ومكتمل"),"",IF(OR(D55="★",I55="غير متوفر"),"عالية","متوسطة"))</f>
        <v/>
      </c>
      <c r="L55" s="31"/>
      <c r="M55" s="30"/>
      <c r="N55" s="31"/>
      <c r="O55" s="31"/>
      <c r="P55" s="30"/>
      <c r="Q55" s="31"/>
    </row>
    <row r="56" customFormat="false" ht="19.4" hidden="false" customHeight="false" outlineLevel="0" collapsed="false">
      <c r="A56" s="28" t="s">
        <v>357</v>
      </c>
      <c r="B56" s="25" t="s">
        <v>153</v>
      </c>
      <c r="C56" s="26"/>
      <c r="D56" s="27"/>
      <c r="E56" s="28" t="n">
        <v>6</v>
      </c>
      <c r="F56" s="26" t="s">
        <v>364</v>
      </c>
      <c r="G56" s="29" t="s">
        <v>290</v>
      </c>
      <c r="H56" s="28" t="str">
        <f aca="false">IFERROR(INDEX('الإعدادات واللجنة'!$C$24:$C$32,MATCH(LEFT(A56,3),'الإعدادات واللجنة'!$A$24:$A$32,0)),"")</f>
        <v>د. حسن بن سعد القحطاني</v>
      </c>
      <c r="I56" s="30"/>
      <c r="J56" s="30"/>
      <c r="K56" s="28" t="str">
        <f aca="false">IF(OR(I56="",I56="متوفر ومكتمل"),"",IF(OR(D56="★",I56="غير متوفر"),"عالية","متوسطة"))</f>
        <v/>
      </c>
      <c r="L56" s="31"/>
      <c r="M56" s="30"/>
      <c r="N56" s="31"/>
      <c r="O56" s="31"/>
      <c r="P56" s="30"/>
      <c r="Q56" s="31"/>
    </row>
    <row r="57" customFormat="false" ht="32.8" hidden="false" customHeight="false" outlineLevel="0" collapsed="false">
      <c r="A57" s="45" t="s">
        <v>365</v>
      </c>
      <c r="B57" s="46" t="s">
        <v>154</v>
      </c>
      <c r="C57" s="47" t="s">
        <v>366</v>
      </c>
      <c r="D57" s="48"/>
      <c r="E57" s="38" t="n">
        <v>1</v>
      </c>
      <c r="F57" s="47" t="s">
        <v>367</v>
      </c>
      <c r="G57" s="37" t="s">
        <v>290</v>
      </c>
      <c r="H57" s="38" t="str">
        <f aca="false">IFERROR(INDEX('الإعدادات واللجنة'!$C$24:$C$32,MATCH(LEFT(A57,3),'الإعدادات واللجنة'!$A$24:$A$32,0)),"")</f>
        <v>د. احمد بن عوض البشري</v>
      </c>
      <c r="I57" s="39"/>
      <c r="J57" s="39"/>
      <c r="K57" s="38" t="str">
        <f aca="false">IF(OR(I57="",I57="متوفر ومكتمل"),"",IF(OR(D57="★",I57="غير متوفر"),"عالية","متوسطة"))</f>
        <v/>
      </c>
      <c r="L57" s="40"/>
      <c r="M57" s="39"/>
      <c r="N57" s="40"/>
      <c r="O57" s="40"/>
      <c r="P57" s="39"/>
      <c r="Q57" s="40"/>
    </row>
    <row r="58" customFormat="false" ht="15" hidden="false" customHeight="false" outlineLevel="0" collapsed="false">
      <c r="A58" s="28" t="s">
        <v>365</v>
      </c>
      <c r="B58" s="25" t="s">
        <v>154</v>
      </c>
      <c r="C58" s="26"/>
      <c r="D58" s="27"/>
      <c r="E58" s="28" t="n">
        <v>2</v>
      </c>
      <c r="F58" s="26" t="s">
        <v>368</v>
      </c>
      <c r="G58" s="29" t="s">
        <v>290</v>
      </c>
      <c r="H58" s="28" t="str">
        <f aca="false">IFERROR(INDEX('الإعدادات واللجنة'!$C$24:$C$32,MATCH(LEFT(A58,3),'الإعدادات واللجنة'!$A$24:$A$32,0)),"")</f>
        <v>د. احمد بن عوض البشري</v>
      </c>
      <c r="I58" s="30"/>
      <c r="J58" s="30"/>
      <c r="K58" s="28" t="str">
        <f aca="false">IF(OR(I58="",I58="متوفر ومكتمل"),"",IF(OR(D58="★",I58="غير متوفر"),"عالية","متوسطة"))</f>
        <v/>
      </c>
      <c r="L58" s="31"/>
      <c r="M58" s="30"/>
      <c r="N58" s="31"/>
      <c r="O58" s="31"/>
      <c r="P58" s="30"/>
      <c r="Q58" s="31"/>
    </row>
    <row r="59" customFormat="false" ht="22.35" hidden="false" customHeight="false" outlineLevel="0" collapsed="false">
      <c r="A59" s="28" t="s">
        <v>365</v>
      </c>
      <c r="B59" s="25" t="s">
        <v>154</v>
      </c>
      <c r="C59" s="26"/>
      <c r="D59" s="27"/>
      <c r="E59" s="28" t="n">
        <v>3</v>
      </c>
      <c r="F59" s="26" t="s">
        <v>369</v>
      </c>
      <c r="G59" s="29" t="s">
        <v>290</v>
      </c>
      <c r="H59" s="28" t="str">
        <f aca="false">IFERROR(INDEX('الإعدادات واللجنة'!$C$24:$C$32,MATCH(LEFT(A59,3),'الإعدادات واللجنة'!$A$24:$A$32,0)),"")</f>
        <v>د. احمد بن عوض البشري</v>
      </c>
      <c r="I59" s="30"/>
      <c r="J59" s="30"/>
      <c r="K59" s="28" t="str">
        <f aca="false">IF(OR(I59="",I59="متوفر ومكتمل"),"",IF(OR(D59="★",I59="غير متوفر"),"عالية","متوسطة"))</f>
        <v/>
      </c>
      <c r="L59" s="31"/>
      <c r="M59" s="30"/>
      <c r="N59" s="31"/>
      <c r="O59" s="31"/>
      <c r="P59" s="30"/>
      <c r="Q59" s="31"/>
    </row>
    <row r="60" customFormat="false" ht="15" hidden="false" customHeight="false" outlineLevel="0" collapsed="false">
      <c r="A60" s="28" t="s">
        <v>365</v>
      </c>
      <c r="B60" s="25" t="s">
        <v>154</v>
      </c>
      <c r="C60" s="26"/>
      <c r="D60" s="27"/>
      <c r="E60" s="28" t="n">
        <v>4</v>
      </c>
      <c r="F60" s="26" t="s">
        <v>370</v>
      </c>
      <c r="G60" s="29" t="s">
        <v>290</v>
      </c>
      <c r="H60" s="28" t="str">
        <f aca="false">IFERROR(INDEX('الإعدادات واللجنة'!$C$24:$C$32,MATCH(LEFT(A60,3),'الإعدادات واللجنة'!$A$24:$A$32,0)),"")</f>
        <v>د. احمد بن عوض البشري</v>
      </c>
      <c r="I60" s="30"/>
      <c r="J60" s="30"/>
      <c r="K60" s="28" t="str">
        <f aca="false">IF(OR(I60="",I60="متوفر ومكتمل"),"",IF(OR(D60="★",I60="غير متوفر"),"عالية","متوسطة"))</f>
        <v/>
      </c>
      <c r="L60" s="31"/>
      <c r="M60" s="30"/>
      <c r="N60" s="31"/>
      <c r="O60" s="31"/>
      <c r="P60" s="30"/>
      <c r="Q60" s="31"/>
    </row>
    <row r="61" customFormat="false" ht="15" hidden="false" customHeight="false" outlineLevel="0" collapsed="false">
      <c r="A61" s="28" t="s">
        <v>365</v>
      </c>
      <c r="B61" s="25" t="s">
        <v>154</v>
      </c>
      <c r="C61" s="26"/>
      <c r="D61" s="27"/>
      <c r="E61" s="28" t="n">
        <v>5</v>
      </c>
      <c r="F61" s="26" t="s">
        <v>371</v>
      </c>
      <c r="G61" s="29" t="s">
        <v>290</v>
      </c>
      <c r="H61" s="28" t="str">
        <f aca="false">IFERROR(INDEX('الإعدادات واللجنة'!$C$24:$C$32,MATCH(LEFT(A61,3),'الإعدادات واللجنة'!$A$24:$A$32,0)),"")</f>
        <v>د. احمد بن عوض البشري</v>
      </c>
      <c r="I61" s="30"/>
      <c r="J61" s="30"/>
      <c r="K61" s="28" t="str">
        <f aca="false">IF(OR(I61="",I61="متوفر ومكتمل"),"",IF(OR(D61="★",I61="غير متوفر"),"عالية","متوسطة"))</f>
        <v/>
      </c>
      <c r="L61" s="31"/>
      <c r="M61" s="30"/>
      <c r="N61" s="31"/>
      <c r="O61" s="31"/>
      <c r="P61" s="30"/>
      <c r="Q61" s="31"/>
    </row>
    <row r="62" customFormat="false" ht="22.35" hidden="false" customHeight="false" outlineLevel="0" collapsed="false">
      <c r="A62" s="28" t="s">
        <v>365</v>
      </c>
      <c r="B62" s="25" t="s">
        <v>154</v>
      </c>
      <c r="C62" s="26"/>
      <c r="D62" s="27"/>
      <c r="E62" s="28" t="n">
        <v>6</v>
      </c>
      <c r="F62" s="26" t="s">
        <v>372</v>
      </c>
      <c r="G62" s="29" t="s">
        <v>290</v>
      </c>
      <c r="H62" s="28" t="str">
        <f aca="false">IFERROR(INDEX('الإعدادات واللجنة'!$C$24:$C$32,MATCH(LEFT(A62,3),'الإعدادات واللجنة'!$A$24:$A$32,0)),"")</f>
        <v>د. احمد بن عوض البشري</v>
      </c>
      <c r="I62" s="30"/>
      <c r="J62" s="30"/>
      <c r="K62" s="28" t="str">
        <f aca="false">IF(OR(I62="",I62="متوفر ومكتمل"),"",IF(OR(D62="★",I62="غير متوفر"),"عالية","متوسطة"))</f>
        <v/>
      </c>
      <c r="L62" s="31"/>
      <c r="M62" s="30"/>
      <c r="N62" s="31"/>
      <c r="O62" s="31"/>
      <c r="P62" s="30"/>
      <c r="Q62" s="31"/>
    </row>
    <row r="63" customFormat="false" ht="15" hidden="false" customHeight="false" outlineLevel="0" collapsed="false">
      <c r="A63" s="28" t="s">
        <v>365</v>
      </c>
      <c r="B63" s="25" t="s">
        <v>154</v>
      </c>
      <c r="C63" s="26"/>
      <c r="D63" s="27"/>
      <c r="E63" s="28" t="n">
        <v>7</v>
      </c>
      <c r="F63" s="26" t="s">
        <v>373</v>
      </c>
      <c r="G63" s="29" t="s">
        <v>290</v>
      </c>
      <c r="H63" s="28" t="str">
        <f aca="false">IFERROR(INDEX('الإعدادات واللجنة'!$C$24:$C$32,MATCH(LEFT(A63,3),'الإعدادات واللجنة'!$A$24:$A$32,0)),"")</f>
        <v>د. احمد بن عوض البشري</v>
      </c>
      <c r="I63" s="30"/>
      <c r="J63" s="30"/>
      <c r="K63" s="28" t="str">
        <f aca="false">IF(OR(I63="",I63="متوفر ومكتمل"),"",IF(OR(D63="★",I63="غير متوفر"),"عالية","متوسطة"))</f>
        <v/>
      </c>
      <c r="L63" s="31"/>
      <c r="M63" s="30"/>
      <c r="N63" s="31"/>
      <c r="O63" s="31"/>
      <c r="P63" s="30"/>
      <c r="Q63" s="31"/>
    </row>
    <row r="64" customFormat="false" ht="22.35" hidden="false" customHeight="false" outlineLevel="0" collapsed="false">
      <c r="A64" s="28" t="s">
        <v>365</v>
      </c>
      <c r="B64" s="25" t="s">
        <v>154</v>
      </c>
      <c r="C64" s="26"/>
      <c r="D64" s="27"/>
      <c r="E64" s="28" t="n">
        <v>8</v>
      </c>
      <c r="F64" s="26" t="s">
        <v>374</v>
      </c>
      <c r="G64" s="29" t="s">
        <v>290</v>
      </c>
      <c r="H64" s="28" t="str">
        <f aca="false">IFERROR(INDEX('الإعدادات واللجنة'!$C$24:$C$32,MATCH(LEFT(A64,3),'الإعدادات واللجنة'!$A$24:$A$32,0)),"")</f>
        <v>د. احمد بن عوض البشري</v>
      </c>
      <c r="I64" s="30"/>
      <c r="J64" s="30"/>
      <c r="K64" s="28" t="str">
        <f aca="false">IF(OR(I64="",I64="متوفر ومكتمل"),"",IF(OR(D64="★",I64="غير متوفر"),"عالية","متوسطة"))</f>
        <v/>
      </c>
      <c r="L64" s="31"/>
      <c r="M64" s="30"/>
      <c r="N64" s="31"/>
      <c r="O64" s="31"/>
      <c r="P64" s="30"/>
      <c r="Q64" s="31"/>
    </row>
    <row r="65" customFormat="false" ht="22.35" hidden="false" customHeight="false" outlineLevel="0" collapsed="false">
      <c r="A65" s="28" t="s">
        <v>365</v>
      </c>
      <c r="B65" s="25" t="s">
        <v>154</v>
      </c>
      <c r="C65" s="26"/>
      <c r="D65" s="27"/>
      <c r="E65" s="28" t="n">
        <v>9</v>
      </c>
      <c r="F65" s="26" t="s">
        <v>375</v>
      </c>
      <c r="G65" s="29" t="s">
        <v>290</v>
      </c>
      <c r="H65" s="28" t="str">
        <f aca="false">IFERROR(INDEX('الإعدادات واللجنة'!$C$24:$C$32,MATCH(LEFT(A65,3),'الإعدادات واللجنة'!$A$24:$A$32,0)),"")</f>
        <v>د. احمد بن عوض البشري</v>
      </c>
      <c r="I65" s="30"/>
      <c r="J65" s="30"/>
      <c r="K65" s="28" t="str">
        <f aca="false">IF(OR(I65="",I65="متوفر ومكتمل"),"",IF(OR(D65="★",I65="غير متوفر"),"عالية","متوسطة"))</f>
        <v/>
      </c>
      <c r="L65" s="31"/>
      <c r="M65" s="30"/>
      <c r="N65" s="31"/>
      <c r="O65" s="31"/>
      <c r="P65" s="30"/>
      <c r="Q65" s="31"/>
    </row>
    <row r="66" customFormat="false" ht="22.35" hidden="false" customHeight="false" outlineLevel="0" collapsed="false">
      <c r="A66" s="28" t="s">
        <v>365</v>
      </c>
      <c r="B66" s="25" t="s">
        <v>154</v>
      </c>
      <c r="C66" s="26"/>
      <c r="D66" s="27"/>
      <c r="E66" s="28" t="n">
        <v>10</v>
      </c>
      <c r="F66" s="26" t="s">
        <v>376</v>
      </c>
      <c r="G66" s="29" t="s">
        <v>290</v>
      </c>
      <c r="H66" s="28" t="str">
        <f aca="false">IFERROR(INDEX('الإعدادات واللجنة'!$C$24:$C$32,MATCH(LEFT(A66,3),'الإعدادات واللجنة'!$A$24:$A$32,0)),"")</f>
        <v>د. احمد بن عوض البشري</v>
      </c>
      <c r="I66" s="30"/>
      <c r="J66" s="30"/>
      <c r="K66" s="28" t="str">
        <f aca="false">IF(OR(I66="",I66="متوفر ومكتمل"),"",IF(OR(D66="★",I66="غير متوفر"),"عالية","متوسطة"))</f>
        <v/>
      </c>
      <c r="L66" s="31"/>
      <c r="M66" s="30"/>
      <c r="N66" s="31"/>
      <c r="O66" s="31"/>
      <c r="P66" s="30"/>
      <c r="Q66" s="31"/>
    </row>
    <row r="67" customFormat="false" ht="22.35" hidden="false" customHeight="false" outlineLevel="0" collapsed="false">
      <c r="A67" s="32" t="s">
        <v>377</v>
      </c>
      <c r="B67" s="33" t="s">
        <v>154</v>
      </c>
      <c r="C67" s="34" t="s">
        <v>378</v>
      </c>
      <c r="D67" s="35" t="s">
        <v>296</v>
      </c>
      <c r="E67" s="36" t="n">
        <v>1</v>
      </c>
      <c r="F67" s="34" t="s">
        <v>379</v>
      </c>
      <c r="G67" s="37" t="s">
        <v>290</v>
      </c>
      <c r="H67" s="38" t="str">
        <f aca="false">IFERROR(INDEX('الإعدادات واللجنة'!$C$24:$C$32,MATCH(LEFT(A67,3),'الإعدادات واللجنة'!$A$24:$A$32,0)),"")</f>
        <v>د. احمد بن عوض البشري</v>
      </c>
      <c r="I67" s="39"/>
      <c r="J67" s="39"/>
      <c r="K67" s="38" t="str">
        <f aca="false">IF(OR(I67="",I67="متوفر ومكتمل"),"",IF(OR(D67="★",I67="غير متوفر"),"عالية","متوسطة"))</f>
        <v/>
      </c>
      <c r="L67" s="40"/>
      <c r="M67" s="39"/>
      <c r="N67" s="40"/>
      <c r="O67" s="40"/>
      <c r="P67" s="39"/>
      <c r="Q67" s="40"/>
    </row>
    <row r="68" customFormat="false" ht="22.35" hidden="false" customHeight="false" outlineLevel="0" collapsed="false">
      <c r="A68" s="41" t="s">
        <v>377</v>
      </c>
      <c r="B68" s="42" t="s">
        <v>154</v>
      </c>
      <c r="C68" s="43"/>
      <c r="D68" s="44" t="s">
        <v>296</v>
      </c>
      <c r="E68" s="41" t="n">
        <v>2</v>
      </c>
      <c r="F68" s="43" t="s">
        <v>380</v>
      </c>
      <c r="G68" s="29" t="s">
        <v>290</v>
      </c>
      <c r="H68" s="28" t="str">
        <f aca="false">IFERROR(INDEX('الإعدادات واللجنة'!$C$24:$C$32,MATCH(LEFT(A68,3),'الإعدادات واللجنة'!$A$24:$A$32,0)),"")</f>
        <v>د. احمد بن عوض البشري</v>
      </c>
      <c r="I68" s="30"/>
      <c r="J68" s="30"/>
      <c r="K68" s="28" t="str">
        <f aca="false">IF(OR(I68="",I68="متوفر ومكتمل"),"",IF(OR(D68="★",I68="غير متوفر"),"عالية","متوسطة"))</f>
        <v/>
      </c>
      <c r="L68" s="31"/>
      <c r="M68" s="30"/>
      <c r="N68" s="31"/>
      <c r="O68" s="31"/>
      <c r="P68" s="30"/>
      <c r="Q68" s="31"/>
    </row>
    <row r="69" customFormat="false" ht="22.35" hidden="false" customHeight="false" outlineLevel="0" collapsed="false">
      <c r="A69" s="41" t="s">
        <v>377</v>
      </c>
      <c r="B69" s="42" t="s">
        <v>154</v>
      </c>
      <c r="C69" s="43"/>
      <c r="D69" s="44" t="s">
        <v>296</v>
      </c>
      <c r="E69" s="41" t="n">
        <v>3</v>
      </c>
      <c r="F69" s="43" t="s">
        <v>381</v>
      </c>
      <c r="G69" s="29" t="s">
        <v>290</v>
      </c>
      <c r="H69" s="28" t="str">
        <f aca="false">IFERROR(INDEX('الإعدادات واللجنة'!$C$24:$C$32,MATCH(LEFT(A69,3),'الإعدادات واللجنة'!$A$24:$A$32,0)),"")</f>
        <v>د. احمد بن عوض البشري</v>
      </c>
      <c r="I69" s="30"/>
      <c r="J69" s="30"/>
      <c r="K69" s="28" t="str">
        <f aca="false">IF(OR(I69="",I69="متوفر ومكتمل"),"",IF(OR(D69="★",I69="غير متوفر"),"عالية","متوسطة"))</f>
        <v/>
      </c>
      <c r="L69" s="31"/>
      <c r="M69" s="30"/>
      <c r="N69" s="31"/>
      <c r="O69" s="31"/>
      <c r="P69" s="30"/>
      <c r="Q69" s="31"/>
    </row>
    <row r="70" customFormat="false" ht="22.35" hidden="false" customHeight="false" outlineLevel="0" collapsed="false">
      <c r="A70" s="45" t="s">
        <v>382</v>
      </c>
      <c r="B70" s="46" t="s">
        <v>154</v>
      </c>
      <c r="C70" s="47" t="s">
        <v>383</v>
      </c>
      <c r="D70" s="48"/>
      <c r="E70" s="38" t="n">
        <v>1</v>
      </c>
      <c r="F70" s="47" t="s">
        <v>384</v>
      </c>
      <c r="G70" s="37" t="s">
        <v>290</v>
      </c>
      <c r="H70" s="38" t="str">
        <f aca="false">IFERROR(INDEX('الإعدادات واللجنة'!$C$24:$C$32,MATCH(LEFT(A70,3),'الإعدادات واللجنة'!$A$24:$A$32,0)),"")</f>
        <v>د. احمد بن عوض البشري</v>
      </c>
      <c r="I70" s="39"/>
      <c r="J70" s="39"/>
      <c r="K70" s="38" t="str">
        <f aca="false">IF(OR(I70="",I70="متوفر ومكتمل"),"",IF(OR(D70="★",I70="غير متوفر"),"عالية","متوسطة"))</f>
        <v/>
      </c>
      <c r="L70" s="40"/>
      <c r="M70" s="39"/>
      <c r="N70" s="40"/>
      <c r="O70" s="40"/>
      <c r="P70" s="39"/>
      <c r="Q70" s="40"/>
    </row>
    <row r="71" customFormat="false" ht="22.35" hidden="false" customHeight="false" outlineLevel="0" collapsed="false">
      <c r="A71" s="28" t="s">
        <v>382</v>
      </c>
      <c r="B71" s="25" t="s">
        <v>154</v>
      </c>
      <c r="C71" s="26"/>
      <c r="D71" s="27"/>
      <c r="E71" s="28" t="n">
        <v>2</v>
      </c>
      <c r="F71" s="26" t="s">
        <v>385</v>
      </c>
      <c r="G71" s="29" t="s">
        <v>290</v>
      </c>
      <c r="H71" s="28" t="str">
        <f aca="false">IFERROR(INDEX('الإعدادات واللجنة'!$C$24:$C$32,MATCH(LEFT(A71,3),'الإعدادات واللجنة'!$A$24:$A$32,0)),"")</f>
        <v>د. احمد بن عوض البشري</v>
      </c>
      <c r="I71" s="30"/>
      <c r="J71" s="30"/>
      <c r="K71" s="28" t="str">
        <f aca="false">IF(OR(I71="",I71="متوفر ومكتمل"),"",IF(OR(D71="★",I71="غير متوفر"),"عالية","متوسطة"))</f>
        <v/>
      </c>
      <c r="L71" s="31"/>
      <c r="M71" s="30"/>
      <c r="N71" s="31"/>
      <c r="O71" s="31"/>
      <c r="P71" s="30"/>
      <c r="Q71" s="31"/>
    </row>
    <row r="72" customFormat="false" ht="22.35" hidden="false" customHeight="false" outlineLevel="0" collapsed="false">
      <c r="A72" s="28" t="s">
        <v>382</v>
      </c>
      <c r="B72" s="25" t="s">
        <v>154</v>
      </c>
      <c r="C72" s="26"/>
      <c r="D72" s="27"/>
      <c r="E72" s="28" t="n">
        <v>3</v>
      </c>
      <c r="F72" s="26" t="s">
        <v>386</v>
      </c>
      <c r="G72" s="29" t="s">
        <v>290</v>
      </c>
      <c r="H72" s="28" t="str">
        <f aca="false">IFERROR(INDEX('الإعدادات واللجنة'!$C$24:$C$32,MATCH(LEFT(A72,3),'الإعدادات واللجنة'!$A$24:$A$32,0)),"")</f>
        <v>د. احمد بن عوض البشري</v>
      </c>
      <c r="I72" s="30"/>
      <c r="J72" s="30"/>
      <c r="K72" s="28" t="str">
        <f aca="false">IF(OR(I72="",I72="متوفر ومكتمل"),"",IF(OR(D72="★",I72="غير متوفر"),"عالية","متوسطة"))</f>
        <v/>
      </c>
      <c r="L72" s="31"/>
      <c r="M72" s="30"/>
      <c r="N72" s="31"/>
      <c r="O72" s="31"/>
      <c r="P72" s="30"/>
      <c r="Q72" s="31"/>
    </row>
    <row r="73" customFormat="false" ht="22.35" hidden="false" customHeight="false" outlineLevel="0" collapsed="false">
      <c r="A73" s="28" t="s">
        <v>382</v>
      </c>
      <c r="B73" s="25" t="s">
        <v>154</v>
      </c>
      <c r="C73" s="26"/>
      <c r="D73" s="27"/>
      <c r="E73" s="28" t="n">
        <v>4</v>
      </c>
      <c r="F73" s="26" t="s">
        <v>387</v>
      </c>
      <c r="G73" s="29" t="s">
        <v>290</v>
      </c>
      <c r="H73" s="28" t="str">
        <f aca="false">IFERROR(INDEX('الإعدادات واللجنة'!$C$24:$C$32,MATCH(LEFT(A73,3),'الإعدادات واللجنة'!$A$24:$A$32,0)),"")</f>
        <v>د. احمد بن عوض البشري</v>
      </c>
      <c r="I73" s="30"/>
      <c r="J73" s="30"/>
      <c r="K73" s="28" t="str">
        <f aca="false">IF(OR(I73="",I73="متوفر ومكتمل"),"",IF(OR(D73="★",I73="غير متوفر"),"عالية","متوسطة"))</f>
        <v/>
      </c>
      <c r="L73" s="31"/>
      <c r="M73" s="30"/>
      <c r="N73" s="31"/>
      <c r="O73" s="31"/>
      <c r="P73" s="30"/>
      <c r="Q73" s="31"/>
    </row>
    <row r="74" customFormat="false" ht="22.35" hidden="false" customHeight="false" outlineLevel="0" collapsed="false">
      <c r="A74" s="32" t="s">
        <v>388</v>
      </c>
      <c r="B74" s="33" t="s">
        <v>154</v>
      </c>
      <c r="C74" s="34" t="s">
        <v>389</v>
      </c>
      <c r="D74" s="35" t="s">
        <v>296</v>
      </c>
      <c r="E74" s="36" t="n">
        <v>1</v>
      </c>
      <c r="F74" s="34" t="s">
        <v>368</v>
      </c>
      <c r="G74" s="37" t="s">
        <v>290</v>
      </c>
      <c r="H74" s="38" t="str">
        <f aca="false">IFERROR(INDEX('الإعدادات واللجنة'!$C$24:$C$32,MATCH(LEFT(A74,3),'الإعدادات واللجنة'!$A$24:$A$32,0)),"")</f>
        <v>د. احمد بن عوض البشري</v>
      </c>
      <c r="I74" s="39"/>
      <c r="J74" s="39"/>
      <c r="K74" s="38" t="str">
        <f aca="false">IF(OR(I74="",I74="متوفر ومكتمل"),"",IF(OR(D74="★",I74="غير متوفر"),"عالية","متوسطة"))</f>
        <v/>
      </c>
      <c r="L74" s="40"/>
      <c r="M74" s="39"/>
      <c r="N74" s="40"/>
      <c r="O74" s="40"/>
      <c r="P74" s="39"/>
      <c r="Q74" s="40"/>
    </row>
    <row r="75" customFormat="false" ht="15" hidden="false" customHeight="false" outlineLevel="0" collapsed="false">
      <c r="A75" s="41" t="s">
        <v>388</v>
      </c>
      <c r="B75" s="42" t="s">
        <v>154</v>
      </c>
      <c r="C75" s="43"/>
      <c r="D75" s="44" t="s">
        <v>296</v>
      </c>
      <c r="E75" s="41" t="n">
        <v>2</v>
      </c>
      <c r="F75" s="43" t="s">
        <v>390</v>
      </c>
      <c r="G75" s="29" t="s">
        <v>290</v>
      </c>
      <c r="H75" s="28" t="str">
        <f aca="false">IFERROR(INDEX('الإعدادات واللجنة'!$C$24:$C$32,MATCH(LEFT(A75,3),'الإعدادات واللجنة'!$A$24:$A$32,0)),"")</f>
        <v>د. احمد بن عوض البشري</v>
      </c>
      <c r="I75" s="30"/>
      <c r="J75" s="30"/>
      <c r="K75" s="28" t="str">
        <f aca="false">IF(OR(I75="",I75="متوفر ومكتمل"),"",IF(OR(D75="★",I75="غير متوفر"),"عالية","متوسطة"))</f>
        <v/>
      </c>
      <c r="L75" s="31"/>
      <c r="M75" s="30"/>
      <c r="N75" s="31"/>
      <c r="O75" s="31"/>
      <c r="P75" s="30"/>
      <c r="Q75" s="31"/>
    </row>
    <row r="76" customFormat="false" ht="22.35" hidden="false" customHeight="false" outlineLevel="0" collapsed="false">
      <c r="A76" s="41" t="s">
        <v>388</v>
      </c>
      <c r="B76" s="42" t="s">
        <v>154</v>
      </c>
      <c r="C76" s="43"/>
      <c r="D76" s="44" t="s">
        <v>296</v>
      </c>
      <c r="E76" s="41" t="n">
        <v>3</v>
      </c>
      <c r="F76" s="43" t="s">
        <v>391</v>
      </c>
      <c r="G76" s="29" t="s">
        <v>290</v>
      </c>
      <c r="H76" s="28" t="str">
        <f aca="false">IFERROR(INDEX('الإعدادات واللجنة'!$C$24:$C$32,MATCH(LEFT(A76,3),'الإعدادات واللجنة'!$A$24:$A$32,0)),"")</f>
        <v>د. احمد بن عوض البشري</v>
      </c>
      <c r="I76" s="30"/>
      <c r="J76" s="30"/>
      <c r="K76" s="28" t="str">
        <f aca="false">IF(OR(I76="",I76="متوفر ومكتمل"),"",IF(OR(D76="★",I76="غير متوفر"),"عالية","متوسطة"))</f>
        <v/>
      </c>
      <c r="L76" s="31"/>
      <c r="M76" s="30"/>
      <c r="N76" s="31"/>
      <c r="O76" s="31"/>
      <c r="P76" s="30"/>
      <c r="Q76" s="31"/>
    </row>
    <row r="77" customFormat="false" ht="15" hidden="false" customHeight="false" outlineLevel="0" collapsed="false">
      <c r="A77" s="41" t="s">
        <v>388</v>
      </c>
      <c r="B77" s="42" t="s">
        <v>154</v>
      </c>
      <c r="C77" s="43"/>
      <c r="D77" s="44" t="s">
        <v>296</v>
      </c>
      <c r="E77" s="41" t="n">
        <v>4</v>
      </c>
      <c r="F77" s="43" t="s">
        <v>392</v>
      </c>
      <c r="G77" s="29" t="s">
        <v>290</v>
      </c>
      <c r="H77" s="28" t="str">
        <f aca="false">IFERROR(INDEX('الإعدادات واللجنة'!$C$24:$C$32,MATCH(LEFT(A77,3),'الإعدادات واللجنة'!$A$24:$A$32,0)),"")</f>
        <v>د. احمد بن عوض البشري</v>
      </c>
      <c r="I77" s="30"/>
      <c r="J77" s="30"/>
      <c r="K77" s="28" t="str">
        <f aca="false">IF(OR(I77="",I77="متوفر ومكتمل"),"",IF(OR(D77="★",I77="غير متوفر"),"عالية","متوسطة"))</f>
        <v/>
      </c>
      <c r="L77" s="31"/>
      <c r="M77" s="30"/>
      <c r="N77" s="31"/>
      <c r="O77" s="31"/>
      <c r="P77" s="30"/>
      <c r="Q77" s="31"/>
    </row>
    <row r="78" customFormat="false" ht="22.35" hidden="false" customHeight="false" outlineLevel="0" collapsed="false">
      <c r="A78" s="45" t="s">
        <v>393</v>
      </c>
      <c r="B78" s="46" t="s">
        <v>154</v>
      </c>
      <c r="C78" s="47" t="s">
        <v>394</v>
      </c>
      <c r="D78" s="48"/>
      <c r="E78" s="38" t="n">
        <v>1</v>
      </c>
      <c r="F78" s="47" t="s">
        <v>395</v>
      </c>
      <c r="G78" s="37" t="s">
        <v>290</v>
      </c>
      <c r="H78" s="38" t="str">
        <f aca="false">IFERROR(INDEX('الإعدادات واللجنة'!$C$24:$C$32,MATCH(LEFT(A78,3),'الإعدادات واللجنة'!$A$24:$A$32,0)),"")</f>
        <v>د. احمد بن عوض البشري</v>
      </c>
      <c r="I78" s="39"/>
      <c r="J78" s="39"/>
      <c r="K78" s="38" t="str">
        <f aca="false">IF(OR(I78="",I78="متوفر ومكتمل"),"",IF(OR(D78="★",I78="غير متوفر"),"عالية","متوسطة"))</f>
        <v/>
      </c>
      <c r="L78" s="40"/>
      <c r="M78" s="39"/>
      <c r="N78" s="40"/>
      <c r="O78" s="40"/>
      <c r="P78" s="39"/>
      <c r="Q78" s="40"/>
    </row>
    <row r="79" customFormat="false" ht="22.35" hidden="false" customHeight="false" outlineLevel="0" collapsed="false">
      <c r="A79" s="28" t="s">
        <v>393</v>
      </c>
      <c r="B79" s="25" t="s">
        <v>154</v>
      </c>
      <c r="C79" s="26"/>
      <c r="D79" s="27"/>
      <c r="E79" s="28" t="n">
        <v>2</v>
      </c>
      <c r="F79" s="26" t="s">
        <v>396</v>
      </c>
      <c r="G79" s="29" t="s">
        <v>290</v>
      </c>
      <c r="H79" s="28" t="str">
        <f aca="false">IFERROR(INDEX('الإعدادات واللجنة'!$C$24:$C$32,MATCH(LEFT(A79,3),'الإعدادات واللجنة'!$A$24:$A$32,0)),"")</f>
        <v>د. احمد بن عوض البشري</v>
      </c>
      <c r="I79" s="30"/>
      <c r="J79" s="30"/>
      <c r="K79" s="28" t="str">
        <f aca="false">IF(OR(I79="",I79="متوفر ومكتمل"),"",IF(OR(D79="★",I79="غير متوفر"),"عالية","متوسطة"))</f>
        <v/>
      </c>
      <c r="L79" s="31"/>
      <c r="M79" s="30"/>
      <c r="N79" s="31"/>
      <c r="O79" s="31"/>
      <c r="P79" s="30"/>
      <c r="Q79" s="31"/>
    </row>
    <row r="80" customFormat="false" ht="22.35" hidden="false" customHeight="false" outlineLevel="0" collapsed="false">
      <c r="A80" s="28" t="s">
        <v>393</v>
      </c>
      <c r="B80" s="25" t="s">
        <v>154</v>
      </c>
      <c r="C80" s="26"/>
      <c r="D80" s="27"/>
      <c r="E80" s="28" t="n">
        <v>3</v>
      </c>
      <c r="F80" s="26" t="s">
        <v>397</v>
      </c>
      <c r="G80" s="29" t="s">
        <v>290</v>
      </c>
      <c r="H80" s="28" t="str">
        <f aca="false">IFERROR(INDEX('الإعدادات واللجنة'!$C$24:$C$32,MATCH(LEFT(A80,3),'الإعدادات واللجنة'!$A$24:$A$32,0)),"")</f>
        <v>د. احمد بن عوض البشري</v>
      </c>
      <c r="I80" s="30"/>
      <c r="J80" s="30"/>
      <c r="K80" s="28" t="str">
        <f aca="false">IF(OR(I80="",I80="متوفر ومكتمل"),"",IF(OR(D80="★",I80="غير متوفر"),"عالية","متوسطة"))</f>
        <v/>
      </c>
      <c r="L80" s="31"/>
      <c r="M80" s="30"/>
      <c r="N80" s="31"/>
      <c r="O80" s="31"/>
      <c r="P80" s="30"/>
      <c r="Q80" s="31"/>
    </row>
    <row r="81" customFormat="false" ht="15" hidden="false" customHeight="false" outlineLevel="0" collapsed="false">
      <c r="A81" s="28" t="s">
        <v>393</v>
      </c>
      <c r="B81" s="25" t="s">
        <v>154</v>
      </c>
      <c r="C81" s="26"/>
      <c r="D81" s="27"/>
      <c r="E81" s="28" t="n">
        <v>4</v>
      </c>
      <c r="F81" s="26" t="s">
        <v>398</v>
      </c>
      <c r="G81" s="29" t="s">
        <v>290</v>
      </c>
      <c r="H81" s="28" t="str">
        <f aca="false">IFERROR(INDEX('الإعدادات واللجنة'!$C$24:$C$32,MATCH(LEFT(A81,3),'الإعدادات واللجنة'!$A$24:$A$32,0)),"")</f>
        <v>د. احمد بن عوض البشري</v>
      </c>
      <c r="I81" s="30"/>
      <c r="J81" s="30"/>
      <c r="K81" s="28" t="str">
        <f aca="false">IF(OR(I81="",I81="متوفر ومكتمل"),"",IF(OR(D81="★",I81="غير متوفر"),"عالية","متوسطة"))</f>
        <v/>
      </c>
      <c r="L81" s="31"/>
      <c r="M81" s="30"/>
      <c r="N81" s="31"/>
      <c r="O81" s="31"/>
      <c r="P81" s="30"/>
      <c r="Q81" s="31"/>
    </row>
    <row r="82" customFormat="false" ht="32.8" hidden="false" customHeight="false" outlineLevel="0" collapsed="false">
      <c r="A82" s="32" t="s">
        <v>399</v>
      </c>
      <c r="B82" s="33" t="s">
        <v>154</v>
      </c>
      <c r="C82" s="34" t="s">
        <v>400</v>
      </c>
      <c r="D82" s="35" t="s">
        <v>296</v>
      </c>
      <c r="E82" s="36" t="n">
        <v>1</v>
      </c>
      <c r="F82" s="34" t="s">
        <v>401</v>
      </c>
      <c r="G82" s="37" t="s">
        <v>290</v>
      </c>
      <c r="H82" s="38" t="str">
        <f aca="false">IFERROR(INDEX('الإعدادات واللجنة'!$C$24:$C$32,MATCH(LEFT(A82,3),'الإعدادات واللجنة'!$A$24:$A$32,0)),"")</f>
        <v>د. احمد بن عوض البشري</v>
      </c>
      <c r="I82" s="39"/>
      <c r="J82" s="39"/>
      <c r="K82" s="38" t="str">
        <f aca="false">IF(OR(I82="",I82="متوفر ومكتمل"),"",IF(OR(D82="★",I82="غير متوفر"),"عالية","متوسطة"))</f>
        <v/>
      </c>
      <c r="L82" s="40"/>
      <c r="M82" s="39"/>
      <c r="N82" s="40"/>
      <c r="O82" s="40"/>
      <c r="P82" s="39"/>
      <c r="Q82" s="40"/>
    </row>
    <row r="83" customFormat="false" ht="22.35" hidden="false" customHeight="false" outlineLevel="0" collapsed="false">
      <c r="A83" s="41" t="s">
        <v>399</v>
      </c>
      <c r="B83" s="42" t="s">
        <v>154</v>
      </c>
      <c r="C83" s="43"/>
      <c r="D83" s="44" t="s">
        <v>296</v>
      </c>
      <c r="E83" s="41" t="n">
        <v>2</v>
      </c>
      <c r="F83" s="43" t="s">
        <v>402</v>
      </c>
      <c r="G83" s="29" t="s">
        <v>290</v>
      </c>
      <c r="H83" s="28" t="str">
        <f aca="false">IFERROR(INDEX('الإعدادات واللجنة'!$C$24:$C$32,MATCH(LEFT(A83,3),'الإعدادات واللجنة'!$A$24:$A$32,0)),"")</f>
        <v>د. احمد بن عوض البشري</v>
      </c>
      <c r="I83" s="30"/>
      <c r="J83" s="30"/>
      <c r="K83" s="28" t="str">
        <f aca="false">IF(OR(I83="",I83="متوفر ومكتمل"),"",IF(OR(D83="★",I83="غير متوفر"),"عالية","متوسطة"))</f>
        <v/>
      </c>
      <c r="L83" s="31"/>
      <c r="M83" s="30"/>
      <c r="N83" s="31"/>
      <c r="O83" s="31"/>
      <c r="P83" s="30"/>
      <c r="Q83" s="31"/>
    </row>
    <row r="84" customFormat="false" ht="22.35" hidden="false" customHeight="false" outlineLevel="0" collapsed="false">
      <c r="A84" s="41" t="s">
        <v>399</v>
      </c>
      <c r="B84" s="42" t="s">
        <v>154</v>
      </c>
      <c r="C84" s="43"/>
      <c r="D84" s="44" t="s">
        <v>296</v>
      </c>
      <c r="E84" s="41" t="n">
        <v>3</v>
      </c>
      <c r="F84" s="43" t="s">
        <v>403</v>
      </c>
      <c r="G84" s="29" t="s">
        <v>290</v>
      </c>
      <c r="H84" s="28" t="str">
        <f aca="false">IFERROR(INDEX('الإعدادات واللجنة'!$C$24:$C$32,MATCH(LEFT(A84,3),'الإعدادات واللجنة'!$A$24:$A$32,0)),"")</f>
        <v>د. احمد بن عوض البشري</v>
      </c>
      <c r="I84" s="30"/>
      <c r="J84" s="30"/>
      <c r="K84" s="28" t="str">
        <f aca="false">IF(OR(I84="",I84="متوفر ومكتمل"),"",IF(OR(D84="★",I84="غير متوفر"),"عالية","متوسطة"))</f>
        <v/>
      </c>
      <c r="L84" s="31"/>
      <c r="M84" s="30"/>
      <c r="N84" s="31"/>
      <c r="O84" s="31"/>
      <c r="P84" s="30"/>
      <c r="Q84" s="31"/>
    </row>
    <row r="85" customFormat="false" ht="22.35" hidden="false" customHeight="false" outlineLevel="0" collapsed="false">
      <c r="A85" s="41" t="s">
        <v>399</v>
      </c>
      <c r="B85" s="42" t="s">
        <v>154</v>
      </c>
      <c r="C85" s="43"/>
      <c r="D85" s="44" t="s">
        <v>296</v>
      </c>
      <c r="E85" s="41" t="n">
        <v>4</v>
      </c>
      <c r="F85" s="43" t="s">
        <v>404</v>
      </c>
      <c r="G85" s="29" t="s">
        <v>290</v>
      </c>
      <c r="H85" s="28" t="str">
        <f aca="false">IFERROR(INDEX('الإعدادات واللجنة'!$C$24:$C$32,MATCH(LEFT(A85,3),'الإعدادات واللجنة'!$A$24:$A$32,0)),"")</f>
        <v>د. احمد بن عوض البشري</v>
      </c>
      <c r="I85" s="30"/>
      <c r="J85" s="30"/>
      <c r="K85" s="28" t="str">
        <f aca="false">IF(OR(I85="",I85="متوفر ومكتمل"),"",IF(OR(D85="★",I85="غير متوفر"),"عالية","متوسطة"))</f>
        <v/>
      </c>
      <c r="L85" s="31"/>
      <c r="M85" s="30"/>
      <c r="N85" s="31"/>
      <c r="O85" s="31"/>
      <c r="P85" s="30"/>
      <c r="Q85" s="31"/>
    </row>
    <row r="86" customFormat="false" ht="22.35" hidden="false" customHeight="false" outlineLevel="0" collapsed="false">
      <c r="A86" s="41" t="s">
        <v>399</v>
      </c>
      <c r="B86" s="42" t="s">
        <v>154</v>
      </c>
      <c r="C86" s="43"/>
      <c r="D86" s="44" t="s">
        <v>296</v>
      </c>
      <c r="E86" s="41" t="n">
        <v>5</v>
      </c>
      <c r="F86" s="43" t="s">
        <v>405</v>
      </c>
      <c r="G86" s="29" t="s">
        <v>290</v>
      </c>
      <c r="H86" s="28" t="str">
        <f aca="false">IFERROR(INDEX('الإعدادات واللجنة'!$C$24:$C$32,MATCH(LEFT(A86,3),'الإعدادات واللجنة'!$A$24:$A$32,0)),"")</f>
        <v>د. احمد بن عوض البشري</v>
      </c>
      <c r="I86" s="30"/>
      <c r="J86" s="30"/>
      <c r="K86" s="28" t="str">
        <f aca="false">IF(OR(I86="",I86="متوفر ومكتمل"),"",IF(OR(D86="★",I86="غير متوفر"),"عالية","متوسطة"))</f>
        <v/>
      </c>
      <c r="L86" s="31"/>
      <c r="M86" s="30"/>
      <c r="N86" s="31"/>
      <c r="O86" s="31"/>
      <c r="P86" s="30"/>
      <c r="Q86" s="31"/>
    </row>
    <row r="87" customFormat="false" ht="22.35" hidden="false" customHeight="false" outlineLevel="0" collapsed="false">
      <c r="A87" s="41" t="s">
        <v>399</v>
      </c>
      <c r="B87" s="42" t="s">
        <v>154</v>
      </c>
      <c r="C87" s="43"/>
      <c r="D87" s="44" t="s">
        <v>296</v>
      </c>
      <c r="E87" s="41" t="n">
        <v>6</v>
      </c>
      <c r="F87" s="43" t="s">
        <v>406</v>
      </c>
      <c r="G87" s="29" t="s">
        <v>290</v>
      </c>
      <c r="H87" s="28" t="str">
        <f aca="false">IFERROR(INDEX('الإعدادات واللجنة'!$C$24:$C$32,MATCH(LEFT(A87,3),'الإعدادات واللجنة'!$A$24:$A$32,0)),"")</f>
        <v>د. احمد بن عوض البشري</v>
      </c>
      <c r="I87" s="30"/>
      <c r="J87" s="30"/>
      <c r="K87" s="28" t="str">
        <f aca="false">IF(OR(I87="",I87="متوفر ومكتمل"),"",IF(OR(D87="★",I87="غير متوفر"),"عالية","متوسطة"))</f>
        <v/>
      </c>
      <c r="L87" s="31"/>
      <c r="M87" s="30"/>
      <c r="N87" s="31"/>
      <c r="O87" s="31"/>
      <c r="P87" s="30"/>
      <c r="Q87" s="31"/>
    </row>
    <row r="88" customFormat="false" ht="32.8" hidden="false" customHeight="false" outlineLevel="0" collapsed="false">
      <c r="A88" s="32" t="s">
        <v>407</v>
      </c>
      <c r="B88" s="33" t="s">
        <v>154</v>
      </c>
      <c r="C88" s="34" t="s">
        <v>408</v>
      </c>
      <c r="D88" s="35" t="s">
        <v>296</v>
      </c>
      <c r="E88" s="36" t="n">
        <v>1</v>
      </c>
      <c r="F88" s="34" t="s">
        <v>409</v>
      </c>
      <c r="G88" s="37" t="s">
        <v>290</v>
      </c>
      <c r="H88" s="38" t="str">
        <f aca="false">IFERROR(INDEX('الإعدادات واللجنة'!$C$24:$C$32,MATCH(LEFT(A88,3),'الإعدادات واللجنة'!$A$24:$A$32,0)),"")</f>
        <v>د. احمد بن عوض البشري</v>
      </c>
      <c r="I88" s="39"/>
      <c r="J88" s="39"/>
      <c r="K88" s="38" t="str">
        <f aca="false">IF(OR(I88="",I88="متوفر ومكتمل"),"",IF(OR(D88="★",I88="غير متوفر"),"عالية","متوسطة"))</f>
        <v/>
      </c>
      <c r="L88" s="40"/>
      <c r="M88" s="39"/>
      <c r="N88" s="40"/>
      <c r="O88" s="40"/>
      <c r="P88" s="39"/>
      <c r="Q88" s="40"/>
    </row>
    <row r="89" customFormat="false" ht="22.35" hidden="false" customHeight="false" outlineLevel="0" collapsed="false">
      <c r="A89" s="41" t="s">
        <v>407</v>
      </c>
      <c r="B89" s="42" t="s">
        <v>154</v>
      </c>
      <c r="C89" s="43"/>
      <c r="D89" s="44" t="s">
        <v>296</v>
      </c>
      <c r="E89" s="41" t="n">
        <v>2</v>
      </c>
      <c r="F89" s="43" t="s">
        <v>410</v>
      </c>
      <c r="G89" s="29" t="s">
        <v>290</v>
      </c>
      <c r="H89" s="28" t="str">
        <f aca="false">IFERROR(INDEX('الإعدادات واللجنة'!$C$24:$C$32,MATCH(LEFT(A89,3),'الإعدادات واللجنة'!$A$24:$A$32,0)),"")</f>
        <v>د. احمد بن عوض البشري</v>
      </c>
      <c r="I89" s="30"/>
      <c r="J89" s="30"/>
      <c r="K89" s="28" t="str">
        <f aca="false">IF(OR(I89="",I89="متوفر ومكتمل"),"",IF(OR(D89="★",I89="غير متوفر"),"عالية","متوسطة"))</f>
        <v/>
      </c>
      <c r="L89" s="31"/>
      <c r="M89" s="30"/>
      <c r="N89" s="31"/>
      <c r="O89" s="31"/>
      <c r="P89" s="30"/>
      <c r="Q89" s="31"/>
    </row>
    <row r="90" customFormat="false" ht="22.35" hidden="false" customHeight="false" outlineLevel="0" collapsed="false">
      <c r="A90" s="41" t="s">
        <v>407</v>
      </c>
      <c r="B90" s="42" t="s">
        <v>154</v>
      </c>
      <c r="C90" s="43"/>
      <c r="D90" s="44" t="s">
        <v>296</v>
      </c>
      <c r="E90" s="41" t="n">
        <v>3</v>
      </c>
      <c r="F90" s="43" t="s">
        <v>404</v>
      </c>
      <c r="G90" s="29" t="s">
        <v>290</v>
      </c>
      <c r="H90" s="28" t="str">
        <f aca="false">IFERROR(INDEX('الإعدادات واللجنة'!$C$24:$C$32,MATCH(LEFT(A90,3),'الإعدادات واللجنة'!$A$24:$A$32,0)),"")</f>
        <v>د. احمد بن عوض البشري</v>
      </c>
      <c r="I90" s="30"/>
      <c r="J90" s="30"/>
      <c r="K90" s="28" t="str">
        <f aca="false">IF(OR(I90="",I90="متوفر ومكتمل"),"",IF(OR(D90="★",I90="غير متوفر"),"عالية","متوسطة"))</f>
        <v/>
      </c>
      <c r="L90" s="31"/>
      <c r="M90" s="30"/>
      <c r="N90" s="31"/>
      <c r="O90" s="31"/>
      <c r="P90" s="30"/>
      <c r="Q90" s="31"/>
    </row>
    <row r="91" customFormat="false" ht="22.35" hidden="false" customHeight="false" outlineLevel="0" collapsed="false">
      <c r="A91" s="41" t="s">
        <v>407</v>
      </c>
      <c r="B91" s="42" t="s">
        <v>154</v>
      </c>
      <c r="C91" s="43"/>
      <c r="D91" s="44" t="s">
        <v>296</v>
      </c>
      <c r="E91" s="41" t="n">
        <v>4</v>
      </c>
      <c r="F91" s="43" t="s">
        <v>411</v>
      </c>
      <c r="G91" s="29" t="s">
        <v>290</v>
      </c>
      <c r="H91" s="28" t="str">
        <f aca="false">IFERROR(INDEX('الإعدادات واللجنة'!$C$24:$C$32,MATCH(LEFT(A91,3),'الإعدادات واللجنة'!$A$24:$A$32,0)),"")</f>
        <v>د. احمد بن عوض البشري</v>
      </c>
      <c r="I91" s="30"/>
      <c r="J91" s="30"/>
      <c r="K91" s="28" t="str">
        <f aca="false">IF(OR(I91="",I91="متوفر ومكتمل"),"",IF(OR(D91="★",I91="غير متوفر"),"عالية","متوسطة"))</f>
        <v/>
      </c>
      <c r="L91" s="31"/>
      <c r="M91" s="30"/>
      <c r="N91" s="31"/>
      <c r="O91" s="31"/>
      <c r="P91" s="30"/>
      <c r="Q91" s="31"/>
    </row>
    <row r="92" customFormat="false" ht="32.8" hidden="false" customHeight="false" outlineLevel="0" collapsed="false">
      <c r="A92" s="45" t="s">
        <v>412</v>
      </c>
      <c r="B92" s="46" t="s">
        <v>154</v>
      </c>
      <c r="C92" s="47" t="s">
        <v>413</v>
      </c>
      <c r="D92" s="48"/>
      <c r="E92" s="38" t="n">
        <v>1</v>
      </c>
      <c r="F92" s="47" t="s">
        <v>414</v>
      </c>
      <c r="G92" s="37" t="s">
        <v>290</v>
      </c>
      <c r="H92" s="38" t="str">
        <f aca="false">IFERROR(INDEX('الإعدادات واللجنة'!$C$24:$C$32,MATCH(LEFT(A92,3),'الإعدادات واللجنة'!$A$24:$A$32,0)),"")</f>
        <v>د. احمد بن عوض البشري</v>
      </c>
      <c r="I92" s="39"/>
      <c r="J92" s="39"/>
      <c r="K92" s="38" t="str">
        <f aca="false">IF(OR(I92="",I92="متوفر ومكتمل"),"",IF(OR(D92="★",I92="غير متوفر"),"عالية","متوسطة"))</f>
        <v/>
      </c>
      <c r="L92" s="40"/>
      <c r="M92" s="39"/>
      <c r="N92" s="40"/>
      <c r="O92" s="40"/>
      <c r="P92" s="39"/>
      <c r="Q92" s="40"/>
    </row>
    <row r="93" customFormat="false" ht="15" hidden="false" customHeight="false" outlineLevel="0" collapsed="false">
      <c r="A93" s="28" t="s">
        <v>412</v>
      </c>
      <c r="B93" s="25" t="s">
        <v>154</v>
      </c>
      <c r="C93" s="26"/>
      <c r="D93" s="27"/>
      <c r="E93" s="28" t="n">
        <v>2</v>
      </c>
      <c r="F93" s="26" t="s">
        <v>415</v>
      </c>
      <c r="G93" s="29" t="s">
        <v>290</v>
      </c>
      <c r="H93" s="28" t="str">
        <f aca="false">IFERROR(INDEX('الإعدادات واللجنة'!$C$24:$C$32,MATCH(LEFT(A93,3),'الإعدادات واللجنة'!$A$24:$A$32,0)),"")</f>
        <v>د. احمد بن عوض البشري</v>
      </c>
      <c r="I93" s="30"/>
      <c r="J93" s="30"/>
      <c r="K93" s="28" t="str">
        <f aca="false">IF(OR(I93="",I93="متوفر ومكتمل"),"",IF(OR(D93="★",I93="غير متوفر"),"عالية","متوسطة"))</f>
        <v/>
      </c>
      <c r="L93" s="31"/>
      <c r="M93" s="30"/>
      <c r="N93" s="31"/>
      <c r="O93" s="31"/>
      <c r="P93" s="30"/>
      <c r="Q93" s="31"/>
    </row>
    <row r="94" customFormat="false" ht="15" hidden="false" customHeight="false" outlineLevel="0" collapsed="false">
      <c r="A94" s="28" t="s">
        <v>412</v>
      </c>
      <c r="B94" s="25" t="s">
        <v>154</v>
      </c>
      <c r="C94" s="26"/>
      <c r="D94" s="27"/>
      <c r="E94" s="28" t="n">
        <v>3</v>
      </c>
      <c r="F94" s="26" t="s">
        <v>416</v>
      </c>
      <c r="G94" s="29" t="s">
        <v>290</v>
      </c>
      <c r="H94" s="28" t="str">
        <f aca="false">IFERROR(INDEX('الإعدادات واللجنة'!$C$24:$C$32,MATCH(LEFT(A94,3),'الإعدادات واللجنة'!$A$24:$A$32,0)),"")</f>
        <v>د. احمد بن عوض البشري</v>
      </c>
      <c r="I94" s="30"/>
      <c r="J94" s="30"/>
      <c r="K94" s="28" t="str">
        <f aca="false">IF(OR(I94="",I94="متوفر ومكتمل"),"",IF(OR(D94="★",I94="غير متوفر"),"عالية","متوسطة"))</f>
        <v/>
      </c>
      <c r="L94" s="31"/>
      <c r="M94" s="30"/>
      <c r="N94" s="31"/>
      <c r="O94" s="31"/>
      <c r="P94" s="30"/>
      <c r="Q94" s="31"/>
    </row>
    <row r="95" customFormat="false" ht="15" hidden="false" customHeight="false" outlineLevel="0" collapsed="false">
      <c r="A95" s="28" t="s">
        <v>412</v>
      </c>
      <c r="B95" s="25" t="s">
        <v>154</v>
      </c>
      <c r="C95" s="26"/>
      <c r="D95" s="27"/>
      <c r="E95" s="28" t="n">
        <v>4</v>
      </c>
      <c r="F95" s="26" t="s">
        <v>417</v>
      </c>
      <c r="G95" s="29" t="s">
        <v>290</v>
      </c>
      <c r="H95" s="28" t="str">
        <f aca="false">IFERROR(INDEX('الإعدادات واللجنة'!$C$24:$C$32,MATCH(LEFT(A95,3),'الإعدادات واللجنة'!$A$24:$A$32,0)),"")</f>
        <v>د. احمد بن عوض البشري</v>
      </c>
      <c r="I95" s="30"/>
      <c r="J95" s="30"/>
      <c r="K95" s="28" t="str">
        <f aca="false">IF(OR(I95="",I95="متوفر ومكتمل"),"",IF(OR(D95="★",I95="غير متوفر"),"عالية","متوسطة"))</f>
        <v/>
      </c>
      <c r="L95" s="31"/>
      <c r="M95" s="30"/>
      <c r="N95" s="31"/>
      <c r="O95" s="31"/>
      <c r="P95" s="30"/>
      <c r="Q95" s="31"/>
    </row>
    <row r="96" customFormat="false" ht="22.35" hidden="false" customHeight="false" outlineLevel="0" collapsed="false">
      <c r="A96" s="45" t="s">
        <v>418</v>
      </c>
      <c r="B96" s="46" t="s">
        <v>154</v>
      </c>
      <c r="C96" s="47" t="s">
        <v>419</v>
      </c>
      <c r="D96" s="48"/>
      <c r="E96" s="38" t="n">
        <v>1</v>
      </c>
      <c r="F96" s="47" t="s">
        <v>402</v>
      </c>
      <c r="G96" s="37" t="s">
        <v>290</v>
      </c>
      <c r="H96" s="38" t="str">
        <f aca="false">IFERROR(INDEX('الإعدادات واللجنة'!$C$24:$C$32,MATCH(LEFT(A96,3),'الإعدادات واللجنة'!$A$24:$A$32,0)),"")</f>
        <v>د. احمد بن عوض البشري</v>
      </c>
      <c r="I96" s="39"/>
      <c r="J96" s="39"/>
      <c r="K96" s="38" t="str">
        <f aca="false">IF(OR(I96="",I96="متوفر ومكتمل"),"",IF(OR(D96="★",I96="غير متوفر"),"عالية","متوسطة"))</f>
        <v/>
      </c>
      <c r="L96" s="40"/>
      <c r="M96" s="39"/>
      <c r="N96" s="40"/>
      <c r="O96" s="40"/>
      <c r="P96" s="39"/>
      <c r="Q96" s="40"/>
    </row>
    <row r="97" customFormat="false" ht="15" hidden="false" customHeight="false" outlineLevel="0" collapsed="false">
      <c r="A97" s="28" t="s">
        <v>418</v>
      </c>
      <c r="B97" s="25" t="s">
        <v>154</v>
      </c>
      <c r="C97" s="26"/>
      <c r="D97" s="27"/>
      <c r="E97" s="28" t="n">
        <v>2</v>
      </c>
      <c r="F97" s="26" t="s">
        <v>420</v>
      </c>
      <c r="G97" s="29" t="s">
        <v>290</v>
      </c>
      <c r="H97" s="28" t="str">
        <f aca="false">IFERROR(INDEX('الإعدادات واللجنة'!$C$24:$C$32,MATCH(LEFT(A97,3),'الإعدادات واللجنة'!$A$24:$A$32,0)),"")</f>
        <v>د. احمد بن عوض البشري</v>
      </c>
      <c r="I97" s="30"/>
      <c r="J97" s="30"/>
      <c r="K97" s="28" t="str">
        <f aca="false">IF(OR(I97="",I97="متوفر ومكتمل"),"",IF(OR(D97="★",I97="غير متوفر"),"عالية","متوسطة"))</f>
        <v/>
      </c>
      <c r="L97" s="31"/>
      <c r="M97" s="30"/>
      <c r="N97" s="31"/>
      <c r="O97" s="31"/>
      <c r="P97" s="30"/>
      <c r="Q97" s="31"/>
    </row>
    <row r="98" customFormat="false" ht="15" hidden="false" customHeight="false" outlineLevel="0" collapsed="false">
      <c r="A98" s="28" t="s">
        <v>418</v>
      </c>
      <c r="B98" s="25" t="s">
        <v>154</v>
      </c>
      <c r="C98" s="26"/>
      <c r="D98" s="27"/>
      <c r="E98" s="28" t="n">
        <v>3</v>
      </c>
      <c r="F98" s="26" t="s">
        <v>421</v>
      </c>
      <c r="G98" s="29" t="s">
        <v>290</v>
      </c>
      <c r="H98" s="28" t="str">
        <f aca="false">IFERROR(INDEX('الإعدادات واللجنة'!$C$24:$C$32,MATCH(LEFT(A98,3),'الإعدادات واللجنة'!$A$24:$A$32,0)),"")</f>
        <v>د. احمد بن عوض البشري</v>
      </c>
      <c r="I98" s="30"/>
      <c r="J98" s="30"/>
      <c r="K98" s="28" t="str">
        <f aca="false">IF(OR(I98="",I98="متوفر ومكتمل"),"",IF(OR(D98="★",I98="غير متوفر"),"عالية","متوسطة"))</f>
        <v/>
      </c>
      <c r="L98" s="31"/>
      <c r="M98" s="30"/>
      <c r="N98" s="31"/>
      <c r="O98" s="31"/>
      <c r="P98" s="30"/>
      <c r="Q98" s="31"/>
    </row>
    <row r="99" customFormat="false" ht="32.8" hidden="false" customHeight="false" outlineLevel="0" collapsed="false">
      <c r="A99" s="28" t="s">
        <v>418</v>
      </c>
      <c r="B99" s="25" t="s">
        <v>154</v>
      </c>
      <c r="C99" s="26"/>
      <c r="D99" s="27"/>
      <c r="E99" s="28" t="n">
        <v>4</v>
      </c>
      <c r="F99" s="26" t="s">
        <v>422</v>
      </c>
      <c r="G99" s="29" t="s">
        <v>290</v>
      </c>
      <c r="H99" s="28" t="str">
        <f aca="false">IFERROR(INDEX('الإعدادات واللجنة'!$C$24:$C$32,MATCH(LEFT(A99,3),'الإعدادات واللجنة'!$A$24:$A$32,0)),"")</f>
        <v>د. احمد بن عوض البشري</v>
      </c>
      <c r="I99" s="30"/>
      <c r="J99" s="30"/>
      <c r="K99" s="28" t="str">
        <f aca="false">IF(OR(I99="",I99="متوفر ومكتمل"),"",IF(OR(D99="★",I99="غير متوفر"),"عالية","متوسطة"))</f>
        <v/>
      </c>
      <c r="L99" s="31"/>
      <c r="M99" s="30"/>
      <c r="N99" s="31"/>
      <c r="O99" s="31"/>
      <c r="P99" s="30"/>
      <c r="Q99" s="31"/>
    </row>
    <row r="100" customFormat="false" ht="32.8" hidden="false" customHeight="false" outlineLevel="0" collapsed="false">
      <c r="A100" s="45" t="s">
        <v>423</v>
      </c>
      <c r="B100" s="46" t="s">
        <v>154</v>
      </c>
      <c r="C100" s="47" t="s">
        <v>424</v>
      </c>
      <c r="D100" s="48"/>
      <c r="E100" s="38" t="n">
        <v>1</v>
      </c>
      <c r="F100" s="47" t="s">
        <v>425</v>
      </c>
      <c r="G100" s="37" t="s">
        <v>290</v>
      </c>
      <c r="H100" s="38" t="str">
        <f aca="false">IFERROR(INDEX('الإعدادات واللجنة'!$C$24:$C$32,MATCH(LEFT(A100,3),'الإعدادات واللجنة'!$A$24:$A$32,0)),"")</f>
        <v>د. احمد بن عوض البشري</v>
      </c>
      <c r="I100" s="39"/>
      <c r="J100" s="39"/>
      <c r="K100" s="38" t="str">
        <f aca="false">IF(OR(I100="",I100="متوفر ومكتمل"),"",IF(OR(D100="★",I100="غير متوفر"),"عالية","متوسطة"))</f>
        <v/>
      </c>
      <c r="L100" s="40"/>
      <c r="M100" s="39"/>
      <c r="N100" s="40"/>
      <c r="O100" s="40"/>
      <c r="P100" s="39"/>
      <c r="Q100" s="40"/>
    </row>
    <row r="101" customFormat="false" ht="22.35" hidden="false" customHeight="false" outlineLevel="0" collapsed="false">
      <c r="A101" s="28" t="s">
        <v>423</v>
      </c>
      <c r="B101" s="25" t="s">
        <v>154</v>
      </c>
      <c r="C101" s="26"/>
      <c r="D101" s="27"/>
      <c r="E101" s="28" t="n">
        <v>2</v>
      </c>
      <c r="F101" s="26" t="s">
        <v>426</v>
      </c>
      <c r="G101" s="29" t="s">
        <v>290</v>
      </c>
      <c r="H101" s="28" t="str">
        <f aca="false">IFERROR(INDEX('الإعدادات واللجنة'!$C$24:$C$32,MATCH(LEFT(A101,3),'الإعدادات واللجنة'!$A$24:$A$32,0)),"")</f>
        <v>د. احمد بن عوض البشري</v>
      </c>
      <c r="I101" s="30"/>
      <c r="J101" s="30"/>
      <c r="K101" s="28" t="str">
        <f aca="false">IF(OR(I101="",I101="متوفر ومكتمل"),"",IF(OR(D101="★",I101="غير متوفر"),"عالية","متوسطة"))</f>
        <v/>
      </c>
      <c r="L101" s="31"/>
      <c r="M101" s="30"/>
      <c r="N101" s="31"/>
      <c r="O101" s="31"/>
      <c r="P101" s="30"/>
      <c r="Q101" s="31"/>
    </row>
    <row r="102" customFormat="false" ht="32.8" hidden="false" customHeight="false" outlineLevel="0" collapsed="false">
      <c r="A102" s="45" t="s">
        <v>427</v>
      </c>
      <c r="B102" s="46" t="s">
        <v>154</v>
      </c>
      <c r="C102" s="47" t="s">
        <v>428</v>
      </c>
      <c r="D102" s="48"/>
      <c r="E102" s="38" t="n">
        <v>1</v>
      </c>
      <c r="F102" s="47" t="s">
        <v>429</v>
      </c>
      <c r="G102" s="37" t="s">
        <v>290</v>
      </c>
      <c r="H102" s="38" t="str">
        <f aca="false">IFERROR(INDEX('الإعدادات واللجنة'!$C$24:$C$32,MATCH(LEFT(A102,3),'الإعدادات واللجنة'!$A$24:$A$32,0)),"")</f>
        <v>د. احمد بن عوض البشري</v>
      </c>
      <c r="I102" s="39"/>
      <c r="J102" s="39"/>
      <c r="K102" s="38" t="str">
        <f aca="false">IF(OR(I102="",I102="متوفر ومكتمل"),"",IF(OR(D102="★",I102="غير متوفر"),"عالية","متوسطة"))</f>
        <v/>
      </c>
      <c r="L102" s="40"/>
      <c r="M102" s="39"/>
      <c r="N102" s="40"/>
      <c r="O102" s="40"/>
      <c r="P102" s="39"/>
      <c r="Q102" s="40"/>
    </row>
    <row r="103" customFormat="false" ht="15" hidden="false" customHeight="false" outlineLevel="0" collapsed="false">
      <c r="A103" s="28" t="s">
        <v>427</v>
      </c>
      <c r="B103" s="25" t="s">
        <v>154</v>
      </c>
      <c r="C103" s="26"/>
      <c r="D103" s="27"/>
      <c r="E103" s="28" t="n">
        <v>2</v>
      </c>
      <c r="F103" s="26" t="s">
        <v>430</v>
      </c>
      <c r="G103" s="29" t="s">
        <v>290</v>
      </c>
      <c r="H103" s="28" t="str">
        <f aca="false">IFERROR(INDEX('الإعدادات واللجنة'!$C$24:$C$32,MATCH(LEFT(A103,3),'الإعدادات واللجنة'!$A$24:$A$32,0)),"")</f>
        <v>د. احمد بن عوض البشري</v>
      </c>
      <c r="I103" s="30"/>
      <c r="J103" s="30"/>
      <c r="K103" s="28" t="str">
        <f aca="false">IF(OR(I103="",I103="متوفر ومكتمل"),"",IF(OR(D103="★",I103="غير متوفر"),"عالية","متوسطة"))</f>
        <v/>
      </c>
      <c r="L103" s="31"/>
      <c r="M103" s="30"/>
      <c r="N103" s="31"/>
      <c r="O103" s="31"/>
      <c r="P103" s="30"/>
      <c r="Q103" s="31"/>
    </row>
    <row r="104" customFormat="false" ht="15" hidden="false" customHeight="false" outlineLevel="0" collapsed="false">
      <c r="A104" s="28" t="s">
        <v>427</v>
      </c>
      <c r="B104" s="25" t="s">
        <v>154</v>
      </c>
      <c r="C104" s="26"/>
      <c r="D104" s="27"/>
      <c r="E104" s="28" t="n">
        <v>3</v>
      </c>
      <c r="F104" s="26" t="s">
        <v>431</v>
      </c>
      <c r="G104" s="29" t="s">
        <v>290</v>
      </c>
      <c r="H104" s="28" t="str">
        <f aca="false">IFERROR(INDEX('الإعدادات واللجنة'!$C$24:$C$32,MATCH(LEFT(A104,3),'الإعدادات واللجنة'!$A$24:$A$32,0)),"")</f>
        <v>د. احمد بن عوض البشري</v>
      </c>
      <c r="I104" s="30"/>
      <c r="J104" s="30"/>
      <c r="K104" s="28" t="str">
        <f aca="false">IF(OR(I104="",I104="متوفر ومكتمل"),"",IF(OR(D104="★",I104="غير متوفر"),"عالية","متوسطة"))</f>
        <v/>
      </c>
      <c r="L104" s="31"/>
      <c r="M104" s="30"/>
      <c r="N104" s="31"/>
      <c r="O104" s="31"/>
      <c r="P104" s="30"/>
      <c r="Q104" s="31"/>
    </row>
    <row r="105" customFormat="false" ht="32.8" hidden="false" customHeight="false" outlineLevel="0" collapsed="false">
      <c r="A105" s="32" t="s">
        <v>432</v>
      </c>
      <c r="B105" s="33" t="s">
        <v>154</v>
      </c>
      <c r="C105" s="34" t="s">
        <v>433</v>
      </c>
      <c r="D105" s="35" t="s">
        <v>296</v>
      </c>
      <c r="E105" s="36" t="n">
        <v>1</v>
      </c>
      <c r="F105" s="34" t="s">
        <v>434</v>
      </c>
      <c r="G105" s="37" t="s">
        <v>290</v>
      </c>
      <c r="H105" s="38" t="str">
        <f aca="false">IFERROR(INDEX('الإعدادات واللجنة'!$C$24:$C$32,MATCH(LEFT(A105,3),'الإعدادات واللجنة'!$A$24:$A$32,0)),"")</f>
        <v>د. احمد بن عوض البشري</v>
      </c>
      <c r="I105" s="39"/>
      <c r="J105" s="39"/>
      <c r="K105" s="38" t="str">
        <f aca="false">IF(OR(I105="",I105="متوفر ومكتمل"),"",IF(OR(D105="★",I105="غير متوفر"),"عالية","متوسطة"))</f>
        <v/>
      </c>
      <c r="L105" s="40"/>
      <c r="M105" s="39"/>
      <c r="N105" s="40"/>
      <c r="O105" s="40"/>
      <c r="P105" s="39"/>
      <c r="Q105" s="40"/>
    </row>
    <row r="106" customFormat="false" ht="22.35" hidden="false" customHeight="false" outlineLevel="0" collapsed="false">
      <c r="A106" s="41" t="s">
        <v>432</v>
      </c>
      <c r="B106" s="42" t="s">
        <v>154</v>
      </c>
      <c r="C106" s="43"/>
      <c r="D106" s="44" t="s">
        <v>296</v>
      </c>
      <c r="E106" s="41" t="n">
        <v>2</v>
      </c>
      <c r="F106" s="43" t="s">
        <v>435</v>
      </c>
      <c r="G106" s="29" t="s">
        <v>290</v>
      </c>
      <c r="H106" s="28" t="str">
        <f aca="false">IFERROR(INDEX('الإعدادات واللجنة'!$C$24:$C$32,MATCH(LEFT(A106,3),'الإعدادات واللجنة'!$A$24:$A$32,0)),"")</f>
        <v>د. احمد بن عوض البشري</v>
      </c>
      <c r="I106" s="30"/>
      <c r="J106" s="30"/>
      <c r="K106" s="28" t="str">
        <f aca="false">IF(OR(I106="",I106="متوفر ومكتمل"),"",IF(OR(D106="★",I106="غير متوفر"),"عالية","متوسطة"))</f>
        <v/>
      </c>
      <c r="L106" s="31"/>
      <c r="M106" s="30"/>
      <c r="N106" s="31"/>
      <c r="O106" s="31"/>
      <c r="P106" s="30"/>
      <c r="Q106" s="31"/>
    </row>
    <row r="107" customFormat="false" ht="32.8" hidden="false" customHeight="false" outlineLevel="0" collapsed="false">
      <c r="A107" s="32" t="s">
        <v>436</v>
      </c>
      <c r="B107" s="33" t="s">
        <v>154</v>
      </c>
      <c r="C107" s="34" t="s">
        <v>437</v>
      </c>
      <c r="D107" s="35" t="s">
        <v>296</v>
      </c>
      <c r="E107" s="36" t="n">
        <v>1</v>
      </c>
      <c r="F107" s="34" t="s">
        <v>438</v>
      </c>
      <c r="G107" s="37" t="s">
        <v>290</v>
      </c>
      <c r="H107" s="38" t="str">
        <f aca="false">IFERROR(INDEX('الإعدادات واللجنة'!$C$24:$C$32,MATCH(LEFT(A107,3),'الإعدادات واللجنة'!$A$24:$A$32,0)),"")</f>
        <v>د. يثرب بنت سعد القحطاني</v>
      </c>
      <c r="I107" s="39"/>
      <c r="J107" s="39"/>
      <c r="K107" s="38" t="str">
        <f aca="false">IF(OR(I107="",I107="متوفر ومكتمل"),"",IF(OR(D107="★",I107="غير متوفر"),"عالية","متوسطة"))</f>
        <v/>
      </c>
      <c r="L107" s="40"/>
      <c r="M107" s="39"/>
      <c r="N107" s="40"/>
      <c r="O107" s="40"/>
      <c r="P107" s="39"/>
      <c r="Q107" s="40"/>
    </row>
    <row r="108" customFormat="false" ht="22.35" hidden="false" customHeight="false" outlineLevel="0" collapsed="false">
      <c r="A108" s="41" t="s">
        <v>436</v>
      </c>
      <c r="B108" s="42" t="s">
        <v>154</v>
      </c>
      <c r="C108" s="43"/>
      <c r="D108" s="44" t="s">
        <v>296</v>
      </c>
      <c r="E108" s="41" t="n">
        <v>2</v>
      </c>
      <c r="F108" s="43" t="s">
        <v>439</v>
      </c>
      <c r="G108" s="29" t="s">
        <v>290</v>
      </c>
      <c r="H108" s="28" t="str">
        <f aca="false">IFERROR(INDEX('الإعدادات واللجنة'!$C$24:$C$32,MATCH(LEFT(A108,3),'الإعدادات واللجنة'!$A$24:$A$32,0)),"")</f>
        <v>د. يثرب بنت سعد القحطاني</v>
      </c>
      <c r="I108" s="30"/>
      <c r="J108" s="30"/>
      <c r="K108" s="28" t="str">
        <f aca="false">IF(OR(I108="",I108="متوفر ومكتمل"),"",IF(OR(D108="★",I108="غير متوفر"),"عالية","متوسطة"))</f>
        <v/>
      </c>
      <c r="L108" s="31"/>
      <c r="M108" s="30"/>
      <c r="N108" s="31"/>
      <c r="O108" s="31"/>
      <c r="P108" s="30"/>
      <c r="Q108" s="31"/>
    </row>
    <row r="109" customFormat="false" ht="32.8" hidden="false" customHeight="false" outlineLevel="0" collapsed="false">
      <c r="A109" s="41" t="s">
        <v>436</v>
      </c>
      <c r="B109" s="42" t="s">
        <v>154</v>
      </c>
      <c r="C109" s="43"/>
      <c r="D109" s="44" t="s">
        <v>296</v>
      </c>
      <c r="E109" s="41" t="n">
        <v>3</v>
      </c>
      <c r="F109" s="43" t="s">
        <v>440</v>
      </c>
      <c r="G109" s="29" t="s">
        <v>290</v>
      </c>
      <c r="H109" s="28" t="str">
        <f aca="false">IFERROR(INDEX('الإعدادات واللجنة'!$C$24:$C$32,MATCH(LEFT(A109,3),'الإعدادات واللجنة'!$A$24:$A$32,0)),"")</f>
        <v>د. يثرب بنت سعد القحطاني</v>
      </c>
      <c r="I109" s="30"/>
      <c r="J109" s="30"/>
      <c r="K109" s="28" t="str">
        <f aca="false">IF(OR(I109="",I109="متوفر ومكتمل"),"",IF(OR(D109="★",I109="غير متوفر"),"عالية","متوسطة"))</f>
        <v/>
      </c>
      <c r="L109" s="31"/>
      <c r="M109" s="30"/>
      <c r="N109" s="31"/>
      <c r="O109" s="31"/>
      <c r="P109" s="30"/>
      <c r="Q109" s="31"/>
    </row>
    <row r="110" customFormat="false" ht="22.35" hidden="false" customHeight="false" outlineLevel="0" collapsed="false">
      <c r="A110" s="41" t="s">
        <v>436</v>
      </c>
      <c r="B110" s="42" t="s">
        <v>154</v>
      </c>
      <c r="C110" s="43"/>
      <c r="D110" s="44" t="s">
        <v>296</v>
      </c>
      <c r="E110" s="41" t="n">
        <v>4</v>
      </c>
      <c r="F110" s="43" t="s">
        <v>441</v>
      </c>
      <c r="G110" s="29" t="s">
        <v>290</v>
      </c>
      <c r="H110" s="28" t="str">
        <f aca="false">IFERROR(INDEX('الإعدادات واللجنة'!$C$24:$C$32,MATCH(LEFT(A110,3),'الإعدادات واللجنة'!$A$24:$A$32,0)),"")</f>
        <v>د. يثرب بنت سعد القحطاني</v>
      </c>
      <c r="I110" s="30"/>
      <c r="J110" s="30"/>
      <c r="K110" s="28" t="str">
        <f aca="false">IF(OR(I110="",I110="متوفر ومكتمل"),"",IF(OR(D110="★",I110="غير متوفر"),"عالية","متوسطة"))</f>
        <v/>
      </c>
      <c r="L110" s="31"/>
      <c r="M110" s="30"/>
      <c r="N110" s="31"/>
      <c r="O110" s="31"/>
      <c r="P110" s="30"/>
      <c r="Q110" s="31"/>
    </row>
    <row r="111" customFormat="false" ht="22.35" hidden="false" customHeight="false" outlineLevel="0" collapsed="false">
      <c r="A111" s="41" t="s">
        <v>436</v>
      </c>
      <c r="B111" s="42" t="s">
        <v>154</v>
      </c>
      <c r="C111" s="43"/>
      <c r="D111" s="44" t="s">
        <v>296</v>
      </c>
      <c r="E111" s="41" t="n">
        <v>5</v>
      </c>
      <c r="F111" s="43" t="s">
        <v>442</v>
      </c>
      <c r="G111" s="29" t="s">
        <v>290</v>
      </c>
      <c r="H111" s="28" t="str">
        <f aca="false">IFERROR(INDEX('الإعدادات واللجنة'!$C$24:$C$32,MATCH(LEFT(A111,3),'الإعدادات واللجنة'!$A$24:$A$32,0)),"")</f>
        <v>د. يثرب بنت سعد القحطاني</v>
      </c>
      <c r="I111" s="30"/>
      <c r="J111" s="30"/>
      <c r="K111" s="28" t="str">
        <f aca="false">IF(OR(I111="",I111="متوفر ومكتمل"),"",IF(OR(D111="★",I111="غير متوفر"),"عالية","متوسطة"))</f>
        <v/>
      </c>
      <c r="L111" s="31"/>
      <c r="M111" s="30"/>
      <c r="N111" s="31"/>
      <c r="O111" s="31"/>
      <c r="P111" s="30"/>
      <c r="Q111" s="31"/>
    </row>
    <row r="112" customFormat="false" ht="32.8" hidden="false" customHeight="false" outlineLevel="0" collapsed="false">
      <c r="A112" s="45" t="s">
        <v>443</v>
      </c>
      <c r="B112" s="46" t="s">
        <v>154</v>
      </c>
      <c r="C112" s="47" t="s">
        <v>444</v>
      </c>
      <c r="D112" s="48"/>
      <c r="E112" s="38" t="n">
        <v>1</v>
      </c>
      <c r="F112" s="47" t="s">
        <v>445</v>
      </c>
      <c r="G112" s="37" t="s">
        <v>290</v>
      </c>
      <c r="H112" s="38" t="str">
        <f aca="false">IFERROR(INDEX('الإعدادات واللجنة'!$C$24:$C$32,MATCH(LEFT(A112,3),'الإعدادات واللجنة'!$A$24:$A$32,0)),"")</f>
        <v>د. يثرب بنت سعد القحطاني</v>
      </c>
      <c r="I112" s="39"/>
      <c r="J112" s="39"/>
      <c r="K112" s="38" t="str">
        <f aca="false">IF(OR(I112="",I112="متوفر ومكتمل"),"",IF(OR(D112="★",I112="غير متوفر"),"عالية","متوسطة"))</f>
        <v/>
      </c>
      <c r="L112" s="40"/>
      <c r="M112" s="39"/>
      <c r="N112" s="40"/>
      <c r="O112" s="40"/>
      <c r="P112" s="39"/>
      <c r="Q112" s="40"/>
    </row>
    <row r="113" customFormat="false" ht="22.35" hidden="false" customHeight="false" outlineLevel="0" collapsed="false">
      <c r="A113" s="28" t="s">
        <v>443</v>
      </c>
      <c r="B113" s="25" t="s">
        <v>154</v>
      </c>
      <c r="C113" s="26"/>
      <c r="D113" s="27"/>
      <c r="E113" s="28" t="n">
        <v>2</v>
      </c>
      <c r="F113" s="26" t="s">
        <v>446</v>
      </c>
      <c r="G113" s="29" t="s">
        <v>290</v>
      </c>
      <c r="H113" s="28" t="str">
        <f aca="false">IFERROR(INDEX('الإعدادات واللجنة'!$C$24:$C$32,MATCH(LEFT(A113,3),'الإعدادات واللجنة'!$A$24:$A$32,0)),"")</f>
        <v>د. يثرب بنت سعد القحطاني</v>
      </c>
      <c r="I113" s="30"/>
      <c r="J113" s="30"/>
      <c r="K113" s="28" t="str">
        <f aca="false">IF(OR(I113="",I113="متوفر ومكتمل"),"",IF(OR(D113="★",I113="غير متوفر"),"عالية","متوسطة"))</f>
        <v/>
      </c>
      <c r="L113" s="31"/>
      <c r="M113" s="30"/>
      <c r="N113" s="31"/>
      <c r="O113" s="31"/>
      <c r="P113" s="30"/>
      <c r="Q113" s="31"/>
    </row>
    <row r="114" customFormat="false" ht="22.35" hidden="false" customHeight="false" outlineLevel="0" collapsed="false">
      <c r="A114" s="28" t="s">
        <v>443</v>
      </c>
      <c r="B114" s="25" t="s">
        <v>154</v>
      </c>
      <c r="C114" s="26"/>
      <c r="D114" s="27"/>
      <c r="E114" s="28" t="n">
        <v>3</v>
      </c>
      <c r="F114" s="26" t="s">
        <v>447</v>
      </c>
      <c r="G114" s="29" t="s">
        <v>290</v>
      </c>
      <c r="H114" s="28" t="str">
        <f aca="false">IFERROR(INDEX('الإعدادات واللجنة'!$C$24:$C$32,MATCH(LEFT(A114,3),'الإعدادات واللجنة'!$A$24:$A$32,0)),"")</f>
        <v>د. يثرب بنت سعد القحطاني</v>
      </c>
      <c r="I114" s="30"/>
      <c r="J114" s="30"/>
      <c r="K114" s="28" t="str">
        <f aca="false">IF(OR(I114="",I114="متوفر ومكتمل"),"",IF(OR(D114="★",I114="غير متوفر"),"عالية","متوسطة"))</f>
        <v/>
      </c>
      <c r="L114" s="31"/>
      <c r="M114" s="30"/>
      <c r="N114" s="31"/>
      <c r="O114" s="31"/>
      <c r="P114" s="30"/>
      <c r="Q114" s="31"/>
    </row>
    <row r="115" customFormat="false" ht="22.35" hidden="false" customHeight="false" outlineLevel="0" collapsed="false">
      <c r="A115" s="28" t="s">
        <v>443</v>
      </c>
      <c r="B115" s="25" t="s">
        <v>154</v>
      </c>
      <c r="C115" s="26"/>
      <c r="D115" s="27"/>
      <c r="E115" s="28" t="n">
        <v>4</v>
      </c>
      <c r="F115" s="26" t="s">
        <v>448</v>
      </c>
      <c r="G115" s="29" t="s">
        <v>290</v>
      </c>
      <c r="H115" s="28" t="str">
        <f aca="false">IFERROR(INDEX('الإعدادات واللجنة'!$C$24:$C$32,MATCH(LEFT(A115,3),'الإعدادات واللجنة'!$A$24:$A$32,0)),"")</f>
        <v>د. يثرب بنت سعد القحطاني</v>
      </c>
      <c r="I115" s="30"/>
      <c r="J115" s="30"/>
      <c r="K115" s="28" t="str">
        <f aca="false">IF(OR(I115="",I115="متوفر ومكتمل"),"",IF(OR(D115="★",I115="غير متوفر"),"عالية","متوسطة"))</f>
        <v/>
      </c>
      <c r="L115" s="31"/>
      <c r="M115" s="30"/>
      <c r="N115" s="31"/>
      <c r="O115" s="31"/>
      <c r="P115" s="30"/>
      <c r="Q115" s="31"/>
    </row>
    <row r="116" customFormat="false" ht="32.8" hidden="false" customHeight="false" outlineLevel="0" collapsed="false">
      <c r="A116" s="45" t="s">
        <v>449</v>
      </c>
      <c r="B116" s="46" t="s">
        <v>154</v>
      </c>
      <c r="C116" s="47" t="s">
        <v>450</v>
      </c>
      <c r="D116" s="48"/>
      <c r="E116" s="38" t="n">
        <v>1</v>
      </c>
      <c r="F116" s="47" t="s">
        <v>451</v>
      </c>
      <c r="G116" s="37" t="s">
        <v>290</v>
      </c>
      <c r="H116" s="38" t="str">
        <f aca="false">IFERROR(INDEX('الإعدادات واللجنة'!$C$24:$C$32,MATCH(LEFT(A116,3),'الإعدادات واللجنة'!$A$24:$A$32,0)),"")</f>
        <v>د. يثرب بنت سعد القحطاني</v>
      </c>
      <c r="I116" s="39"/>
      <c r="J116" s="39"/>
      <c r="K116" s="38" t="str">
        <f aca="false">IF(OR(I116="",I116="متوفر ومكتمل"),"",IF(OR(D116="★",I116="غير متوفر"),"عالية","متوسطة"))</f>
        <v/>
      </c>
      <c r="L116" s="40"/>
      <c r="M116" s="39"/>
      <c r="N116" s="40"/>
      <c r="O116" s="40"/>
      <c r="P116" s="39"/>
      <c r="Q116" s="40"/>
    </row>
    <row r="117" customFormat="false" ht="32.8" hidden="false" customHeight="false" outlineLevel="0" collapsed="false">
      <c r="A117" s="28" t="s">
        <v>449</v>
      </c>
      <c r="B117" s="25" t="s">
        <v>154</v>
      </c>
      <c r="C117" s="26"/>
      <c r="D117" s="27"/>
      <c r="E117" s="28" t="n">
        <v>2</v>
      </c>
      <c r="F117" s="26" t="s">
        <v>452</v>
      </c>
      <c r="G117" s="29" t="s">
        <v>290</v>
      </c>
      <c r="H117" s="28" t="str">
        <f aca="false">IFERROR(INDEX('الإعدادات واللجنة'!$C$24:$C$32,MATCH(LEFT(A117,3),'الإعدادات واللجنة'!$A$24:$A$32,0)),"")</f>
        <v>د. يثرب بنت سعد القحطاني</v>
      </c>
      <c r="I117" s="30"/>
      <c r="J117" s="30"/>
      <c r="K117" s="28" t="str">
        <f aca="false">IF(OR(I117="",I117="متوفر ومكتمل"),"",IF(OR(D117="★",I117="غير متوفر"),"عالية","متوسطة"))</f>
        <v/>
      </c>
      <c r="L117" s="31"/>
      <c r="M117" s="30"/>
      <c r="N117" s="31"/>
      <c r="O117" s="31"/>
      <c r="P117" s="30"/>
      <c r="Q117" s="31"/>
    </row>
    <row r="118" customFormat="false" ht="22.35" hidden="false" customHeight="false" outlineLevel="0" collapsed="false">
      <c r="A118" s="28" t="s">
        <v>449</v>
      </c>
      <c r="B118" s="25" t="s">
        <v>154</v>
      </c>
      <c r="C118" s="26"/>
      <c r="D118" s="27"/>
      <c r="E118" s="28" t="n">
        <v>3</v>
      </c>
      <c r="F118" s="26" t="s">
        <v>453</v>
      </c>
      <c r="G118" s="29" t="s">
        <v>290</v>
      </c>
      <c r="H118" s="28" t="str">
        <f aca="false">IFERROR(INDEX('الإعدادات واللجنة'!$C$24:$C$32,MATCH(LEFT(A118,3),'الإعدادات واللجنة'!$A$24:$A$32,0)),"")</f>
        <v>د. يثرب بنت سعد القحطاني</v>
      </c>
      <c r="I118" s="30"/>
      <c r="J118" s="30"/>
      <c r="K118" s="28" t="str">
        <f aca="false">IF(OR(I118="",I118="متوفر ومكتمل"),"",IF(OR(D118="★",I118="غير متوفر"),"عالية","متوسطة"))</f>
        <v/>
      </c>
      <c r="L118" s="31"/>
      <c r="M118" s="30"/>
      <c r="N118" s="31"/>
      <c r="O118" s="31"/>
      <c r="P118" s="30"/>
      <c r="Q118" s="31"/>
    </row>
    <row r="119" customFormat="false" ht="22.35" hidden="false" customHeight="false" outlineLevel="0" collapsed="false">
      <c r="A119" s="45" t="s">
        <v>454</v>
      </c>
      <c r="B119" s="46" t="s">
        <v>154</v>
      </c>
      <c r="C119" s="47" t="s">
        <v>455</v>
      </c>
      <c r="D119" s="48"/>
      <c r="E119" s="38" t="n">
        <v>1</v>
      </c>
      <c r="F119" s="47" t="s">
        <v>456</v>
      </c>
      <c r="G119" s="37" t="s">
        <v>290</v>
      </c>
      <c r="H119" s="38" t="str">
        <f aca="false">IFERROR(INDEX('الإعدادات واللجنة'!$C$24:$C$32,MATCH(LEFT(A119,3),'الإعدادات واللجنة'!$A$24:$A$32,0)),"")</f>
        <v>د. يثرب بنت سعد القحطاني</v>
      </c>
      <c r="I119" s="39"/>
      <c r="J119" s="39"/>
      <c r="K119" s="38" t="str">
        <f aca="false">IF(OR(I119="",I119="متوفر ومكتمل"),"",IF(OR(D119="★",I119="غير متوفر"),"عالية","متوسطة"))</f>
        <v/>
      </c>
      <c r="L119" s="40"/>
      <c r="M119" s="39"/>
      <c r="N119" s="40"/>
      <c r="O119" s="40"/>
      <c r="P119" s="39"/>
      <c r="Q119" s="40"/>
    </row>
    <row r="120" customFormat="false" ht="22.35" hidden="false" customHeight="false" outlineLevel="0" collapsed="false">
      <c r="A120" s="28" t="s">
        <v>454</v>
      </c>
      <c r="B120" s="25" t="s">
        <v>154</v>
      </c>
      <c r="C120" s="26"/>
      <c r="D120" s="27"/>
      <c r="E120" s="28" t="n">
        <v>2</v>
      </c>
      <c r="F120" s="26" t="s">
        <v>457</v>
      </c>
      <c r="G120" s="29" t="s">
        <v>290</v>
      </c>
      <c r="H120" s="28" t="str">
        <f aca="false">IFERROR(INDEX('الإعدادات واللجنة'!$C$24:$C$32,MATCH(LEFT(A120,3),'الإعدادات واللجنة'!$A$24:$A$32,0)),"")</f>
        <v>د. يثرب بنت سعد القحطاني</v>
      </c>
      <c r="I120" s="30"/>
      <c r="J120" s="30"/>
      <c r="K120" s="28" t="str">
        <f aca="false">IF(OR(I120="",I120="متوفر ومكتمل"),"",IF(OR(D120="★",I120="غير متوفر"),"عالية","متوسطة"))</f>
        <v/>
      </c>
      <c r="L120" s="31"/>
      <c r="M120" s="30"/>
      <c r="N120" s="31"/>
      <c r="O120" s="31"/>
      <c r="P120" s="30"/>
      <c r="Q120" s="31"/>
    </row>
    <row r="121" customFormat="false" ht="22.35" hidden="false" customHeight="false" outlineLevel="0" collapsed="false">
      <c r="A121" s="28" t="s">
        <v>454</v>
      </c>
      <c r="B121" s="25" t="s">
        <v>154</v>
      </c>
      <c r="C121" s="26"/>
      <c r="D121" s="27"/>
      <c r="E121" s="28" t="n">
        <v>3</v>
      </c>
      <c r="F121" s="26" t="s">
        <v>458</v>
      </c>
      <c r="G121" s="29" t="s">
        <v>290</v>
      </c>
      <c r="H121" s="28" t="str">
        <f aca="false">IFERROR(INDEX('الإعدادات واللجنة'!$C$24:$C$32,MATCH(LEFT(A121,3),'الإعدادات واللجنة'!$A$24:$A$32,0)),"")</f>
        <v>د. يثرب بنت سعد القحطاني</v>
      </c>
      <c r="I121" s="30"/>
      <c r="J121" s="30"/>
      <c r="K121" s="28" t="str">
        <f aca="false">IF(OR(I121="",I121="متوفر ومكتمل"),"",IF(OR(D121="★",I121="غير متوفر"),"عالية","متوسطة"))</f>
        <v/>
      </c>
      <c r="L121" s="31"/>
      <c r="M121" s="30"/>
      <c r="N121" s="31"/>
      <c r="O121" s="31"/>
      <c r="P121" s="30"/>
      <c r="Q121" s="31"/>
    </row>
    <row r="122" customFormat="false" ht="22.35" hidden="false" customHeight="false" outlineLevel="0" collapsed="false">
      <c r="A122" s="45" t="s">
        <v>459</v>
      </c>
      <c r="B122" s="46" t="s">
        <v>154</v>
      </c>
      <c r="C122" s="47" t="s">
        <v>460</v>
      </c>
      <c r="D122" s="48"/>
      <c r="E122" s="38" t="n">
        <v>1</v>
      </c>
      <c r="F122" s="47" t="s">
        <v>461</v>
      </c>
      <c r="G122" s="37" t="s">
        <v>290</v>
      </c>
      <c r="H122" s="38" t="str">
        <f aca="false">IFERROR(INDEX('الإعدادات واللجنة'!$C$24:$C$32,MATCH(LEFT(A122,3),'الإعدادات واللجنة'!$A$24:$A$32,0)),"")</f>
        <v>د. يثرب بنت سعد القحطاني</v>
      </c>
      <c r="I122" s="39"/>
      <c r="J122" s="39"/>
      <c r="K122" s="38" t="str">
        <f aca="false">IF(OR(I122="",I122="متوفر ومكتمل"),"",IF(OR(D122="★",I122="غير متوفر"),"عالية","متوسطة"))</f>
        <v/>
      </c>
      <c r="L122" s="40"/>
      <c r="M122" s="39"/>
      <c r="N122" s="40"/>
      <c r="O122" s="40"/>
      <c r="P122" s="39"/>
      <c r="Q122" s="40"/>
    </row>
    <row r="123" customFormat="false" ht="22.35" hidden="false" customHeight="false" outlineLevel="0" collapsed="false">
      <c r="A123" s="28" t="s">
        <v>459</v>
      </c>
      <c r="B123" s="25" t="s">
        <v>154</v>
      </c>
      <c r="C123" s="26"/>
      <c r="D123" s="27"/>
      <c r="E123" s="28" t="n">
        <v>2</v>
      </c>
      <c r="F123" s="26" t="s">
        <v>462</v>
      </c>
      <c r="G123" s="29" t="s">
        <v>290</v>
      </c>
      <c r="H123" s="28" t="str">
        <f aca="false">IFERROR(INDEX('الإعدادات واللجنة'!$C$24:$C$32,MATCH(LEFT(A123,3),'الإعدادات واللجنة'!$A$24:$A$32,0)),"")</f>
        <v>د. يثرب بنت سعد القحطاني</v>
      </c>
      <c r="I123" s="30"/>
      <c r="J123" s="30"/>
      <c r="K123" s="28" t="str">
        <f aca="false">IF(OR(I123="",I123="متوفر ومكتمل"),"",IF(OR(D123="★",I123="غير متوفر"),"عالية","متوسطة"))</f>
        <v/>
      </c>
      <c r="L123" s="31"/>
      <c r="M123" s="30"/>
      <c r="N123" s="31"/>
      <c r="O123" s="31"/>
      <c r="P123" s="30"/>
      <c r="Q123" s="31"/>
    </row>
    <row r="124" customFormat="false" ht="22.35" hidden="false" customHeight="false" outlineLevel="0" collapsed="false">
      <c r="A124" s="28" t="s">
        <v>459</v>
      </c>
      <c r="B124" s="25" t="s">
        <v>154</v>
      </c>
      <c r="C124" s="26"/>
      <c r="D124" s="27"/>
      <c r="E124" s="28" t="n">
        <v>3</v>
      </c>
      <c r="F124" s="26" t="s">
        <v>463</v>
      </c>
      <c r="G124" s="29" t="s">
        <v>290</v>
      </c>
      <c r="H124" s="28" t="str">
        <f aca="false">IFERROR(INDEX('الإعدادات واللجنة'!$C$24:$C$32,MATCH(LEFT(A124,3),'الإعدادات واللجنة'!$A$24:$A$32,0)),"")</f>
        <v>د. يثرب بنت سعد القحطاني</v>
      </c>
      <c r="I124" s="30"/>
      <c r="J124" s="30"/>
      <c r="K124" s="28" t="str">
        <f aca="false">IF(OR(I124="",I124="متوفر ومكتمل"),"",IF(OR(D124="★",I124="غير متوفر"),"عالية","متوسطة"))</f>
        <v/>
      </c>
      <c r="L124" s="31"/>
      <c r="M124" s="30"/>
      <c r="N124" s="31"/>
      <c r="O124" s="31"/>
      <c r="P124" s="30"/>
      <c r="Q124" s="31"/>
    </row>
    <row r="125" customFormat="false" ht="22.35" hidden="false" customHeight="false" outlineLevel="0" collapsed="false">
      <c r="A125" s="28" t="s">
        <v>459</v>
      </c>
      <c r="B125" s="25" t="s">
        <v>154</v>
      </c>
      <c r="C125" s="26"/>
      <c r="D125" s="27"/>
      <c r="E125" s="28" t="n">
        <v>4</v>
      </c>
      <c r="F125" s="26" t="s">
        <v>464</v>
      </c>
      <c r="G125" s="29" t="s">
        <v>290</v>
      </c>
      <c r="H125" s="28" t="str">
        <f aca="false">IFERROR(INDEX('الإعدادات واللجنة'!$C$24:$C$32,MATCH(LEFT(A125,3),'الإعدادات واللجنة'!$A$24:$A$32,0)),"")</f>
        <v>د. يثرب بنت سعد القحطاني</v>
      </c>
      <c r="I125" s="30"/>
      <c r="J125" s="30"/>
      <c r="K125" s="28" t="str">
        <f aca="false">IF(OR(I125="",I125="متوفر ومكتمل"),"",IF(OR(D125="★",I125="غير متوفر"),"عالية","متوسطة"))</f>
        <v/>
      </c>
      <c r="L125" s="31"/>
      <c r="M125" s="30"/>
      <c r="N125" s="31"/>
      <c r="O125" s="31"/>
      <c r="P125" s="30"/>
      <c r="Q125" s="31"/>
    </row>
    <row r="126" customFormat="false" ht="22.35" hidden="false" customHeight="false" outlineLevel="0" collapsed="false">
      <c r="A126" s="28" t="s">
        <v>459</v>
      </c>
      <c r="B126" s="25" t="s">
        <v>154</v>
      </c>
      <c r="C126" s="26"/>
      <c r="D126" s="27"/>
      <c r="E126" s="28" t="n">
        <v>5</v>
      </c>
      <c r="F126" s="26" t="s">
        <v>465</v>
      </c>
      <c r="G126" s="29" t="s">
        <v>290</v>
      </c>
      <c r="H126" s="28" t="str">
        <f aca="false">IFERROR(INDEX('الإعدادات واللجنة'!$C$24:$C$32,MATCH(LEFT(A126,3),'الإعدادات واللجنة'!$A$24:$A$32,0)),"")</f>
        <v>د. يثرب بنت سعد القحطاني</v>
      </c>
      <c r="I126" s="30"/>
      <c r="J126" s="30"/>
      <c r="K126" s="28" t="str">
        <f aca="false">IF(OR(I126="",I126="متوفر ومكتمل"),"",IF(OR(D126="★",I126="غير متوفر"),"عالية","متوسطة"))</f>
        <v/>
      </c>
      <c r="L126" s="31"/>
      <c r="M126" s="30"/>
      <c r="N126" s="31"/>
      <c r="O126" s="31"/>
      <c r="P126" s="30"/>
      <c r="Q126" s="31"/>
    </row>
    <row r="127" customFormat="false" ht="32.8" hidden="false" customHeight="false" outlineLevel="0" collapsed="false">
      <c r="A127" s="32" t="s">
        <v>466</v>
      </c>
      <c r="B127" s="33" t="s">
        <v>154</v>
      </c>
      <c r="C127" s="34" t="s">
        <v>467</v>
      </c>
      <c r="D127" s="35" t="s">
        <v>296</v>
      </c>
      <c r="E127" s="36" t="n">
        <v>1</v>
      </c>
      <c r="F127" s="34" t="s">
        <v>468</v>
      </c>
      <c r="G127" s="37" t="s">
        <v>290</v>
      </c>
      <c r="H127" s="38" t="str">
        <f aca="false">IFERROR(INDEX('الإعدادات واللجنة'!$C$24:$C$32,MATCH(LEFT(A127,3),'الإعدادات واللجنة'!$A$24:$A$32,0)),"")</f>
        <v>د. يثرب بنت سعد القحطاني</v>
      </c>
      <c r="I127" s="39"/>
      <c r="J127" s="39"/>
      <c r="K127" s="38" t="str">
        <f aca="false">IF(OR(I127="",I127="متوفر ومكتمل"),"",IF(OR(D127="★",I127="غير متوفر"),"عالية","متوسطة"))</f>
        <v/>
      </c>
      <c r="L127" s="40"/>
      <c r="M127" s="39"/>
      <c r="N127" s="40"/>
      <c r="O127" s="40"/>
      <c r="P127" s="39"/>
      <c r="Q127" s="40"/>
    </row>
    <row r="128" customFormat="false" ht="22.35" hidden="false" customHeight="false" outlineLevel="0" collapsed="false">
      <c r="A128" s="41" t="s">
        <v>466</v>
      </c>
      <c r="B128" s="42" t="s">
        <v>154</v>
      </c>
      <c r="C128" s="43"/>
      <c r="D128" s="44" t="s">
        <v>296</v>
      </c>
      <c r="E128" s="41" t="n">
        <v>2</v>
      </c>
      <c r="F128" s="43" t="s">
        <v>469</v>
      </c>
      <c r="G128" s="29" t="s">
        <v>290</v>
      </c>
      <c r="H128" s="28" t="str">
        <f aca="false">IFERROR(INDEX('الإعدادات واللجنة'!$C$24:$C$32,MATCH(LEFT(A128,3),'الإعدادات واللجنة'!$A$24:$A$32,0)),"")</f>
        <v>د. يثرب بنت سعد القحطاني</v>
      </c>
      <c r="I128" s="30"/>
      <c r="J128" s="30"/>
      <c r="K128" s="28" t="str">
        <f aca="false">IF(OR(I128="",I128="متوفر ومكتمل"),"",IF(OR(D128="★",I128="غير متوفر"),"عالية","متوسطة"))</f>
        <v/>
      </c>
      <c r="L128" s="31"/>
      <c r="M128" s="30"/>
      <c r="N128" s="31"/>
      <c r="O128" s="31"/>
      <c r="P128" s="30"/>
      <c r="Q128" s="31"/>
    </row>
    <row r="129" customFormat="false" ht="22.35" hidden="false" customHeight="false" outlineLevel="0" collapsed="false">
      <c r="A129" s="41" t="s">
        <v>466</v>
      </c>
      <c r="B129" s="42" t="s">
        <v>154</v>
      </c>
      <c r="C129" s="43"/>
      <c r="D129" s="44" t="s">
        <v>296</v>
      </c>
      <c r="E129" s="41" t="n">
        <v>3</v>
      </c>
      <c r="F129" s="43" t="s">
        <v>470</v>
      </c>
      <c r="G129" s="29" t="s">
        <v>290</v>
      </c>
      <c r="H129" s="28" t="str">
        <f aca="false">IFERROR(INDEX('الإعدادات واللجنة'!$C$24:$C$32,MATCH(LEFT(A129,3),'الإعدادات واللجنة'!$A$24:$A$32,0)),"")</f>
        <v>د. يثرب بنت سعد القحطاني</v>
      </c>
      <c r="I129" s="30"/>
      <c r="J129" s="30"/>
      <c r="K129" s="28" t="str">
        <f aca="false">IF(OR(I129="",I129="متوفر ومكتمل"),"",IF(OR(D129="★",I129="غير متوفر"),"عالية","متوسطة"))</f>
        <v/>
      </c>
      <c r="L129" s="31"/>
      <c r="M129" s="30"/>
      <c r="N129" s="31"/>
      <c r="O129" s="31"/>
      <c r="P129" s="30"/>
      <c r="Q129" s="31"/>
    </row>
    <row r="130" customFormat="false" ht="22.35" hidden="false" customHeight="false" outlineLevel="0" collapsed="false">
      <c r="A130" s="41" t="s">
        <v>466</v>
      </c>
      <c r="B130" s="42" t="s">
        <v>154</v>
      </c>
      <c r="C130" s="43"/>
      <c r="D130" s="44" t="s">
        <v>296</v>
      </c>
      <c r="E130" s="41" t="n">
        <v>4</v>
      </c>
      <c r="F130" s="43" t="s">
        <v>471</v>
      </c>
      <c r="G130" s="29" t="s">
        <v>290</v>
      </c>
      <c r="H130" s="28" t="str">
        <f aca="false">IFERROR(INDEX('الإعدادات واللجنة'!$C$24:$C$32,MATCH(LEFT(A130,3),'الإعدادات واللجنة'!$A$24:$A$32,0)),"")</f>
        <v>د. يثرب بنت سعد القحطاني</v>
      </c>
      <c r="I130" s="30"/>
      <c r="J130" s="30"/>
      <c r="K130" s="28" t="str">
        <f aca="false">IF(OR(I130="",I130="متوفر ومكتمل"),"",IF(OR(D130="★",I130="غير متوفر"),"عالية","متوسطة"))</f>
        <v/>
      </c>
      <c r="L130" s="31"/>
      <c r="M130" s="30"/>
      <c r="N130" s="31"/>
      <c r="O130" s="31"/>
      <c r="P130" s="30"/>
      <c r="Q130" s="31"/>
    </row>
    <row r="131" customFormat="false" ht="22.35" hidden="false" customHeight="false" outlineLevel="0" collapsed="false">
      <c r="A131" s="41" t="s">
        <v>466</v>
      </c>
      <c r="B131" s="42" t="s">
        <v>154</v>
      </c>
      <c r="C131" s="43"/>
      <c r="D131" s="44" t="s">
        <v>296</v>
      </c>
      <c r="E131" s="41" t="n">
        <v>5</v>
      </c>
      <c r="F131" s="43" t="s">
        <v>472</v>
      </c>
      <c r="G131" s="29" t="s">
        <v>290</v>
      </c>
      <c r="H131" s="28" t="str">
        <f aca="false">IFERROR(INDEX('الإعدادات واللجنة'!$C$24:$C$32,MATCH(LEFT(A131,3),'الإعدادات واللجنة'!$A$24:$A$32,0)),"")</f>
        <v>د. يثرب بنت سعد القحطاني</v>
      </c>
      <c r="I131" s="30"/>
      <c r="J131" s="30"/>
      <c r="K131" s="28" t="str">
        <f aca="false">IF(OR(I131="",I131="متوفر ومكتمل"),"",IF(OR(D131="★",I131="غير متوفر"),"عالية","متوسطة"))</f>
        <v/>
      </c>
      <c r="L131" s="31"/>
      <c r="M131" s="30"/>
      <c r="N131" s="31"/>
      <c r="O131" s="31"/>
      <c r="P131" s="30"/>
      <c r="Q131" s="31"/>
    </row>
    <row r="132" customFormat="false" ht="32.8" hidden="false" customHeight="false" outlineLevel="0" collapsed="false">
      <c r="A132" s="45" t="s">
        <v>473</v>
      </c>
      <c r="B132" s="46" t="s">
        <v>155</v>
      </c>
      <c r="C132" s="47" t="s">
        <v>474</v>
      </c>
      <c r="D132" s="48"/>
      <c r="E132" s="38" t="n">
        <v>1</v>
      </c>
      <c r="F132" s="47" t="s">
        <v>475</v>
      </c>
      <c r="G132" s="37" t="s">
        <v>290</v>
      </c>
      <c r="H132" s="38" t="str">
        <f aca="false">IFERROR(INDEX('الإعدادات واللجنة'!$C$24:$C$32,MATCH(LEFT(A132,3),'الإعدادات واللجنة'!$A$24:$A$32,0)),"")</f>
        <v>د. عبدالله بن محمد البركاتي</v>
      </c>
      <c r="I132" s="39"/>
      <c r="J132" s="39"/>
      <c r="K132" s="38" t="str">
        <f aca="false">IF(OR(I132="",I132="متوفر ومكتمل"),"",IF(OR(D132="★",I132="غير متوفر"),"عالية","متوسطة"))</f>
        <v/>
      </c>
      <c r="L132" s="40"/>
      <c r="M132" s="39"/>
      <c r="N132" s="40"/>
      <c r="O132" s="40"/>
      <c r="P132" s="39"/>
      <c r="Q132" s="40"/>
    </row>
    <row r="133" customFormat="false" ht="22.35" hidden="false" customHeight="false" outlineLevel="0" collapsed="false">
      <c r="A133" s="28" t="s">
        <v>473</v>
      </c>
      <c r="B133" s="25" t="s">
        <v>155</v>
      </c>
      <c r="C133" s="26"/>
      <c r="D133" s="27"/>
      <c r="E133" s="28" t="n">
        <v>2</v>
      </c>
      <c r="F133" s="26" t="s">
        <v>476</v>
      </c>
      <c r="G133" s="29" t="s">
        <v>290</v>
      </c>
      <c r="H133" s="28" t="str">
        <f aca="false">IFERROR(INDEX('الإعدادات واللجنة'!$C$24:$C$32,MATCH(LEFT(A133,3),'الإعدادات واللجنة'!$A$24:$A$32,0)),"")</f>
        <v>د. عبدالله بن محمد البركاتي</v>
      </c>
      <c r="I133" s="30"/>
      <c r="J133" s="30"/>
      <c r="K133" s="28" t="str">
        <f aca="false">IF(OR(I133="",I133="متوفر ومكتمل"),"",IF(OR(D133="★",I133="غير متوفر"),"عالية","متوسطة"))</f>
        <v/>
      </c>
      <c r="L133" s="31"/>
      <c r="M133" s="30"/>
      <c r="N133" s="31"/>
      <c r="O133" s="31"/>
      <c r="P133" s="30"/>
      <c r="Q133" s="31"/>
    </row>
    <row r="134" customFormat="false" ht="22.35" hidden="false" customHeight="false" outlineLevel="0" collapsed="false">
      <c r="A134" s="28" t="s">
        <v>473</v>
      </c>
      <c r="B134" s="25" t="s">
        <v>155</v>
      </c>
      <c r="C134" s="26"/>
      <c r="D134" s="27"/>
      <c r="E134" s="28" t="n">
        <v>3</v>
      </c>
      <c r="F134" s="26" t="s">
        <v>477</v>
      </c>
      <c r="G134" s="29" t="s">
        <v>290</v>
      </c>
      <c r="H134" s="28" t="str">
        <f aca="false">IFERROR(INDEX('الإعدادات واللجنة'!$C$24:$C$32,MATCH(LEFT(A134,3),'الإعدادات واللجنة'!$A$24:$A$32,0)),"")</f>
        <v>د. عبدالله بن محمد البركاتي</v>
      </c>
      <c r="I134" s="30"/>
      <c r="J134" s="30"/>
      <c r="K134" s="28" t="str">
        <f aca="false">IF(OR(I134="",I134="متوفر ومكتمل"),"",IF(OR(D134="★",I134="غير متوفر"),"عالية","متوسطة"))</f>
        <v/>
      </c>
      <c r="L134" s="31"/>
      <c r="M134" s="30"/>
      <c r="N134" s="31"/>
      <c r="O134" s="31"/>
      <c r="P134" s="30"/>
      <c r="Q134" s="31"/>
    </row>
    <row r="135" customFormat="false" ht="22.35" hidden="false" customHeight="false" outlineLevel="0" collapsed="false">
      <c r="A135" s="28" t="s">
        <v>473</v>
      </c>
      <c r="B135" s="25" t="s">
        <v>155</v>
      </c>
      <c r="C135" s="26"/>
      <c r="D135" s="27"/>
      <c r="E135" s="28" t="n">
        <v>4</v>
      </c>
      <c r="F135" s="26" t="s">
        <v>478</v>
      </c>
      <c r="G135" s="29" t="s">
        <v>290</v>
      </c>
      <c r="H135" s="28" t="str">
        <f aca="false">IFERROR(INDEX('الإعدادات واللجنة'!$C$24:$C$32,MATCH(LEFT(A135,3),'الإعدادات واللجنة'!$A$24:$A$32,0)),"")</f>
        <v>د. عبدالله بن محمد البركاتي</v>
      </c>
      <c r="I135" s="30"/>
      <c r="J135" s="30"/>
      <c r="K135" s="28" t="str">
        <f aca="false">IF(OR(I135="",I135="متوفر ومكتمل"),"",IF(OR(D135="★",I135="غير متوفر"),"عالية","متوسطة"))</f>
        <v/>
      </c>
      <c r="L135" s="31"/>
      <c r="M135" s="30"/>
      <c r="N135" s="31"/>
      <c r="O135" s="31"/>
      <c r="P135" s="30"/>
      <c r="Q135" s="31"/>
    </row>
    <row r="136" customFormat="false" ht="22.35" hidden="false" customHeight="false" outlineLevel="0" collapsed="false">
      <c r="A136" s="28" t="s">
        <v>473</v>
      </c>
      <c r="B136" s="25" t="s">
        <v>155</v>
      </c>
      <c r="C136" s="26"/>
      <c r="D136" s="27"/>
      <c r="E136" s="28" t="n">
        <v>5</v>
      </c>
      <c r="F136" s="26" t="s">
        <v>479</v>
      </c>
      <c r="G136" s="29" t="s">
        <v>290</v>
      </c>
      <c r="H136" s="28" t="str">
        <f aca="false">IFERROR(INDEX('الإعدادات واللجنة'!$C$24:$C$32,MATCH(LEFT(A136,3),'الإعدادات واللجنة'!$A$24:$A$32,0)),"")</f>
        <v>د. عبدالله بن محمد البركاتي</v>
      </c>
      <c r="I136" s="30"/>
      <c r="J136" s="30"/>
      <c r="K136" s="28" t="str">
        <f aca="false">IF(OR(I136="",I136="متوفر ومكتمل"),"",IF(OR(D136="★",I136="غير متوفر"),"عالية","متوسطة"))</f>
        <v/>
      </c>
      <c r="L136" s="31"/>
      <c r="M136" s="30"/>
      <c r="N136" s="31"/>
      <c r="O136" s="31"/>
      <c r="P136" s="30"/>
      <c r="Q136" s="31"/>
    </row>
    <row r="137" customFormat="false" ht="22.35" hidden="false" customHeight="false" outlineLevel="0" collapsed="false">
      <c r="A137" s="45" t="s">
        <v>480</v>
      </c>
      <c r="B137" s="46" t="s">
        <v>155</v>
      </c>
      <c r="C137" s="47" t="s">
        <v>481</v>
      </c>
      <c r="D137" s="48"/>
      <c r="E137" s="38" t="n">
        <v>1</v>
      </c>
      <c r="F137" s="47" t="s">
        <v>482</v>
      </c>
      <c r="G137" s="37" t="s">
        <v>290</v>
      </c>
      <c r="H137" s="38" t="str">
        <f aca="false">IFERROR(INDEX('الإعدادات واللجنة'!$C$24:$C$32,MATCH(LEFT(A137,3),'الإعدادات واللجنة'!$A$24:$A$32,0)),"")</f>
        <v>د. عبدالله بن محمد البركاتي</v>
      </c>
      <c r="I137" s="39"/>
      <c r="J137" s="39"/>
      <c r="K137" s="38" t="str">
        <f aca="false">IF(OR(I137="",I137="متوفر ومكتمل"),"",IF(OR(D137="★",I137="غير متوفر"),"عالية","متوسطة"))</f>
        <v/>
      </c>
      <c r="L137" s="40"/>
      <c r="M137" s="39"/>
      <c r="N137" s="40"/>
      <c r="O137" s="40"/>
      <c r="P137" s="39"/>
      <c r="Q137" s="40"/>
    </row>
    <row r="138" customFormat="false" ht="22.35" hidden="false" customHeight="false" outlineLevel="0" collapsed="false">
      <c r="A138" s="28" t="s">
        <v>480</v>
      </c>
      <c r="B138" s="25" t="s">
        <v>155</v>
      </c>
      <c r="C138" s="26"/>
      <c r="D138" s="27"/>
      <c r="E138" s="28" t="n">
        <v>2</v>
      </c>
      <c r="F138" s="26" t="s">
        <v>483</v>
      </c>
      <c r="G138" s="29" t="s">
        <v>290</v>
      </c>
      <c r="H138" s="28" t="str">
        <f aca="false">IFERROR(INDEX('الإعدادات واللجنة'!$C$24:$C$32,MATCH(LEFT(A138,3),'الإعدادات واللجنة'!$A$24:$A$32,0)),"")</f>
        <v>د. عبدالله بن محمد البركاتي</v>
      </c>
      <c r="I138" s="30"/>
      <c r="J138" s="30"/>
      <c r="K138" s="28" t="str">
        <f aca="false">IF(OR(I138="",I138="متوفر ومكتمل"),"",IF(OR(D138="★",I138="غير متوفر"),"عالية","متوسطة"))</f>
        <v/>
      </c>
      <c r="L138" s="31"/>
      <c r="M138" s="30"/>
      <c r="N138" s="31"/>
      <c r="O138" s="31"/>
      <c r="P138" s="30"/>
      <c r="Q138" s="31"/>
    </row>
    <row r="139" customFormat="false" ht="22.35" hidden="false" customHeight="false" outlineLevel="0" collapsed="false">
      <c r="A139" s="28" t="s">
        <v>480</v>
      </c>
      <c r="B139" s="25" t="s">
        <v>155</v>
      </c>
      <c r="C139" s="26"/>
      <c r="D139" s="27"/>
      <c r="E139" s="28" t="n">
        <v>3</v>
      </c>
      <c r="F139" s="26" t="s">
        <v>484</v>
      </c>
      <c r="G139" s="29" t="s">
        <v>290</v>
      </c>
      <c r="H139" s="28" t="str">
        <f aca="false">IFERROR(INDEX('الإعدادات واللجنة'!$C$24:$C$32,MATCH(LEFT(A139,3),'الإعدادات واللجنة'!$A$24:$A$32,0)),"")</f>
        <v>د. عبدالله بن محمد البركاتي</v>
      </c>
      <c r="I139" s="30"/>
      <c r="J139" s="30"/>
      <c r="K139" s="28" t="str">
        <f aca="false">IF(OR(I139="",I139="متوفر ومكتمل"),"",IF(OR(D139="★",I139="غير متوفر"),"عالية","متوسطة"))</f>
        <v/>
      </c>
      <c r="L139" s="31"/>
      <c r="M139" s="30"/>
      <c r="N139" s="31"/>
      <c r="O139" s="31"/>
      <c r="P139" s="30"/>
      <c r="Q139" s="31"/>
    </row>
    <row r="140" customFormat="false" ht="22.35" hidden="false" customHeight="false" outlineLevel="0" collapsed="false">
      <c r="A140" s="32" t="s">
        <v>485</v>
      </c>
      <c r="B140" s="33" t="s">
        <v>155</v>
      </c>
      <c r="C140" s="34" t="s">
        <v>486</v>
      </c>
      <c r="D140" s="35" t="s">
        <v>296</v>
      </c>
      <c r="E140" s="36" t="n">
        <v>1</v>
      </c>
      <c r="F140" s="34" t="s">
        <v>487</v>
      </c>
      <c r="G140" s="37" t="s">
        <v>290</v>
      </c>
      <c r="H140" s="38" t="str">
        <f aca="false">IFERROR(INDEX('الإعدادات واللجنة'!$C$24:$C$32,MATCH(LEFT(A140,3),'الإعدادات واللجنة'!$A$24:$A$32,0)),"")</f>
        <v>د. عبدالله بن محمد البركاتي</v>
      </c>
      <c r="I140" s="39"/>
      <c r="J140" s="39"/>
      <c r="K140" s="38" t="str">
        <f aca="false">IF(OR(I140="",I140="متوفر ومكتمل"),"",IF(OR(D140="★",I140="غير متوفر"),"عالية","متوسطة"))</f>
        <v/>
      </c>
      <c r="L140" s="40"/>
      <c r="M140" s="39"/>
      <c r="N140" s="40"/>
      <c r="O140" s="40"/>
      <c r="P140" s="39"/>
      <c r="Q140" s="40"/>
    </row>
    <row r="141" customFormat="false" ht="22.35" hidden="false" customHeight="false" outlineLevel="0" collapsed="false">
      <c r="A141" s="41" t="s">
        <v>485</v>
      </c>
      <c r="B141" s="42" t="s">
        <v>155</v>
      </c>
      <c r="C141" s="43"/>
      <c r="D141" s="44" t="s">
        <v>296</v>
      </c>
      <c r="E141" s="41" t="n">
        <v>2</v>
      </c>
      <c r="F141" s="43" t="s">
        <v>488</v>
      </c>
      <c r="G141" s="29" t="s">
        <v>290</v>
      </c>
      <c r="H141" s="28" t="str">
        <f aca="false">IFERROR(INDEX('الإعدادات واللجنة'!$C$24:$C$32,MATCH(LEFT(A141,3),'الإعدادات واللجنة'!$A$24:$A$32,0)),"")</f>
        <v>د. عبدالله بن محمد البركاتي</v>
      </c>
      <c r="I141" s="30"/>
      <c r="J141" s="30"/>
      <c r="K141" s="28" t="str">
        <f aca="false">IF(OR(I141="",I141="متوفر ومكتمل"),"",IF(OR(D141="★",I141="غير متوفر"),"عالية","متوسطة"))</f>
        <v/>
      </c>
      <c r="L141" s="31"/>
      <c r="M141" s="30"/>
      <c r="N141" s="31"/>
      <c r="O141" s="31"/>
      <c r="P141" s="30"/>
      <c r="Q141" s="31"/>
    </row>
    <row r="142" customFormat="false" ht="22.35" hidden="false" customHeight="false" outlineLevel="0" collapsed="false">
      <c r="A142" s="41" t="s">
        <v>485</v>
      </c>
      <c r="B142" s="42" t="s">
        <v>155</v>
      </c>
      <c r="C142" s="43"/>
      <c r="D142" s="44" t="s">
        <v>296</v>
      </c>
      <c r="E142" s="41" t="n">
        <v>3</v>
      </c>
      <c r="F142" s="43" t="s">
        <v>489</v>
      </c>
      <c r="G142" s="29" t="s">
        <v>290</v>
      </c>
      <c r="H142" s="28" t="str">
        <f aca="false">IFERROR(INDEX('الإعدادات واللجنة'!$C$24:$C$32,MATCH(LEFT(A142,3),'الإعدادات واللجنة'!$A$24:$A$32,0)),"")</f>
        <v>د. عبدالله بن محمد البركاتي</v>
      </c>
      <c r="I142" s="30"/>
      <c r="J142" s="30"/>
      <c r="K142" s="28" t="str">
        <f aca="false">IF(OR(I142="",I142="متوفر ومكتمل"),"",IF(OR(D142="★",I142="غير متوفر"),"عالية","متوسطة"))</f>
        <v/>
      </c>
      <c r="L142" s="31"/>
      <c r="M142" s="30"/>
      <c r="N142" s="31"/>
      <c r="O142" s="31"/>
      <c r="P142" s="30"/>
      <c r="Q142" s="31"/>
    </row>
    <row r="143" customFormat="false" ht="22.35" hidden="false" customHeight="false" outlineLevel="0" collapsed="false">
      <c r="A143" s="41" t="s">
        <v>485</v>
      </c>
      <c r="B143" s="42" t="s">
        <v>155</v>
      </c>
      <c r="C143" s="43"/>
      <c r="D143" s="44" t="s">
        <v>296</v>
      </c>
      <c r="E143" s="41" t="n">
        <v>4</v>
      </c>
      <c r="F143" s="43" t="s">
        <v>490</v>
      </c>
      <c r="G143" s="29" t="s">
        <v>290</v>
      </c>
      <c r="H143" s="28" t="str">
        <f aca="false">IFERROR(INDEX('الإعدادات واللجنة'!$C$24:$C$32,MATCH(LEFT(A143,3),'الإعدادات واللجنة'!$A$24:$A$32,0)),"")</f>
        <v>د. عبدالله بن محمد البركاتي</v>
      </c>
      <c r="I143" s="30"/>
      <c r="J143" s="30"/>
      <c r="K143" s="28" t="str">
        <f aca="false">IF(OR(I143="",I143="متوفر ومكتمل"),"",IF(OR(D143="★",I143="غير متوفر"),"عالية","متوسطة"))</f>
        <v/>
      </c>
      <c r="L143" s="31"/>
      <c r="M143" s="30"/>
      <c r="N143" s="31"/>
      <c r="O143" s="31"/>
      <c r="P143" s="30"/>
      <c r="Q143" s="31"/>
    </row>
    <row r="144" customFormat="false" ht="22.35" hidden="false" customHeight="false" outlineLevel="0" collapsed="false">
      <c r="A144" s="41" t="s">
        <v>485</v>
      </c>
      <c r="B144" s="42" t="s">
        <v>155</v>
      </c>
      <c r="C144" s="43"/>
      <c r="D144" s="44" t="s">
        <v>296</v>
      </c>
      <c r="E144" s="41" t="n">
        <v>5</v>
      </c>
      <c r="F144" s="43" t="s">
        <v>491</v>
      </c>
      <c r="G144" s="29" t="s">
        <v>290</v>
      </c>
      <c r="H144" s="28" t="str">
        <f aca="false">IFERROR(INDEX('الإعدادات واللجنة'!$C$24:$C$32,MATCH(LEFT(A144,3),'الإعدادات واللجنة'!$A$24:$A$32,0)),"")</f>
        <v>د. عبدالله بن محمد البركاتي</v>
      </c>
      <c r="I144" s="30"/>
      <c r="J144" s="30"/>
      <c r="K144" s="28" t="str">
        <f aca="false">IF(OR(I144="",I144="متوفر ومكتمل"),"",IF(OR(D144="★",I144="غير متوفر"),"عالية","متوسطة"))</f>
        <v/>
      </c>
      <c r="L144" s="31"/>
      <c r="M144" s="30"/>
      <c r="N144" s="31"/>
      <c r="O144" s="31"/>
      <c r="P144" s="30"/>
      <c r="Q144" s="31"/>
    </row>
    <row r="145" customFormat="false" ht="22.35" hidden="false" customHeight="false" outlineLevel="0" collapsed="false">
      <c r="A145" s="41" t="s">
        <v>485</v>
      </c>
      <c r="B145" s="42" t="s">
        <v>155</v>
      </c>
      <c r="C145" s="43"/>
      <c r="D145" s="44" t="s">
        <v>296</v>
      </c>
      <c r="E145" s="41" t="n">
        <v>6</v>
      </c>
      <c r="F145" s="43" t="s">
        <v>492</v>
      </c>
      <c r="G145" s="29" t="s">
        <v>290</v>
      </c>
      <c r="H145" s="28" t="str">
        <f aca="false">IFERROR(INDEX('الإعدادات واللجنة'!$C$24:$C$32,MATCH(LEFT(A145,3),'الإعدادات واللجنة'!$A$24:$A$32,0)),"")</f>
        <v>د. عبدالله بن محمد البركاتي</v>
      </c>
      <c r="I145" s="30"/>
      <c r="J145" s="30"/>
      <c r="K145" s="28" t="str">
        <f aca="false">IF(OR(I145="",I145="متوفر ومكتمل"),"",IF(OR(D145="★",I145="غير متوفر"),"عالية","متوسطة"))</f>
        <v/>
      </c>
      <c r="L145" s="31"/>
      <c r="M145" s="30"/>
      <c r="N145" s="31"/>
      <c r="O145" s="31"/>
      <c r="P145" s="30"/>
      <c r="Q145" s="31"/>
    </row>
    <row r="146" customFormat="false" ht="22.35" hidden="false" customHeight="false" outlineLevel="0" collapsed="false">
      <c r="A146" s="41" t="s">
        <v>485</v>
      </c>
      <c r="B146" s="42" t="s">
        <v>155</v>
      </c>
      <c r="C146" s="43"/>
      <c r="D146" s="44" t="s">
        <v>296</v>
      </c>
      <c r="E146" s="41" t="n">
        <v>7</v>
      </c>
      <c r="F146" s="43" t="s">
        <v>493</v>
      </c>
      <c r="G146" s="29" t="s">
        <v>290</v>
      </c>
      <c r="H146" s="28" t="str">
        <f aca="false">IFERROR(INDEX('الإعدادات واللجنة'!$C$24:$C$32,MATCH(LEFT(A146,3),'الإعدادات واللجنة'!$A$24:$A$32,0)),"")</f>
        <v>د. عبدالله بن محمد البركاتي</v>
      </c>
      <c r="I146" s="30"/>
      <c r="J146" s="30"/>
      <c r="K146" s="28" t="str">
        <f aca="false">IF(OR(I146="",I146="متوفر ومكتمل"),"",IF(OR(D146="★",I146="غير متوفر"),"عالية","متوسطة"))</f>
        <v/>
      </c>
      <c r="L146" s="31"/>
      <c r="M146" s="30"/>
      <c r="N146" s="31"/>
      <c r="O146" s="31"/>
      <c r="P146" s="30"/>
      <c r="Q146" s="31"/>
    </row>
    <row r="147" customFormat="false" ht="32.8" hidden="false" customHeight="false" outlineLevel="0" collapsed="false">
      <c r="A147" s="45" t="s">
        <v>494</v>
      </c>
      <c r="B147" s="46" t="s">
        <v>155</v>
      </c>
      <c r="C147" s="47" t="s">
        <v>495</v>
      </c>
      <c r="D147" s="48"/>
      <c r="E147" s="38" t="n">
        <v>1</v>
      </c>
      <c r="F147" s="47" t="s">
        <v>496</v>
      </c>
      <c r="G147" s="37" t="s">
        <v>290</v>
      </c>
      <c r="H147" s="38" t="str">
        <f aca="false">IFERROR(INDEX('الإعدادات واللجنة'!$C$24:$C$32,MATCH(LEFT(A147,3),'الإعدادات واللجنة'!$A$24:$A$32,0)),"")</f>
        <v>د. عبدالله بن محمد البركاتي</v>
      </c>
      <c r="I147" s="39"/>
      <c r="J147" s="39"/>
      <c r="K147" s="38" t="str">
        <f aca="false">IF(OR(I147="",I147="متوفر ومكتمل"),"",IF(OR(D147="★",I147="غير متوفر"),"عالية","متوسطة"))</f>
        <v/>
      </c>
      <c r="L147" s="40"/>
      <c r="M147" s="39"/>
      <c r="N147" s="40"/>
      <c r="O147" s="40"/>
      <c r="P147" s="39"/>
      <c r="Q147" s="40"/>
    </row>
    <row r="148" customFormat="false" ht="22.35" hidden="false" customHeight="false" outlineLevel="0" collapsed="false">
      <c r="A148" s="28" t="s">
        <v>494</v>
      </c>
      <c r="B148" s="25" t="s">
        <v>155</v>
      </c>
      <c r="C148" s="26"/>
      <c r="D148" s="27"/>
      <c r="E148" s="28" t="n">
        <v>2</v>
      </c>
      <c r="F148" s="26" t="s">
        <v>497</v>
      </c>
      <c r="G148" s="29" t="s">
        <v>290</v>
      </c>
      <c r="H148" s="28" t="str">
        <f aca="false">IFERROR(INDEX('الإعدادات واللجنة'!$C$24:$C$32,MATCH(LEFT(A148,3),'الإعدادات واللجنة'!$A$24:$A$32,0)),"")</f>
        <v>د. عبدالله بن محمد البركاتي</v>
      </c>
      <c r="I148" s="30"/>
      <c r="J148" s="30"/>
      <c r="K148" s="28" t="str">
        <f aca="false">IF(OR(I148="",I148="متوفر ومكتمل"),"",IF(OR(D148="★",I148="غير متوفر"),"عالية","متوسطة"))</f>
        <v/>
      </c>
      <c r="L148" s="31"/>
      <c r="M148" s="30"/>
      <c r="N148" s="31"/>
      <c r="O148" s="31"/>
      <c r="P148" s="30"/>
      <c r="Q148" s="31"/>
    </row>
    <row r="149" customFormat="false" ht="22.35" hidden="false" customHeight="false" outlineLevel="0" collapsed="false">
      <c r="A149" s="28" t="s">
        <v>494</v>
      </c>
      <c r="B149" s="25" t="s">
        <v>155</v>
      </c>
      <c r="C149" s="26"/>
      <c r="D149" s="27"/>
      <c r="E149" s="28" t="n">
        <v>3</v>
      </c>
      <c r="F149" s="26" t="s">
        <v>498</v>
      </c>
      <c r="G149" s="29" t="s">
        <v>290</v>
      </c>
      <c r="H149" s="28" t="str">
        <f aca="false">IFERROR(INDEX('الإعدادات واللجنة'!$C$24:$C$32,MATCH(LEFT(A149,3),'الإعدادات واللجنة'!$A$24:$A$32,0)),"")</f>
        <v>د. عبدالله بن محمد البركاتي</v>
      </c>
      <c r="I149" s="30"/>
      <c r="J149" s="30"/>
      <c r="K149" s="28" t="str">
        <f aca="false">IF(OR(I149="",I149="متوفر ومكتمل"),"",IF(OR(D149="★",I149="غير متوفر"),"عالية","متوسطة"))</f>
        <v/>
      </c>
      <c r="L149" s="31"/>
      <c r="M149" s="30"/>
      <c r="N149" s="31"/>
      <c r="O149" s="31"/>
      <c r="P149" s="30"/>
      <c r="Q149" s="31"/>
    </row>
    <row r="150" customFormat="false" ht="22.35" hidden="false" customHeight="false" outlineLevel="0" collapsed="false">
      <c r="A150" s="28" t="s">
        <v>494</v>
      </c>
      <c r="B150" s="25" t="s">
        <v>155</v>
      </c>
      <c r="C150" s="26"/>
      <c r="D150" s="27"/>
      <c r="E150" s="28" t="n">
        <v>4</v>
      </c>
      <c r="F150" s="26" t="s">
        <v>499</v>
      </c>
      <c r="G150" s="29" t="s">
        <v>290</v>
      </c>
      <c r="H150" s="28" t="str">
        <f aca="false">IFERROR(INDEX('الإعدادات واللجنة'!$C$24:$C$32,MATCH(LEFT(A150,3),'الإعدادات واللجنة'!$A$24:$A$32,0)),"")</f>
        <v>د. عبدالله بن محمد البركاتي</v>
      </c>
      <c r="I150" s="30"/>
      <c r="J150" s="30"/>
      <c r="K150" s="28" t="str">
        <f aca="false">IF(OR(I150="",I150="متوفر ومكتمل"),"",IF(OR(D150="★",I150="غير متوفر"),"عالية","متوسطة"))</f>
        <v/>
      </c>
      <c r="L150" s="31"/>
      <c r="M150" s="30"/>
      <c r="N150" s="31"/>
      <c r="O150" s="31"/>
      <c r="P150" s="30"/>
      <c r="Q150" s="31"/>
    </row>
    <row r="151" customFormat="false" ht="32.8" hidden="false" customHeight="false" outlineLevel="0" collapsed="false">
      <c r="A151" s="45" t="s">
        <v>500</v>
      </c>
      <c r="B151" s="46" t="s">
        <v>155</v>
      </c>
      <c r="C151" s="47" t="s">
        <v>501</v>
      </c>
      <c r="D151" s="48"/>
      <c r="E151" s="38" t="n">
        <v>1</v>
      </c>
      <c r="F151" s="47" t="s">
        <v>502</v>
      </c>
      <c r="G151" s="37" t="s">
        <v>290</v>
      </c>
      <c r="H151" s="38" t="str">
        <f aca="false">IFERROR(INDEX('الإعدادات واللجنة'!$C$24:$C$32,MATCH(LEFT(A151,3),'الإعدادات واللجنة'!$A$24:$A$32,0)),"")</f>
        <v>د. عبدالله بن محمد البركاتي</v>
      </c>
      <c r="I151" s="39"/>
      <c r="J151" s="39"/>
      <c r="K151" s="38" t="str">
        <f aca="false">IF(OR(I151="",I151="متوفر ومكتمل"),"",IF(OR(D151="★",I151="غير متوفر"),"عالية","متوسطة"))</f>
        <v/>
      </c>
      <c r="L151" s="40"/>
      <c r="M151" s="39"/>
      <c r="N151" s="40"/>
      <c r="O151" s="40"/>
      <c r="P151" s="39"/>
      <c r="Q151" s="40"/>
    </row>
    <row r="152" customFormat="false" ht="22.35" hidden="false" customHeight="false" outlineLevel="0" collapsed="false">
      <c r="A152" s="28" t="s">
        <v>500</v>
      </c>
      <c r="B152" s="25" t="s">
        <v>155</v>
      </c>
      <c r="C152" s="26"/>
      <c r="D152" s="27"/>
      <c r="E152" s="28" t="n">
        <v>2</v>
      </c>
      <c r="F152" s="26" t="s">
        <v>503</v>
      </c>
      <c r="G152" s="29" t="s">
        <v>290</v>
      </c>
      <c r="H152" s="28" t="str">
        <f aca="false">IFERROR(INDEX('الإعدادات واللجنة'!$C$24:$C$32,MATCH(LEFT(A152,3),'الإعدادات واللجنة'!$A$24:$A$32,0)),"")</f>
        <v>د. عبدالله بن محمد البركاتي</v>
      </c>
      <c r="I152" s="30"/>
      <c r="J152" s="30"/>
      <c r="K152" s="28" t="str">
        <f aca="false">IF(OR(I152="",I152="متوفر ومكتمل"),"",IF(OR(D152="★",I152="غير متوفر"),"عالية","متوسطة"))</f>
        <v/>
      </c>
      <c r="L152" s="31"/>
      <c r="M152" s="30"/>
      <c r="N152" s="31"/>
      <c r="O152" s="31"/>
      <c r="P152" s="30"/>
      <c r="Q152" s="31"/>
    </row>
    <row r="153" customFormat="false" ht="22.35" hidden="false" customHeight="false" outlineLevel="0" collapsed="false">
      <c r="A153" s="28" t="s">
        <v>500</v>
      </c>
      <c r="B153" s="25" t="s">
        <v>155</v>
      </c>
      <c r="C153" s="26"/>
      <c r="D153" s="27"/>
      <c r="E153" s="28" t="n">
        <v>3</v>
      </c>
      <c r="F153" s="26" t="s">
        <v>504</v>
      </c>
      <c r="G153" s="29" t="s">
        <v>290</v>
      </c>
      <c r="H153" s="28" t="str">
        <f aca="false">IFERROR(INDEX('الإعدادات واللجنة'!$C$24:$C$32,MATCH(LEFT(A153,3),'الإعدادات واللجنة'!$A$24:$A$32,0)),"")</f>
        <v>د. عبدالله بن محمد البركاتي</v>
      </c>
      <c r="I153" s="30"/>
      <c r="J153" s="30"/>
      <c r="K153" s="28" t="str">
        <f aca="false">IF(OR(I153="",I153="متوفر ومكتمل"),"",IF(OR(D153="★",I153="غير متوفر"),"عالية","متوسطة"))</f>
        <v/>
      </c>
      <c r="L153" s="31"/>
      <c r="M153" s="30"/>
      <c r="N153" s="31"/>
      <c r="O153" s="31"/>
      <c r="P153" s="30"/>
      <c r="Q153" s="31"/>
    </row>
    <row r="154" customFormat="false" ht="22.35" hidden="false" customHeight="false" outlineLevel="0" collapsed="false">
      <c r="A154" s="28" t="s">
        <v>500</v>
      </c>
      <c r="B154" s="25" t="s">
        <v>155</v>
      </c>
      <c r="C154" s="26"/>
      <c r="D154" s="27"/>
      <c r="E154" s="28" t="n">
        <v>4</v>
      </c>
      <c r="F154" s="26" t="s">
        <v>505</v>
      </c>
      <c r="G154" s="29" t="s">
        <v>290</v>
      </c>
      <c r="H154" s="28" t="str">
        <f aca="false">IFERROR(INDEX('الإعدادات واللجنة'!$C$24:$C$32,MATCH(LEFT(A154,3),'الإعدادات واللجنة'!$A$24:$A$32,0)),"")</f>
        <v>د. عبدالله بن محمد البركاتي</v>
      </c>
      <c r="I154" s="30"/>
      <c r="J154" s="30"/>
      <c r="K154" s="28" t="str">
        <f aca="false">IF(OR(I154="",I154="متوفر ومكتمل"),"",IF(OR(D154="★",I154="غير متوفر"),"عالية","متوسطة"))</f>
        <v/>
      </c>
      <c r="L154" s="31"/>
      <c r="M154" s="30"/>
      <c r="N154" s="31"/>
      <c r="O154" s="31"/>
      <c r="P154" s="30"/>
      <c r="Q154" s="31"/>
    </row>
    <row r="155" customFormat="false" ht="32.8" hidden="false" customHeight="false" outlineLevel="0" collapsed="false">
      <c r="A155" s="45" t="s">
        <v>506</v>
      </c>
      <c r="B155" s="46" t="s">
        <v>155</v>
      </c>
      <c r="C155" s="47" t="s">
        <v>507</v>
      </c>
      <c r="D155" s="48"/>
      <c r="E155" s="38" t="n">
        <v>1</v>
      </c>
      <c r="F155" s="47" t="s">
        <v>508</v>
      </c>
      <c r="G155" s="37" t="s">
        <v>290</v>
      </c>
      <c r="H155" s="38" t="str">
        <f aca="false">IFERROR(INDEX('الإعدادات واللجنة'!$C$24:$C$32,MATCH(LEFT(A155,3),'الإعدادات واللجنة'!$A$24:$A$32,0)),"")</f>
        <v>د. عبدالله بن محمد البركاتي</v>
      </c>
      <c r="I155" s="39"/>
      <c r="J155" s="39"/>
      <c r="K155" s="38" t="str">
        <f aca="false">IF(OR(I155="",I155="متوفر ومكتمل"),"",IF(OR(D155="★",I155="غير متوفر"),"عالية","متوسطة"))</f>
        <v/>
      </c>
      <c r="L155" s="40"/>
      <c r="M155" s="39"/>
      <c r="N155" s="40"/>
      <c r="O155" s="40"/>
      <c r="P155" s="39"/>
      <c r="Q155" s="40"/>
    </row>
    <row r="156" customFormat="false" ht="22.35" hidden="false" customHeight="false" outlineLevel="0" collapsed="false">
      <c r="A156" s="28" t="s">
        <v>506</v>
      </c>
      <c r="B156" s="25" t="s">
        <v>155</v>
      </c>
      <c r="C156" s="26"/>
      <c r="D156" s="27"/>
      <c r="E156" s="28" t="n">
        <v>2</v>
      </c>
      <c r="F156" s="26" t="s">
        <v>509</v>
      </c>
      <c r="G156" s="29" t="s">
        <v>290</v>
      </c>
      <c r="H156" s="28" t="str">
        <f aca="false">IFERROR(INDEX('الإعدادات واللجنة'!$C$24:$C$32,MATCH(LEFT(A156,3),'الإعدادات واللجنة'!$A$24:$A$32,0)),"")</f>
        <v>د. عبدالله بن محمد البركاتي</v>
      </c>
      <c r="I156" s="30"/>
      <c r="J156" s="30"/>
      <c r="K156" s="28" t="str">
        <f aca="false">IF(OR(I156="",I156="متوفر ومكتمل"),"",IF(OR(D156="★",I156="غير متوفر"),"عالية","متوسطة"))</f>
        <v/>
      </c>
      <c r="L156" s="31"/>
      <c r="M156" s="30"/>
      <c r="N156" s="31"/>
      <c r="O156" s="31"/>
      <c r="P156" s="30"/>
      <c r="Q156" s="31"/>
    </row>
    <row r="157" customFormat="false" ht="22.35" hidden="false" customHeight="false" outlineLevel="0" collapsed="false">
      <c r="A157" s="28" t="s">
        <v>506</v>
      </c>
      <c r="B157" s="25" t="s">
        <v>155</v>
      </c>
      <c r="C157" s="26"/>
      <c r="D157" s="27"/>
      <c r="E157" s="28" t="n">
        <v>3</v>
      </c>
      <c r="F157" s="26" t="s">
        <v>510</v>
      </c>
      <c r="G157" s="29" t="s">
        <v>290</v>
      </c>
      <c r="H157" s="28" t="str">
        <f aca="false">IFERROR(INDEX('الإعدادات واللجنة'!$C$24:$C$32,MATCH(LEFT(A157,3),'الإعدادات واللجنة'!$A$24:$A$32,0)),"")</f>
        <v>د. عبدالله بن محمد البركاتي</v>
      </c>
      <c r="I157" s="30"/>
      <c r="J157" s="30"/>
      <c r="K157" s="28" t="str">
        <f aca="false">IF(OR(I157="",I157="متوفر ومكتمل"),"",IF(OR(D157="★",I157="غير متوفر"),"عالية","متوسطة"))</f>
        <v/>
      </c>
      <c r="L157" s="31"/>
      <c r="M157" s="30"/>
      <c r="N157" s="31"/>
      <c r="O157" s="31"/>
      <c r="P157" s="30"/>
      <c r="Q157" s="31"/>
    </row>
    <row r="158" customFormat="false" ht="22.35" hidden="false" customHeight="false" outlineLevel="0" collapsed="false">
      <c r="A158" s="28" t="s">
        <v>506</v>
      </c>
      <c r="B158" s="25" t="s">
        <v>155</v>
      </c>
      <c r="C158" s="26"/>
      <c r="D158" s="27"/>
      <c r="E158" s="28" t="n">
        <v>4</v>
      </c>
      <c r="F158" s="26" t="s">
        <v>511</v>
      </c>
      <c r="G158" s="29" t="s">
        <v>290</v>
      </c>
      <c r="H158" s="28" t="str">
        <f aca="false">IFERROR(INDEX('الإعدادات واللجنة'!$C$24:$C$32,MATCH(LEFT(A158,3),'الإعدادات واللجنة'!$A$24:$A$32,0)),"")</f>
        <v>د. عبدالله بن محمد البركاتي</v>
      </c>
      <c r="I158" s="30"/>
      <c r="J158" s="30"/>
      <c r="K158" s="28" t="str">
        <f aca="false">IF(OR(I158="",I158="متوفر ومكتمل"),"",IF(OR(D158="★",I158="غير متوفر"),"عالية","متوسطة"))</f>
        <v/>
      </c>
      <c r="L158" s="31"/>
      <c r="M158" s="30"/>
      <c r="N158" s="31"/>
      <c r="O158" s="31"/>
      <c r="P158" s="30"/>
      <c r="Q158" s="31"/>
    </row>
    <row r="159" customFormat="false" ht="22.35" hidden="false" customHeight="false" outlineLevel="0" collapsed="false">
      <c r="A159" s="28" t="s">
        <v>506</v>
      </c>
      <c r="B159" s="25" t="s">
        <v>155</v>
      </c>
      <c r="C159" s="26"/>
      <c r="D159" s="27"/>
      <c r="E159" s="28" t="n">
        <v>5</v>
      </c>
      <c r="F159" s="26" t="s">
        <v>512</v>
      </c>
      <c r="G159" s="29" t="s">
        <v>290</v>
      </c>
      <c r="H159" s="28" t="str">
        <f aca="false">IFERROR(INDEX('الإعدادات واللجنة'!$C$24:$C$32,MATCH(LEFT(A159,3),'الإعدادات واللجنة'!$A$24:$A$32,0)),"")</f>
        <v>د. عبدالله بن محمد البركاتي</v>
      </c>
      <c r="I159" s="30"/>
      <c r="J159" s="30"/>
      <c r="K159" s="28" t="str">
        <f aca="false">IF(OR(I159="",I159="متوفر ومكتمل"),"",IF(OR(D159="★",I159="غير متوفر"),"عالية","متوسطة"))</f>
        <v/>
      </c>
      <c r="L159" s="31"/>
      <c r="M159" s="30"/>
      <c r="N159" s="31"/>
      <c r="O159" s="31"/>
      <c r="P159" s="30"/>
      <c r="Q159" s="31"/>
    </row>
    <row r="160" customFormat="false" ht="22.35" hidden="false" customHeight="false" outlineLevel="0" collapsed="false">
      <c r="A160" s="28" t="s">
        <v>506</v>
      </c>
      <c r="B160" s="25" t="s">
        <v>155</v>
      </c>
      <c r="C160" s="26"/>
      <c r="D160" s="27"/>
      <c r="E160" s="28" t="n">
        <v>6</v>
      </c>
      <c r="F160" s="26" t="s">
        <v>513</v>
      </c>
      <c r="G160" s="29" t="s">
        <v>290</v>
      </c>
      <c r="H160" s="28" t="str">
        <f aca="false">IFERROR(INDEX('الإعدادات واللجنة'!$C$24:$C$32,MATCH(LEFT(A160,3),'الإعدادات واللجنة'!$A$24:$A$32,0)),"")</f>
        <v>د. عبدالله بن محمد البركاتي</v>
      </c>
      <c r="I160" s="30"/>
      <c r="J160" s="30"/>
      <c r="K160" s="28" t="str">
        <f aca="false">IF(OR(I160="",I160="متوفر ومكتمل"),"",IF(OR(D160="★",I160="غير متوفر"),"عالية","متوسطة"))</f>
        <v/>
      </c>
      <c r="L160" s="31"/>
      <c r="M160" s="30"/>
      <c r="N160" s="31"/>
      <c r="O160" s="31"/>
      <c r="P160" s="30"/>
      <c r="Q160" s="31"/>
    </row>
    <row r="161" customFormat="false" ht="22.35" hidden="false" customHeight="false" outlineLevel="0" collapsed="false">
      <c r="A161" s="32" t="s">
        <v>514</v>
      </c>
      <c r="B161" s="33" t="s">
        <v>155</v>
      </c>
      <c r="C161" s="34" t="s">
        <v>515</v>
      </c>
      <c r="D161" s="35" t="s">
        <v>296</v>
      </c>
      <c r="E161" s="36" t="n">
        <v>1</v>
      </c>
      <c r="F161" s="34" t="s">
        <v>516</v>
      </c>
      <c r="G161" s="37" t="s">
        <v>290</v>
      </c>
      <c r="H161" s="38" t="str">
        <f aca="false">IFERROR(INDEX('الإعدادات واللجنة'!$C$24:$C$32,MATCH(LEFT(A161,3),'الإعدادات واللجنة'!$A$24:$A$32,0)),"")</f>
        <v>د. عبدالله بن محمد البركاتي</v>
      </c>
      <c r="I161" s="39"/>
      <c r="J161" s="39"/>
      <c r="K161" s="38" t="str">
        <f aca="false">IF(OR(I161="",I161="متوفر ومكتمل"),"",IF(OR(D161="★",I161="غير متوفر"),"عالية","متوسطة"))</f>
        <v/>
      </c>
      <c r="L161" s="40"/>
      <c r="M161" s="39"/>
      <c r="N161" s="40"/>
      <c r="O161" s="40"/>
      <c r="P161" s="39"/>
      <c r="Q161" s="40"/>
    </row>
    <row r="162" customFormat="false" ht="22.35" hidden="false" customHeight="false" outlineLevel="0" collapsed="false">
      <c r="A162" s="41" t="s">
        <v>514</v>
      </c>
      <c r="B162" s="42" t="s">
        <v>155</v>
      </c>
      <c r="C162" s="43"/>
      <c r="D162" s="44" t="s">
        <v>296</v>
      </c>
      <c r="E162" s="41" t="n">
        <v>2</v>
      </c>
      <c r="F162" s="43" t="s">
        <v>517</v>
      </c>
      <c r="G162" s="29" t="s">
        <v>290</v>
      </c>
      <c r="H162" s="28" t="str">
        <f aca="false">IFERROR(INDEX('الإعدادات واللجنة'!$C$24:$C$32,MATCH(LEFT(A162,3),'الإعدادات واللجنة'!$A$24:$A$32,0)),"")</f>
        <v>د. عبدالله بن محمد البركاتي</v>
      </c>
      <c r="I162" s="30"/>
      <c r="J162" s="30"/>
      <c r="K162" s="28" t="str">
        <f aca="false">IF(OR(I162="",I162="متوفر ومكتمل"),"",IF(OR(D162="★",I162="غير متوفر"),"عالية","متوسطة"))</f>
        <v/>
      </c>
      <c r="L162" s="31"/>
      <c r="M162" s="30"/>
      <c r="N162" s="31"/>
      <c r="O162" s="31"/>
      <c r="P162" s="30"/>
      <c r="Q162" s="31"/>
    </row>
    <row r="163" customFormat="false" ht="22.35" hidden="false" customHeight="false" outlineLevel="0" collapsed="false">
      <c r="A163" s="41" t="s">
        <v>514</v>
      </c>
      <c r="B163" s="42" t="s">
        <v>155</v>
      </c>
      <c r="C163" s="43"/>
      <c r="D163" s="44" t="s">
        <v>296</v>
      </c>
      <c r="E163" s="41" t="n">
        <v>3</v>
      </c>
      <c r="F163" s="43" t="s">
        <v>518</v>
      </c>
      <c r="G163" s="29" t="s">
        <v>290</v>
      </c>
      <c r="H163" s="28" t="str">
        <f aca="false">IFERROR(INDEX('الإعدادات واللجنة'!$C$24:$C$32,MATCH(LEFT(A163,3),'الإعدادات واللجنة'!$A$24:$A$32,0)),"")</f>
        <v>د. عبدالله بن محمد البركاتي</v>
      </c>
      <c r="I163" s="30"/>
      <c r="J163" s="30"/>
      <c r="K163" s="28" t="str">
        <f aca="false">IF(OR(I163="",I163="متوفر ومكتمل"),"",IF(OR(D163="★",I163="غير متوفر"),"عالية","متوسطة"))</f>
        <v/>
      </c>
      <c r="L163" s="31"/>
      <c r="M163" s="30"/>
      <c r="N163" s="31"/>
      <c r="O163" s="31"/>
      <c r="P163" s="30"/>
      <c r="Q163" s="31"/>
    </row>
    <row r="164" customFormat="false" ht="22.35" hidden="false" customHeight="false" outlineLevel="0" collapsed="false">
      <c r="A164" s="32" t="s">
        <v>519</v>
      </c>
      <c r="B164" s="33" t="s">
        <v>156</v>
      </c>
      <c r="C164" s="34" t="s">
        <v>520</v>
      </c>
      <c r="D164" s="35" t="s">
        <v>296</v>
      </c>
      <c r="E164" s="36" t="n">
        <v>1</v>
      </c>
      <c r="F164" s="34" t="s">
        <v>521</v>
      </c>
      <c r="G164" s="37" t="s">
        <v>290</v>
      </c>
      <c r="H164" s="38" t="str">
        <f aca="false">IFERROR(INDEX('الإعدادات واللجنة'!$C$24:$C$32,MATCH(LEFT(A164,3),'الإعدادات واللجنة'!$A$24:$A$32,0)),"")</f>
        <v>د. عمر بن محمد موسى</v>
      </c>
      <c r="I164" s="39"/>
      <c r="J164" s="39"/>
      <c r="K164" s="38" t="str">
        <f aca="false">IF(OR(I164="",I164="متوفر ومكتمل"),"",IF(OR(D164="★",I164="غير متوفر"),"عالية","متوسطة"))</f>
        <v/>
      </c>
      <c r="L164" s="40"/>
      <c r="M164" s="39"/>
      <c r="N164" s="40"/>
      <c r="O164" s="40"/>
      <c r="P164" s="39"/>
      <c r="Q164" s="40"/>
    </row>
    <row r="165" customFormat="false" ht="15" hidden="false" customHeight="false" outlineLevel="0" collapsed="false">
      <c r="A165" s="41" t="s">
        <v>519</v>
      </c>
      <c r="B165" s="42" t="s">
        <v>156</v>
      </c>
      <c r="C165" s="43"/>
      <c r="D165" s="44" t="s">
        <v>296</v>
      </c>
      <c r="E165" s="41" t="n">
        <v>2</v>
      </c>
      <c r="F165" s="43" t="s">
        <v>522</v>
      </c>
      <c r="G165" s="29" t="s">
        <v>290</v>
      </c>
      <c r="H165" s="28" t="str">
        <f aca="false">IFERROR(INDEX('الإعدادات واللجنة'!$C$24:$C$32,MATCH(LEFT(A165,3),'الإعدادات واللجنة'!$A$24:$A$32,0)),"")</f>
        <v>د. عمر بن محمد موسى</v>
      </c>
      <c r="I165" s="30"/>
      <c r="J165" s="30"/>
      <c r="K165" s="28" t="str">
        <f aca="false">IF(OR(I165="",I165="متوفر ومكتمل"),"",IF(OR(D165="★",I165="غير متوفر"),"عالية","متوسطة"))</f>
        <v/>
      </c>
      <c r="L165" s="31"/>
      <c r="M165" s="30"/>
      <c r="N165" s="31"/>
      <c r="O165" s="31"/>
      <c r="P165" s="30"/>
      <c r="Q165" s="31"/>
    </row>
    <row r="166" customFormat="false" ht="22.35" hidden="false" customHeight="false" outlineLevel="0" collapsed="false">
      <c r="A166" s="41" t="s">
        <v>519</v>
      </c>
      <c r="B166" s="42" t="s">
        <v>156</v>
      </c>
      <c r="C166" s="43"/>
      <c r="D166" s="44" t="s">
        <v>296</v>
      </c>
      <c r="E166" s="41" t="n">
        <v>3</v>
      </c>
      <c r="F166" s="43" t="s">
        <v>523</v>
      </c>
      <c r="G166" s="29" t="s">
        <v>290</v>
      </c>
      <c r="H166" s="28" t="str">
        <f aca="false">IFERROR(INDEX('الإعدادات واللجنة'!$C$24:$C$32,MATCH(LEFT(A166,3),'الإعدادات واللجنة'!$A$24:$A$32,0)),"")</f>
        <v>د. عمر بن محمد موسى</v>
      </c>
      <c r="I166" s="30"/>
      <c r="J166" s="30"/>
      <c r="K166" s="28" t="str">
        <f aca="false">IF(OR(I166="",I166="متوفر ومكتمل"),"",IF(OR(D166="★",I166="غير متوفر"),"عالية","متوسطة"))</f>
        <v/>
      </c>
      <c r="L166" s="31"/>
      <c r="M166" s="30"/>
      <c r="N166" s="31"/>
      <c r="O166" s="31"/>
      <c r="P166" s="30"/>
      <c r="Q166" s="31"/>
    </row>
    <row r="167" customFormat="false" ht="22.35" hidden="false" customHeight="false" outlineLevel="0" collapsed="false">
      <c r="A167" s="41" t="s">
        <v>519</v>
      </c>
      <c r="B167" s="42" t="s">
        <v>156</v>
      </c>
      <c r="C167" s="43"/>
      <c r="D167" s="44" t="s">
        <v>296</v>
      </c>
      <c r="E167" s="41" t="n">
        <v>4</v>
      </c>
      <c r="F167" s="43" t="s">
        <v>524</v>
      </c>
      <c r="G167" s="29" t="s">
        <v>290</v>
      </c>
      <c r="H167" s="28" t="str">
        <f aca="false">IFERROR(INDEX('الإعدادات واللجنة'!$C$24:$C$32,MATCH(LEFT(A167,3),'الإعدادات واللجنة'!$A$24:$A$32,0)),"")</f>
        <v>د. عمر بن محمد موسى</v>
      </c>
      <c r="I167" s="30"/>
      <c r="J167" s="30"/>
      <c r="K167" s="28" t="str">
        <f aca="false">IF(OR(I167="",I167="متوفر ومكتمل"),"",IF(OR(D167="★",I167="غير متوفر"),"عالية","متوسطة"))</f>
        <v/>
      </c>
      <c r="L167" s="31"/>
      <c r="M167" s="30"/>
      <c r="N167" s="31"/>
      <c r="O167" s="31"/>
      <c r="P167" s="30"/>
      <c r="Q167" s="31"/>
    </row>
    <row r="168" customFormat="false" ht="22.35" hidden="false" customHeight="false" outlineLevel="0" collapsed="false">
      <c r="A168" s="45" t="s">
        <v>525</v>
      </c>
      <c r="B168" s="46" t="s">
        <v>156</v>
      </c>
      <c r="C168" s="47" t="s">
        <v>526</v>
      </c>
      <c r="D168" s="48"/>
      <c r="E168" s="38" t="n">
        <v>1</v>
      </c>
      <c r="F168" s="47" t="s">
        <v>527</v>
      </c>
      <c r="G168" s="37" t="s">
        <v>290</v>
      </c>
      <c r="H168" s="38" t="str">
        <f aca="false">IFERROR(INDEX('الإعدادات واللجنة'!$C$24:$C$32,MATCH(LEFT(A168,3),'الإعدادات واللجنة'!$A$24:$A$32,0)),"")</f>
        <v>د. عمر بن محمد موسى</v>
      </c>
      <c r="I168" s="39"/>
      <c r="J168" s="39"/>
      <c r="K168" s="38" t="str">
        <f aca="false">IF(OR(I168="",I168="متوفر ومكتمل"),"",IF(OR(D168="★",I168="غير متوفر"),"عالية","متوسطة"))</f>
        <v/>
      </c>
      <c r="L168" s="40"/>
      <c r="M168" s="39"/>
      <c r="N168" s="40"/>
      <c r="O168" s="40"/>
      <c r="P168" s="39"/>
      <c r="Q168" s="40"/>
    </row>
    <row r="169" customFormat="false" ht="22.35" hidden="false" customHeight="false" outlineLevel="0" collapsed="false">
      <c r="A169" s="28" t="s">
        <v>525</v>
      </c>
      <c r="B169" s="25" t="s">
        <v>156</v>
      </c>
      <c r="C169" s="26"/>
      <c r="D169" s="27"/>
      <c r="E169" s="28" t="n">
        <v>2</v>
      </c>
      <c r="F169" s="26" t="s">
        <v>528</v>
      </c>
      <c r="G169" s="29" t="s">
        <v>290</v>
      </c>
      <c r="H169" s="28" t="str">
        <f aca="false">IFERROR(INDEX('الإعدادات واللجنة'!$C$24:$C$32,MATCH(LEFT(A169,3),'الإعدادات واللجنة'!$A$24:$A$32,0)),"")</f>
        <v>د. عمر بن محمد موسى</v>
      </c>
      <c r="I169" s="30"/>
      <c r="J169" s="30"/>
      <c r="K169" s="28" t="str">
        <f aca="false">IF(OR(I169="",I169="متوفر ومكتمل"),"",IF(OR(D169="★",I169="غير متوفر"),"عالية","متوسطة"))</f>
        <v/>
      </c>
      <c r="L169" s="31"/>
      <c r="M169" s="30"/>
      <c r="N169" s="31"/>
      <c r="O169" s="31"/>
      <c r="P169" s="30"/>
      <c r="Q169" s="31"/>
    </row>
    <row r="170" customFormat="false" ht="32.8" hidden="false" customHeight="false" outlineLevel="0" collapsed="false">
      <c r="A170" s="45" t="s">
        <v>529</v>
      </c>
      <c r="B170" s="46" t="s">
        <v>156</v>
      </c>
      <c r="C170" s="47" t="s">
        <v>530</v>
      </c>
      <c r="D170" s="48"/>
      <c r="E170" s="38" t="n">
        <v>1</v>
      </c>
      <c r="F170" s="47" t="s">
        <v>531</v>
      </c>
      <c r="G170" s="37" t="s">
        <v>290</v>
      </c>
      <c r="H170" s="38" t="str">
        <f aca="false">IFERROR(INDEX('الإعدادات واللجنة'!$C$24:$C$32,MATCH(LEFT(A170,3),'الإعدادات واللجنة'!$A$24:$A$32,0)),"")</f>
        <v>د. عمر بن محمد موسى</v>
      </c>
      <c r="I170" s="39"/>
      <c r="J170" s="39"/>
      <c r="K170" s="38" t="str">
        <f aca="false">IF(OR(I170="",I170="متوفر ومكتمل"),"",IF(OR(D170="★",I170="غير متوفر"),"عالية","متوسطة"))</f>
        <v/>
      </c>
      <c r="L170" s="40"/>
      <c r="M170" s="39"/>
      <c r="N170" s="40"/>
      <c r="O170" s="40"/>
      <c r="P170" s="39"/>
      <c r="Q170" s="40"/>
    </row>
    <row r="171" customFormat="false" ht="22.35" hidden="false" customHeight="false" outlineLevel="0" collapsed="false">
      <c r="A171" s="28" t="s">
        <v>529</v>
      </c>
      <c r="B171" s="25" t="s">
        <v>156</v>
      </c>
      <c r="C171" s="26"/>
      <c r="D171" s="27"/>
      <c r="E171" s="28" t="n">
        <v>2</v>
      </c>
      <c r="F171" s="26" t="s">
        <v>532</v>
      </c>
      <c r="G171" s="29" t="s">
        <v>290</v>
      </c>
      <c r="H171" s="28" t="str">
        <f aca="false">IFERROR(INDEX('الإعدادات واللجنة'!$C$24:$C$32,MATCH(LEFT(A171,3),'الإعدادات واللجنة'!$A$24:$A$32,0)),"")</f>
        <v>د. عمر بن محمد موسى</v>
      </c>
      <c r="I171" s="30"/>
      <c r="J171" s="30"/>
      <c r="K171" s="28" t="str">
        <f aca="false">IF(OR(I171="",I171="متوفر ومكتمل"),"",IF(OR(D171="★",I171="غير متوفر"),"عالية","متوسطة"))</f>
        <v/>
      </c>
      <c r="L171" s="31"/>
      <c r="M171" s="30"/>
      <c r="N171" s="31"/>
      <c r="O171" s="31"/>
      <c r="P171" s="30"/>
      <c r="Q171" s="31"/>
    </row>
    <row r="172" customFormat="false" ht="22.35" hidden="false" customHeight="false" outlineLevel="0" collapsed="false">
      <c r="A172" s="28" t="s">
        <v>529</v>
      </c>
      <c r="B172" s="25" t="s">
        <v>156</v>
      </c>
      <c r="C172" s="26"/>
      <c r="D172" s="27"/>
      <c r="E172" s="28" t="n">
        <v>3</v>
      </c>
      <c r="F172" s="26" t="s">
        <v>533</v>
      </c>
      <c r="G172" s="29" t="s">
        <v>290</v>
      </c>
      <c r="H172" s="28" t="str">
        <f aca="false">IFERROR(INDEX('الإعدادات واللجنة'!$C$24:$C$32,MATCH(LEFT(A172,3),'الإعدادات واللجنة'!$A$24:$A$32,0)),"")</f>
        <v>د. عمر بن محمد موسى</v>
      </c>
      <c r="I172" s="30"/>
      <c r="J172" s="30"/>
      <c r="K172" s="28" t="str">
        <f aca="false">IF(OR(I172="",I172="متوفر ومكتمل"),"",IF(OR(D172="★",I172="غير متوفر"),"عالية","متوسطة"))</f>
        <v/>
      </c>
      <c r="L172" s="31"/>
      <c r="M172" s="30"/>
      <c r="N172" s="31"/>
      <c r="O172" s="31"/>
      <c r="P172" s="30"/>
      <c r="Q172" s="31"/>
    </row>
    <row r="173" customFormat="false" ht="22.35" hidden="false" customHeight="false" outlineLevel="0" collapsed="false">
      <c r="A173" s="28" t="s">
        <v>529</v>
      </c>
      <c r="B173" s="25" t="s">
        <v>156</v>
      </c>
      <c r="C173" s="26"/>
      <c r="D173" s="27"/>
      <c r="E173" s="28" t="n">
        <v>4</v>
      </c>
      <c r="F173" s="26" t="s">
        <v>534</v>
      </c>
      <c r="G173" s="29" t="s">
        <v>290</v>
      </c>
      <c r="H173" s="28" t="str">
        <f aca="false">IFERROR(INDEX('الإعدادات واللجنة'!$C$24:$C$32,MATCH(LEFT(A173,3),'الإعدادات واللجنة'!$A$24:$A$32,0)),"")</f>
        <v>د. عمر بن محمد موسى</v>
      </c>
      <c r="I173" s="30"/>
      <c r="J173" s="30"/>
      <c r="K173" s="28" t="str">
        <f aca="false">IF(OR(I173="",I173="متوفر ومكتمل"),"",IF(OR(D173="★",I173="غير متوفر"),"عالية","متوسطة"))</f>
        <v/>
      </c>
      <c r="L173" s="31"/>
      <c r="M173" s="30"/>
      <c r="N173" s="31"/>
      <c r="O173" s="31"/>
      <c r="P173" s="30"/>
      <c r="Q173" s="31"/>
    </row>
    <row r="174" customFormat="false" ht="15" hidden="false" customHeight="false" outlineLevel="0" collapsed="false">
      <c r="A174" s="28" t="s">
        <v>529</v>
      </c>
      <c r="B174" s="25" t="s">
        <v>156</v>
      </c>
      <c r="C174" s="26"/>
      <c r="D174" s="27"/>
      <c r="E174" s="28" t="n">
        <v>5</v>
      </c>
      <c r="F174" s="26" t="s">
        <v>535</v>
      </c>
      <c r="G174" s="29" t="s">
        <v>290</v>
      </c>
      <c r="H174" s="28" t="str">
        <f aca="false">IFERROR(INDEX('الإعدادات واللجنة'!$C$24:$C$32,MATCH(LEFT(A174,3),'الإعدادات واللجنة'!$A$24:$A$32,0)),"")</f>
        <v>د. عمر بن محمد موسى</v>
      </c>
      <c r="I174" s="30"/>
      <c r="J174" s="30"/>
      <c r="K174" s="28" t="str">
        <f aca="false">IF(OR(I174="",I174="متوفر ومكتمل"),"",IF(OR(D174="★",I174="غير متوفر"),"عالية","متوسطة"))</f>
        <v/>
      </c>
      <c r="L174" s="31"/>
      <c r="M174" s="30"/>
      <c r="N174" s="31"/>
      <c r="O174" s="31"/>
      <c r="P174" s="30"/>
      <c r="Q174" s="31"/>
    </row>
    <row r="175" customFormat="false" ht="15" hidden="false" customHeight="false" outlineLevel="0" collapsed="false">
      <c r="A175" s="28" t="s">
        <v>529</v>
      </c>
      <c r="B175" s="25" t="s">
        <v>156</v>
      </c>
      <c r="C175" s="26"/>
      <c r="D175" s="27"/>
      <c r="E175" s="28" t="n">
        <v>6</v>
      </c>
      <c r="F175" s="26" t="s">
        <v>536</v>
      </c>
      <c r="G175" s="29" t="s">
        <v>290</v>
      </c>
      <c r="H175" s="28" t="str">
        <f aca="false">IFERROR(INDEX('الإعدادات واللجنة'!$C$24:$C$32,MATCH(LEFT(A175,3),'الإعدادات واللجنة'!$A$24:$A$32,0)),"")</f>
        <v>د. عمر بن محمد موسى</v>
      </c>
      <c r="I175" s="30"/>
      <c r="J175" s="30"/>
      <c r="K175" s="28" t="str">
        <f aca="false">IF(OR(I175="",I175="متوفر ومكتمل"),"",IF(OR(D175="★",I175="غير متوفر"),"عالية","متوسطة"))</f>
        <v/>
      </c>
      <c r="L175" s="31"/>
      <c r="M175" s="30"/>
      <c r="N175" s="31"/>
      <c r="O175" s="31"/>
      <c r="P175" s="30"/>
      <c r="Q175" s="31"/>
    </row>
    <row r="176" customFormat="false" ht="22.35" hidden="false" customHeight="false" outlineLevel="0" collapsed="false">
      <c r="A176" s="28" t="s">
        <v>529</v>
      </c>
      <c r="B176" s="25" t="s">
        <v>156</v>
      </c>
      <c r="C176" s="26"/>
      <c r="D176" s="27"/>
      <c r="E176" s="28" t="n">
        <v>7</v>
      </c>
      <c r="F176" s="26" t="s">
        <v>537</v>
      </c>
      <c r="G176" s="29" t="s">
        <v>290</v>
      </c>
      <c r="H176" s="28" t="str">
        <f aca="false">IFERROR(INDEX('الإعدادات واللجنة'!$C$24:$C$32,MATCH(LEFT(A176,3),'الإعدادات واللجنة'!$A$24:$A$32,0)),"")</f>
        <v>د. عمر بن محمد موسى</v>
      </c>
      <c r="I176" s="30"/>
      <c r="J176" s="30"/>
      <c r="K176" s="28" t="str">
        <f aca="false">IF(OR(I176="",I176="متوفر ومكتمل"),"",IF(OR(D176="★",I176="غير متوفر"),"عالية","متوسطة"))</f>
        <v/>
      </c>
      <c r="L176" s="31"/>
      <c r="M176" s="30"/>
      <c r="N176" s="31"/>
      <c r="O176" s="31"/>
      <c r="P176" s="30"/>
      <c r="Q176" s="31"/>
    </row>
    <row r="177" customFormat="false" ht="22.35" hidden="false" customHeight="false" outlineLevel="0" collapsed="false">
      <c r="A177" s="45" t="s">
        <v>538</v>
      </c>
      <c r="B177" s="46" t="s">
        <v>156</v>
      </c>
      <c r="C177" s="47" t="s">
        <v>539</v>
      </c>
      <c r="D177" s="48"/>
      <c r="E177" s="38" t="n">
        <v>1</v>
      </c>
      <c r="F177" s="47" t="s">
        <v>540</v>
      </c>
      <c r="G177" s="37" t="s">
        <v>290</v>
      </c>
      <c r="H177" s="38" t="str">
        <f aca="false">IFERROR(INDEX('الإعدادات واللجنة'!$C$24:$C$32,MATCH(LEFT(A177,3),'الإعدادات واللجنة'!$A$24:$A$32,0)),"")</f>
        <v>د. عمر بن محمد موسى</v>
      </c>
      <c r="I177" s="39"/>
      <c r="J177" s="39"/>
      <c r="K177" s="38" t="str">
        <f aca="false">IF(OR(I177="",I177="متوفر ومكتمل"),"",IF(OR(D177="★",I177="غير متوفر"),"عالية","متوسطة"))</f>
        <v/>
      </c>
      <c r="L177" s="40"/>
      <c r="M177" s="39"/>
      <c r="N177" s="40"/>
      <c r="O177" s="40"/>
      <c r="P177" s="39"/>
      <c r="Q177" s="40"/>
    </row>
    <row r="178" customFormat="false" ht="15" hidden="false" customHeight="false" outlineLevel="0" collapsed="false">
      <c r="A178" s="28" t="s">
        <v>538</v>
      </c>
      <c r="B178" s="25" t="s">
        <v>156</v>
      </c>
      <c r="C178" s="26"/>
      <c r="D178" s="27"/>
      <c r="E178" s="28" t="n">
        <v>2</v>
      </c>
      <c r="F178" s="26" t="s">
        <v>541</v>
      </c>
      <c r="G178" s="29" t="s">
        <v>290</v>
      </c>
      <c r="H178" s="28" t="str">
        <f aca="false">IFERROR(INDEX('الإعدادات واللجنة'!$C$24:$C$32,MATCH(LEFT(A178,3),'الإعدادات واللجنة'!$A$24:$A$32,0)),"")</f>
        <v>د. عمر بن محمد موسى</v>
      </c>
      <c r="I178" s="30"/>
      <c r="J178" s="30"/>
      <c r="K178" s="28" t="str">
        <f aca="false">IF(OR(I178="",I178="متوفر ومكتمل"),"",IF(OR(D178="★",I178="غير متوفر"),"عالية","متوسطة"))</f>
        <v/>
      </c>
      <c r="L178" s="31"/>
      <c r="M178" s="30"/>
      <c r="N178" s="31"/>
      <c r="O178" s="31"/>
      <c r="P178" s="30"/>
      <c r="Q178" s="31"/>
    </row>
    <row r="179" customFormat="false" ht="22.35" hidden="false" customHeight="false" outlineLevel="0" collapsed="false">
      <c r="A179" s="28" t="s">
        <v>538</v>
      </c>
      <c r="B179" s="25" t="s">
        <v>156</v>
      </c>
      <c r="C179" s="26"/>
      <c r="D179" s="27"/>
      <c r="E179" s="28" t="n">
        <v>3</v>
      </c>
      <c r="F179" s="26" t="s">
        <v>542</v>
      </c>
      <c r="G179" s="29" t="s">
        <v>290</v>
      </c>
      <c r="H179" s="28" t="str">
        <f aca="false">IFERROR(INDEX('الإعدادات واللجنة'!$C$24:$C$32,MATCH(LEFT(A179,3),'الإعدادات واللجنة'!$A$24:$A$32,0)),"")</f>
        <v>د. عمر بن محمد موسى</v>
      </c>
      <c r="I179" s="30"/>
      <c r="J179" s="30"/>
      <c r="K179" s="28" t="str">
        <f aca="false">IF(OR(I179="",I179="متوفر ومكتمل"),"",IF(OR(D179="★",I179="غير متوفر"),"عالية","متوسطة"))</f>
        <v/>
      </c>
      <c r="L179" s="31"/>
      <c r="M179" s="30"/>
      <c r="N179" s="31"/>
      <c r="O179" s="31"/>
      <c r="P179" s="30"/>
      <c r="Q179" s="31"/>
    </row>
    <row r="180" customFormat="false" ht="22.35" hidden="false" customHeight="false" outlineLevel="0" collapsed="false">
      <c r="A180" s="45" t="s">
        <v>543</v>
      </c>
      <c r="B180" s="46" t="s">
        <v>156</v>
      </c>
      <c r="C180" s="47" t="s">
        <v>544</v>
      </c>
      <c r="D180" s="48"/>
      <c r="E180" s="38" t="n">
        <v>1</v>
      </c>
      <c r="F180" s="47" t="s">
        <v>545</v>
      </c>
      <c r="G180" s="37" t="s">
        <v>290</v>
      </c>
      <c r="H180" s="38" t="str">
        <f aca="false">IFERROR(INDEX('الإعدادات واللجنة'!$C$24:$C$32,MATCH(LEFT(A180,3),'الإعدادات واللجنة'!$A$24:$A$32,0)),"")</f>
        <v>د. عمر بن محمد موسى</v>
      </c>
      <c r="I180" s="39"/>
      <c r="J180" s="39"/>
      <c r="K180" s="38" t="str">
        <f aca="false">IF(OR(I180="",I180="متوفر ومكتمل"),"",IF(OR(D180="★",I180="غير متوفر"),"عالية","متوسطة"))</f>
        <v/>
      </c>
      <c r="L180" s="40"/>
      <c r="M180" s="39"/>
      <c r="N180" s="40"/>
      <c r="O180" s="40"/>
      <c r="P180" s="39"/>
      <c r="Q180" s="40"/>
    </row>
    <row r="181" customFormat="false" ht="15" hidden="false" customHeight="false" outlineLevel="0" collapsed="false">
      <c r="A181" s="28" t="s">
        <v>543</v>
      </c>
      <c r="B181" s="25" t="s">
        <v>156</v>
      </c>
      <c r="C181" s="26"/>
      <c r="D181" s="27"/>
      <c r="E181" s="28" t="n">
        <v>2</v>
      </c>
      <c r="F181" s="26" t="s">
        <v>546</v>
      </c>
      <c r="G181" s="29" t="s">
        <v>290</v>
      </c>
      <c r="H181" s="28" t="str">
        <f aca="false">IFERROR(INDEX('الإعدادات واللجنة'!$C$24:$C$32,MATCH(LEFT(A181,3),'الإعدادات واللجنة'!$A$24:$A$32,0)),"")</f>
        <v>د. عمر بن محمد موسى</v>
      </c>
      <c r="I181" s="30"/>
      <c r="J181" s="30"/>
      <c r="K181" s="28" t="str">
        <f aca="false">IF(OR(I181="",I181="متوفر ومكتمل"),"",IF(OR(D181="★",I181="غير متوفر"),"عالية","متوسطة"))</f>
        <v/>
      </c>
      <c r="L181" s="31"/>
      <c r="M181" s="30"/>
      <c r="N181" s="31"/>
      <c r="O181" s="31"/>
      <c r="P181" s="30"/>
      <c r="Q181" s="31"/>
    </row>
    <row r="182" customFormat="false" ht="22.35" hidden="false" customHeight="false" outlineLevel="0" collapsed="false">
      <c r="A182" s="28" t="s">
        <v>543</v>
      </c>
      <c r="B182" s="25" t="s">
        <v>156</v>
      </c>
      <c r="C182" s="26"/>
      <c r="D182" s="27"/>
      <c r="E182" s="28" t="n">
        <v>3</v>
      </c>
      <c r="F182" s="26" t="s">
        <v>547</v>
      </c>
      <c r="G182" s="29" t="s">
        <v>290</v>
      </c>
      <c r="H182" s="28" t="str">
        <f aca="false">IFERROR(INDEX('الإعدادات واللجنة'!$C$24:$C$32,MATCH(LEFT(A182,3),'الإعدادات واللجنة'!$A$24:$A$32,0)),"")</f>
        <v>د. عمر بن محمد موسى</v>
      </c>
      <c r="I182" s="30"/>
      <c r="J182" s="30"/>
      <c r="K182" s="28" t="str">
        <f aca="false">IF(OR(I182="",I182="متوفر ومكتمل"),"",IF(OR(D182="★",I182="غير متوفر"),"عالية","متوسطة"))</f>
        <v/>
      </c>
      <c r="L182" s="31"/>
      <c r="M182" s="30"/>
      <c r="N182" s="31"/>
      <c r="O182" s="31"/>
      <c r="P182" s="30"/>
      <c r="Q182" s="31"/>
    </row>
    <row r="183" customFormat="false" ht="22.35" hidden="false" customHeight="false" outlineLevel="0" collapsed="false">
      <c r="A183" s="28" t="s">
        <v>543</v>
      </c>
      <c r="B183" s="25" t="s">
        <v>156</v>
      </c>
      <c r="C183" s="26"/>
      <c r="D183" s="27"/>
      <c r="E183" s="28" t="n">
        <v>4</v>
      </c>
      <c r="F183" s="26" t="s">
        <v>548</v>
      </c>
      <c r="G183" s="29" t="s">
        <v>290</v>
      </c>
      <c r="H183" s="28" t="str">
        <f aca="false">IFERROR(INDEX('الإعدادات واللجنة'!$C$24:$C$32,MATCH(LEFT(A183,3),'الإعدادات واللجنة'!$A$24:$A$32,0)),"")</f>
        <v>د. عمر بن محمد موسى</v>
      </c>
      <c r="I183" s="30"/>
      <c r="J183" s="30"/>
      <c r="K183" s="28" t="str">
        <f aca="false">IF(OR(I183="",I183="متوفر ومكتمل"),"",IF(OR(D183="★",I183="غير متوفر"),"عالية","متوسطة"))</f>
        <v/>
      </c>
      <c r="L183" s="31"/>
      <c r="M183" s="30"/>
      <c r="N183" s="31"/>
      <c r="O183" s="31"/>
      <c r="P183" s="30"/>
      <c r="Q183" s="31"/>
    </row>
    <row r="184" customFormat="false" ht="15" hidden="false" customHeight="false" outlineLevel="0" collapsed="false">
      <c r="A184" s="28" t="s">
        <v>543</v>
      </c>
      <c r="B184" s="25" t="s">
        <v>156</v>
      </c>
      <c r="C184" s="26"/>
      <c r="D184" s="27"/>
      <c r="E184" s="28" t="n">
        <v>5</v>
      </c>
      <c r="F184" s="26" t="s">
        <v>549</v>
      </c>
      <c r="G184" s="29" t="s">
        <v>290</v>
      </c>
      <c r="H184" s="28" t="str">
        <f aca="false">IFERROR(INDEX('الإعدادات واللجنة'!$C$24:$C$32,MATCH(LEFT(A184,3),'الإعدادات واللجنة'!$A$24:$A$32,0)),"")</f>
        <v>د. عمر بن محمد موسى</v>
      </c>
      <c r="I184" s="30"/>
      <c r="J184" s="30"/>
      <c r="K184" s="28" t="str">
        <f aca="false">IF(OR(I184="",I184="متوفر ومكتمل"),"",IF(OR(D184="★",I184="غير متوفر"),"عالية","متوسطة"))</f>
        <v/>
      </c>
      <c r="L184" s="31"/>
      <c r="M184" s="30"/>
      <c r="N184" s="31"/>
      <c r="O184" s="31"/>
      <c r="P184" s="30"/>
      <c r="Q184" s="31"/>
    </row>
    <row r="185" customFormat="false" ht="22.35" hidden="false" customHeight="false" outlineLevel="0" collapsed="false">
      <c r="A185" s="45" t="s">
        <v>550</v>
      </c>
      <c r="B185" s="46" t="s">
        <v>156</v>
      </c>
      <c r="C185" s="47" t="s">
        <v>551</v>
      </c>
      <c r="D185" s="48"/>
      <c r="E185" s="38" t="n">
        <v>1</v>
      </c>
      <c r="F185" s="47" t="s">
        <v>552</v>
      </c>
      <c r="G185" s="37" t="s">
        <v>290</v>
      </c>
      <c r="H185" s="38" t="str">
        <f aca="false">IFERROR(INDEX('الإعدادات واللجنة'!$C$24:$C$32,MATCH(LEFT(A185,3),'الإعدادات واللجنة'!$A$24:$A$32,0)),"")</f>
        <v>د. عمر بن محمد موسى</v>
      </c>
      <c r="I185" s="39"/>
      <c r="J185" s="39"/>
      <c r="K185" s="38" t="str">
        <f aca="false">IF(OR(I185="",I185="متوفر ومكتمل"),"",IF(OR(D185="★",I185="غير متوفر"),"عالية","متوسطة"))</f>
        <v/>
      </c>
      <c r="L185" s="40"/>
      <c r="M185" s="39"/>
      <c r="N185" s="40"/>
      <c r="O185" s="40"/>
      <c r="P185" s="39"/>
      <c r="Q185" s="40"/>
    </row>
    <row r="186" customFormat="false" ht="15" hidden="false" customHeight="false" outlineLevel="0" collapsed="false">
      <c r="A186" s="28" t="s">
        <v>550</v>
      </c>
      <c r="B186" s="25" t="s">
        <v>156</v>
      </c>
      <c r="C186" s="26"/>
      <c r="D186" s="27"/>
      <c r="E186" s="28" t="n">
        <v>2</v>
      </c>
      <c r="F186" s="26" t="s">
        <v>553</v>
      </c>
      <c r="G186" s="29" t="s">
        <v>290</v>
      </c>
      <c r="H186" s="28" t="str">
        <f aca="false">IFERROR(INDEX('الإعدادات واللجنة'!$C$24:$C$32,MATCH(LEFT(A186,3),'الإعدادات واللجنة'!$A$24:$A$32,0)),"")</f>
        <v>د. عمر بن محمد موسى</v>
      </c>
      <c r="I186" s="30"/>
      <c r="J186" s="30"/>
      <c r="K186" s="28" t="str">
        <f aca="false">IF(OR(I186="",I186="متوفر ومكتمل"),"",IF(OR(D186="★",I186="غير متوفر"),"عالية","متوسطة"))</f>
        <v/>
      </c>
      <c r="L186" s="31"/>
      <c r="M186" s="30"/>
      <c r="N186" s="31"/>
      <c r="O186" s="31"/>
      <c r="P186" s="30"/>
      <c r="Q186" s="31"/>
    </row>
    <row r="187" customFormat="false" ht="15" hidden="false" customHeight="false" outlineLevel="0" collapsed="false">
      <c r="A187" s="28" t="s">
        <v>550</v>
      </c>
      <c r="B187" s="25" t="s">
        <v>156</v>
      </c>
      <c r="C187" s="26"/>
      <c r="D187" s="27"/>
      <c r="E187" s="28" t="n">
        <v>3</v>
      </c>
      <c r="F187" s="26" t="s">
        <v>554</v>
      </c>
      <c r="G187" s="29" t="s">
        <v>290</v>
      </c>
      <c r="H187" s="28" t="str">
        <f aca="false">IFERROR(INDEX('الإعدادات واللجنة'!$C$24:$C$32,MATCH(LEFT(A187,3),'الإعدادات واللجنة'!$A$24:$A$32,0)),"")</f>
        <v>د. عمر بن محمد موسى</v>
      </c>
      <c r="I187" s="30"/>
      <c r="J187" s="30"/>
      <c r="K187" s="28" t="str">
        <f aca="false">IF(OR(I187="",I187="متوفر ومكتمل"),"",IF(OR(D187="★",I187="غير متوفر"),"عالية","متوسطة"))</f>
        <v/>
      </c>
      <c r="L187" s="31"/>
      <c r="M187" s="30"/>
      <c r="N187" s="31"/>
      <c r="O187" s="31"/>
      <c r="P187" s="30"/>
      <c r="Q187" s="31"/>
    </row>
    <row r="188" customFormat="false" ht="43.25" hidden="false" customHeight="false" outlineLevel="0" collapsed="false">
      <c r="A188" s="28" t="s">
        <v>550</v>
      </c>
      <c r="B188" s="25" t="s">
        <v>156</v>
      </c>
      <c r="C188" s="26"/>
      <c r="D188" s="27"/>
      <c r="E188" s="28" t="n">
        <v>4</v>
      </c>
      <c r="F188" s="26" t="s">
        <v>555</v>
      </c>
      <c r="G188" s="29" t="s">
        <v>290</v>
      </c>
      <c r="H188" s="28" t="str">
        <f aca="false">IFERROR(INDEX('الإعدادات واللجنة'!$C$24:$C$32,MATCH(LEFT(A188,3),'الإعدادات واللجنة'!$A$24:$A$32,0)),"")</f>
        <v>د. عمر بن محمد موسى</v>
      </c>
      <c r="I188" s="30"/>
      <c r="J188" s="30"/>
      <c r="K188" s="28" t="str">
        <f aca="false">IF(OR(I188="",I188="متوفر ومكتمل"),"",IF(OR(D188="★",I188="غير متوفر"),"عالية","متوسطة"))</f>
        <v/>
      </c>
      <c r="L188" s="31"/>
      <c r="M188" s="30"/>
      <c r="N188" s="31"/>
      <c r="O188" s="31"/>
      <c r="P188" s="30"/>
      <c r="Q188" s="31"/>
    </row>
    <row r="189" customFormat="false" ht="15" hidden="false" customHeight="false" outlineLevel="0" collapsed="false">
      <c r="A189" s="28" t="s">
        <v>550</v>
      </c>
      <c r="B189" s="25" t="s">
        <v>156</v>
      </c>
      <c r="C189" s="26"/>
      <c r="D189" s="27"/>
      <c r="E189" s="28" t="n">
        <v>5</v>
      </c>
      <c r="F189" s="26" t="s">
        <v>556</v>
      </c>
      <c r="G189" s="29" t="s">
        <v>290</v>
      </c>
      <c r="H189" s="28" t="str">
        <f aca="false">IFERROR(INDEX('الإعدادات واللجنة'!$C$24:$C$32,MATCH(LEFT(A189,3),'الإعدادات واللجنة'!$A$24:$A$32,0)),"")</f>
        <v>د. عمر بن محمد موسى</v>
      </c>
      <c r="I189" s="30"/>
      <c r="J189" s="30"/>
      <c r="K189" s="28" t="str">
        <f aca="false">IF(OR(I189="",I189="متوفر ومكتمل"),"",IF(OR(D189="★",I189="غير متوفر"),"عالية","متوسطة"))</f>
        <v/>
      </c>
      <c r="L189" s="31"/>
      <c r="M189" s="30"/>
      <c r="N189" s="31"/>
      <c r="O189" s="31"/>
      <c r="P189" s="30"/>
      <c r="Q189" s="31"/>
    </row>
    <row r="190" customFormat="false" ht="22.35" hidden="false" customHeight="false" outlineLevel="0" collapsed="false">
      <c r="A190" s="45" t="s">
        <v>557</v>
      </c>
      <c r="B190" s="46" t="s">
        <v>157</v>
      </c>
      <c r="C190" s="47" t="s">
        <v>558</v>
      </c>
      <c r="D190" s="48"/>
      <c r="E190" s="38" t="n">
        <v>1</v>
      </c>
      <c r="F190" s="47" t="s">
        <v>559</v>
      </c>
      <c r="G190" s="37" t="s">
        <v>290</v>
      </c>
      <c r="H190" s="38" t="str">
        <f aca="false">IFERROR(INDEX('الإعدادات واللجنة'!$C$24:$C$32,MATCH(LEFT(A190,3),'الإعدادات واللجنة'!$A$24:$A$32,0)),"")</f>
        <v>د. حسن بن سعد القحطاني</v>
      </c>
      <c r="I190" s="39"/>
      <c r="J190" s="39"/>
      <c r="K190" s="38" t="str">
        <f aca="false">IF(OR(I190="",I190="متوفر ومكتمل"),"",IF(OR(D190="★",I190="غير متوفر"),"عالية","متوسطة"))</f>
        <v/>
      </c>
      <c r="L190" s="40"/>
      <c r="M190" s="39"/>
      <c r="N190" s="40"/>
      <c r="O190" s="40"/>
      <c r="P190" s="39"/>
      <c r="Q190" s="40"/>
    </row>
    <row r="191" customFormat="false" ht="19.4" hidden="false" customHeight="false" outlineLevel="0" collapsed="false">
      <c r="A191" s="28" t="s">
        <v>557</v>
      </c>
      <c r="B191" s="25" t="s">
        <v>157</v>
      </c>
      <c r="C191" s="26"/>
      <c r="D191" s="27"/>
      <c r="E191" s="28" t="n">
        <v>2</v>
      </c>
      <c r="F191" s="26" t="s">
        <v>560</v>
      </c>
      <c r="G191" s="29" t="s">
        <v>290</v>
      </c>
      <c r="H191" s="28" t="str">
        <f aca="false">IFERROR(INDEX('الإعدادات واللجنة'!$C$24:$C$32,MATCH(LEFT(A191,3),'الإعدادات واللجنة'!$A$24:$A$32,0)),"")</f>
        <v>د. حسن بن سعد القحطاني</v>
      </c>
      <c r="I191" s="30"/>
      <c r="J191" s="30"/>
      <c r="K191" s="28" t="str">
        <f aca="false">IF(OR(I191="",I191="متوفر ومكتمل"),"",IF(OR(D191="★",I191="غير متوفر"),"عالية","متوسطة"))</f>
        <v/>
      </c>
      <c r="L191" s="31"/>
      <c r="M191" s="30"/>
      <c r="N191" s="31"/>
      <c r="O191" s="31"/>
      <c r="P191" s="30"/>
      <c r="Q191" s="31"/>
    </row>
    <row r="192" customFormat="false" ht="22.35" hidden="false" customHeight="false" outlineLevel="0" collapsed="false">
      <c r="A192" s="28" t="s">
        <v>557</v>
      </c>
      <c r="B192" s="25" t="s">
        <v>157</v>
      </c>
      <c r="C192" s="26"/>
      <c r="D192" s="27"/>
      <c r="E192" s="28" t="n">
        <v>3</v>
      </c>
      <c r="F192" s="26" t="s">
        <v>561</v>
      </c>
      <c r="G192" s="29" t="s">
        <v>290</v>
      </c>
      <c r="H192" s="28" t="str">
        <f aca="false">IFERROR(INDEX('الإعدادات واللجنة'!$C$24:$C$32,MATCH(LEFT(A192,3),'الإعدادات واللجنة'!$A$24:$A$32,0)),"")</f>
        <v>د. حسن بن سعد القحطاني</v>
      </c>
      <c r="I192" s="30"/>
      <c r="J192" s="30"/>
      <c r="K192" s="28" t="str">
        <f aca="false">IF(OR(I192="",I192="متوفر ومكتمل"),"",IF(OR(D192="★",I192="غير متوفر"),"عالية","متوسطة"))</f>
        <v/>
      </c>
      <c r="L192" s="31"/>
      <c r="M192" s="30"/>
      <c r="N192" s="31"/>
      <c r="O192" s="31"/>
      <c r="P192" s="30"/>
      <c r="Q192" s="31"/>
    </row>
    <row r="193" customFormat="false" ht="32.8" hidden="false" customHeight="false" outlineLevel="0" collapsed="false">
      <c r="A193" s="45" t="s">
        <v>562</v>
      </c>
      <c r="B193" s="46" t="s">
        <v>157</v>
      </c>
      <c r="C193" s="47" t="s">
        <v>563</v>
      </c>
      <c r="D193" s="48"/>
      <c r="E193" s="38" t="n">
        <v>1</v>
      </c>
      <c r="F193" s="47" t="s">
        <v>564</v>
      </c>
      <c r="G193" s="37" t="s">
        <v>290</v>
      </c>
      <c r="H193" s="38" t="str">
        <f aca="false">IFERROR(INDEX('الإعدادات واللجنة'!$C$24:$C$32,MATCH(LEFT(A193,3),'الإعدادات واللجنة'!$A$24:$A$32,0)),"")</f>
        <v>د. حسن بن سعد القحطاني</v>
      </c>
      <c r="I193" s="39"/>
      <c r="J193" s="39"/>
      <c r="K193" s="38" t="str">
        <f aca="false">IF(OR(I193="",I193="متوفر ومكتمل"),"",IF(OR(D193="★",I193="غير متوفر"),"عالية","متوسطة"))</f>
        <v/>
      </c>
      <c r="L193" s="40"/>
      <c r="M193" s="39"/>
      <c r="N193" s="40"/>
      <c r="O193" s="40"/>
      <c r="P193" s="39"/>
      <c r="Q193" s="40"/>
    </row>
    <row r="194" customFormat="false" ht="22.35" hidden="false" customHeight="false" outlineLevel="0" collapsed="false">
      <c r="A194" s="28" t="s">
        <v>562</v>
      </c>
      <c r="B194" s="25" t="s">
        <v>157</v>
      </c>
      <c r="C194" s="26"/>
      <c r="D194" s="27"/>
      <c r="E194" s="28" t="n">
        <v>2</v>
      </c>
      <c r="F194" s="26" t="s">
        <v>565</v>
      </c>
      <c r="G194" s="29" t="s">
        <v>290</v>
      </c>
      <c r="H194" s="28" t="str">
        <f aca="false">IFERROR(INDEX('الإعدادات واللجنة'!$C$24:$C$32,MATCH(LEFT(A194,3),'الإعدادات واللجنة'!$A$24:$A$32,0)),"")</f>
        <v>د. حسن بن سعد القحطاني</v>
      </c>
      <c r="I194" s="30"/>
      <c r="J194" s="30"/>
      <c r="K194" s="28" t="str">
        <f aca="false">IF(OR(I194="",I194="متوفر ومكتمل"),"",IF(OR(D194="★",I194="غير متوفر"),"عالية","متوسطة"))</f>
        <v/>
      </c>
      <c r="L194" s="31"/>
      <c r="M194" s="30"/>
      <c r="N194" s="31"/>
      <c r="O194" s="31"/>
      <c r="P194" s="30"/>
      <c r="Q194" s="31"/>
    </row>
    <row r="195" customFormat="false" ht="22.35" hidden="false" customHeight="false" outlineLevel="0" collapsed="false">
      <c r="A195" s="28" t="s">
        <v>562</v>
      </c>
      <c r="B195" s="25" t="s">
        <v>157</v>
      </c>
      <c r="C195" s="26"/>
      <c r="D195" s="27"/>
      <c r="E195" s="28" t="n">
        <v>3</v>
      </c>
      <c r="F195" s="26" t="s">
        <v>566</v>
      </c>
      <c r="G195" s="29" t="s">
        <v>290</v>
      </c>
      <c r="H195" s="28" t="str">
        <f aca="false">IFERROR(INDEX('الإعدادات واللجنة'!$C$24:$C$32,MATCH(LEFT(A195,3),'الإعدادات واللجنة'!$A$24:$A$32,0)),"")</f>
        <v>د. حسن بن سعد القحطاني</v>
      </c>
      <c r="I195" s="30"/>
      <c r="J195" s="30"/>
      <c r="K195" s="28" t="str">
        <f aca="false">IF(OR(I195="",I195="متوفر ومكتمل"),"",IF(OR(D195="★",I195="غير متوفر"),"عالية","متوسطة"))</f>
        <v/>
      </c>
      <c r="L195" s="31"/>
      <c r="M195" s="30"/>
      <c r="N195" s="31"/>
      <c r="O195" s="31"/>
      <c r="P195" s="30"/>
      <c r="Q195" s="31"/>
    </row>
    <row r="196" customFormat="false" ht="32.8" hidden="false" customHeight="false" outlineLevel="0" collapsed="false">
      <c r="A196" s="32" t="s">
        <v>567</v>
      </c>
      <c r="B196" s="33" t="s">
        <v>157</v>
      </c>
      <c r="C196" s="34" t="s">
        <v>568</v>
      </c>
      <c r="D196" s="35" t="s">
        <v>296</v>
      </c>
      <c r="E196" s="36" t="n">
        <v>1</v>
      </c>
      <c r="F196" s="34" t="s">
        <v>569</v>
      </c>
      <c r="G196" s="37" t="s">
        <v>290</v>
      </c>
      <c r="H196" s="38" t="str">
        <f aca="false">IFERROR(INDEX('الإعدادات واللجنة'!$C$24:$C$32,MATCH(LEFT(A196,3),'الإعدادات واللجنة'!$A$24:$A$32,0)),"")</f>
        <v>د. حسن بن سعد القحطاني</v>
      </c>
      <c r="I196" s="39"/>
      <c r="J196" s="39"/>
      <c r="K196" s="38" t="str">
        <f aca="false">IF(OR(I196="",I196="متوفر ومكتمل"),"",IF(OR(D196="★",I196="غير متوفر"),"عالية","متوسطة"))</f>
        <v/>
      </c>
      <c r="L196" s="40"/>
      <c r="M196" s="39"/>
      <c r="N196" s="40"/>
      <c r="O196" s="40"/>
      <c r="P196" s="39"/>
      <c r="Q196" s="40"/>
    </row>
    <row r="197" customFormat="false" ht="22.35" hidden="false" customHeight="false" outlineLevel="0" collapsed="false">
      <c r="A197" s="41" t="s">
        <v>567</v>
      </c>
      <c r="B197" s="42" t="s">
        <v>157</v>
      </c>
      <c r="C197" s="43"/>
      <c r="D197" s="44" t="s">
        <v>296</v>
      </c>
      <c r="E197" s="41" t="n">
        <v>2</v>
      </c>
      <c r="F197" s="43" t="s">
        <v>570</v>
      </c>
      <c r="G197" s="29" t="s">
        <v>290</v>
      </c>
      <c r="H197" s="28" t="str">
        <f aca="false">IFERROR(INDEX('الإعدادات واللجنة'!$C$24:$C$32,MATCH(LEFT(A197,3),'الإعدادات واللجنة'!$A$24:$A$32,0)),"")</f>
        <v>د. حسن بن سعد القحطاني</v>
      </c>
      <c r="I197" s="30"/>
      <c r="J197" s="30"/>
      <c r="K197" s="28" t="str">
        <f aca="false">IF(OR(I197="",I197="متوفر ومكتمل"),"",IF(OR(D197="★",I197="غير متوفر"),"عالية","متوسطة"))</f>
        <v/>
      </c>
      <c r="L197" s="31"/>
      <c r="M197" s="30"/>
      <c r="N197" s="31"/>
      <c r="O197" s="31"/>
      <c r="P197" s="30"/>
      <c r="Q197" s="31"/>
    </row>
    <row r="198" customFormat="false" ht="22.35" hidden="false" customHeight="false" outlineLevel="0" collapsed="false">
      <c r="A198" s="41" t="s">
        <v>567</v>
      </c>
      <c r="B198" s="42" t="s">
        <v>157</v>
      </c>
      <c r="C198" s="43"/>
      <c r="D198" s="44" t="s">
        <v>296</v>
      </c>
      <c r="E198" s="41" t="n">
        <v>3</v>
      </c>
      <c r="F198" s="43" t="s">
        <v>571</v>
      </c>
      <c r="G198" s="29" t="s">
        <v>290</v>
      </c>
      <c r="H198" s="28" t="str">
        <f aca="false">IFERROR(INDEX('الإعدادات واللجنة'!$C$24:$C$32,MATCH(LEFT(A198,3),'الإعدادات واللجنة'!$A$24:$A$32,0)),"")</f>
        <v>د. حسن بن سعد القحطاني</v>
      </c>
      <c r="I198" s="30"/>
      <c r="J198" s="30"/>
      <c r="K198" s="28" t="str">
        <f aca="false">IF(OR(I198="",I198="متوفر ومكتمل"),"",IF(OR(D198="★",I198="غير متوفر"),"عالية","متوسطة"))</f>
        <v/>
      </c>
      <c r="L198" s="31"/>
      <c r="M198" s="30"/>
      <c r="N198" s="31"/>
      <c r="O198" s="31"/>
      <c r="P198" s="30"/>
      <c r="Q198" s="31"/>
    </row>
    <row r="199" customFormat="false" ht="19.4" hidden="false" customHeight="false" outlineLevel="0" collapsed="false">
      <c r="A199" s="41" t="s">
        <v>567</v>
      </c>
      <c r="B199" s="42" t="s">
        <v>157</v>
      </c>
      <c r="C199" s="43"/>
      <c r="D199" s="44" t="s">
        <v>296</v>
      </c>
      <c r="E199" s="41" t="n">
        <v>4</v>
      </c>
      <c r="F199" s="43" t="s">
        <v>572</v>
      </c>
      <c r="G199" s="29" t="s">
        <v>290</v>
      </c>
      <c r="H199" s="28" t="str">
        <f aca="false">IFERROR(INDEX('الإعدادات واللجنة'!$C$24:$C$32,MATCH(LEFT(A199,3),'الإعدادات واللجنة'!$A$24:$A$32,0)),"")</f>
        <v>د. حسن بن سعد القحطاني</v>
      </c>
      <c r="I199" s="30"/>
      <c r="J199" s="30"/>
      <c r="K199" s="28" t="str">
        <f aca="false">IF(OR(I199="",I199="متوفر ومكتمل"),"",IF(OR(D199="★",I199="غير متوفر"),"عالية","متوسطة"))</f>
        <v/>
      </c>
      <c r="L199" s="31"/>
      <c r="M199" s="30"/>
      <c r="N199" s="31"/>
      <c r="O199" s="31"/>
      <c r="P199" s="30"/>
      <c r="Q199" s="31"/>
    </row>
    <row r="200" customFormat="false" ht="19.4" hidden="false" customHeight="false" outlineLevel="0" collapsed="false">
      <c r="A200" s="41" t="s">
        <v>567</v>
      </c>
      <c r="B200" s="42" t="s">
        <v>157</v>
      </c>
      <c r="C200" s="43"/>
      <c r="D200" s="44" t="s">
        <v>296</v>
      </c>
      <c r="E200" s="41" t="n">
        <v>5</v>
      </c>
      <c r="F200" s="43" t="s">
        <v>573</v>
      </c>
      <c r="G200" s="29" t="s">
        <v>290</v>
      </c>
      <c r="H200" s="28" t="str">
        <f aca="false">IFERROR(INDEX('الإعدادات واللجنة'!$C$24:$C$32,MATCH(LEFT(A200,3),'الإعدادات واللجنة'!$A$24:$A$32,0)),"")</f>
        <v>د. حسن بن سعد القحطاني</v>
      </c>
      <c r="I200" s="30"/>
      <c r="J200" s="30"/>
      <c r="K200" s="28" t="str">
        <f aca="false">IF(OR(I200="",I200="متوفر ومكتمل"),"",IF(OR(D200="★",I200="غير متوفر"),"عالية","متوسطة"))</f>
        <v/>
      </c>
      <c r="L200" s="31"/>
      <c r="M200" s="30"/>
      <c r="N200" s="31"/>
      <c r="O200" s="31"/>
      <c r="P200" s="30"/>
      <c r="Q200" s="31"/>
    </row>
    <row r="201" customFormat="false" ht="19.4" hidden="false" customHeight="false" outlineLevel="0" collapsed="false">
      <c r="A201" s="41" t="s">
        <v>567</v>
      </c>
      <c r="B201" s="42" t="s">
        <v>157</v>
      </c>
      <c r="C201" s="43"/>
      <c r="D201" s="44" t="s">
        <v>296</v>
      </c>
      <c r="E201" s="41" t="n">
        <v>6</v>
      </c>
      <c r="F201" s="43" t="s">
        <v>574</v>
      </c>
      <c r="G201" s="29" t="s">
        <v>290</v>
      </c>
      <c r="H201" s="28" t="str">
        <f aca="false">IFERROR(INDEX('الإعدادات واللجنة'!$C$24:$C$32,MATCH(LEFT(A201,3),'الإعدادات واللجنة'!$A$24:$A$32,0)),"")</f>
        <v>د. حسن بن سعد القحطاني</v>
      </c>
      <c r="I201" s="30"/>
      <c r="J201" s="30"/>
      <c r="K201" s="28" t="str">
        <f aca="false">IF(OR(I201="",I201="متوفر ومكتمل"),"",IF(OR(D201="★",I201="غير متوفر"),"عالية","متوسطة"))</f>
        <v/>
      </c>
      <c r="L201" s="31"/>
      <c r="M201" s="30"/>
      <c r="N201" s="31"/>
      <c r="O201" s="31"/>
      <c r="P201" s="30"/>
      <c r="Q201" s="31"/>
    </row>
    <row r="202" customFormat="false" ht="22.35" hidden="false" customHeight="false" outlineLevel="0" collapsed="false">
      <c r="A202" s="45" t="s">
        <v>575</v>
      </c>
      <c r="B202" s="46" t="s">
        <v>157</v>
      </c>
      <c r="C202" s="47" t="s">
        <v>576</v>
      </c>
      <c r="D202" s="48"/>
      <c r="E202" s="38" t="n">
        <v>1</v>
      </c>
      <c r="F202" s="47" t="s">
        <v>577</v>
      </c>
      <c r="G202" s="37" t="s">
        <v>290</v>
      </c>
      <c r="H202" s="38" t="str">
        <f aca="false">IFERROR(INDEX('الإعدادات واللجنة'!$C$24:$C$32,MATCH(LEFT(A202,3),'الإعدادات واللجنة'!$A$24:$A$32,0)),"")</f>
        <v>د. حسن بن سعد القحطاني</v>
      </c>
      <c r="I202" s="39"/>
      <c r="J202" s="39"/>
      <c r="K202" s="38" t="str">
        <f aca="false">IF(OR(I202="",I202="متوفر ومكتمل"),"",IF(OR(D202="★",I202="غير متوفر"),"عالية","متوسطة"))</f>
        <v/>
      </c>
      <c r="L202" s="40"/>
      <c r="M202" s="39"/>
      <c r="N202" s="40"/>
      <c r="O202" s="40"/>
      <c r="P202" s="39"/>
      <c r="Q202" s="40"/>
    </row>
    <row r="203" customFormat="false" ht="22.35" hidden="false" customHeight="false" outlineLevel="0" collapsed="false">
      <c r="A203" s="28" t="s">
        <v>575</v>
      </c>
      <c r="B203" s="25" t="s">
        <v>157</v>
      </c>
      <c r="C203" s="26"/>
      <c r="D203" s="27"/>
      <c r="E203" s="28" t="n">
        <v>2</v>
      </c>
      <c r="F203" s="26" t="s">
        <v>578</v>
      </c>
      <c r="G203" s="29" t="s">
        <v>290</v>
      </c>
      <c r="H203" s="28" t="str">
        <f aca="false">IFERROR(INDEX('الإعدادات واللجنة'!$C$24:$C$32,MATCH(LEFT(A203,3),'الإعدادات واللجنة'!$A$24:$A$32,0)),"")</f>
        <v>د. حسن بن سعد القحطاني</v>
      </c>
      <c r="I203" s="30"/>
      <c r="J203" s="30"/>
      <c r="K203" s="28" t="str">
        <f aca="false">IF(OR(I203="",I203="متوفر ومكتمل"),"",IF(OR(D203="★",I203="غير متوفر"),"عالية","متوسطة"))</f>
        <v/>
      </c>
      <c r="L203" s="31"/>
      <c r="M203" s="30"/>
      <c r="N203" s="31"/>
      <c r="O203" s="31"/>
      <c r="P203" s="30"/>
      <c r="Q203" s="31"/>
    </row>
    <row r="204" customFormat="false" ht="19.4" hidden="false" customHeight="false" outlineLevel="0" collapsed="false">
      <c r="A204" s="28" t="s">
        <v>575</v>
      </c>
      <c r="B204" s="25" t="s">
        <v>157</v>
      </c>
      <c r="C204" s="26"/>
      <c r="D204" s="27"/>
      <c r="E204" s="28" t="n">
        <v>3</v>
      </c>
      <c r="F204" s="26" t="s">
        <v>579</v>
      </c>
      <c r="G204" s="29" t="s">
        <v>290</v>
      </c>
      <c r="H204" s="28" t="str">
        <f aca="false">IFERROR(INDEX('الإعدادات واللجنة'!$C$24:$C$32,MATCH(LEFT(A204,3),'الإعدادات واللجنة'!$A$24:$A$32,0)),"")</f>
        <v>د. حسن بن سعد القحطاني</v>
      </c>
      <c r="I204" s="30"/>
      <c r="J204" s="30"/>
      <c r="K204" s="28" t="str">
        <f aca="false">IF(OR(I204="",I204="متوفر ومكتمل"),"",IF(OR(D204="★",I204="غير متوفر"),"عالية","متوسطة"))</f>
        <v/>
      </c>
      <c r="L204" s="31"/>
      <c r="M204" s="30"/>
      <c r="N204" s="31"/>
      <c r="O204" s="31"/>
      <c r="P204" s="30"/>
      <c r="Q204" s="31"/>
    </row>
    <row r="205" customFormat="false" ht="19.4" hidden="false" customHeight="false" outlineLevel="0" collapsed="false">
      <c r="A205" s="28" t="s">
        <v>575</v>
      </c>
      <c r="B205" s="25" t="s">
        <v>157</v>
      </c>
      <c r="C205" s="26"/>
      <c r="D205" s="27"/>
      <c r="E205" s="28" t="n">
        <v>4</v>
      </c>
      <c r="F205" s="26" t="s">
        <v>580</v>
      </c>
      <c r="G205" s="29" t="s">
        <v>290</v>
      </c>
      <c r="H205" s="28" t="str">
        <f aca="false">IFERROR(INDEX('الإعدادات واللجنة'!$C$24:$C$32,MATCH(LEFT(A205,3),'الإعدادات واللجنة'!$A$24:$A$32,0)),"")</f>
        <v>د. حسن بن سعد القحطاني</v>
      </c>
      <c r="I205" s="30"/>
      <c r="J205" s="30"/>
      <c r="K205" s="28" t="str">
        <f aca="false">IF(OR(I205="",I205="متوفر ومكتمل"),"",IF(OR(D205="★",I205="غير متوفر"),"عالية","متوسطة"))</f>
        <v/>
      </c>
      <c r="L205" s="31"/>
      <c r="M205" s="30"/>
      <c r="N205" s="31"/>
      <c r="O205" s="31"/>
      <c r="P205" s="30"/>
      <c r="Q205" s="31"/>
    </row>
    <row r="206" customFormat="false" ht="22.35" hidden="false" customHeight="false" outlineLevel="0" collapsed="false">
      <c r="A206" s="28" t="s">
        <v>575</v>
      </c>
      <c r="B206" s="25" t="s">
        <v>157</v>
      </c>
      <c r="C206" s="26"/>
      <c r="D206" s="27"/>
      <c r="E206" s="28" t="n">
        <v>5</v>
      </c>
      <c r="F206" s="26" t="s">
        <v>581</v>
      </c>
      <c r="G206" s="29" t="s">
        <v>290</v>
      </c>
      <c r="H206" s="28" t="str">
        <f aca="false">IFERROR(INDEX('الإعدادات واللجنة'!$C$24:$C$32,MATCH(LEFT(A206,3),'الإعدادات واللجنة'!$A$24:$A$32,0)),"")</f>
        <v>د. حسن بن سعد القحطاني</v>
      </c>
      <c r="I206" s="30"/>
      <c r="J206" s="30"/>
      <c r="K206" s="28" t="str">
        <f aca="false">IF(OR(I206="",I206="متوفر ومكتمل"),"",IF(OR(D206="★",I206="غير متوفر"),"عالية","متوسطة"))</f>
        <v/>
      </c>
      <c r="L206" s="31"/>
      <c r="M206" s="30"/>
      <c r="N206" s="31"/>
      <c r="O206" s="31"/>
      <c r="P206" s="30"/>
      <c r="Q206" s="31"/>
    </row>
    <row r="207" customFormat="false" ht="22.35" hidden="false" customHeight="false" outlineLevel="0" collapsed="false">
      <c r="A207" s="45" t="s">
        <v>582</v>
      </c>
      <c r="B207" s="46" t="s">
        <v>157</v>
      </c>
      <c r="C207" s="47" t="s">
        <v>583</v>
      </c>
      <c r="D207" s="48"/>
      <c r="E207" s="38" t="n">
        <v>1</v>
      </c>
      <c r="F207" s="47" t="s">
        <v>584</v>
      </c>
      <c r="G207" s="37" t="s">
        <v>290</v>
      </c>
      <c r="H207" s="38" t="str">
        <f aca="false">IFERROR(INDEX('الإعدادات واللجنة'!$C$24:$C$32,MATCH(LEFT(A207,3),'الإعدادات واللجنة'!$A$24:$A$32,0)),"")</f>
        <v>د. حسن بن سعد القحطاني</v>
      </c>
      <c r="I207" s="39"/>
      <c r="J207" s="39"/>
      <c r="K207" s="38" t="str">
        <f aca="false">IF(OR(I207="",I207="متوفر ومكتمل"),"",IF(OR(D207="★",I207="غير متوفر"),"عالية","متوسطة"))</f>
        <v/>
      </c>
      <c r="L207" s="40"/>
      <c r="M207" s="39"/>
      <c r="N207" s="40"/>
      <c r="O207" s="40"/>
      <c r="P207" s="39"/>
      <c r="Q207" s="40"/>
    </row>
    <row r="208" customFormat="false" ht="22.35" hidden="false" customHeight="false" outlineLevel="0" collapsed="false">
      <c r="A208" s="28" t="s">
        <v>582</v>
      </c>
      <c r="B208" s="25" t="s">
        <v>157</v>
      </c>
      <c r="C208" s="26"/>
      <c r="D208" s="27"/>
      <c r="E208" s="28" t="n">
        <v>2</v>
      </c>
      <c r="F208" s="26" t="s">
        <v>585</v>
      </c>
      <c r="G208" s="29" t="s">
        <v>290</v>
      </c>
      <c r="H208" s="28" t="str">
        <f aca="false">IFERROR(INDEX('الإعدادات واللجنة'!$C$24:$C$32,MATCH(LEFT(A208,3),'الإعدادات واللجنة'!$A$24:$A$32,0)),"")</f>
        <v>د. حسن بن سعد القحطاني</v>
      </c>
      <c r="I208" s="30"/>
      <c r="J208" s="30"/>
      <c r="K208" s="28" t="str">
        <f aca="false">IF(OR(I208="",I208="متوفر ومكتمل"),"",IF(OR(D208="★",I208="غير متوفر"),"عالية","متوسطة"))</f>
        <v/>
      </c>
      <c r="L208" s="31"/>
      <c r="M208" s="30"/>
      <c r="N208" s="31"/>
      <c r="O208" s="31"/>
      <c r="P208" s="30"/>
      <c r="Q208" s="31"/>
    </row>
  </sheetData>
  <autoFilter ref="A4:Q208"/>
  <mergeCells count="2">
    <mergeCell ref="A1:H1"/>
    <mergeCell ref="A2:Q2"/>
  </mergeCells>
  <conditionalFormatting sqref="I5:I208">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08">
    <cfRule type="cellIs" priority="5" operator="equal" aboveAverage="0" equalAverage="0" bottom="0" percent="0" rank="0" text="" dxfId="13">
      <formula>"عالية"</formula>
    </cfRule>
  </conditionalFormatting>
  <conditionalFormatting sqref="P5:P208">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08" type="list">
      <formula1>"متوفر ومكتمل,متوفر ويحتاج تحسين,غير متوفر"</formula1>
      <formula2>0</formula2>
    </dataValidation>
    <dataValidation allowBlank="true" errorStyle="stop" operator="between" showDropDown="false" showErrorMessage="false" showInputMessage="false" sqref="J5:J208"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08"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08"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3" t="str">
        <f aca="false">"فحص الأدلة – "&amp;'الإعدادات واللجنة'!$B$6</f>
        <v>فحص الأدلة – بكالوريوس علوم البيانات</v>
      </c>
      <c r="B1" s="23"/>
      <c r="C1" s="23"/>
      <c r="D1" s="23"/>
      <c r="E1" s="23"/>
      <c r="F1" s="23"/>
      <c r="G1" s="23"/>
      <c r="H1" s="23"/>
    </row>
    <row r="2" customFormat="false" ht="15" hidden="false" customHeight="true" outlineLevel="0" collapsed="false">
      <c r="A2" s="14" t="s">
        <v>274</v>
      </c>
      <c r="B2" s="14"/>
      <c r="C2" s="14"/>
      <c r="D2" s="14"/>
      <c r="E2" s="14"/>
      <c r="F2" s="14"/>
      <c r="G2" s="14"/>
      <c r="H2" s="14"/>
      <c r="I2" s="14"/>
      <c r="J2" s="14"/>
      <c r="K2" s="14"/>
      <c r="L2" s="14"/>
      <c r="M2" s="14"/>
      <c r="N2" s="14"/>
      <c r="O2" s="14"/>
      <c r="P2" s="14"/>
      <c r="Q2" s="14"/>
    </row>
    <row r="4" customFormat="false" ht="30" hidden="false" customHeight="true" outlineLevel="0" collapsed="false">
      <c r="A4" s="3" t="s">
        <v>120</v>
      </c>
      <c r="B4" s="3" t="s">
        <v>144</v>
      </c>
      <c r="C4" s="3" t="s">
        <v>275</v>
      </c>
      <c r="D4" s="3" t="s">
        <v>276</v>
      </c>
      <c r="E4" s="3" t="s">
        <v>91</v>
      </c>
      <c r="F4" s="3" t="s">
        <v>277</v>
      </c>
      <c r="G4" s="3" t="s">
        <v>278</v>
      </c>
      <c r="H4" s="3" t="s">
        <v>5</v>
      </c>
      <c r="I4" s="3" t="s">
        <v>279</v>
      </c>
      <c r="J4" s="3" t="s">
        <v>167</v>
      </c>
      <c r="K4" s="3" t="s">
        <v>280</v>
      </c>
      <c r="L4" s="3" t="s">
        <v>281</v>
      </c>
      <c r="M4" s="3" t="s">
        <v>282</v>
      </c>
      <c r="N4" s="3" t="s">
        <v>283</v>
      </c>
      <c r="O4" s="3" t="s">
        <v>284</v>
      </c>
      <c r="P4" s="3" t="s">
        <v>285</v>
      </c>
      <c r="Q4" s="3" t="s">
        <v>286</v>
      </c>
    </row>
    <row r="5" customFormat="false" ht="22.35" hidden="false" customHeight="false" outlineLevel="0" collapsed="false">
      <c r="A5" s="24" t="s">
        <v>287</v>
      </c>
      <c r="B5" s="25" t="s">
        <v>153</v>
      </c>
      <c r="C5" s="26" t="s">
        <v>288</v>
      </c>
      <c r="D5" s="27"/>
      <c r="E5" s="28" t="n">
        <v>1</v>
      </c>
      <c r="F5" s="26" t="s">
        <v>289</v>
      </c>
      <c r="G5" s="29" t="s">
        <v>290</v>
      </c>
      <c r="H5" s="28" t="str">
        <f aca="false">IFERROR(INDEX('الإعدادات واللجنة'!$C$24:$C$32,MATCH(LEFT(A5,3),'الإعدادات واللجنة'!$A$24:$A$32,0)),"")</f>
        <v>د. سلطان بن سعيد الشمراني</v>
      </c>
      <c r="I5" s="30"/>
      <c r="J5" s="30"/>
      <c r="K5" s="28" t="str">
        <f aca="false">IF(OR(I5="",I5="متوفر ومكتمل"),"",IF(OR(D5="★",I5="غير متوفر"),"عالية","متوسطة"))</f>
        <v/>
      </c>
      <c r="L5" s="31"/>
      <c r="M5" s="30"/>
      <c r="N5" s="31"/>
      <c r="O5" s="31"/>
      <c r="P5" s="30"/>
      <c r="Q5" s="31"/>
    </row>
    <row r="6" customFormat="false" ht="22.35" hidden="false" customHeight="false" outlineLevel="0" collapsed="false">
      <c r="A6" s="28" t="s">
        <v>287</v>
      </c>
      <c r="B6" s="25" t="s">
        <v>153</v>
      </c>
      <c r="C6" s="26"/>
      <c r="D6" s="27"/>
      <c r="E6" s="28" t="n">
        <v>2</v>
      </c>
      <c r="F6" s="26" t="s">
        <v>291</v>
      </c>
      <c r="G6" s="29" t="s">
        <v>290</v>
      </c>
      <c r="H6" s="28" t="str">
        <f aca="false">IFERROR(INDEX('الإعدادات واللجنة'!$C$24:$C$32,MATCH(LEFT(A6,3),'الإعدادات واللجنة'!$A$24:$A$32,0)),"")</f>
        <v>د. سلطان بن سعيد الشمراني</v>
      </c>
      <c r="I6" s="30"/>
      <c r="J6" s="30"/>
      <c r="K6" s="28" t="str">
        <f aca="false">IF(OR(I6="",I6="متوفر ومكتمل"),"",IF(OR(D6="★",I6="غير متوفر"),"عالية","متوسطة"))</f>
        <v/>
      </c>
      <c r="L6" s="31"/>
      <c r="M6" s="30"/>
      <c r="N6" s="31"/>
      <c r="O6" s="31"/>
      <c r="P6" s="30"/>
      <c r="Q6" s="31"/>
    </row>
    <row r="7" customFormat="false" ht="22.35" hidden="false" customHeight="false" outlineLevel="0" collapsed="false">
      <c r="A7" s="28" t="s">
        <v>287</v>
      </c>
      <c r="B7" s="25" t="s">
        <v>153</v>
      </c>
      <c r="C7" s="26"/>
      <c r="D7" s="27"/>
      <c r="E7" s="28" t="n">
        <v>3</v>
      </c>
      <c r="F7" s="26" t="s">
        <v>292</v>
      </c>
      <c r="G7" s="29" t="s">
        <v>290</v>
      </c>
      <c r="H7" s="28" t="str">
        <f aca="false">IFERROR(INDEX('الإعدادات واللجنة'!$C$24:$C$32,MATCH(LEFT(A7,3),'الإعدادات واللجنة'!$A$24:$A$32,0)),"")</f>
        <v>د. سلطان بن سعيد الشمراني</v>
      </c>
      <c r="I7" s="30"/>
      <c r="J7" s="30"/>
      <c r="K7" s="28" t="str">
        <f aca="false">IF(OR(I7="",I7="متوفر ومكتمل"),"",IF(OR(D7="★",I7="غير متوفر"),"عالية","متوسطة"))</f>
        <v/>
      </c>
      <c r="L7" s="31"/>
      <c r="M7" s="30"/>
      <c r="N7" s="31"/>
      <c r="O7" s="31"/>
      <c r="P7" s="30"/>
      <c r="Q7" s="31"/>
    </row>
    <row r="8" customFormat="false" ht="22.35" hidden="false" customHeight="false" outlineLevel="0" collapsed="false">
      <c r="A8" s="28" t="s">
        <v>287</v>
      </c>
      <c r="B8" s="25" t="s">
        <v>153</v>
      </c>
      <c r="C8" s="26"/>
      <c r="D8" s="27"/>
      <c r="E8" s="28" t="n">
        <v>4</v>
      </c>
      <c r="F8" s="26" t="s">
        <v>293</v>
      </c>
      <c r="G8" s="29" t="s">
        <v>290</v>
      </c>
      <c r="H8" s="28" t="str">
        <f aca="false">IFERROR(INDEX('الإعدادات واللجنة'!$C$24:$C$32,MATCH(LEFT(A8,3),'الإعدادات واللجنة'!$A$24:$A$32,0)),"")</f>
        <v>د. سلطان بن سعيد الشمراني</v>
      </c>
      <c r="I8" s="30"/>
      <c r="J8" s="30"/>
      <c r="K8" s="28" t="str">
        <f aca="false">IF(OR(I8="",I8="متوفر ومكتمل"),"",IF(OR(D8="★",I8="غير متوفر"),"عالية","متوسطة"))</f>
        <v/>
      </c>
      <c r="L8" s="31"/>
      <c r="M8" s="30"/>
      <c r="N8" s="31"/>
      <c r="O8" s="31"/>
      <c r="P8" s="30"/>
      <c r="Q8" s="31"/>
    </row>
    <row r="9" customFormat="false" ht="22.35" hidden="false" customHeight="false" outlineLevel="0" collapsed="false">
      <c r="A9" s="32" t="s">
        <v>294</v>
      </c>
      <c r="B9" s="33" t="s">
        <v>153</v>
      </c>
      <c r="C9" s="34" t="s">
        <v>295</v>
      </c>
      <c r="D9" s="35" t="s">
        <v>296</v>
      </c>
      <c r="E9" s="36" t="n">
        <v>1</v>
      </c>
      <c r="F9" s="34" t="s">
        <v>297</v>
      </c>
      <c r="G9" s="37" t="s">
        <v>290</v>
      </c>
      <c r="H9" s="38" t="str">
        <f aca="false">IFERROR(INDEX('الإعدادات واللجنة'!$C$24:$C$32,MATCH(LEFT(A9,3),'الإعدادات واللجنة'!$A$24:$A$32,0)),"")</f>
        <v>د. سلطان بن سعيد الشمراني</v>
      </c>
      <c r="I9" s="39"/>
      <c r="J9" s="39"/>
      <c r="K9" s="38" t="str">
        <f aca="false">IF(OR(I9="",I9="متوفر ومكتمل"),"",IF(OR(D9="★",I9="غير متوفر"),"عالية","متوسطة"))</f>
        <v/>
      </c>
      <c r="L9" s="40"/>
      <c r="M9" s="39"/>
      <c r="N9" s="40"/>
      <c r="O9" s="40"/>
      <c r="P9" s="39"/>
      <c r="Q9" s="40"/>
    </row>
    <row r="10" customFormat="false" ht="22.35" hidden="false" customHeight="false" outlineLevel="0" collapsed="false">
      <c r="A10" s="41" t="s">
        <v>294</v>
      </c>
      <c r="B10" s="42" t="s">
        <v>153</v>
      </c>
      <c r="C10" s="43"/>
      <c r="D10" s="44" t="s">
        <v>296</v>
      </c>
      <c r="E10" s="41" t="n">
        <v>2</v>
      </c>
      <c r="F10" s="43" t="s">
        <v>298</v>
      </c>
      <c r="G10" s="29" t="s">
        <v>290</v>
      </c>
      <c r="H10" s="28" t="str">
        <f aca="false">IFERROR(INDEX('الإعدادات واللجنة'!$C$24:$C$32,MATCH(LEFT(A10,3),'الإعدادات واللجنة'!$A$24:$A$32,0)),"")</f>
        <v>د. سلطان بن سعيد الشمراني</v>
      </c>
      <c r="I10" s="30"/>
      <c r="J10" s="30"/>
      <c r="K10" s="28" t="str">
        <f aca="false">IF(OR(I10="",I10="متوفر ومكتمل"),"",IF(OR(D10="★",I10="غير متوفر"),"عالية","متوسطة"))</f>
        <v/>
      </c>
      <c r="L10" s="31"/>
      <c r="M10" s="30"/>
      <c r="N10" s="31"/>
      <c r="O10" s="31"/>
      <c r="P10" s="30"/>
      <c r="Q10" s="31"/>
    </row>
    <row r="11" customFormat="false" ht="22.35" hidden="false" customHeight="false" outlineLevel="0" collapsed="false">
      <c r="A11" s="41" t="s">
        <v>294</v>
      </c>
      <c r="B11" s="42" t="s">
        <v>153</v>
      </c>
      <c r="C11" s="43"/>
      <c r="D11" s="44" t="s">
        <v>296</v>
      </c>
      <c r="E11" s="41" t="n">
        <v>3</v>
      </c>
      <c r="F11" s="43" t="s">
        <v>299</v>
      </c>
      <c r="G11" s="29" t="s">
        <v>290</v>
      </c>
      <c r="H11" s="28" t="str">
        <f aca="false">IFERROR(INDEX('الإعدادات واللجنة'!$C$24:$C$32,MATCH(LEFT(A11,3),'الإعدادات واللجنة'!$A$24:$A$32,0)),"")</f>
        <v>د. سلطان بن سعيد الشمراني</v>
      </c>
      <c r="I11" s="30"/>
      <c r="J11" s="30"/>
      <c r="K11" s="28" t="str">
        <f aca="false">IF(OR(I11="",I11="متوفر ومكتمل"),"",IF(OR(D11="★",I11="غير متوفر"),"عالية","متوسطة"))</f>
        <v/>
      </c>
      <c r="L11" s="31"/>
      <c r="M11" s="30"/>
      <c r="N11" s="31"/>
      <c r="O11" s="31"/>
      <c r="P11" s="30"/>
      <c r="Q11" s="31"/>
    </row>
    <row r="12" customFormat="false" ht="22.35" hidden="false" customHeight="false" outlineLevel="0" collapsed="false">
      <c r="A12" s="41" t="s">
        <v>294</v>
      </c>
      <c r="B12" s="42" t="s">
        <v>153</v>
      </c>
      <c r="C12" s="43"/>
      <c r="D12" s="44" t="s">
        <v>296</v>
      </c>
      <c r="E12" s="41" t="n">
        <v>4</v>
      </c>
      <c r="F12" s="43" t="s">
        <v>300</v>
      </c>
      <c r="G12" s="29" t="s">
        <v>290</v>
      </c>
      <c r="H12" s="28" t="str">
        <f aca="false">IFERROR(INDEX('الإعدادات واللجنة'!$C$24:$C$32,MATCH(LEFT(A12,3),'الإعدادات واللجنة'!$A$24:$A$32,0)),"")</f>
        <v>د. سلطان بن سعيد الشمراني</v>
      </c>
      <c r="I12" s="30"/>
      <c r="J12" s="30"/>
      <c r="K12" s="28" t="str">
        <f aca="false">IF(OR(I12="",I12="متوفر ومكتمل"),"",IF(OR(D12="★",I12="غير متوفر"),"عالية","متوسطة"))</f>
        <v/>
      </c>
      <c r="L12" s="31"/>
      <c r="M12" s="30"/>
      <c r="N12" s="31"/>
      <c r="O12" s="31"/>
      <c r="P12" s="30"/>
      <c r="Q12" s="31"/>
    </row>
    <row r="13" customFormat="false" ht="22.35" hidden="false" customHeight="false" outlineLevel="0" collapsed="false">
      <c r="A13" s="41" t="s">
        <v>294</v>
      </c>
      <c r="B13" s="42" t="s">
        <v>153</v>
      </c>
      <c r="C13" s="43"/>
      <c r="D13" s="44" t="s">
        <v>296</v>
      </c>
      <c r="E13" s="41" t="n">
        <v>5</v>
      </c>
      <c r="F13" s="43" t="s">
        <v>301</v>
      </c>
      <c r="G13" s="29" t="s">
        <v>290</v>
      </c>
      <c r="H13" s="28" t="str">
        <f aca="false">IFERROR(INDEX('الإعدادات واللجنة'!$C$24:$C$32,MATCH(LEFT(A13,3),'الإعدادات واللجنة'!$A$24:$A$32,0)),"")</f>
        <v>د. سلطان بن سعيد الشمراني</v>
      </c>
      <c r="I13" s="30"/>
      <c r="J13" s="30"/>
      <c r="K13" s="28" t="str">
        <f aca="false">IF(OR(I13="",I13="متوفر ومكتمل"),"",IF(OR(D13="★",I13="غير متوفر"),"عالية","متوسطة"))</f>
        <v/>
      </c>
      <c r="L13" s="31"/>
      <c r="M13" s="30"/>
      <c r="N13" s="31"/>
      <c r="O13" s="31"/>
      <c r="P13" s="30"/>
      <c r="Q13" s="31"/>
    </row>
    <row r="14" customFormat="false" ht="22.35" hidden="false" customHeight="false" outlineLevel="0" collapsed="false">
      <c r="A14" s="45" t="s">
        <v>302</v>
      </c>
      <c r="B14" s="46" t="s">
        <v>153</v>
      </c>
      <c r="C14" s="47" t="s">
        <v>303</v>
      </c>
      <c r="D14" s="48"/>
      <c r="E14" s="38" t="n">
        <v>1</v>
      </c>
      <c r="F14" s="47" t="s">
        <v>304</v>
      </c>
      <c r="G14" s="37" t="s">
        <v>290</v>
      </c>
      <c r="H14" s="38" t="str">
        <f aca="false">IFERROR(INDEX('الإعدادات واللجنة'!$C$24:$C$32,MATCH(LEFT(A14,3),'الإعدادات واللجنة'!$A$24:$A$32,0)),"")</f>
        <v>د. سلطان بن سعيد الشمراني</v>
      </c>
      <c r="I14" s="39"/>
      <c r="J14" s="39"/>
      <c r="K14" s="38" t="str">
        <f aca="false">IF(OR(I14="",I14="متوفر ومكتمل"),"",IF(OR(D14="★",I14="غير متوفر"),"عالية","متوسطة"))</f>
        <v/>
      </c>
      <c r="L14" s="40"/>
      <c r="M14" s="39"/>
      <c r="N14" s="40"/>
      <c r="O14" s="40"/>
      <c r="P14" s="39"/>
      <c r="Q14" s="40"/>
    </row>
    <row r="15" customFormat="false" ht="22.35" hidden="false" customHeight="false" outlineLevel="0" collapsed="false">
      <c r="A15" s="28" t="s">
        <v>302</v>
      </c>
      <c r="B15" s="25" t="s">
        <v>153</v>
      </c>
      <c r="C15" s="26"/>
      <c r="D15" s="27"/>
      <c r="E15" s="28" t="n">
        <v>2</v>
      </c>
      <c r="F15" s="26" t="s">
        <v>305</v>
      </c>
      <c r="G15" s="29" t="s">
        <v>290</v>
      </c>
      <c r="H15" s="28" t="str">
        <f aca="false">IFERROR(INDEX('الإعدادات واللجنة'!$C$24:$C$32,MATCH(LEFT(A15,3),'الإعدادات واللجنة'!$A$24:$A$32,0)),"")</f>
        <v>د. سلطان بن سعيد الشمراني</v>
      </c>
      <c r="I15" s="30"/>
      <c r="J15" s="30"/>
      <c r="K15" s="28" t="str">
        <f aca="false">IF(OR(I15="",I15="متوفر ومكتمل"),"",IF(OR(D15="★",I15="غير متوفر"),"عالية","متوسطة"))</f>
        <v/>
      </c>
      <c r="L15" s="31"/>
      <c r="M15" s="30"/>
      <c r="N15" s="31"/>
      <c r="O15" s="31"/>
      <c r="P15" s="30"/>
      <c r="Q15" s="31"/>
    </row>
    <row r="16" customFormat="false" ht="22.35" hidden="false" customHeight="false" outlineLevel="0" collapsed="false">
      <c r="A16" s="28" t="s">
        <v>302</v>
      </c>
      <c r="B16" s="25" t="s">
        <v>153</v>
      </c>
      <c r="C16" s="26"/>
      <c r="D16" s="27"/>
      <c r="E16" s="28" t="n">
        <v>3</v>
      </c>
      <c r="F16" s="26" t="s">
        <v>306</v>
      </c>
      <c r="G16" s="29" t="s">
        <v>290</v>
      </c>
      <c r="H16" s="28" t="str">
        <f aca="false">IFERROR(INDEX('الإعدادات واللجنة'!$C$24:$C$32,MATCH(LEFT(A16,3),'الإعدادات واللجنة'!$A$24:$A$32,0)),"")</f>
        <v>د. سلطان بن سعيد الشمراني</v>
      </c>
      <c r="I16" s="30"/>
      <c r="J16" s="30"/>
      <c r="K16" s="28" t="str">
        <f aca="false">IF(OR(I16="",I16="متوفر ومكتمل"),"",IF(OR(D16="★",I16="غير متوفر"),"عالية","متوسطة"))</f>
        <v/>
      </c>
      <c r="L16" s="31"/>
      <c r="M16" s="30"/>
      <c r="N16" s="31"/>
      <c r="O16" s="31"/>
      <c r="P16" s="30"/>
      <c r="Q16" s="31"/>
    </row>
    <row r="17" customFormat="false" ht="22.35" hidden="false" customHeight="false" outlineLevel="0" collapsed="false">
      <c r="A17" s="28" t="s">
        <v>302</v>
      </c>
      <c r="B17" s="25" t="s">
        <v>153</v>
      </c>
      <c r="C17" s="26"/>
      <c r="D17" s="27"/>
      <c r="E17" s="28" t="n">
        <v>4</v>
      </c>
      <c r="F17" s="26" t="s">
        <v>307</v>
      </c>
      <c r="G17" s="29" t="s">
        <v>290</v>
      </c>
      <c r="H17" s="28" t="str">
        <f aca="false">IFERROR(INDEX('الإعدادات واللجنة'!$C$24:$C$32,MATCH(LEFT(A17,3),'الإعدادات واللجنة'!$A$24:$A$32,0)),"")</f>
        <v>د. سلطان بن سعيد الشمراني</v>
      </c>
      <c r="I17" s="30"/>
      <c r="J17" s="30"/>
      <c r="K17" s="28" t="str">
        <f aca="false">IF(OR(I17="",I17="متوفر ومكتمل"),"",IF(OR(D17="★",I17="غير متوفر"),"عالية","متوسطة"))</f>
        <v/>
      </c>
      <c r="L17" s="31"/>
      <c r="M17" s="30"/>
      <c r="N17" s="31"/>
      <c r="O17" s="31"/>
      <c r="P17" s="30"/>
      <c r="Q17" s="31"/>
    </row>
    <row r="18" customFormat="false" ht="22.35" hidden="false" customHeight="false" outlineLevel="0" collapsed="false">
      <c r="A18" s="28" t="s">
        <v>302</v>
      </c>
      <c r="B18" s="25" t="s">
        <v>153</v>
      </c>
      <c r="C18" s="26"/>
      <c r="D18" s="27"/>
      <c r="E18" s="28" t="n">
        <v>5</v>
      </c>
      <c r="F18" s="26" t="s">
        <v>308</v>
      </c>
      <c r="G18" s="29" t="s">
        <v>290</v>
      </c>
      <c r="H18" s="28" t="str">
        <f aca="false">IFERROR(INDEX('الإعدادات واللجنة'!$C$24:$C$32,MATCH(LEFT(A18,3),'الإعدادات واللجنة'!$A$24:$A$32,0)),"")</f>
        <v>د. سلطان بن سعيد الشمراني</v>
      </c>
      <c r="I18" s="30"/>
      <c r="J18" s="30"/>
      <c r="K18" s="28" t="str">
        <f aca="false">IF(OR(I18="",I18="متوفر ومكتمل"),"",IF(OR(D18="★",I18="غير متوفر"),"عالية","متوسطة"))</f>
        <v/>
      </c>
      <c r="L18" s="31"/>
      <c r="M18" s="30"/>
      <c r="N18" s="31"/>
      <c r="O18" s="31"/>
      <c r="P18" s="30"/>
      <c r="Q18" s="31"/>
    </row>
    <row r="19" customFormat="false" ht="22.35" hidden="false" customHeight="false" outlineLevel="0" collapsed="false">
      <c r="A19" s="45" t="s">
        <v>309</v>
      </c>
      <c r="B19" s="46" t="s">
        <v>153</v>
      </c>
      <c r="C19" s="47" t="s">
        <v>310</v>
      </c>
      <c r="D19" s="48"/>
      <c r="E19" s="38" t="n">
        <v>1</v>
      </c>
      <c r="F19" s="47" t="s">
        <v>311</v>
      </c>
      <c r="G19" s="37" t="s">
        <v>290</v>
      </c>
      <c r="H19" s="38" t="str">
        <f aca="false">IFERROR(INDEX('الإعدادات واللجنة'!$C$24:$C$32,MATCH(LEFT(A19,3),'الإعدادات واللجنة'!$A$24:$A$32,0)),"")</f>
        <v>د. سلطان بن سعيد الشمراني</v>
      </c>
      <c r="I19" s="39"/>
      <c r="J19" s="39"/>
      <c r="K19" s="38" t="str">
        <f aca="false">IF(OR(I19="",I19="متوفر ومكتمل"),"",IF(OR(D19="★",I19="غير متوفر"),"عالية","متوسطة"))</f>
        <v/>
      </c>
      <c r="L19" s="40"/>
      <c r="M19" s="39"/>
      <c r="N19" s="40"/>
      <c r="O19" s="40"/>
      <c r="P19" s="39"/>
      <c r="Q19" s="40"/>
    </row>
    <row r="20" customFormat="false" ht="22.35" hidden="false" customHeight="false" outlineLevel="0" collapsed="false">
      <c r="A20" s="28" t="s">
        <v>309</v>
      </c>
      <c r="B20" s="25" t="s">
        <v>153</v>
      </c>
      <c r="C20" s="26"/>
      <c r="D20" s="27"/>
      <c r="E20" s="28" t="n">
        <v>2</v>
      </c>
      <c r="F20" s="26" t="s">
        <v>312</v>
      </c>
      <c r="G20" s="29" t="s">
        <v>290</v>
      </c>
      <c r="H20" s="28" t="str">
        <f aca="false">IFERROR(INDEX('الإعدادات واللجنة'!$C$24:$C$32,MATCH(LEFT(A20,3),'الإعدادات واللجنة'!$A$24:$A$32,0)),"")</f>
        <v>د. سلطان بن سعيد الشمراني</v>
      </c>
      <c r="I20" s="30"/>
      <c r="J20" s="30"/>
      <c r="K20" s="28" t="str">
        <f aca="false">IF(OR(I20="",I20="متوفر ومكتمل"),"",IF(OR(D20="★",I20="غير متوفر"),"عالية","متوسطة"))</f>
        <v/>
      </c>
      <c r="L20" s="31"/>
      <c r="M20" s="30"/>
      <c r="N20" s="31"/>
      <c r="O20" s="31"/>
      <c r="P20" s="30"/>
      <c r="Q20" s="31"/>
    </row>
    <row r="21" customFormat="false" ht="43.25" hidden="false" customHeight="false" outlineLevel="0" collapsed="false">
      <c r="A21" s="45" t="s">
        <v>313</v>
      </c>
      <c r="B21" s="46" t="s">
        <v>153</v>
      </c>
      <c r="C21" s="47" t="s">
        <v>314</v>
      </c>
      <c r="D21" s="48"/>
      <c r="E21" s="38" t="n">
        <v>1</v>
      </c>
      <c r="F21" s="47" t="s">
        <v>315</v>
      </c>
      <c r="G21" s="37" t="s">
        <v>290</v>
      </c>
      <c r="H21" s="38" t="str">
        <f aca="false">IFERROR(INDEX('الإعدادات واللجنة'!$C$24:$C$32,MATCH(LEFT(A21,3),'الإعدادات واللجنة'!$A$24:$A$32,0)),"")</f>
        <v>د. سلطان بن سعيد الشمراني</v>
      </c>
      <c r="I21" s="39"/>
      <c r="J21" s="39"/>
      <c r="K21" s="38" t="str">
        <f aca="false">IF(OR(I21="",I21="متوفر ومكتمل"),"",IF(OR(D21="★",I21="غير متوفر"),"عالية","متوسطة"))</f>
        <v/>
      </c>
      <c r="L21" s="40"/>
      <c r="M21" s="39"/>
      <c r="N21" s="40"/>
      <c r="O21" s="40"/>
      <c r="P21" s="39"/>
      <c r="Q21" s="40"/>
    </row>
    <row r="22" customFormat="false" ht="22.35" hidden="false" customHeight="false" outlineLevel="0" collapsed="false">
      <c r="A22" s="28" t="s">
        <v>313</v>
      </c>
      <c r="B22" s="25" t="s">
        <v>153</v>
      </c>
      <c r="C22" s="26"/>
      <c r="D22" s="27"/>
      <c r="E22" s="28" t="n">
        <v>2</v>
      </c>
      <c r="F22" s="26" t="s">
        <v>316</v>
      </c>
      <c r="G22" s="29" t="s">
        <v>290</v>
      </c>
      <c r="H22" s="28" t="str">
        <f aca="false">IFERROR(INDEX('الإعدادات واللجنة'!$C$24:$C$32,MATCH(LEFT(A22,3),'الإعدادات واللجنة'!$A$24:$A$32,0)),"")</f>
        <v>د. سلطان بن سعيد الشمراني</v>
      </c>
      <c r="I22" s="30"/>
      <c r="J22" s="30"/>
      <c r="K22" s="28" t="str">
        <f aca="false">IF(OR(I22="",I22="متوفر ومكتمل"),"",IF(OR(D22="★",I22="غير متوفر"),"عالية","متوسطة"))</f>
        <v/>
      </c>
      <c r="L22" s="31"/>
      <c r="M22" s="30"/>
      <c r="N22" s="31"/>
      <c r="O22" s="31"/>
      <c r="P22" s="30"/>
      <c r="Q22" s="31"/>
    </row>
    <row r="23" customFormat="false" ht="22.35" hidden="false" customHeight="false" outlineLevel="0" collapsed="false">
      <c r="A23" s="28" t="s">
        <v>313</v>
      </c>
      <c r="B23" s="25" t="s">
        <v>153</v>
      </c>
      <c r="C23" s="26"/>
      <c r="D23" s="27"/>
      <c r="E23" s="28" t="n">
        <v>3</v>
      </c>
      <c r="F23" s="26" t="s">
        <v>317</v>
      </c>
      <c r="G23" s="29" t="s">
        <v>290</v>
      </c>
      <c r="H23" s="28" t="str">
        <f aca="false">IFERROR(INDEX('الإعدادات واللجنة'!$C$24:$C$32,MATCH(LEFT(A23,3),'الإعدادات واللجنة'!$A$24:$A$32,0)),"")</f>
        <v>د. سلطان بن سعيد الشمراني</v>
      </c>
      <c r="I23" s="30"/>
      <c r="J23" s="30"/>
      <c r="K23" s="28" t="str">
        <f aca="false">IF(OR(I23="",I23="متوفر ومكتمل"),"",IF(OR(D23="★",I23="غير متوفر"),"عالية","متوسطة"))</f>
        <v/>
      </c>
      <c r="L23" s="31"/>
      <c r="M23" s="30"/>
      <c r="N23" s="31"/>
      <c r="O23" s="31"/>
      <c r="P23" s="30"/>
      <c r="Q23" s="31"/>
    </row>
    <row r="24" customFormat="false" ht="32.8" hidden="false" customHeight="false" outlineLevel="0" collapsed="false">
      <c r="A24" s="28" t="s">
        <v>313</v>
      </c>
      <c r="B24" s="25" t="s">
        <v>153</v>
      </c>
      <c r="C24" s="26"/>
      <c r="D24" s="27"/>
      <c r="E24" s="28" t="n">
        <v>4</v>
      </c>
      <c r="F24" s="26" t="s">
        <v>318</v>
      </c>
      <c r="G24" s="29" t="s">
        <v>290</v>
      </c>
      <c r="H24" s="28" t="str">
        <f aca="false">IFERROR(INDEX('الإعدادات واللجنة'!$C$24:$C$32,MATCH(LEFT(A24,3),'الإعدادات واللجنة'!$A$24:$A$32,0)),"")</f>
        <v>د. سلطان بن سعيد الشمراني</v>
      </c>
      <c r="I24" s="30"/>
      <c r="J24" s="30"/>
      <c r="K24" s="28" t="str">
        <f aca="false">IF(OR(I24="",I24="متوفر ومكتمل"),"",IF(OR(D24="★",I24="غير متوفر"),"عالية","متوسطة"))</f>
        <v/>
      </c>
      <c r="L24" s="31"/>
      <c r="M24" s="30"/>
      <c r="N24" s="31"/>
      <c r="O24" s="31"/>
      <c r="P24" s="30"/>
      <c r="Q24" s="31"/>
    </row>
    <row r="25" customFormat="false" ht="32.8" hidden="false" customHeight="false" outlineLevel="0" collapsed="false">
      <c r="A25" s="45" t="s">
        <v>319</v>
      </c>
      <c r="B25" s="46" t="s">
        <v>153</v>
      </c>
      <c r="C25" s="47" t="s">
        <v>320</v>
      </c>
      <c r="D25" s="48"/>
      <c r="E25" s="38" t="n">
        <v>1</v>
      </c>
      <c r="F25" s="47" t="s">
        <v>321</v>
      </c>
      <c r="G25" s="37" t="s">
        <v>290</v>
      </c>
      <c r="H25" s="38" t="str">
        <f aca="false">IFERROR(INDEX('الإعدادات واللجنة'!$C$24:$C$32,MATCH(LEFT(A25,3),'الإعدادات واللجنة'!$A$24:$A$32,0)),"")</f>
        <v>د. سلطان بن سعيد الشمراني</v>
      </c>
      <c r="I25" s="39"/>
      <c r="J25" s="39"/>
      <c r="K25" s="38" t="str">
        <f aca="false">IF(OR(I25="",I25="متوفر ومكتمل"),"",IF(OR(D25="★",I25="غير متوفر"),"عالية","متوسطة"))</f>
        <v/>
      </c>
      <c r="L25" s="40"/>
      <c r="M25" s="39"/>
      <c r="N25" s="40"/>
      <c r="O25" s="40"/>
      <c r="P25" s="39"/>
      <c r="Q25" s="40"/>
    </row>
    <row r="26" customFormat="false" ht="22.35" hidden="false" customHeight="false" outlineLevel="0" collapsed="false">
      <c r="A26" s="28" t="s">
        <v>319</v>
      </c>
      <c r="B26" s="25" t="s">
        <v>153</v>
      </c>
      <c r="C26" s="26"/>
      <c r="D26" s="27"/>
      <c r="E26" s="28" t="n">
        <v>2</v>
      </c>
      <c r="F26" s="26" t="s">
        <v>322</v>
      </c>
      <c r="G26" s="29" t="s">
        <v>290</v>
      </c>
      <c r="H26" s="28" t="str">
        <f aca="false">IFERROR(INDEX('الإعدادات واللجنة'!$C$24:$C$32,MATCH(LEFT(A26,3),'الإعدادات واللجنة'!$A$24:$A$32,0)),"")</f>
        <v>د. سلطان بن سعيد الشمراني</v>
      </c>
      <c r="I26" s="30"/>
      <c r="J26" s="30"/>
      <c r="K26" s="28" t="str">
        <f aca="false">IF(OR(I26="",I26="متوفر ومكتمل"),"",IF(OR(D26="★",I26="غير متوفر"),"عالية","متوسطة"))</f>
        <v/>
      </c>
      <c r="L26" s="31"/>
      <c r="M26" s="30"/>
      <c r="N26" s="31"/>
      <c r="O26" s="31"/>
      <c r="P26" s="30"/>
      <c r="Q26" s="31"/>
    </row>
    <row r="27" customFormat="false" ht="22.35" hidden="false" customHeight="false" outlineLevel="0" collapsed="false">
      <c r="A27" s="28" t="s">
        <v>319</v>
      </c>
      <c r="B27" s="25" t="s">
        <v>153</v>
      </c>
      <c r="C27" s="26"/>
      <c r="D27" s="27"/>
      <c r="E27" s="28" t="n">
        <v>3</v>
      </c>
      <c r="F27" s="26" t="s">
        <v>323</v>
      </c>
      <c r="G27" s="29" t="s">
        <v>290</v>
      </c>
      <c r="H27" s="28" t="str">
        <f aca="false">IFERROR(INDEX('الإعدادات واللجنة'!$C$24:$C$32,MATCH(LEFT(A27,3),'الإعدادات واللجنة'!$A$24:$A$32,0)),"")</f>
        <v>د. سلطان بن سعيد الشمراني</v>
      </c>
      <c r="I27" s="30"/>
      <c r="J27" s="30"/>
      <c r="K27" s="28" t="str">
        <f aca="false">IF(OR(I27="",I27="متوفر ومكتمل"),"",IF(OR(D27="★",I27="غير متوفر"),"عالية","متوسطة"))</f>
        <v/>
      </c>
      <c r="L27" s="31"/>
      <c r="M27" s="30"/>
      <c r="N27" s="31"/>
      <c r="O27" s="31"/>
      <c r="P27" s="30"/>
      <c r="Q27" s="31"/>
    </row>
    <row r="28" customFormat="false" ht="22.35" hidden="false" customHeight="false" outlineLevel="0" collapsed="false">
      <c r="A28" s="28" t="s">
        <v>319</v>
      </c>
      <c r="B28" s="25" t="s">
        <v>153</v>
      </c>
      <c r="C28" s="26"/>
      <c r="D28" s="27"/>
      <c r="E28" s="28" t="n">
        <v>4</v>
      </c>
      <c r="F28" s="26" t="s">
        <v>324</v>
      </c>
      <c r="G28" s="29" t="s">
        <v>290</v>
      </c>
      <c r="H28" s="28" t="str">
        <f aca="false">IFERROR(INDEX('الإعدادات واللجنة'!$C$24:$C$32,MATCH(LEFT(A28,3),'الإعدادات واللجنة'!$A$24:$A$32,0)),"")</f>
        <v>د. سلطان بن سعيد الشمراني</v>
      </c>
      <c r="I28" s="30"/>
      <c r="J28" s="30"/>
      <c r="K28" s="28" t="str">
        <f aca="false">IF(OR(I28="",I28="متوفر ومكتمل"),"",IF(OR(D28="★",I28="غير متوفر"),"عالية","متوسطة"))</f>
        <v/>
      </c>
      <c r="L28" s="31"/>
      <c r="M28" s="30"/>
      <c r="N28" s="31"/>
      <c r="O28" s="31"/>
      <c r="P28" s="30"/>
      <c r="Q28" s="31"/>
    </row>
    <row r="29" customFormat="false" ht="22.35" hidden="false" customHeight="false" outlineLevel="0" collapsed="false">
      <c r="A29" s="45" t="s">
        <v>325</v>
      </c>
      <c r="B29" s="46" t="s">
        <v>153</v>
      </c>
      <c r="C29" s="47" t="s">
        <v>326</v>
      </c>
      <c r="D29" s="48"/>
      <c r="E29" s="38" t="n">
        <v>1</v>
      </c>
      <c r="F29" s="47" t="s">
        <v>327</v>
      </c>
      <c r="G29" s="37" t="s">
        <v>290</v>
      </c>
      <c r="H29" s="38" t="str">
        <f aca="false">IFERROR(INDEX('الإعدادات واللجنة'!$C$24:$C$32,MATCH(LEFT(A29,3),'الإعدادات واللجنة'!$A$24:$A$32,0)),"")</f>
        <v>د. سلطان بن سعيد الشمراني</v>
      </c>
      <c r="I29" s="39"/>
      <c r="J29" s="39"/>
      <c r="K29" s="38" t="str">
        <f aca="false">IF(OR(I29="",I29="متوفر ومكتمل"),"",IF(OR(D29="★",I29="غير متوفر"),"عالية","متوسطة"))</f>
        <v/>
      </c>
      <c r="L29" s="40"/>
      <c r="M29" s="39"/>
      <c r="N29" s="40"/>
      <c r="O29" s="40"/>
      <c r="P29" s="39"/>
      <c r="Q29" s="40"/>
    </row>
    <row r="30" customFormat="false" ht="22.35" hidden="false" customHeight="false" outlineLevel="0" collapsed="false">
      <c r="A30" s="28" t="s">
        <v>325</v>
      </c>
      <c r="B30" s="25" t="s">
        <v>153</v>
      </c>
      <c r="C30" s="26"/>
      <c r="D30" s="27"/>
      <c r="E30" s="28" t="n">
        <v>2</v>
      </c>
      <c r="F30" s="26" t="s">
        <v>328</v>
      </c>
      <c r="G30" s="29" t="s">
        <v>290</v>
      </c>
      <c r="H30" s="28" t="str">
        <f aca="false">IFERROR(INDEX('الإعدادات واللجنة'!$C$24:$C$32,MATCH(LEFT(A30,3),'الإعدادات واللجنة'!$A$24:$A$32,0)),"")</f>
        <v>د. سلطان بن سعيد الشمراني</v>
      </c>
      <c r="I30" s="30"/>
      <c r="J30" s="30"/>
      <c r="K30" s="28" t="str">
        <f aca="false">IF(OR(I30="",I30="متوفر ومكتمل"),"",IF(OR(D30="★",I30="غير متوفر"),"عالية","متوسطة"))</f>
        <v/>
      </c>
      <c r="L30" s="31"/>
      <c r="M30" s="30"/>
      <c r="N30" s="31"/>
      <c r="O30" s="31"/>
      <c r="P30" s="30"/>
      <c r="Q30" s="31"/>
    </row>
    <row r="31" customFormat="false" ht="22.35" hidden="false" customHeight="false" outlineLevel="0" collapsed="false">
      <c r="A31" s="28" t="s">
        <v>325</v>
      </c>
      <c r="B31" s="25" t="s">
        <v>153</v>
      </c>
      <c r="C31" s="26"/>
      <c r="D31" s="27"/>
      <c r="E31" s="28" t="n">
        <v>3</v>
      </c>
      <c r="F31" s="26" t="s">
        <v>329</v>
      </c>
      <c r="G31" s="29" t="s">
        <v>290</v>
      </c>
      <c r="H31" s="28" t="str">
        <f aca="false">IFERROR(INDEX('الإعدادات واللجنة'!$C$24:$C$32,MATCH(LEFT(A31,3),'الإعدادات واللجنة'!$A$24:$A$32,0)),"")</f>
        <v>د. سلطان بن سعيد الشمراني</v>
      </c>
      <c r="I31" s="30"/>
      <c r="J31" s="30"/>
      <c r="K31" s="28" t="str">
        <f aca="false">IF(OR(I31="",I31="متوفر ومكتمل"),"",IF(OR(D31="★",I31="غير متوفر"),"عالية","متوسطة"))</f>
        <v/>
      </c>
      <c r="L31" s="31"/>
      <c r="M31" s="30"/>
      <c r="N31" s="31"/>
      <c r="O31" s="31"/>
      <c r="P31" s="30"/>
      <c r="Q31" s="31"/>
    </row>
    <row r="32" customFormat="false" ht="22.35" hidden="false" customHeight="false" outlineLevel="0" collapsed="false">
      <c r="A32" s="28" t="s">
        <v>325</v>
      </c>
      <c r="B32" s="25" t="s">
        <v>153</v>
      </c>
      <c r="C32" s="26"/>
      <c r="D32" s="27"/>
      <c r="E32" s="28" t="n">
        <v>4</v>
      </c>
      <c r="F32" s="26" t="s">
        <v>330</v>
      </c>
      <c r="G32" s="29" t="s">
        <v>290</v>
      </c>
      <c r="H32" s="28" t="str">
        <f aca="false">IFERROR(INDEX('الإعدادات واللجنة'!$C$24:$C$32,MATCH(LEFT(A32,3),'الإعدادات واللجنة'!$A$24:$A$32,0)),"")</f>
        <v>د. سلطان بن سعيد الشمراني</v>
      </c>
      <c r="I32" s="30"/>
      <c r="J32" s="30"/>
      <c r="K32" s="28" t="str">
        <f aca="false">IF(OR(I32="",I32="متوفر ومكتمل"),"",IF(OR(D32="★",I32="غير متوفر"),"عالية","متوسطة"))</f>
        <v/>
      </c>
      <c r="L32" s="31"/>
      <c r="M32" s="30"/>
      <c r="N32" s="31"/>
      <c r="O32" s="31"/>
      <c r="P32" s="30"/>
      <c r="Q32" s="31"/>
    </row>
    <row r="33" customFormat="false" ht="22.35" hidden="false" customHeight="false" outlineLevel="0" collapsed="false">
      <c r="A33" s="28" t="s">
        <v>325</v>
      </c>
      <c r="B33" s="25" t="s">
        <v>153</v>
      </c>
      <c r="C33" s="26"/>
      <c r="D33" s="27"/>
      <c r="E33" s="28" t="n">
        <v>5</v>
      </c>
      <c r="F33" s="26" t="s">
        <v>331</v>
      </c>
      <c r="G33" s="29" t="s">
        <v>290</v>
      </c>
      <c r="H33" s="28" t="str">
        <f aca="false">IFERROR(INDEX('الإعدادات واللجنة'!$C$24:$C$32,MATCH(LEFT(A33,3),'الإعدادات واللجنة'!$A$24:$A$32,0)),"")</f>
        <v>د. سلطان بن سعيد الشمراني</v>
      </c>
      <c r="I33" s="30"/>
      <c r="J33" s="30"/>
      <c r="K33" s="28" t="str">
        <f aca="false">IF(OR(I33="",I33="متوفر ومكتمل"),"",IF(OR(D33="★",I33="غير متوفر"),"عالية","متوسطة"))</f>
        <v/>
      </c>
      <c r="L33" s="31"/>
      <c r="M33" s="30"/>
      <c r="N33" s="31"/>
      <c r="O33" s="31"/>
      <c r="P33" s="30"/>
      <c r="Q33" s="31"/>
    </row>
    <row r="34" customFormat="false" ht="32.8" hidden="false" customHeight="false" outlineLevel="0" collapsed="false">
      <c r="A34" s="32" t="s">
        <v>332</v>
      </c>
      <c r="B34" s="33" t="s">
        <v>153</v>
      </c>
      <c r="C34" s="34" t="s">
        <v>333</v>
      </c>
      <c r="D34" s="35" t="s">
        <v>296</v>
      </c>
      <c r="E34" s="36" t="n">
        <v>1</v>
      </c>
      <c r="F34" s="34" t="s">
        <v>334</v>
      </c>
      <c r="G34" s="37" t="s">
        <v>290</v>
      </c>
      <c r="H34" s="38" t="str">
        <f aca="false">IFERROR(INDEX('الإعدادات واللجنة'!$C$24:$C$32,MATCH(LEFT(A34,3),'الإعدادات واللجنة'!$A$24:$A$32,0)),"")</f>
        <v>د. سلطان بن سعيد الشمراني</v>
      </c>
      <c r="I34" s="39"/>
      <c r="J34" s="39"/>
      <c r="K34" s="38" t="str">
        <f aca="false">IF(OR(I34="",I34="متوفر ومكتمل"),"",IF(OR(D34="★",I34="غير متوفر"),"عالية","متوسطة"))</f>
        <v/>
      </c>
      <c r="L34" s="40"/>
      <c r="M34" s="39"/>
      <c r="N34" s="40"/>
      <c r="O34" s="40"/>
      <c r="P34" s="39"/>
      <c r="Q34" s="40"/>
    </row>
    <row r="35" customFormat="false" ht="22.35" hidden="false" customHeight="false" outlineLevel="0" collapsed="false">
      <c r="A35" s="41" t="s">
        <v>332</v>
      </c>
      <c r="B35" s="42" t="s">
        <v>153</v>
      </c>
      <c r="C35" s="43"/>
      <c r="D35" s="44" t="s">
        <v>296</v>
      </c>
      <c r="E35" s="41" t="n">
        <v>2</v>
      </c>
      <c r="F35" s="43" t="s">
        <v>335</v>
      </c>
      <c r="G35" s="29" t="s">
        <v>290</v>
      </c>
      <c r="H35" s="28" t="str">
        <f aca="false">IFERROR(INDEX('الإعدادات واللجنة'!$C$24:$C$32,MATCH(LEFT(A35,3),'الإعدادات واللجنة'!$A$24:$A$32,0)),"")</f>
        <v>د. سلطان بن سعيد الشمراني</v>
      </c>
      <c r="I35" s="30"/>
      <c r="J35" s="30"/>
      <c r="K35" s="28" t="str">
        <f aca="false">IF(OR(I35="",I35="متوفر ومكتمل"),"",IF(OR(D35="★",I35="غير متوفر"),"عالية","متوسطة"))</f>
        <v/>
      </c>
      <c r="L35" s="31"/>
      <c r="M35" s="30"/>
      <c r="N35" s="31"/>
      <c r="O35" s="31"/>
      <c r="P35" s="30"/>
      <c r="Q35" s="31"/>
    </row>
    <row r="36" customFormat="false" ht="22.35" hidden="false" customHeight="false" outlineLevel="0" collapsed="false">
      <c r="A36" s="41" t="s">
        <v>332</v>
      </c>
      <c r="B36" s="42" t="s">
        <v>153</v>
      </c>
      <c r="C36" s="43"/>
      <c r="D36" s="44" t="s">
        <v>296</v>
      </c>
      <c r="E36" s="41" t="n">
        <v>3</v>
      </c>
      <c r="F36" s="43" t="s">
        <v>336</v>
      </c>
      <c r="G36" s="29" t="s">
        <v>290</v>
      </c>
      <c r="H36" s="28" t="str">
        <f aca="false">IFERROR(INDEX('الإعدادات واللجنة'!$C$24:$C$32,MATCH(LEFT(A36,3),'الإعدادات واللجنة'!$A$24:$A$32,0)),"")</f>
        <v>د. سلطان بن سعيد الشمراني</v>
      </c>
      <c r="I36" s="30"/>
      <c r="J36" s="30"/>
      <c r="K36" s="28" t="str">
        <f aca="false">IF(OR(I36="",I36="متوفر ومكتمل"),"",IF(OR(D36="★",I36="غير متوفر"),"عالية","متوسطة"))</f>
        <v/>
      </c>
      <c r="L36" s="31"/>
      <c r="M36" s="30"/>
      <c r="N36" s="31"/>
      <c r="O36" s="31"/>
      <c r="P36" s="30"/>
      <c r="Q36" s="31"/>
    </row>
    <row r="37" customFormat="false" ht="22.35" hidden="false" customHeight="false" outlineLevel="0" collapsed="false">
      <c r="A37" s="41" t="s">
        <v>332</v>
      </c>
      <c r="B37" s="42" t="s">
        <v>153</v>
      </c>
      <c r="C37" s="43"/>
      <c r="D37" s="44" t="s">
        <v>296</v>
      </c>
      <c r="E37" s="41" t="n">
        <v>4</v>
      </c>
      <c r="F37" s="43" t="s">
        <v>337</v>
      </c>
      <c r="G37" s="29" t="s">
        <v>290</v>
      </c>
      <c r="H37" s="28" t="str">
        <f aca="false">IFERROR(INDEX('الإعدادات واللجنة'!$C$24:$C$32,MATCH(LEFT(A37,3),'الإعدادات واللجنة'!$A$24:$A$32,0)),"")</f>
        <v>د. سلطان بن سعيد الشمراني</v>
      </c>
      <c r="I37" s="30"/>
      <c r="J37" s="30"/>
      <c r="K37" s="28" t="str">
        <f aca="false">IF(OR(I37="",I37="متوفر ومكتمل"),"",IF(OR(D37="★",I37="غير متوفر"),"عالية","متوسطة"))</f>
        <v/>
      </c>
      <c r="L37" s="31"/>
      <c r="M37" s="30"/>
      <c r="N37" s="31"/>
      <c r="O37" s="31"/>
      <c r="P37" s="30"/>
      <c r="Q37" s="31"/>
    </row>
    <row r="38" customFormat="false" ht="22.35" hidden="false" customHeight="false" outlineLevel="0" collapsed="false">
      <c r="A38" s="41" t="s">
        <v>332</v>
      </c>
      <c r="B38" s="42" t="s">
        <v>153</v>
      </c>
      <c r="C38" s="43"/>
      <c r="D38" s="44" t="s">
        <v>296</v>
      </c>
      <c r="E38" s="41" t="n">
        <v>5</v>
      </c>
      <c r="F38" s="43" t="s">
        <v>338</v>
      </c>
      <c r="G38" s="29" t="s">
        <v>290</v>
      </c>
      <c r="H38" s="28" t="str">
        <f aca="false">IFERROR(INDEX('الإعدادات واللجنة'!$C$24:$C$32,MATCH(LEFT(A38,3),'الإعدادات واللجنة'!$A$24:$A$32,0)),"")</f>
        <v>د. سلطان بن سعيد الشمراني</v>
      </c>
      <c r="I38" s="30"/>
      <c r="J38" s="30"/>
      <c r="K38" s="28" t="str">
        <f aca="false">IF(OR(I38="",I38="متوفر ومكتمل"),"",IF(OR(D38="★",I38="غير متوفر"),"عالية","متوسطة"))</f>
        <v/>
      </c>
      <c r="L38" s="31"/>
      <c r="M38" s="30"/>
      <c r="N38" s="31"/>
      <c r="O38" s="31"/>
      <c r="P38" s="30"/>
      <c r="Q38" s="31"/>
    </row>
    <row r="39" customFormat="false" ht="22.35" hidden="false" customHeight="false" outlineLevel="0" collapsed="false">
      <c r="A39" s="41" t="s">
        <v>332</v>
      </c>
      <c r="B39" s="42" t="s">
        <v>153</v>
      </c>
      <c r="C39" s="43"/>
      <c r="D39" s="44" t="s">
        <v>296</v>
      </c>
      <c r="E39" s="41" t="n">
        <v>6</v>
      </c>
      <c r="F39" s="43" t="s">
        <v>339</v>
      </c>
      <c r="G39" s="29" t="s">
        <v>290</v>
      </c>
      <c r="H39" s="28" t="str">
        <f aca="false">IFERROR(INDEX('الإعدادات واللجنة'!$C$24:$C$32,MATCH(LEFT(A39,3),'الإعدادات واللجنة'!$A$24:$A$32,0)),"")</f>
        <v>د. سلطان بن سعيد الشمراني</v>
      </c>
      <c r="I39" s="30"/>
      <c r="J39" s="30"/>
      <c r="K39" s="28" t="str">
        <f aca="false">IF(OR(I39="",I39="متوفر ومكتمل"),"",IF(OR(D39="★",I39="غير متوفر"),"عالية","متوسطة"))</f>
        <v/>
      </c>
      <c r="L39" s="31"/>
      <c r="M39" s="30"/>
      <c r="N39" s="31"/>
      <c r="O39" s="31"/>
      <c r="P39" s="30"/>
      <c r="Q39" s="31"/>
    </row>
    <row r="40" customFormat="false" ht="22.35" hidden="false" customHeight="false" outlineLevel="0" collapsed="false">
      <c r="A40" s="45" t="s">
        <v>340</v>
      </c>
      <c r="B40" s="46" t="s">
        <v>153</v>
      </c>
      <c r="C40" s="47" t="s">
        <v>341</v>
      </c>
      <c r="D40" s="48"/>
      <c r="E40" s="38" t="n">
        <v>1</v>
      </c>
      <c r="F40" s="47" t="s">
        <v>342</v>
      </c>
      <c r="G40" s="37" t="s">
        <v>290</v>
      </c>
      <c r="H40" s="38" t="str">
        <f aca="false">IFERROR(INDEX('الإعدادات واللجنة'!$C$24:$C$32,MATCH(LEFT(A40,3),'الإعدادات واللجنة'!$A$24:$A$32,0)),"")</f>
        <v>د. سلطان بن سعيد الشمراني</v>
      </c>
      <c r="I40" s="39"/>
      <c r="J40" s="39"/>
      <c r="K40" s="38" t="str">
        <f aca="false">IF(OR(I40="",I40="متوفر ومكتمل"),"",IF(OR(D40="★",I40="غير متوفر"),"عالية","متوسطة"))</f>
        <v/>
      </c>
      <c r="L40" s="40"/>
      <c r="M40" s="39"/>
      <c r="N40" s="40"/>
      <c r="O40" s="40"/>
      <c r="P40" s="39"/>
      <c r="Q40" s="40"/>
    </row>
    <row r="41" customFormat="false" ht="22.35" hidden="false" customHeight="false" outlineLevel="0" collapsed="false">
      <c r="A41" s="28" t="s">
        <v>340</v>
      </c>
      <c r="B41" s="25" t="s">
        <v>153</v>
      </c>
      <c r="C41" s="26"/>
      <c r="D41" s="27"/>
      <c r="E41" s="28" t="n">
        <v>2</v>
      </c>
      <c r="F41" s="26" t="s">
        <v>343</v>
      </c>
      <c r="G41" s="29" t="s">
        <v>290</v>
      </c>
      <c r="H41" s="28" t="str">
        <f aca="false">IFERROR(INDEX('الإعدادات واللجنة'!$C$24:$C$32,MATCH(LEFT(A41,3),'الإعدادات واللجنة'!$A$24:$A$32,0)),"")</f>
        <v>د. سلطان بن سعيد الشمراني</v>
      </c>
      <c r="I41" s="30"/>
      <c r="J41" s="30"/>
      <c r="K41" s="28" t="str">
        <f aca="false">IF(OR(I41="",I41="متوفر ومكتمل"),"",IF(OR(D41="★",I41="غير متوفر"),"عالية","متوسطة"))</f>
        <v/>
      </c>
      <c r="L41" s="31"/>
      <c r="M41" s="30"/>
      <c r="N41" s="31"/>
      <c r="O41" s="31"/>
      <c r="P41" s="30"/>
      <c r="Q41" s="31"/>
    </row>
    <row r="42" customFormat="false" ht="22.35" hidden="false" customHeight="false" outlineLevel="0" collapsed="false">
      <c r="A42" s="28" t="s">
        <v>340</v>
      </c>
      <c r="B42" s="25" t="s">
        <v>153</v>
      </c>
      <c r="C42" s="26"/>
      <c r="D42" s="27"/>
      <c r="E42" s="28" t="n">
        <v>3</v>
      </c>
      <c r="F42" s="26" t="s">
        <v>344</v>
      </c>
      <c r="G42" s="29" t="s">
        <v>290</v>
      </c>
      <c r="H42" s="28" t="str">
        <f aca="false">IFERROR(INDEX('الإعدادات واللجنة'!$C$24:$C$32,MATCH(LEFT(A42,3),'الإعدادات واللجنة'!$A$24:$A$32,0)),"")</f>
        <v>د. سلطان بن سعيد الشمراني</v>
      </c>
      <c r="I42" s="30"/>
      <c r="J42" s="30"/>
      <c r="K42" s="28" t="str">
        <f aca="false">IF(OR(I42="",I42="متوفر ومكتمل"),"",IF(OR(D42="★",I42="غير متوفر"),"عالية","متوسطة"))</f>
        <v/>
      </c>
      <c r="L42" s="31"/>
      <c r="M42" s="30"/>
      <c r="N42" s="31"/>
      <c r="O42" s="31"/>
      <c r="P42" s="30"/>
      <c r="Q42" s="31"/>
    </row>
    <row r="43" customFormat="false" ht="22.35" hidden="false" customHeight="false" outlineLevel="0" collapsed="false">
      <c r="A43" s="28" t="s">
        <v>340</v>
      </c>
      <c r="B43" s="25" t="s">
        <v>153</v>
      </c>
      <c r="C43" s="26"/>
      <c r="D43" s="27"/>
      <c r="E43" s="28" t="n">
        <v>4</v>
      </c>
      <c r="F43" s="26" t="s">
        <v>345</v>
      </c>
      <c r="G43" s="29" t="s">
        <v>290</v>
      </c>
      <c r="H43" s="28" t="str">
        <f aca="false">IFERROR(INDEX('الإعدادات واللجنة'!$C$24:$C$32,MATCH(LEFT(A43,3),'الإعدادات واللجنة'!$A$24:$A$32,0)),"")</f>
        <v>د. سلطان بن سعيد الشمراني</v>
      </c>
      <c r="I43" s="30"/>
      <c r="J43" s="30"/>
      <c r="K43" s="28" t="str">
        <f aca="false">IF(OR(I43="",I43="متوفر ومكتمل"),"",IF(OR(D43="★",I43="غير متوفر"),"عالية","متوسطة"))</f>
        <v/>
      </c>
      <c r="L43" s="31"/>
      <c r="M43" s="30"/>
      <c r="N43" s="31"/>
      <c r="O43" s="31"/>
      <c r="P43" s="30"/>
      <c r="Q43" s="31"/>
    </row>
    <row r="44" customFormat="false" ht="22.35" hidden="false" customHeight="false" outlineLevel="0" collapsed="false">
      <c r="A44" s="45" t="s">
        <v>346</v>
      </c>
      <c r="B44" s="46" t="s">
        <v>153</v>
      </c>
      <c r="C44" s="47" t="s">
        <v>347</v>
      </c>
      <c r="D44" s="48"/>
      <c r="E44" s="38" t="n">
        <v>1</v>
      </c>
      <c r="F44" s="47" t="s">
        <v>348</v>
      </c>
      <c r="G44" s="37" t="s">
        <v>290</v>
      </c>
      <c r="H44" s="38" t="str">
        <f aca="false">IFERROR(INDEX('الإعدادات واللجنة'!$C$24:$C$32,MATCH(LEFT(A44,3),'الإعدادات واللجنة'!$A$24:$A$32,0)),"")</f>
        <v>د. حسن بن سعد القحطاني</v>
      </c>
      <c r="I44" s="39"/>
      <c r="J44" s="39"/>
      <c r="K44" s="38" t="str">
        <f aca="false">IF(OR(I44="",I44="متوفر ومكتمل"),"",IF(OR(D44="★",I44="غير متوفر"),"عالية","متوسطة"))</f>
        <v/>
      </c>
      <c r="L44" s="40"/>
      <c r="M44" s="39"/>
      <c r="N44" s="40"/>
      <c r="O44" s="40"/>
      <c r="P44" s="39"/>
      <c r="Q44" s="40"/>
    </row>
    <row r="45" customFormat="false" ht="19.4" hidden="false" customHeight="false" outlineLevel="0" collapsed="false">
      <c r="A45" s="28" t="s">
        <v>346</v>
      </c>
      <c r="B45" s="25" t="s">
        <v>153</v>
      </c>
      <c r="C45" s="26"/>
      <c r="D45" s="27"/>
      <c r="E45" s="28" t="n">
        <v>2</v>
      </c>
      <c r="F45" s="26" t="s">
        <v>349</v>
      </c>
      <c r="G45" s="29" t="s">
        <v>290</v>
      </c>
      <c r="H45" s="28" t="str">
        <f aca="false">IFERROR(INDEX('الإعدادات واللجنة'!$C$24:$C$32,MATCH(LEFT(A45,3),'الإعدادات واللجنة'!$A$24:$A$32,0)),"")</f>
        <v>د. حسن بن سعد القحطاني</v>
      </c>
      <c r="I45" s="30"/>
      <c r="J45" s="30"/>
      <c r="K45" s="28" t="str">
        <f aca="false">IF(OR(I45="",I45="متوفر ومكتمل"),"",IF(OR(D45="★",I45="غير متوفر"),"عالية","متوسطة"))</f>
        <v/>
      </c>
      <c r="L45" s="31"/>
      <c r="M45" s="30"/>
      <c r="N45" s="31"/>
      <c r="O45" s="31"/>
      <c r="P45" s="30"/>
      <c r="Q45" s="31"/>
    </row>
    <row r="46" customFormat="false" ht="19.4" hidden="false" customHeight="false" outlineLevel="0" collapsed="false">
      <c r="A46" s="28" t="s">
        <v>346</v>
      </c>
      <c r="B46" s="25" t="s">
        <v>153</v>
      </c>
      <c r="C46" s="26"/>
      <c r="D46" s="27"/>
      <c r="E46" s="28" t="n">
        <v>3</v>
      </c>
      <c r="F46" s="26" t="s">
        <v>350</v>
      </c>
      <c r="G46" s="29" t="s">
        <v>290</v>
      </c>
      <c r="H46" s="28" t="str">
        <f aca="false">IFERROR(INDEX('الإعدادات واللجنة'!$C$24:$C$32,MATCH(LEFT(A46,3),'الإعدادات واللجنة'!$A$24:$A$32,0)),"")</f>
        <v>د. حسن بن سعد القحطاني</v>
      </c>
      <c r="I46" s="30"/>
      <c r="J46" s="30"/>
      <c r="K46" s="28" t="str">
        <f aca="false">IF(OR(I46="",I46="متوفر ومكتمل"),"",IF(OR(D46="★",I46="غير متوفر"),"عالية","متوسطة"))</f>
        <v/>
      </c>
      <c r="L46" s="31"/>
      <c r="M46" s="30"/>
      <c r="N46" s="31"/>
      <c r="O46" s="31"/>
      <c r="P46" s="30"/>
      <c r="Q46" s="31"/>
    </row>
    <row r="47" customFormat="false" ht="19.4" hidden="false" customHeight="false" outlineLevel="0" collapsed="false">
      <c r="A47" s="28" t="s">
        <v>346</v>
      </c>
      <c r="B47" s="25" t="s">
        <v>153</v>
      </c>
      <c r="C47" s="26"/>
      <c r="D47" s="27"/>
      <c r="E47" s="28" t="n">
        <v>4</v>
      </c>
      <c r="F47" s="26" t="s">
        <v>351</v>
      </c>
      <c r="G47" s="29" t="s">
        <v>290</v>
      </c>
      <c r="H47" s="28" t="str">
        <f aca="false">IFERROR(INDEX('الإعدادات واللجنة'!$C$24:$C$32,MATCH(LEFT(A47,3),'الإعدادات واللجنة'!$A$24:$A$32,0)),"")</f>
        <v>د. حسن بن سعد القحطاني</v>
      </c>
      <c r="I47" s="30"/>
      <c r="J47" s="30"/>
      <c r="K47" s="28" t="str">
        <f aca="false">IF(OR(I47="",I47="متوفر ومكتمل"),"",IF(OR(D47="★",I47="غير متوفر"),"عالية","متوسطة"))</f>
        <v/>
      </c>
      <c r="L47" s="31"/>
      <c r="M47" s="30"/>
      <c r="N47" s="31"/>
      <c r="O47" s="31"/>
      <c r="P47" s="30"/>
      <c r="Q47" s="31"/>
    </row>
    <row r="48" customFormat="false" ht="22.35" hidden="false" customHeight="false" outlineLevel="0" collapsed="false">
      <c r="A48" s="32" t="s">
        <v>352</v>
      </c>
      <c r="B48" s="33" t="s">
        <v>153</v>
      </c>
      <c r="C48" s="34" t="s">
        <v>353</v>
      </c>
      <c r="D48" s="35" t="s">
        <v>296</v>
      </c>
      <c r="E48" s="36" t="n">
        <v>1</v>
      </c>
      <c r="F48" s="34" t="s">
        <v>354</v>
      </c>
      <c r="G48" s="37" t="s">
        <v>290</v>
      </c>
      <c r="H48" s="38" t="str">
        <f aca="false">IFERROR(INDEX('الإعدادات واللجنة'!$C$24:$C$32,MATCH(LEFT(A48,3),'الإعدادات واللجنة'!$A$24:$A$32,0)),"")</f>
        <v>د. حسن بن سعد القحطاني</v>
      </c>
      <c r="I48" s="39"/>
      <c r="J48" s="39"/>
      <c r="K48" s="38" t="str">
        <f aca="false">IF(OR(I48="",I48="متوفر ومكتمل"),"",IF(OR(D48="★",I48="غير متوفر"),"عالية","متوسطة"))</f>
        <v/>
      </c>
      <c r="L48" s="40"/>
      <c r="M48" s="39"/>
      <c r="N48" s="40"/>
      <c r="O48" s="40"/>
      <c r="P48" s="39"/>
      <c r="Q48" s="40"/>
    </row>
    <row r="49" customFormat="false" ht="22.35" hidden="false" customHeight="false" outlineLevel="0" collapsed="false">
      <c r="A49" s="41" t="s">
        <v>352</v>
      </c>
      <c r="B49" s="42" t="s">
        <v>153</v>
      </c>
      <c r="C49" s="43"/>
      <c r="D49" s="44" t="s">
        <v>296</v>
      </c>
      <c r="E49" s="41" t="n">
        <v>2</v>
      </c>
      <c r="F49" s="43" t="s">
        <v>355</v>
      </c>
      <c r="G49" s="29" t="s">
        <v>290</v>
      </c>
      <c r="H49" s="28" t="str">
        <f aca="false">IFERROR(INDEX('الإعدادات واللجنة'!$C$24:$C$32,MATCH(LEFT(A49,3),'الإعدادات واللجنة'!$A$24:$A$32,0)),"")</f>
        <v>د. حسن بن سعد القحطاني</v>
      </c>
      <c r="I49" s="30"/>
      <c r="J49" s="30"/>
      <c r="K49" s="28" t="str">
        <f aca="false">IF(OR(I49="",I49="متوفر ومكتمل"),"",IF(OR(D49="★",I49="غير متوفر"),"عالية","متوسطة"))</f>
        <v/>
      </c>
      <c r="L49" s="31"/>
      <c r="M49" s="30"/>
      <c r="N49" s="31"/>
      <c r="O49" s="31"/>
      <c r="P49" s="30"/>
      <c r="Q49" s="31"/>
    </row>
    <row r="50" customFormat="false" ht="19.4" hidden="false" customHeight="false" outlineLevel="0" collapsed="false">
      <c r="A50" s="41" t="s">
        <v>352</v>
      </c>
      <c r="B50" s="42" t="s">
        <v>153</v>
      </c>
      <c r="C50" s="43"/>
      <c r="D50" s="44" t="s">
        <v>296</v>
      </c>
      <c r="E50" s="41" t="n">
        <v>3</v>
      </c>
      <c r="F50" s="43" t="s">
        <v>356</v>
      </c>
      <c r="G50" s="29" t="s">
        <v>290</v>
      </c>
      <c r="H50" s="28" t="str">
        <f aca="false">IFERROR(INDEX('الإعدادات واللجنة'!$C$24:$C$32,MATCH(LEFT(A50,3),'الإعدادات واللجنة'!$A$24:$A$32,0)),"")</f>
        <v>د. حسن بن سعد القحطاني</v>
      </c>
      <c r="I50" s="30"/>
      <c r="J50" s="30"/>
      <c r="K50" s="28" t="str">
        <f aca="false">IF(OR(I50="",I50="متوفر ومكتمل"),"",IF(OR(D50="★",I50="غير متوفر"),"عالية","متوسطة"))</f>
        <v/>
      </c>
      <c r="L50" s="31"/>
      <c r="M50" s="30"/>
      <c r="N50" s="31"/>
      <c r="O50" s="31"/>
      <c r="P50" s="30"/>
      <c r="Q50" s="31"/>
    </row>
    <row r="51" customFormat="false" ht="19.4" hidden="false" customHeight="false" outlineLevel="0" collapsed="false">
      <c r="A51" s="45" t="s">
        <v>357</v>
      </c>
      <c r="B51" s="46" t="s">
        <v>153</v>
      </c>
      <c r="C51" s="47" t="s">
        <v>358</v>
      </c>
      <c r="D51" s="48"/>
      <c r="E51" s="38" t="n">
        <v>1</v>
      </c>
      <c r="F51" s="47" t="s">
        <v>359</v>
      </c>
      <c r="G51" s="37" t="s">
        <v>290</v>
      </c>
      <c r="H51" s="38" t="str">
        <f aca="false">IFERROR(INDEX('الإعدادات واللجنة'!$C$24:$C$32,MATCH(LEFT(A51,3),'الإعدادات واللجنة'!$A$24:$A$32,0)),"")</f>
        <v>د. حسن بن سعد القحطاني</v>
      </c>
      <c r="I51" s="39"/>
      <c r="J51" s="39"/>
      <c r="K51" s="38" t="str">
        <f aca="false">IF(OR(I51="",I51="متوفر ومكتمل"),"",IF(OR(D51="★",I51="غير متوفر"),"عالية","متوسطة"))</f>
        <v/>
      </c>
      <c r="L51" s="40"/>
      <c r="M51" s="39"/>
      <c r="N51" s="40"/>
      <c r="O51" s="40"/>
      <c r="P51" s="39"/>
      <c r="Q51" s="40"/>
    </row>
    <row r="52" customFormat="false" ht="19.4" hidden="false" customHeight="false" outlineLevel="0" collapsed="false">
      <c r="A52" s="28" t="s">
        <v>357</v>
      </c>
      <c r="B52" s="25" t="s">
        <v>153</v>
      </c>
      <c r="C52" s="26"/>
      <c r="D52" s="27"/>
      <c r="E52" s="28" t="n">
        <v>2</v>
      </c>
      <c r="F52" s="26" t="s">
        <v>360</v>
      </c>
      <c r="G52" s="29" t="s">
        <v>290</v>
      </c>
      <c r="H52" s="28" t="str">
        <f aca="false">IFERROR(INDEX('الإعدادات واللجنة'!$C$24:$C$32,MATCH(LEFT(A52,3),'الإعدادات واللجنة'!$A$24:$A$32,0)),"")</f>
        <v>د. حسن بن سعد القحطاني</v>
      </c>
      <c r="I52" s="30"/>
      <c r="J52" s="30"/>
      <c r="K52" s="28" t="str">
        <f aca="false">IF(OR(I52="",I52="متوفر ومكتمل"),"",IF(OR(D52="★",I52="غير متوفر"),"عالية","متوسطة"))</f>
        <v/>
      </c>
      <c r="L52" s="31"/>
      <c r="M52" s="30"/>
      <c r="N52" s="31"/>
      <c r="O52" s="31"/>
      <c r="P52" s="30"/>
      <c r="Q52" s="31"/>
    </row>
    <row r="53" customFormat="false" ht="19.4" hidden="false" customHeight="false" outlineLevel="0" collapsed="false">
      <c r="A53" s="28" t="s">
        <v>357</v>
      </c>
      <c r="B53" s="25" t="s">
        <v>153</v>
      </c>
      <c r="C53" s="26"/>
      <c r="D53" s="27"/>
      <c r="E53" s="28" t="n">
        <v>3</v>
      </c>
      <c r="F53" s="26" t="s">
        <v>361</v>
      </c>
      <c r="G53" s="29" t="s">
        <v>290</v>
      </c>
      <c r="H53" s="28" t="str">
        <f aca="false">IFERROR(INDEX('الإعدادات واللجنة'!$C$24:$C$32,MATCH(LEFT(A53,3),'الإعدادات واللجنة'!$A$24:$A$32,0)),"")</f>
        <v>د. حسن بن سعد القحطاني</v>
      </c>
      <c r="I53" s="30"/>
      <c r="J53" s="30"/>
      <c r="K53" s="28" t="str">
        <f aca="false">IF(OR(I53="",I53="متوفر ومكتمل"),"",IF(OR(D53="★",I53="غير متوفر"),"عالية","متوسطة"))</f>
        <v/>
      </c>
      <c r="L53" s="31"/>
      <c r="M53" s="30"/>
      <c r="N53" s="31"/>
      <c r="O53" s="31"/>
      <c r="P53" s="30"/>
      <c r="Q53" s="31"/>
    </row>
    <row r="54" customFormat="false" ht="19.4" hidden="false" customHeight="false" outlineLevel="0" collapsed="false">
      <c r="A54" s="28" t="s">
        <v>357</v>
      </c>
      <c r="B54" s="25" t="s">
        <v>153</v>
      </c>
      <c r="C54" s="26"/>
      <c r="D54" s="27"/>
      <c r="E54" s="28" t="n">
        <v>4</v>
      </c>
      <c r="F54" s="26" t="s">
        <v>362</v>
      </c>
      <c r="G54" s="29" t="s">
        <v>290</v>
      </c>
      <c r="H54" s="28" t="str">
        <f aca="false">IFERROR(INDEX('الإعدادات واللجنة'!$C$24:$C$32,MATCH(LEFT(A54,3),'الإعدادات واللجنة'!$A$24:$A$32,0)),"")</f>
        <v>د. حسن بن سعد القحطاني</v>
      </c>
      <c r="I54" s="30"/>
      <c r="J54" s="30"/>
      <c r="K54" s="28" t="str">
        <f aca="false">IF(OR(I54="",I54="متوفر ومكتمل"),"",IF(OR(D54="★",I54="غير متوفر"),"عالية","متوسطة"))</f>
        <v/>
      </c>
      <c r="L54" s="31"/>
      <c r="M54" s="30"/>
      <c r="N54" s="31"/>
      <c r="O54" s="31"/>
      <c r="P54" s="30"/>
      <c r="Q54" s="31"/>
    </row>
    <row r="55" customFormat="false" ht="19.4" hidden="false" customHeight="false" outlineLevel="0" collapsed="false">
      <c r="A55" s="28" t="s">
        <v>357</v>
      </c>
      <c r="B55" s="25" t="s">
        <v>153</v>
      </c>
      <c r="C55" s="26"/>
      <c r="D55" s="27"/>
      <c r="E55" s="28" t="n">
        <v>5</v>
      </c>
      <c r="F55" s="26" t="s">
        <v>363</v>
      </c>
      <c r="G55" s="29" t="s">
        <v>290</v>
      </c>
      <c r="H55" s="28" t="str">
        <f aca="false">IFERROR(INDEX('الإعدادات واللجنة'!$C$24:$C$32,MATCH(LEFT(A55,3),'الإعدادات واللجنة'!$A$24:$A$32,0)),"")</f>
        <v>د. حسن بن سعد القحطاني</v>
      </c>
      <c r="I55" s="30"/>
      <c r="J55" s="30"/>
      <c r="K55" s="28" t="str">
        <f aca="false">IF(OR(I55="",I55="متوفر ومكتمل"),"",IF(OR(D55="★",I55="غير متوفر"),"عالية","متوسطة"))</f>
        <v/>
      </c>
      <c r="L55" s="31"/>
      <c r="M55" s="30"/>
      <c r="N55" s="31"/>
      <c r="O55" s="31"/>
      <c r="P55" s="30"/>
      <c r="Q55" s="31"/>
    </row>
    <row r="56" customFormat="false" ht="19.4" hidden="false" customHeight="false" outlineLevel="0" collapsed="false">
      <c r="A56" s="28" t="s">
        <v>357</v>
      </c>
      <c r="B56" s="25" t="s">
        <v>153</v>
      </c>
      <c r="C56" s="26"/>
      <c r="D56" s="27"/>
      <c r="E56" s="28" t="n">
        <v>6</v>
      </c>
      <c r="F56" s="26" t="s">
        <v>364</v>
      </c>
      <c r="G56" s="29" t="s">
        <v>290</v>
      </c>
      <c r="H56" s="28" t="str">
        <f aca="false">IFERROR(INDEX('الإعدادات واللجنة'!$C$24:$C$32,MATCH(LEFT(A56,3),'الإعدادات واللجنة'!$A$24:$A$32,0)),"")</f>
        <v>د. حسن بن سعد القحطاني</v>
      </c>
      <c r="I56" s="30"/>
      <c r="J56" s="30"/>
      <c r="K56" s="28" t="str">
        <f aca="false">IF(OR(I56="",I56="متوفر ومكتمل"),"",IF(OR(D56="★",I56="غير متوفر"),"عالية","متوسطة"))</f>
        <v/>
      </c>
      <c r="L56" s="31"/>
      <c r="M56" s="30"/>
      <c r="N56" s="31"/>
      <c r="O56" s="31"/>
      <c r="P56" s="30"/>
      <c r="Q56" s="31"/>
    </row>
    <row r="57" customFormat="false" ht="32.8" hidden="false" customHeight="false" outlineLevel="0" collapsed="false">
      <c r="A57" s="45" t="s">
        <v>365</v>
      </c>
      <c r="B57" s="46" t="s">
        <v>154</v>
      </c>
      <c r="C57" s="47" t="s">
        <v>366</v>
      </c>
      <c r="D57" s="48"/>
      <c r="E57" s="38" t="n">
        <v>1</v>
      </c>
      <c r="F57" s="47" t="s">
        <v>367</v>
      </c>
      <c r="G57" s="37" t="s">
        <v>290</v>
      </c>
      <c r="H57" s="38" t="str">
        <f aca="false">IFERROR(INDEX('الإعدادات واللجنة'!$C$24:$C$32,MATCH(LEFT(A57,3),'الإعدادات واللجنة'!$A$24:$A$32,0)),"")</f>
        <v>د. احمد بن عوض البشري</v>
      </c>
      <c r="I57" s="39"/>
      <c r="J57" s="39"/>
      <c r="K57" s="38" t="str">
        <f aca="false">IF(OR(I57="",I57="متوفر ومكتمل"),"",IF(OR(D57="★",I57="غير متوفر"),"عالية","متوسطة"))</f>
        <v/>
      </c>
      <c r="L57" s="40"/>
      <c r="M57" s="39"/>
      <c r="N57" s="40"/>
      <c r="O57" s="40"/>
      <c r="P57" s="39"/>
      <c r="Q57" s="40"/>
    </row>
    <row r="58" customFormat="false" ht="15" hidden="false" customHeight="false" outlineLevel="0" collapsed="false">
      <c r="A58" s="28" t="s">
        <v>365</v>
      </c>
      <c r="B58" s="25" t="s">
        <v>154</v>
      </c>
      <c r="C58" s="26"/>
      <c r="D58" s="27"/>
      <c r="E58" s="28" t="n">
        <v>2</v>
      </c>
      <c r="F58" s="26" t="s">
        <v>368</v>
      </c>
      <c r="G58" s="29" t="s">
        <v>290</v>
      </c>
      <c r="H58" s="28" t="str">
        <f aca="false">IFERROR(INDEX('الإعدادات واللجنة'!$C$24:$C$32,MATCH(LEFT(A58,3),'الإعدادات واللجنة'!$A$24:$A$32,0)),"")</f>
        <v>د. احمد بن عوض البشري</v>
      </c>
      <c r="I58" s="30"/>
      <c r="J58" s="30"/>
      <c r="K58" s="28" t="str">
        <f aca="false">IF(OR(I58="",I58="متوفر ومكتمل"),"",IF(OR(D58="★",I58="غير متوفر"),"عالية","متوسطة"))</f>
        <v/>
      </c>
      <c r="L58" s="31"/>
      <c r="M58" s="30"/>
      <c r="N58" s="31"/>
      <c r="O58" s="31"/>
      <c r="P58" s="30"/>
      <c r="Q58" s="31"/>
    </row>
    <row r="59" customFormat="false" ht="22.35" hidden="false" customHeight="false" outlineLevel="0" collapsed="false">
      <c r="A59" s="28" t="s">
        <v>365</v>
      </c>
      <c r="B59" s="25" t="s">
        <v>154</v>
      </c>
      <c r="C59" s="26"/>
      <c r="D59" s="27"/>
      <c r="E59" s="28" t="n">
        <v>3</v>
      </c>
      <c r="F59" s="26" t="s">
        <v>369</v>
      </c>
      <c r="G59" s="29" t="s">
        <v>290</v>
      </c>
      <c r="H59" s="28" t="str">
        <f aca="false">IFERROR(INDEX('الإعدادات واللجنة'!$C$24:$C$32,MATCH(LEFT(A59,3),'الإعدادات واللجنة'!$A$24:$A$32,0)),"")</f>
        <v>د. احمد بن عوض البشري</v>
      </c>
      <c r="I59" s="30"/>
      <c r="J59" s="30"/>
      <c r="K59" s="28" t="str">
        <f aca="false">IF(OR(I59="",I59="متوفر ومكتمل"),"",IF(OR(D59="★",I59="غير متوفر"),"عالية","متوسطة"))</f>
        <v/>
      </c>
      <c r="L59" s="31"/>
      <c r="M59" s="30"/>
      <c r="N59" s="31"/>
      <c r="O59" s="31"/>
      <c r="P59" s="30"/>
      <c r="Q59" s="31"/>
    </row>
    <row r="60" customFormat="false" ht="15" hidden="false" customHeight="false" outlineLevel="0" collapsed="false">
      <c r="A60" s="28" t="s">
        <v>365</v>
      </c>
      <c r="B60" s="25" t="s">
        <v>154</v>
      </c>
      <c r="C60" s="26"/>
      <c r="D60" s="27"/>
      <c r="E60" s="28" t="n">
        <v>4</v>
      </c>
      <c r="F60" s="26" t="s">
        <v>370</v>
      </c>
      <c r="G60" s="29" t="s">
        <v>290</v>
      </c>
      <c r="H60" s="28" t="str">
        <f aca="false">IFERROR(INDEX('الإعدادات واللجنة'!$C$24:$C$32,MATCH(LEFT(A60,3),'الإعدادات واللجنة'!$A$24:$A$32,0)),"")</f>
        <v>د. احمد بن عوض البشري</v>
      </c>
      <c r="I60" s="30"/>
      <c r="J60" s="30"/>
      <c r="K60" s="28" t="str">
        <f aca="false">IF(OR(I60="",I60="متوفر ومكتمل"),"",IF(OR(D60="★",I60="غير متوفر"),"عالية","متوسطة"))</f>
        <v/>
      </c>
      <c r="L60" s="31"/>
      <c r="M60" s="30"/>
      <c r="N60" s="31"/>
      <c r="O60" s="31"/>
      <c r="P60" s="30"/>
      <c r="Q60" s="31"/>
    </row>
    <row r="61" customFormat="false" ht="15" hidden="false" customHeight="false" outlineLevel="0" collapsed="false">
      <c r="A61" s="28" t="s">
        <v>365</v>
      </c>
      <c r="B61" s="25" t="s">
        <v>154</v>
      </c>
      <c r="C61" s="26"/>
      <c r="D61" s="27"/>
      <c r="E61" s="28" t="n">
        <v>5</v>
      </c>
      <c r="F61" s="26" t="s">
        <v>371</v>
      </c>
      <c r="G61" s="29" t="s">
        <v>290</v>
      </c>
      <c r="H61" s="28" t="str">
        <f aca="false">IFERROR(INDEX('الإعدادات واللجنة'!$C$24:$C$32,MATCH(LEFT(A61,3),'الإعدادات واللجنة'!$A$24:$A$32,0)),"")</f>
        <v>د. احمد بن عوض البشري</v>
      </c>
      <c r="I61" s="30"/>
      <c r="J61" s="30"/>
      <c r="K61" s="28" t="str">
        <f aca="false">IF(OR(I61="",I61="متوفر ومكتمل"),"",IF(OR(D61="★",I61="غير متوفر"),"عالية","متوسطة"))</f>
        <v/>
      </c>
      <c r="L61" s="31"/>
      <c r="M61" s="30"/>
      <c r="N61" s="31"/>
      <c r="O61" s="31"/>
      <c r="P61" s="30"/>
      <c r="Q61" s="31"/>
    </row>
    <row r="62" customFormat="false" ht="22.35" hidden="false" customHeight="false" outlineLevel="0" collapsed="false">
      <c r="A62" s="28" t="s">
        <v>365</v>
      </c>
      <c r="B62" s="25" t="s">
        <v>154</v>
      </c>
      <c r="C62" s="26"/>
      <c r="D62" s="27"/>
      <c r="E62" s="28" t="n">
        <v>6</v>
      </c>
      <c r="F62" s="26" t="s">
        <v>372</v>
      </c>
      <c r="G62" s="29" t="s">
        <v>290</v>
      </c>
      <c r="H62" s="28" t="str">
        <f aca="false">IFERROR(INDEX('الإعدادات واللجنة'!$C$24:$C$32,MATCH(LEFT(A62,3),'الإعدادات واللجنة'!$A$24:$A$32,0)),"")</f>
        <v>د. احمد بن عوض البشري</v>
      </c>
      <c r="I62" s="30"/>
      <c r="J62" s="30"/>
      <c r="K62" s="28" t="str">
        <f aca="false">IF(OR(I62="",I62="متوفر ومكتمل"),"",IF(OR(D62="★",I62="غير متوفر"),"عالية","متوسطة"))</f>
        <v/>
      </c>
      <c r="L62" s="31"/>
      <c r="M62" s="30"/>
      <c r="N62" s="31"/>
      <c r="O62" s="31"/>
      <c r="P62" s="30"/>
      <c r="Q62" s="31"/>
    </row>
    <row r="63" customFormat="false" ht="15" hidden="false" customHeight="false" outlineLevel="0" collapsed="false">
      <c r="A63" s="28" t="s">
        <v>365</v>
      </c>
      <c r="B63" s="25" t="s">
        <v>154</v>
      </c>
      <c r="C63" s="26"/>
      <c r="D63" s="27"/>
      <c r="E63" s="28" t="n">
        <v>7</v>
      </c>
      <c r="F63" s="26" t="s">
        <v>373</v>
      </c>
      <c r="G63" s="29" t="s">
        <v>290</v>
      </c>
      <c r="H63" s="28" t="str">
        <f aca="false">IFERROR(INDEX('الإعدادات واللجنة'!$C$24:$C$32,MATCH(LEFT(A63,3),'الإعدادات واللجنة'!$A$24:$A$32,0)),"")</f>
        <v>د. احمد بن عوض البشري</v>
      </c>
      <c r="I63" s="30"/>
      <c r="J63" s="30"/>
      <c r="K63" s="28" t="str">
        <f aca="false">IF(OR(I63="",I63="متوفر ومكتمل"),"",IF(OR(D63="★",I63="غير متوفر"),"عالية","متوسطة"))</f>
        <v/>
      </c>
      <c r="L63" s="31"/>
      <c r="M63" s="30"/>
      <c r="N63" s="31"/>
      <c r="O63" s="31"/>
      <c r="P63" s="30"/>
      <c r="Q63" s="31"/>
    </row>
    <row r="64" customFormat="false" ht="22.35" hidden="false" customHeight="false" outlineLevel="0" collapsed="false">
      <c r="A64" s="28" t="s">
        <v>365</v>
      </c>
      <c r="B64" s="25" t="s">
        <v>154</v>
      </c>
      <c r="C64" s="26"/>
      <c r="D64" s="27"/>
      <c r="E64" s="28" t="n">
        <v>8</v>
      </c>
      <c r="F64" s="26" t="s">
        <v>374</v>
      </c>
      <c r="G64" s="29" t="s">
        <v>290</v>
      </c>
      <c r="H64" s="28" t="str">
        <f aca="false">IFERROR(INDEX('الإعدادات واللجنة'!$C$24:$C$32,MATCH(LEFT(A64,3),'الإعدادات واللجنة'!$A$24:$A$32,0)),"")</f>
        <v>د. احمد بن عوض البشري</v>
      </c>
      <c r="I64" s="30"/>
      <c r="J64" s="30"/>
      <c r="K64" s="28" t="str">
        <f aca="false">IF(OR(I64="",I64="متوفر ومكتمل"),"",IF(OR(D64="★",I64="غير متوفر"),"عالية","متوسطة"))</f>
        <v/>
      </c>
      <c r="L64" s="31"/>
      <c r="M64" s="30"/>
      <c r="N64" s="31"/>
      <c r="O64" s="31"/>
      <c r="P64" s="30"/>
      <c r="Q64" s="31"/>
    </row>
    <row r="65" customFormat="false" ht="22.35" hidden="false" customHeight="false" outlineLevel="0" collapsed="false">
      <c r="A65" s="28" t="s">
        <v>365</v>
      </c>
      <c r="B65" s="25" t="s">
        <v>154</v>
      </c>
      <c r="C65" s="26"/>
      <c r="D65" s="27"/>
      <c r="E65" s="28" t="n">
        <v>9</v>
      </c>
      <c r="F65" s="26" t="s">
        <v>375</v>
      </c>
      <c r="G65" s="29" t="s">
        <v>290</v>
      </c>
      <c r="H65" s="28" t="str">
        <f aca="false">IFERROR(INDEX('الإعدادات واللجنة'!$C$24:$C$32,MATCH(LEFT(A65,3),'الإعدادات واللجنة'!$A$24:$A$32,0)),"")</f>
        <v>د. احمد بن عوض البشري</v>
      </c>
      <c r="I65" s="30"/>
      <c r="J65" s="30"/>
      <c r="K65" s="28" t="str">
        <f aca="false">IF(OR(I65="",I65="متوفر ومكتمل"),"",IF(OR(D65="★",I65="غير متوفر"),"عالية","متوسطة"))</f>
        <v/>
      </c>
      <c r="L65" s="31"/>
      <c r="M65" s="30"/>
      <c r="N65" s="31"/>
      <c r="O65" s="31"/>
      <c r="P65" s="30"/>
      <c r="Q65" s="31"/>
    </row>
    <row r="66" customFormat="false" ht="22.35" hidden="false" customHeight="false" outlineLevel="0" collapsed="false">
      <c r="A66" s="28" t="s">
        <v>365</v>
      </c>
      <c r="B66" s="25" t="s">
        <v>154</v>
      </c>
      <c r="C66" s="26"/>
      <c r="D66" s="27"/>
      <c r="E66" s="28" t="n">
        <v>10</v>
      </c>
      <c r="F66" s="26" t="s">
        <v>376</v>
      </c>
      <c r="G66" s="29" t="s">
        <v>290</v>
      </c>
      <c r="H66" s="28" t="str">
        <f aca="false">IFERROR(INDEX('الإعدادات واللجنة'!$C$24:$C$32,MATCH(LEFT(A66,3),'الإعدادات واللجنة'!$A$24:$A$32,0)),"")</f>
        <v>د. احمد بن عوض البشري</v>
      </c>
      <c r="I66" s="30"/>
      <c r="J66" s="30"/>
      <c r="K66" s="28" t="str">
        <f aca="false">IF(OR(I66="",I66="متوفر ومكتمل"),"",IF(OR(D66="★",I66="غير متوفر"),"عالية","متوسطة"))</f>
        <v/>
      </c>
      <c r="L66" s="31"/>
      <c r="M66" s="30"/>
      <c r="N66" s="31"/>
      <c r="O66" s="31"/>
      <c r="P66" s="30"/>
      <c r="Q66" s="31"/>
    </row>
    <row r="67" customFormat="false" ht="22.35" hidden="false" customHeight="false" outlineLevel="0" collapsed="false">
      <c r="A67" s="32" t="s">
        <v>377</v>
      </c>
      <c r="B67" s="33" t="s">
        <v>154</v>
      </c>
      <c r="C67" s="34" t="s">
        <v>378</v>
      </c>
      <c r="D67" s="35" t="s">
        <v>296</v>
      </c>
      <c r="E67" s="36" t="n">
        <v>1</v>
      </c>
      <c r="F67" s="34" t="s">
        <v>379</v>
      </c>
      <c r="G67" s="37" t="s">
        <v>290</v>
      </c>
      <c r="H67" s="38" t="str">
        <f aca="false">IFERROR(INDEX('الإعدادات واللجنة'!$C$24:$C$32,MATCH(LEFT(A67,3),'الإعدادات واللجنة'!$A$24:$A$32,0)),"")</f>
        <v>د. احمد بن عوض البشري</v>
      </c>
      <c r="I67" s="39"/>
      <c r="J67" s="39"/>
      <c r="K67" s="38" t="str">
        <f aca="false">IF(OR(I67="",I67="متوفر ومكتمل"),"",IF(OR(D67="★",I67="غير متوفر"),"عالية","متوسطة"))</f>
        <v/>
      </c>
      <c r="L67" s="40"/>
      <c r="M67" s="39"/>
      <c r="N67" s="40"/>
      <c r="O67" s="40"/>
      <c r="P67" s="39"/>
      <c r="Q67" s="40"/>
    </row>
    <row r="68" customFormat="false" ht="22.35" hidden="false" customHeight="false" outlineLevel="0" collapsed="false">
      <c r="A68" s="41" t="s">
        <v>377</v>
      </c>
      <c r="B68" s="42" t="s">
        <v>154</v>
      </c>
      <c r="C68" s="43"/>
      <c r="D68" s="44" t="s">
        <v>296</v>
      </c>
      <c r="E68" s="41" t="n">
        <v>2</v>
      </c>
      <c r="F68" s="43" t="s">
        <v>380</v>
      </c>
      <c r="G68" s="29" t="s">
        <v>290</v>
      </c>
      <c r="H68" s="28" t="str">
        <f aca="false">IFERROR(INDEX('الإعدادات واللجنة'!$C$24:$C$32,MATCH(LEFT(A68,3),'الإعدادات واللجنة'!$A$24:$A$32,0)),"")</f>
        <v>د. احمد بن عوض البشري</v>
      </c>
      <c r="I68" s="30"/>
      <c r="J68" s="30"/>
      <c r="K68" s="28" t="str">
        <f aca="false">IF(OR(I68="",I68="متوفر ومكتمل"),"",IF(OR(D68="★",I68="غير متوفر"),"عالية","متوسطة"))</f>
        <v/>
      </c>
      <c r="L68" s="31"/>
      <c r="M68" s="30"/>
      <c r="N68" s="31"/>
      <c r="O68" s="31"/>
      <c r="P68" s="30"/>
      <c r="Q68" s="31"/>
    </row>
    <row r="69" customFormat="false" ht="22.35" hidden="false" customHeight="false" outlineLevel="0" collapsed="false">
      <c r="A69" s="41" t="s">
        <v>377</v>
      </c>
      <c r="B69" s="42" t="s">
        <v>154</v>
      </c>
      <c r="C69" s="43"/>
      <c r="D69" s="44" t="s">
        <v>296</v>
      </c>
      <c r="E69" s="41" t="n">
        <v>3</v>
      </c>
      <c r="F69" s="43" t="s">
        <v>381</v>
      </c>
      <c r="G69" s="29" t="s">
        <v>290</v>
      </c>
      <c r="H69" s="28" t="str">
        <f aca="false">IFERROR(INDEX('الإعدادات واللجنة'!$C$24:$C$32,MATCH(LEFT(A69,3),'الإعدادات واللجنة'!$A$24:$A$32,0)),"")</f>
        <v>د. احمد بن عوض البشري</v>
      </c>
      <c r="I69" s="30"/>
      <c r="J69" s="30"/>
      <c r="K69" s="28" t="str">
        <f aca="false">IF(OR(I69="",I69="متوفر ومكتمل"),"",IF(OR(D69="★",I69="غير متوفر"),"عالية","متوسطة"))</f>
        <v/>
      </c>
      <c r="L69" s="31"/>
      <c r="M69" s="30"/>
      <c r="N69" s="31"/>
      <c r="O69" s="31"/>
      <c r="P69" s="30"/>
      <c r="Q69" s="31"/>
    </row>
    <row r="70" customFormat="false" ht="22.35" hidden="false" customHeight="false" outlineLevel="0" collapsed="false">
      <c r="A70" s="45" t="s">
        <v>382</v>
      </c>
      <c r="B70" s="46" t="s">
        <v>154</v>
      </c>
      <c r="C70" s="47" t="s">
        <v>383</v>
      </c>
      <c r="D70" s="48"/>
      <c r="E70" s="38" t="n">
        <v>1</v>
      </c>
      <c r="F70" s="47" t="s">
        <v>384</v>
      </c>
      <c r="G70" s="37" t="s">
        <v>290</v>
      </c>
      <c r="H70" s="38" t="str">
        <f aca="false">IFERROR(INDEX('الإعدادات واللجنة'!$C$24:$C$32,MATCH(LEFT(A70,3),'الإعدادات واللجنة'!$A$24:$A$32,0)),"")</f>
        <v>د. احمد بن عوض البشري</v>
      </c>
      <c r="I70" s="39"/>
      <c r="J70" s="39"/>
      <c r="K70" s="38" t="str">
        <f aca="false">IF(OR(I70="",I70="متوفر ومكتمل"),"",IF(OR(D70="★",I70="غير متوفر"),"عالية","متوسطة"))</f>
        <v/>
      </c>
      <c r="L70" s="40"/>
      <c r="M70" s="39"/>
      <c r="N70" s="40"/>
      <c r="O70" s="40"/>
      <c r="P70" s="39"/>
      <c r="Q70" s="40"/>
    </row>
    <row r="71" customFormat="false" ht="22.35" hidden="false" customHeight="false" outlineLevel="0" collapsed="false">
      <c r="A71" s="28" t="s">
        <v>382</v>
      </c>
      <c r="B71" s="25" t="s">
        <v>154</v>
      </c>
      <c r="C71" s="26"/>
      <c r="D71" s="27"/>
      <c r="E71" s="28" t="n">
        <v>2</v>
      </c>
      <c r="F71" s="26" t="s">
        <v>385</v>
      </c>
      <c r="G71" s="29" t="s">
        <v>290</v>
      </c>
      <c r="H71" s="28" t="str">
        <f aca="false">IFERROR(INDEX('الإعدادات واللجنة'!$C$24:$C$32,MATCH(LEFT(A71,3),'الإعدادات واللجنة'!$A$24:$A$32,0)),"")</f>
        <v>د. احمد بن عوض البشري</v>
      </c>
      <c r="I71" s="30"/>
      <c r="J71" s="30"/>
      <c r="K71" s="28" t="str">
        <f aca="false">IF(OR(I71="",I71="متوفر ومكتمل"),"",IF(OR(D71="★",I71="غير متوفر"),"عالية","متوسطة"))</f>
        <v/>
      </c>
      <c r="L71" s="31"/>
      <c r="M71" s="30"/>
      <c r="N71" s="31"/>
      <c r="O71" s="31"/>
      <c r="P71" s="30"/>
      <c r="Q71" s="31"/>
    </row>
    <row r="72" customFormat="false" ht="22.35" hidden="false" customHeight="false" outlineLevel="0" collapsed="false">
      <c r="A72" s="28" t="s">
        <v>382</v>
      </c>
      <c r="B72" s="25" t="s">
        <v>154</v>
      </c>
      <c r="C72" s="26"/>
      <c r="D72" s="27"/>
      <c r="E72" s="28" t="n">
        <v>3</v>
      </c>
      <c r="F72" s="26" t="s">
        <v>386</v>
      </c>
      <c r="G72" s="29" t="s">
        <v>290</v>
      </c>
      <c r="H72" s="28" t="str">
        <f aca="false">IFERROR(INDEX('الإعدادات واللجنة'!$C$24:$C$32,MATCH(LEFT(A72,3),'الإعدادات واللجنة'!$A$24:$A$32,0)),"")</f>
        <v>د. احمد بن عوض البشري</v>
      </c>
      <c r="I72" s="30"/>
      <c r="J72" s="30"/>
      <c r="K72" s="28" t="str">
        <f aca="false">IF(OR(I72="",I72="متوفر ومكتمل"),"",IF(OR(D72="★",I72="غير متوفر"),"عالية","متوسطة"))</f>
        <v/>
      </c>
      <c r="L72" s="31"/>
      <c r="M72" s="30"/>
      <c r="N72" s="31"/>
      <c r="O72" s="31"/>
      <c r="P72" s="30"/>
      <c r="Q72" s="31"/>
    </row>
    <row r="73" customFormat="false" ht="22.35" hidden="false" customHeight="false" outlineLevel="0" collapsed="false">
      <c r="A73" s="28" t="s">
        <v>382</v>
      </c>
      <c r="B73" s="25" t="s">
        <v>154</v>
      </c>
      <c r="C73" s="26"/>
      <c r="D73" s="27"/>
      <c r="E73" s="28" t="n">
        <v>4</v>
      </c>
      <c r="F73" s="26" t="s">
        <v>387</v>
      </c>
      <c r="G73" s="29" t="s">
        <v>290</v>
      </c>
      <c r="H73" s="28" t="str">
        <f aca="false">IFERROR(INDEX('الإعدادات واللجنة'!$C$24:$C$32,MATCH(LEFT(A73,3),'الإعدادات واللجنة'!$A$24:$A$32,0)),"")</f>
        <v>د. احمد بن عوض البشري</v>
      </c>
      <c r="I73" s="30"/>
      <c r="J73" s="30"/>
      <c r="K73" s="28" t="str">
        <f aca="false">IF(OR(I73="",I73="متوفر ومكتمل"),"",IF(OR(D73="★",I73="غير متوفر"),"عالية","متوسطة"))</f>
        <v/>
      </c>
      <c r="L73" s="31"/>
      <c r="M73" s="30"/>
      <c r="N73" s="31"/>
      <c r="O73" s="31"/>
      <c r="P73" s="30"/>
      <c r="Q73" s="31"/>
    </row>
    <row r="74" customFormat="false" ht="22.35" hidden="false" customHeight="false" outlineLevel="0" collapsed="false">
      <c r="A74" s="32" t="s">
        <v>388</v>
      </c>
      <c r="B74" s="33" t="s">
        <v>154</v>
      </c>
      <c r="C74" s="34" t="s">
        <v>389</v>
      </c>
      <c r="D74" s="35" t="s">
        <v>296</v>
      </c>
      <c r="E74" s="36" t="n">
        <v>1</v>
      </c>
      <c r="F74" s="34" t="s">
        <v>368</v>
      </c>
      <c r="G74" s="37" t="s">
        <v>290</v>
      </c>
      <c r="H74" s="38" t="str">
        <f aca="false">IFERROR(INDEX('الإعدادات واللجنة'!$C$24:$C$32,MATCH(LEFT(A74,3),'الإعدادات واللجنة'!$A$24:$A$32,0)),"")</f>
        <v>د. احمد بن عوض البشري</v>
      </c>
      <c r="I74" s="39"/>
      <c r="J74" s="39"/>
      <c r="K74" s="38" t="str">
        <f aca="false">IF(OR(I74="",I74="متوفر ومكتمل"),"",IF(OR(D74="★",I74="غير متوفر"),"عالية","متوسطة"))</f>
        <v/>
      </c>
      <c r="L74" s="40"/>
      <c r="M74" s="39"/>
      <c r="N74" s="40"/>
      <c r="O74" s="40"/>
      <c r="P74" s="39"/>
      <c r="Q74" s="40"/>
    </row>
    <row r="75" customFormat="false" ht="15" hidden="false" customHeight="false" outlineLevel="0" collapsed="false">
      <c r="A75" s="41" t="s">
        <v>388</v>
      </c>
      <c r="B75" s="42" t="s">
        <v>154</v>
      </c>
      <c r="C75" s="43"/>
      <c r="D75" s="44" t="s">
        <v>296</v>
      </c>
      <c r="E75" s="41" t="n">
        <v>2</v>
      </c>
      <c r="F75" s="43" t="s">
        <v>390</v>
      </c>
      <c r="G75" s="29" t="s">
        <v>290</v>
      </c>
      <c r="H75" s="28" t="str">
        <f aca="false">IFERROR(INDEX('الإعدادات واللجنة'!$C$24:$C$32,MATCH(LEFT(A75,3),'الإعدادات واللجنة'!$A$24:$A$32,0)),"")</f>
        <v>د. احمد بن عوض البشري</v>
      </c>
      <c r="I75" s="30"/>
      <c r="J75" s="30"/>
      <c r="K75" s="28" t="str">
        <f aca="false">IF(OR(I75="",I75="متوفر ومكتمل"),"",IF(OR(D75="★",I75="غير متوفر"),"عالية","متوسطة"))</f>
        <v/>
      </c>
      <c r="L75" s="31"/>
      <c r="M75" s="30"/>
      <c r="N75" s="31"/>
      <c r="O75" s="31"/>
      <c r="P75" s="30"/>
      <c r="Q75" s="31"/>
    </row>
    <row r="76" customFormat="false" ht="22.35" hidden="false" customHeight="false" outlineLevel="0" collapsed="false">
      <c r="A76" s="41" t="s">
        <v>388</v>
      </c>
      <c r="B76" s="42" t="s">
        <v>154</v>
      </c>
      <c r="C76" s="43"/>
      <c r="D76" s="44" t="s">
        <v>296</v>
      </c>
      <c r="E76" s="41" t="n">
        <v>3</v>
      </c>
      <c r="F76" s="43" t="s">
        <v>391</v>
      </c>
      <c r="G76" s="29" t="s">
        <v>290</v>
      </c>
      <c r="H76" s="28" t="str">
        <f aca="false">IFERROR(INDEX('الإعدادات واللجنة'!$C$24:$C$32,MATCH(LEFT(A76,3),'الإعدادات واللجنة'!$A$24:$A$32,0)),"")</f>
        <v>د. احمد بن عوض البشري</v>
      </c>
      <c r="I76" s="30"/>
      <c r="J76" s="30"/>
      <c r="K76" s="28" t="str">
        <f aca="false">IF(OR(I76="",I76="متوفر ومكتمل"),"",IF(OR(D76="★",I76="غير متوفر"),"عالية","متوسطة"))</f>
        <v/>
      </c>
      <c r="L76" s="31"/>
      <c r="M76" s="30"/>
      <c r="N76" s="31"/>
      <c r="O76" s="31"/>
      <c r="P76" s="30"/>
      <c r="Q76" s="31"/>
    </row>
    <row r="77" customFormat="false" ht="15" hidden="false" customHeight="false" outlineLevel="0" collapsed="false">
      <c r="A77" s="41" t="s">
        <v>388</v>
      </c>
      <c r="B77" s="42" t="s">
        <v>154</v>
      </c>
      <c r="C77" s="43"/>
      <c r="D77" s="44" t="s">
        <v>296</v>
      </c>
      <c r="E77" s="41" t="n">
        <v>4</v>
      </c>
      <c r="F77" s="43" t="s">
        <v>392</v>
      </c>
      <c r="G77" s="29" t="s">
        <v>290</v>
      </c>
      <c r="H77" s="28" t="str">
        <f aca="false">IFERROR(INDEX('الإعدادات واللجنة'!$C$24:$C$32,MATCH(LEFT(A77,3),'الإعدادات واللجنة'!$A$24:$A$32,0)),"")</f>
        <v>د. احمد بن عوض البشري</v>
      </c>
      <c r="I77" s="30"/>
      <c r="J77" s="30"/>
      <c r="K77" s="28" t="str">
        <f aca="false">IF(OR(I77="",I77="متوفر ومكتمل"),"",IF(OR(D77="★",I77="غير متوفر"),"عالية","متوسطة"))</f>
        <v/>
      </c>
      <c r="L77" s="31"/>
      <c r="M77" s="30"/>
      <c r="N77" s="31"/>
      <c r="O77" s="31"/>
      <c r="P77" s="30"/>
      <c r="Q77" s="31"/>
    </row>
    <row r="78" customFormat="false" ht="22.35" hidden="false" customHeight="false" outlineLevel="0" collapsed="false">
      <c r="A78" s="45" t="s">
        <v>393</v>
      </c>
      <c r="B78" s="46" t="s">
        <v>154</v>
      </c>
      <c r="C78" s="47" t="s">
        <v>394</v>
      </c>
      <c r="D78" s="48"/>
      <c r="E78" s="38" t="n">
        <v>1</v>
      </c>
      <c r="F78" s="47" t="s">
        <v>395</v>
      </c>
      <c r="G78" s="37" t="s">
        <v>290</v>
      </c>
      <c r="H78" s="38" t="str">
        <f aca="false">IFERROR(INDEX('الإعدادات واللجنة'!$C$24:$C$32,MATCH(LEFT(A78,3),'الإعدادات واللجنة'!$A$24:$A$32,0)),"")</f>
        <v>د. احمد بن عوض البشري</v>
      </c>
      <c r="I78" s="39"/>
      <c r="J78" s="39"/>
      <c r="K78" s="38" t="str">
        <f aca="false">IF(OR(I78="",I78="متوفر ومكتمل"),"",IF(OR(D78="★",I78="غير متوفر"),"عالية","متوسطة"))</f>
        <v/>
      </c>
      <c r="L78" s="40"/>
      <c r="M78" s="39"/>
      <c r="N78" s="40"/>
      <c r="O78" s="40"/>
      <c r="P78" s="39"/>
      <c r="Q78" s="40"/>
    </row>
    <row r="79" customFormat="false" ht="22.35" hidden="false" customHeight="false" outlineLevel="0" collapsed="false">
      <c r="A79" s="28" t="s">
        <v>393</v>
      </c>
      <c r="B79" s="25" t="s">
        <v>154</v>
      </c>
      <c r="C79" s="26"/>
      <c r="D79" s="27"/>
      <c r="E79" s="28" t="n">
        <v>2</v>
      </c>
      <c r="F79" s="26" t="s">
        <v>396</v>
      </c>
      <c r="G79" s="29" t="s">
        <v>290</v>
      </c>
      <c r="H79" s="28" t="str">
        <f aca="false">IFERROR(INDEX('الإعدادات واللجنة'!$C$24:$C$32,MATCH(LEFT(A79,3),'الإعدادات واللجنة'!$A$24:$A$32,0)),"")</f>
        <v>د. احمد بن عوض البشري</v>
      </c>
      <c r="I79" s="30"/>
      <c r="J79" s="30"/>
      <c r="K79" s="28" t="str">
        <f aca="false">IF(OR(I79="",I79="متوفر ومكتمل"),"",IF(OR(D79="★",I79="غير متوفر"),"عالية","متوسطة"))</f>
        <v/>
      </c>
      <c r="L79" s="31"/>
      <c r="M79" s="30"/>
      <c r="N79" s="31"/>
      <c r="O79" s="31"/>
      <c r="P79" s="30"/>
      <c r="Q79" s="31"/>
    </row>
    <row r="80" customFormat="false" ht="22.35" hidden="false" customHeight="false" outlineLevel="0" collapsed="false">
      <c r="A80" s="28" t="s">
        <v>393</v>
      </c>
      <c r="B80" s="25" t="s">
        <v>154</v>
      </c>
      <c r="C80" s="26"/>
      <c r="D80" s="27"/>
      <c r="E80" s="28" t="n">
        <v>3</v>
      </c>
      <c r="F80" s="26" t="s">
        <v>397</v>
      </c>
      <c r="G80" s="29" t="s">
        <v>290</v>
      </c>
      <c r="H80" s="28" t="str">
        <f aca="false">IFERROR(INDEX('الإعدادات واللجنة'!$C$24:$C$32,MATCH(LEFT(A80,3),'الإعدادات واللجنة'!$A$24:$A$32,0)),"")</f>
        <v>د. احمد بن عوض البشري</v>
      </c>
      <c r="I80" s="30"/>
      <c r="J80" s="30"/>
      <c r="K80" s="28" t="str">
        <f aca="false">IF(OR(I80="",I80="متوفر ومكتمل"),"",IF(OR(D80="★",I80="غير متوفر"),"عالية","متوسطة"))</f>
        <v/>
      </c>
      <c r="L80" s="31"/>
      <c r="M80" s="30"/>
      <c r="N80" s="31"/>
      <c r="O80" s="31"/>
      <c r="P80" s="30"/>
      <c r="Q80" s="31"/>
    </row>
    <row r="81" customFormat="false" ht="15" hidden="false" customHeight="false" outlineLevel="0" collapsed="false">
      <c r="A81" s="28" t="s">
        <v>393</v>
      </c>
      <c r="B81" s="25" t="s">
        <v>154</v>
      </c>
      <c r="C81" s="26"/>
      <c r="D81" s="27"/>
      <c r="E81" s="28" t="n">
        <v>4</v>
      </c>
      <c r="F81" s="26" t="s">
        <v>398</v>
      </c>
      <c r="G81" s="29" t="s">
        <v>290</v>
      </c>
      <c r="H81" s="28" t="str">
        <f aca="false">IFERROR(INDEX('الإعدادات واللجنة'!$C$24:$C$32,MATCH(LEFT(A81,3),'الإعدادات واللجنة'!$A$24:$A$32,0)),"")</f>
        <v>د. احمد بن عوض البشري</v>
      </c>
      <c r="I81" s="30"/>
      <c r="J81" s="30"/>
      <c r="K81" s="28" t="str">
        <f aca="false">IF(OR(I81="",I81="متوفر ومكتمل"),"",IF(OR(D81="★",I81="غير متوفر"),"عالية","متوسطة"))</f>
        <v/>
      </c>
      <c r="L81" s="31"/>
      <c r="M81" s="30"/>
      <c r="N81" s="31"/>
      <c r="O81" s="31"/>
      <c r="P81" s="30"/>
      <c r="Q81" s="31"/>
    </row>
    <row r="82" customFormat="false" ht="32.8" hidden="false" customHeight="false" outlineLevel="0" collapsed="false">
      <c r="A82" s="32" t="s">
        <v>399</v>
      </c>
      <c r="B82" s="33" t="s">
        <v>154</v>
      </c>
      <c r="C82" s="34" t="s">
        <v>400</v>
      </c>
      <c r="D82" s="35" t="s">
        <v>296</v>
      </c>
      <c r="E82" s="36" t="n">
        <v>1</v>
      </c>
      <c r="F82" s="34" t="s">
        <v>401</v>
      </c>
      <c r="G82" s="37" t="s">
        <v>290</v>
      </c>
      <c r="H82" s="38" t="str">
        <f aca="false">IFERROR(INDEX('الإعدادات واللجنة'!$C$24:$C$32,MATCH(LEFT(A82,3),'الإعدادات واللجنة'!$A$24:$A$32,0)),"")</f>
        <v>د. احمد بن عوض البشري</v>
      </c>
      <c r="I82" s="39"/>
      <c r="J82" s="39"/>
      <c r="K82" s="38" t="str">
        <f aca="false">IF(OR(I82="",I82="متوفر ومكتمل"),"",IF(OR(D82="★",I82="غير متوفر"),"عالية","متوسطة"))</f>
        <v/>
      </c>
      <c r="L82" s="40"/>
      <c r="M82" s="39"/>
      <c r="N82" s="40"/>
      <c r="O82" s="40"/>
      <c r="P82" s="39"/>
      <c r="Q82" s="40"/>
    </row>
    <row r="83" customFormat="false" ht="22.35" hidden="false" customHeight="false" outlineLevel="0" collapsed="false">
      <c r="A83" s="41" t="s">
        <v>399</v>
      </c>
      <c r="B83" s="42" t="s">
        <v>154</v>
      </c>
      <c r="C83" s="43"/>
      <c r="D83" s="44" t="s">
        <v>296</v>
      </c>
      <c r="E83" s="41" t="n">
        <v>2</v>
      </c>
      <c r="F83" s="43" t="s">
        <v>402</v>
      </c>
      <c r="G83" s="29" t="s">
        <v>290</v>
      </c>
      <c r="H83" s="28" t="str">
        <f aca="false">IFERROR(INDEX('الإعدادات واللجنة'!$C$24:$C$32,MATCH(LEFT(A83,3),'الإعدادات واللجنة'!$A$24:$A$32,0)),"")</f>
        <v>د. احمد بن عوض البشري</v>
      </c>
      <c r="I83" s="30"/>
      <c r="J83" s="30"/>
      <c r="K83" s="28" t="str">
        <f aca="false">IF(OR(I83="",I83="متوفر ومكتمل"),"",IF(OR(D83="★",I83="غير متوفر"),"عالية","متوسطة"))</f>
        <v/>
      </c>
      <c r="L83" s="31"/>
      <c r="M83" s="30"/>
      <c r="N83" s="31"/>
      <c r="O83" s="31"/>
      <c r="P83" s="30"/>
      <c r="Q83" s="31"/>
    </row>
    <row r="84" customFormat="false" ht="22.35" hidden="false" customHeight="false" outlineLevel="0" collapsed="false">
      <c r="A84" s="41" t="s">
        <v>399</v>
      </c>
      <c r="B84" s="42" t="s">
        <v>154</v>
      </c>
      <c r="C84" s="43"/>
      <c r="D84" s="44" t="s">
        <v>296</v>
      </c>
      <c r="E84" s="41" t="n">
        <v>3</v>
      </c>
      <c r="F84" s="43" t="s">
        <v>403</v>
      </c>
      <c r="G84" s="29" t="s">
        <v>290</v>
      </c>
      <c r="H84" s="28" t="str">
        <f aca="false">IFERROR(INDEX('الإعدادات واللجنة'!$C$24:$C$32,MATCH(LEFT(A84,3),'الإعدادات واللجنة'!$A$24:$A$32,0)),"")</f>
        <v>د. احمد بن عوض البشري</v>
      </c>
      <c r="I84" s="30"/>
      <c r="J84" s="30"/>
      <c r="K84" s="28" t="str">
        <f aca="false">IF(OR(I84="",I84="متوفر ومكتمل"),"",IF(OR(D84="★",I84="غير متوفر"),"عالية","متوسطة"))</f>
        <v/>
      </c>
      <c r="L84" s="31"/>
      <c r="M84" s="30"/>
      <c r="N84" s="31"/>
      <c r="O84" s="31"/>
      <c r="P84" s="30"/>
      <c r="Q84" s="31"/>
    </row>
    <row r="85" customFormat="false" ht="22.35" hidden="false" customHeight="false" outlineLevel="0" collapsed="false">
      <c r="A85" s="41" t="s">
        <v>399</v>
      </c>
      <c r="B85" s="42" t="s">
        <v>154</v>
      </c>
      <c r="C85" s="43"/>
      <c r="D85" s="44" t="s">
        <v>296</v>
      </c>
      <c r="E85" s="41" t="n">
        <v>4</v>
      </c>
      <c r="F85" s="43" t="s">
        <v>404</v>
      </c>
      <c r="G85" s="29" t="s">
        <v>290</v>
      </c>
      <c r="H85" s="28" t="str">
        <f aca="false">IFERROR(INDEX('الإعدادات واللجنة'!$C$24:$C$32,MATCH(LEFT(A85,3),'الإعدادات واللجنة'!$A$24:$A$32,0)),"")</f>
        <v>د. احمد بن عوض البشري</v>
      </c>
      <c r="I85" s="30"/>
      <c r="J85" s="30"/>
      <c r="K85" s="28" t="str">
        <f aca="false">IF(OR(I85="",I85="متوفر ومكتمل"),"",IF(OR(D85="★",I85="غير متوفر"),"عالية","متوسطة"))</f>
        <v/>
      </c>
      <c r="L85" s="31"/>
      <c r="M85" s="30"/>
      <c r="N85" s="31"/>
      <c r="O85" s="31"/>
      <c r="P85" s="30"/>
      <c r="Q85" s="31"/>
    </row>
    <row r="86" customFormat="false" ht="22.35" hidden="false" customHeight="false" outlineLevel="0" collapsed="false">
      <c r="A86" s="41" t="s">
        <v>399</v>
      </c>
      <c r="B86" s="42" t="s">
        <v>154</v>
      </c>
      <c r="C86" s="43"/>
      <c r="D86" s="44" t="s">
        <v>296</v>
      </c>
      <c r="E86" s="41" t="n">
        <v>5</v>
      </c>
      <c r="F86" s="43" t="s">
        <v>405</v>
      </c>
      <c r="G86" s="29" t="s">
        <v>290</v>
      </c>
      <c r="H86" s="28" t="str">
        <f aca="false">IFERROR(INDEX('الإعدادات واللجنة'!$C$24:$C$32,MATCH(LEFT(A86,3),'الإعدادات واللجنة'!$A$24:$A$32,0)),"")</f>
        <v>د. احمد بن عوض البشري</v>
      </c>
      <c r="I86" s="30"/>
      <c r="J86" s="30"/>
      <c r="K86" s="28" t="str">
        <f aca="false">IF(OR(I86="",I86="متوفر ومكتمل"),"",IF(OR(D86="★",I86="غير متوفر"),"عالية","متوسطة"))</f>
        <v/>
      </c>
      <c r="L86" s="31"/>
      <c r="M86" s="30"/>
      <c r="N86" s="31"/>
      <c r="O86" s="31"/>
      <c r="P86" s="30"/>
      <c r="Q86" s="31"/>
    </row>
    <row r="87" customFormat="false" ht="22.35" hidden="false" customHeight="false" outlineLevel="0" collapsed="false">
      <c r="A87" s="41" t="s">
        <v>399</v>
      </c>
      <c r="B87" s="42" t="s">
        <v>154</v>
      </c>
      <c r="C87" s="43"/>
      <c r="D87" s="44" t="s">
        <v>296</v>
      </c>
      <c r="E87" s="41" t="n">
        <v>6</v>
      </c>
      <c r="F87" s="43" t="s">
        <v>406</v>
      </c>
      <c r="G87" s="29" t="s">
        <v>290</v>
      </c>
      <c r="H87" s="28" t="str">
        <f aca="false">IFERROR(INDEX('الإعدادات واللجنة'!$C$24:$C$32,MATCH(LEFT(A87,3),'الإعدادات واللجنة'!$A$24:$A$32,0)),"")</f>
        <v>د. احمد بن عوض البشري</v>
      </c>
      <c r="I87" s="30"/>
      <c r="J87" s="30"/>
      <c r="K87" s="28" t="str">
        <f aca="false">IF(OR(I87="",I87="متوفر ومكتمل"),"",IF(OR(D87="★",I87="غير متوفر"),"عالية","متوسطة"))</f>
        <v/>
      </c>
      <c r="L87" s="31"/>
      <c r="M87" s="30"/>
      <c r="N87" s="31"/>
      <c r="O87" s="31"/>
      <c r="P87" s="30"/>
      <c r="Q87" s="31"/>
    </row>
    <row r="88" customFormat="false" ht="32.8" hidden="false" customHeight="false" outlineLevel="0" collapsed="false">
      <c r="A88" s="32" t="s">
        <v>407</v>
      </c>
      <c r="B88" s="33" t="s">
        <v>154</v>
      </c>
      <c r="C88" s="34" t="s">
        <v>408</v>
      </c>
      <c r="D88" s="35" t="s">
        <v>296</v>
      </c>
      <c r="E88" s="36" t="n">
        <v>1</v>
      </c>
      <c r="F88" s="34" t="s">
        <v>409</v>
      </c>
      <c r="G88" s="37" t="s">
        <v>290</v>
      </c>
      <c r="H88" s="38" t="str">
        <f aca="false">IFERROR(INDEX('الإعدادات واللجنة'!$C$24:$C$32,MATCH(LEFT(A88,3),'الإعدادات واللجنة'!$A$24:$A$32,0)),"")</f>
        <v>د. احمد بن عوض البشري</v>
      </c>
      <c r="I88" s="39"/>
      <c r="J88" s="39"/>
      <c r="K88" s="38" t="str">
        <f aca="false">IF(OR(I88="",I88="متوفر ومكتمل"),"",IF(OR(D88="★",I88="غير متوفر"),"عالية","متوسطة"))</f>
        <v/>
      </c>
      <c r="L88" s="40"/>
      <c r="M88" s="39"/>
      <c r="N88" s="40"/>
      <c r="O88" s="40"/>
      <c r="P88" s="39"/>
      <c r="Q88" s="40"/>
    </row>
    <row r="89" customFormat="false" ht="22.35" hidden="false" customHeight="false" outlineLevel="0" collapsed="false">
      <c r="A89" s="41" t="s">
        <v>407</v>
      </c>
      <c r="B89" s="42" t="s">
        <v>154</v>
      </c>
      <c r="C89" s="43"/>
      <c r="D89" s="44" t="s">
        <v>296</v>
      </c>
      <c r="E89" s="41" t="n">
        <v>2</v>
      </c>
      <c r="F89" s="43" t="s">
        <v>410</v>
      </c>
      <c r="G89" s="29" t="s">
        <v>290</v>
      </c>
      <c r="H89" s="28" t="str">
        <f aca="false">IFERROR(INDEX('الإعدادات واللجنة'!$C$24:$C$32,MATCH(LEFT(A89,3),'الإعدادات واللجنة'!$A$24:$A$32,0)),"")</f>
        <v>د. احمد بن عوض البشري</v>
      </c>
      <c r="I89" s="30"/>
      <c r="J89" s="30"/>
      <c r="K89" s="28" t="str">
        <f aca="false">IF(OR(I89="",I89="متوفر ومكتمل"),"",IF(OR(D89="★",I89="غير متوفر"),"عالية","متوسطة"))</f>
        <v/>
      </c>
      <c r="L89" s="31"/>
      <c r="M89" s="30"/>
      <c r="N89" s="31"/>
      <c r="O89" s="31"/>
      <c r="P89" s="30"/>
      <c r="Q89" s="31"/>
    </row>
    <row r="90" customFormat="false" ht="22.35" hidden="false" customHeight="false" outlineLevel="0" collapsed="false">
      <c r="A90" s="41" t="s">
        <v>407</v>
      </c>
      <c r="B90" s="42" t="s">
        <v>154</v>
      </c>
      <c r="C90" s="43"/>
      <c r="D90" s="44" t="s">
        <v>296</v>
      </c>
      <c r="E90" s="41" t="n">
        <v>3</v>
      </c>
      <c r="F90" s="43" t="s">
        <v>404</v>
      </c>
      <c r="G90" s="29" t="s">
        <v>290</v>
      </c>
      <c r="H90" s="28" t="str">
        <f aca="false">IFERROR(INDEX('الإعدادات واللجنة'!$C$24:$C$32,MATCH(LEFT(A90,3),'الإعدادات واللجنة'!$A$24:$A$32,0)),"")</f>
        <v>د. احمد بن عوض البشري</v>
      </c>
      <c r="I90" s="30"/>
      <c r="J90" s="30"/>
      <c r="K90" s="28" t="str">
        <f aca="false">IF(OR(I90="",I90="متوفر ومكتمل"),"",IF(OR(D90="★",I90="غير متوفر"),"عالية","متوسطة"))</f>
        <v/>
      </c>
      <c r="L90" s="31"/>
      <c r="M90" s="30"/>
      <c r="N90" s="31"/>
      <c r="O90" s="31"/>
      <c r="P90" s="30"/>
      <c r="Q90" s="31"/>
    </row>
    <row r="91" customFormat="false" ht="22.35" hidden="false" customHeight="false" outlineLevel="0" collapsed="false">
      <c r="A91" s="41" t="s">
        <v>407</v>
      </c>
      <c r="B91" s="42" t="s">
        <v>154</v>
      </c>
      <c r="C91" s="43"/>
      <c r="D91" s="44" t="s">
        <v>296</v>
      </c>
      <c r="E91" s="41" t="n">
        <v>4</v>
      </c>
      <c r="F91" s="43" t="s">
        <v>411</v>
      </c>
      <c r="G91" s="29" t="s">
        <v>290</v>
      </c>
      <c r="H91" s="28" t="str">
        <f aca="false">IFERROR(INDEX('الإعدادات واللجنة'!$C$24:$C$32,MATCH(LEFT(A91,3),'الإعدادات واللجنة'!$A$24:$A$32,0)),"")</f>
        <v>د. احمد بن عوض البشري</v>
      </c>
      <c r="I91" s="30"/>
      <c r="J91" s="30"/>
      <c r="K91" s="28" t="str">
        <f aca="false">IF(OR(I91="",I91="متوفر ومكتمل"),"",IF(OR(D91="★",I91="غير متوفر"),"عالية","متوسطة"))</f>
        <v/>
      </c>
      <c r="L91" s="31"/>
      <c r="M91" s="30"/>
      <c r="N91" s="31"/>
      <c r="O91" s="31"/>
      <c r="P91" s="30"/>
      <c r="Q91" s="31"/>
    </row>
    <row r="92" customFormat="false" ht="32.8" hidden="false" customHeight="false" outlineLevel="0" collapsed="false">
      <c r="A92" s="45" t="s">
        <v>412</v>
      </c>
      <c r="B92" s="46" t="s">
        <v>154</v>
      </c>
      <c r="C92" s="47" t="s">
        <v>413</v>
      </c>
      <c r="D92" s="48"/>
      <c r="E92" s="38" t="n">
        <v>1</v>
      </c>
      <c r="F92" s="47" t="s">
        <v>414</v>
      </c>
      <c r="G92" s="37" t="s">
        <v>290</v>
      </c>
      <c r="H92" s="38" t="str">
        <f aca="false">IFERROR(INDEX('الإعدادات واللجنة'!$C$24:$C$32,MATCH(LEFT(A92,3),'الإعدادات واللجنة'!$A$24:$A$32,0)),"")</f>
        <v>د. احمد بن عوض البشري</v>
      </c>
      <c r="I92" s="39"/>
      <c r="J92" s="39"/>
      <c r="K92" s="38" t="str">
        <f aca="false">IF(OR(I92="",I92="متوفر ومكتمل"),"",IF(OR(D92="★",I92="غير متوفر"),"عالية","متوسطة"))</f>
        <v/>
      </c>
      <c r="L92" s="40"/>
      <c r="M92" s="39"/>
      <c r="N92" s="40"/>
      <c r="O92" s="40"/>
      <c r="P92" s="39"/>
      <c r="Q92" s="40"/>
    </row>
    <row r="93" customFormat="false" ht="15" hidden="false" customHeight="false" outlineLevel="0" collapsed="false">
      <c r="A93" s="28" t="s">
        <v>412</v>
      </c>
      <c r="B93" s="25" t="s">
        <v>154</v>
      </c>
      <c r="C93" s="26"/>
      <c r="D93" s="27"/>
      <c r="E93" s="28" t="n">
        <v>2</v>
      </c>
      <c r="F93" s="26" t="s">
        <v>415</v>
      </c>
      <c r="G93" s="29" t="s">
        <v>290</v>
      </c>
      <c r="H93" s="28" t="str">
        <f aca="false">IFERROR(INDEX('الإعدادات واللجنة'!$C$24:$C$32,MATCH(LEFT(A93,3),'الإعدادات واللجنة'!$A$24:$A$32,0)),"")</f>
        <v>د. احمد بن عوض البشري</v>
      </c>
      <c r="I93" s="30"/>
      <c r="J93" s="30"/>
      <c r="K93" s="28" t="str">
        <f aca="false">IF(OR(I93="",I93="متوفر ومكتمل"),"",IF(OR(D93="★",I93="غير متوفر"),"عالية","متوسطة"))</f>
        <v/>
      </c>
      <c r="L93" s="31"/>
      <c r="M93" s="30"/>
      <c r="N93" s="31"/>
      <c r="O93" s="31"/>
      <c r="P93" s="30"/>
      <c r="Q93" s="31"/>
    </row>
    <row r="94" customFormat="false" ht="15" hidden="false" customHeight="false" outlineLevel="0" collapsed="false">
      <c r="A94" s="28" t="s">
        <v>412</v>
      </c>
      <c r="B94" s="25" t="s">
        <v>154</v>
      </c>
      <c r="C94" s="26"/>
      <c r="D94" s="27"/>
      <c r="E94" s="28" t="n">
        <v>3</v>
      </c>
      <c r="F94" s="26" t="s">
        <v>416</v>
      </c>
      <c r="G94" s="29" t="s">
        <v>290</v>
      </c>
      <c r="H94" s="28" t="str">
        <f aca="false">IFERROR(INDEX('الإعدادات واللجنة'!$C$24:$C$32,MATCH(LEFT(A94,3),'الإعدادات واللجنة'!$A$24:$A$32,0)),"")</f>
        <v>د. احمد بن عوض البشري</v>
      </c>
      <c r="I94" s="30"/>
      <c r="J94" s="30"/>
      <c r="K94" s="28" t="str">
        <f aca="false">IF(OR(I94="",I94="متوفر ومكتمل"),"",IF(OR(D94="★",I94="غير متوفر"),"عالية","متوسطة"))</f>
        <v/>
      </c>
      <c r="L94" s="31"/>
      <c r="M94" s="30"/>
      <c r="N94" s="31"/>
      <c r="O94" s="31"/>
      <c r="P94" s="30"/>
      <c r="Q94" s="31"/>
    </row>
    <row r="95" customFormat="false" ht="15" hidden="false" customHeight="false" outlineLevel="0" collapsed="false">
      <c r="A95" s="28" t="s">
        <v>412</v>
      </c>
      <c r="B95" s="25" t="s">
        <v>154</v>
      </c>
      <c r="C95" s="26"/>
      <c r="D95" s="27"/>
      <c r="E95" s="28" t="n">
        <v>4</v>
      </c>
      <c r="F95" s="26" t="s">
        <v>417</v>
      </c>
      <c r="G95" s="29" t="s">
        <v>290</v>
      </c>
      <c r="H95" s="28" t="str">
        <f aca="false">IFERROR(INDEX('الإعدادات واللجنة'!$C$24:$C$32,MATCH(LEFT(A95,3),'الإعدادات واللجنة'!$A$24:$A$32,0)),"")</f>
        <v>د. احمد بن عوض البشري</v>
      </c>
      <c r="I95" s="30"/>
      <c r="J95" s="30"/>
      <c r="K95" s="28" t="str">
        <f aca="false">IF(OR(I95="",I95="متوفر ومكتمل"),"",IF(OR(D95="★",I95="غير متوفر"),"عالية","متوسطة"))</f>
        <v/>
      </c>
      <c r="L95" s="31"/>
      <c r="M95" s="30"/>
      <c r="N95" s="31"/>
      <c r="O95" s="31"/>
      <c r="P95" s="30"/>
      <c r="Q95" s="31"/>
    </row>
    <row r="96" customFormat="false" ht="22.35" hidden="false" customHeight="false" outlineLevel="0" collapsed="false">
      <c r="A96" s="45" t="s">
        <v>418</v>
      </c>
      <c r="B96" s="46" t="s">
        <v>154</v>
      </c>
      <c r="C96" s="47" t="s">
        <v>419</v>
      </c>
      <c r="D96" s="48"/>
      <c r="E96" s="38" t="n">
        <v>1</v>
      </c>
      <c r="F96" s="47" t="s">
        <v>402</v>
      </c>
      <c r="G96" s="37" t="s">
        <v>290</v>
      </c>
      <c r="H96" s="38" t="str">
        <f aca="false">IFERROR(INDEX('الإعدادات واللجنة'!$C$24:$C$32,MATCH(LEFT(A96,3),'الإعدادات واللجنة'!$A$24:$A$32,0)),"")</f>
        <v>د. احمد بن عوض البشري</v>
      </c>
      <c r="I96" s="39"/>
      <c r="J96" s="39"/>
      <c r="K96" s="38" t="str">
        <f aca="false">IF(OR(I96="",I96="متوفر ومكتمل"),"",IF(OR(D96="★",I96="غير متوفر"),"عالية","متوسطة"))</f>
        <v/>
      </c>
      <c r="L96" s="40"/>
      <c r="M96" s="39"/>
      <c r="N96" s="40"/>
      <c r="O96" s="40"/>
      <c r="P96" s="39"/>
      <c r="Q96" s="40"/>
    </row>
    <row r="97" customFormat="false" ht="15" hidden="false" customHeight="false" outlineLevel="0" collapsed="false">
      <c r="A97" s="28" t="s">
        <v>418</v>
      </c>
      <c r="B97" s="25" t="s">
        <v>154</v>
      </c>
      <c r="C97" s="26"/>
      <c r="D97" s="27"/>
      <c r="E97" s="28" t="n">
        <v>2</v>
      </c>
      <c r="F97" s="26" t="s">
        <v>420</v>
      </c>
      <c r="G97" s="29" t="s">
        <v>290</v>
      </c>
      <c r="H97" s="28" t="str">
        <f aca="false">IFERROR(INDEX('الإعدادات واللجنة'!$C$24:$C$32,MATCH(LEFT(A97,3),'الإعدادات واللجنة'!$A$24:$A$32,0)),"")</f>
        <v>د. احمد بن عوض البشري</v>
      </c>
      <c r="I97" s="30"/>
      <c r="J97" s="30"/>
      <c r="K97" s="28" t="str">
        <f aca="false">IF(OR(I97="",I97="متوفر ومكتمل"),"",IF(OR(D97="★",I97="غير متوفر"),"عالية","متوسطة"))</f>
        <v/>
      </c>
      <c r="L97" s="31"/>
      <c r="M97" s="30"/>
      <c r="N97" s="31"/>
      <c r="O97" s="31"/>
      <c r="P97" s="30"/>
      <c r="Q97" s="31"/>
    </row>
    <row r="98" customFormat="false" ht="15" hidden="false" customHeight="false" outlineLevel="0" collapsed="false">
      <c r="A98" s="28" t="s">
        <v>418</v>
      </c>
      <c r="B98" s="25" t="s">
        <v>154</v>
      </c>
      <c r="C98" s="26"/>
      <c r="D98" s="27"/>
      <c r="E98" s="28" t="n">
        <v>3</v>
      </c>
      <c r="F98" s="26" t="s">
        <v>421</v>
      </c>
      <c r="G98" s="29" t="s">
        <v>290</v>
      </c>
      <c r="H98" s="28" t="str">
        <f aca="false">IFERROR(INDEX('الإعدادات واللجنة'!$C$24:$C$32,MATCH(LEFT(A98,3),'الإعدادات واللجنة'!$A$24:$A$32,0)),"")</f>
        <v>د. احمد بن عوض البشري</v>
      </c>
      <c r="I98" s="30"/>
      <c r="J98" s="30"/>
      <c r="K98" s="28" t="str">
        <f aca="false">IF(OR(I98="",I98="متوفر ومكتمل"),"",IF(OR(D98="★",I98="غير متوفر"),"عالية","متوسطة"))</f>
        <v/>
      </c>
      <c r="L98" s="31"/>
      <c r="M98" s="30"/>
      <c r="N98" s="31"/>
      <c r="O98" s="31"/>
      <c r="P98" s="30"/>
      <c r="Q98" s="31"/>
    </row>
    <row r="99" customFormat="false" ht="32.8" hidden="false" customHeight="false" outlineLevel="0" collapsed="false">
      <c r="A99" s="28" t="s">
        <v>418</v>
      </c>
      <c r="B99" s="25" t="s">
        <v>154</v>
      </c>
      <c r="C99" s="26"/>
      <c r="D99" s="27"/>
      <c r="E99" s="28" t="n">
        <v>4</v>
      </c>
      <c r="F99" s="26" t="s">
        <v>422</v>
      </c>
      <c r="G99" s="29" t="s">
        <v>290</v>
      </c>
      <c r="H99" s="28" t="str">
        <f aca="false">IFERROR(INDEX('الإعدادات واللجنة'!$C$24:$C$32,MATCH(LEFT(A99,3),'الإعدادات واللجنة'!$A$24:$A$32,0)),"")</f>
        <v>د. احمد بن عوض البشري</v>
      </c>
      <c r="I99" s="30"/>
      <c r="J99" s="30"/>
      <c r="K99" s="28" t="str">
        <f aca="false">IF(OR(I99="",I99="متوفر ومكتمل"),"",IF(OR(D99="★",I99="غير متوفر"),"عالية","متوسطة"))</f>
        <v/>
      </c>
      <c r="L99" s="31"/>
      <c r="M99" s="30"/>
      <c r="N99" s="31"/>
      <c r="O99" s="31"/>
      <c r="P99" s="30"/>
      <c r="Q99" s="31"/>
    </row>
    <row r="100" customFormat="false" ht="32.8" hidden="false" customHeight="false" outlineLevel="0" collapsed="false">
      <c r="A100" s="45" t="s">
        <v>423</v>
      </c>
      <c r="B100" s="46" t="s">
        <v>154</v>
      </c>
      <c r="C100" s="47" t="s">
        <v>424</v>
      </c>
      <c r="D100" s="48"/>
      <c r="E100" s="38" t="n">
        <v>1</v>
      </c>
      <c r="F100" s="47" t="s">
        <v>425</v>
      </c>
      <c r="G100" s="37" t="s">
        <v>290</v>
      </c>
      <c r="H100" s="38" t="str">
        <f aca="false">IFERROR(INDEX('الإعدادات واللجنة'!$C$24:$C$32,MATCH(LEFT(A100,3),'الإعدادات واللجنة'!$A$24:$A$32,0)),"")</f>
        <v>د. احمد بن عوض البشري</v>
      </c>
      <c r="I100" s="39"/>
      <c r="J100" s="39"/>
      <c r="K100" s="38" t="str">
        <f aca="false">IF(OR(I100="",I100="متوفر ومكتمل"),"",IF(OR(D100="★",I100="غير متوفر"),"عالية","متوسطة"))</f>
        <v/>
      </c>
      <c r="L100" s="40"/>
      <c r="M100" s="39"/>
      <c r="N100" s="40"/>
      <c r="O100" s="40"/>
      <c r="P100" s="39"/>
      <c r="Q100" s="40"/>
    </row>
    <row r="101" customFormat="false" ht="22.35" hidden="false" customHeight="false" outlineLevel="0" collapsed="false">
      <c r="A101" s="28" t="s">
        <v>423</v>
      </c>
      <c r="B101" s="25" t="s">
        <v>154</v>
      </c>
      <c r="C101" s="26"/>
      <c r="D101" s="27"/>
      <c r="E101" s="28" t="n">
        <v>2</v>
      </c>
      <c r="F101" s="26" t="s">
        <v>426</v>
      </c>
      <c r="G101" s="29" t="s">
        <v>290</v>
      </c>
      <c r="H101" s="28" t="str">
        <f aca="false">IFERROR(INDEX('الإعدادات واللجنة'!$C$24:$C$32,MATCH(LEFT(A101,3),'الإعدادات واللجنة'!$A$24:$A$32,0)),"")</f>
        <v>د. احمد بن عوض البشري</v>
      </c>
      <c r="I101" s="30"/>
      <c r="J101" s="30"/>
      <c r="K101" s="28" t="str">
        <f aca="false">IF(OR(I101="",I101="متوفر ومكتمل"),"",IF(OR(D101="★",I101="غير متوفر"),"عالية","متوسطة"))</f>
        <v/>
      </c>
      <c r="L101" s="31"/>
      <c r="M101" s="30"/>
      <c r="N101" s="31"/>
      <c r="O101" s="31"/>
      <c r="P101" s="30"/>
      <c r="Q101" s="31"/>
    </row>
    <row r="102" customFormat="false" ht="32.8" hidden="false" customHeight="false" outlineLevel="0" collapsed="false">
      <c r="A102" s="45" t="s">
        <v>427</v>
      </c>
      <c r="B102" s="46" t="s">
        <v>154</v>
      </c>
      <c r="C102" s="47" t="s">
        <v>428</v>
      </c>
      <c r="D102" s="48"/>
      <c r="E102" s="38" t="n">
        <v>1</v>
      </c>
      <c r="F102" s="47" t="s">
        <v>429</v>
      </c>
      <c r="G102" s="37" t="s">
        <v>290</v>
      </c>
      <c r="H102" s="38" t="str">
        <f aca="false">IFERROR(INDEX('الإعدادات واللجنة'!$C$24:$C$32,MATCH(LEFT(A102,3),'الإعدادات واللجنة'!$A$24:$A$32,0)),"")</f>
        <v>د. احمد بن عوض البشري</v>
      </c>
      <c r="I102" s="39"/>
      <c r="J102" s="39"/>
      <c r="K102" s="38" t="str">
        <f aca="false">IF(OR(I102="",I102="متوفر ومكتمل"),"",IF(OR(D102="★",I102="غير متوفر"),"عالية","متوسطة"))</f>
        <v/>
      </c>
      <c r="L102" s="40"/>
      <c r="M102" s="39"/>
      <c r="N102" s="40"/>
      <c r="O102" s="40"/>
      <c r="P102" s="39"/>
      <c r="Q102" s="40"/>
    </row>
    <row r="103" customFormat="false" ht="15" hidden="false" customHeight="false" outlineLevel="0" collapsed="false">
      <c r="A103" s="28" t="s">
        <v>427</v>
      </c>
      <c r="B103" s="25" t="s">
        <v>154</v>
      </c>
      <c r="C103" s="26"/>
      <c r="D103" s="27"/>
      <c r="E103" s="28" t="n">
        <v>2</v>
      </c>
      <c r="F103" s="26" t="s">
        <v>430</v>
      </c>
      <c r="G103" s="29" t="s">
        <v>290</v>
      </c>
      <c r="H103" s="28" t="str">
        <f aca="false">IFERROR(INDEX('الإعدادات واللجنة'!$C$24:$C$32,MATCH(LEFT(A103,3),'الإعدادات واللجنة'!$A$24:$A$32,0)),"")</f>
        <v>د. احمد بن عوض البشري</v>
      </c>
      <c r="I103" s="30"/>
      <c r="J103" s="30"/>
      <c r="K103" s="28" t="str">
        <f aca="false">IF(OR(I103="",I103="متوفر ومكتمل"),"",IF(OR(D103="★",I103="غير متوفر"),"عالية","متوسطة"))</f>
        <v/>
      </c>
      <c r="L103" s="31"/>
      <c r="M103" s="30"/>
      <c r="N103" s="31"/>
      <c r="O103" s="31"/>
      <c r="P103" s="30"/>
      <c r="Q103" s="31"/>
    </row>
    <row r="104" customFormat="false" ht="15" hidden="false" customHeight="false" outlineLevel="0" collapsed="false">
      <c r="A104" s="28" t="s">
        <v>427</v>
      </c>
      <c r="B104" s="25" t="s">
        <v>154</v>
      </c>
      <c r="C104" s="26"/>
      <c r="D104" s="27"/>
      <c r="E104" s="28" t="n">
        <v>3</v>
      </c>
      <c r="F104" s="26" t="s">
        <v>431</v>
      </c>
      <c r="G104" s="29" t="s">
        <v>290</v>
      </c>
      <c r="H104" s="28" t="str">
        <f aca="false">IFERROR(INDEX('الإعدادات واللجنة'!$C$24:$C$32,MATCH(LEFT(A104,3),'الإعدادات واللجنة'!$A$24:$A$32,0)),"")</f>
        <v>د. احمد بن عوض البشري</v>
      </c>
      <c r="I104" s="30"/>
      <c r="J104" s="30"/>
      <c r="K104" s="28" t="str">
        <f aca="false">IF(OR(I104="",I104="متوفر ومكتمل"),"",IF(OR(D104="★",I104="غير متوفر"),"عالية","متوسطة"))</f>
        <v/>
      </c>
      <c r="L104" s="31"/>
      <c r="M104" s="30"/>
      <c r="N104" s="31"/>
      <c r="O104" s="31"/>
      <c r="P104" s="30"/>
      <c r="Q104" s="31"/>
    </row>
    <row r="105" customFormat="false" ht="32.8" hidden="false" customHeight="false" outlineLevel="0" collapsed="false">
      <c r="A105" s="32" t="s">
        <v>432</v>
      </c>
      <c r="B105" s="33" t="s">
        <v>154</v>
      </c>
      <c r="C105" s="34" t="s">
        <v>433</v>
      </c>
      <c r="D105" s="35" t="s">
        <v>296</v>
      </c>
      <c r="E105" s="36" t="n">
        <v>1</v>
      </c>
      <c r="F105" s="34" t="s">
        <v>434</v>
      </c>
      <c r="G105" s="37" t="s">
        <v>290</v>
      </c>
      <c r="H105" s="38" t="str">
        <f aca="false">IFERROR(INDEX('الإعدادات واللجنة'!$C$24:$C$32,MATCH(LEFT(A105,3),'الإعدادات واللجنة'!$A$24:$A$32,0)),"")</f>
        <v>د. احمد بن عوض البشري</v>
      </c>
      <c r="I105" s="39"/>
      <c r="J105" s="39"/>
      <c r="K105" s="38" t="str">
        <f aca="false">IF(OR(I105="",I105="متوفر ومكتمل"),"",IF(OR(D105="★",I105="غير متوفر"),"عالية","متوسطة"))</f>
        <v/>
      </c>
      <c r="L105" s="40"/>
      <c r="M105" s="39"/>
      <c r="N105" s="40"/>
      <c r="O105" s="40"/>
      <c r="P105" s="39"/>
      <c r="Q105" s="40"/>
    </row>
    <row r="106" customFormat="false" ht="22.35" hidden="false" customHeight="false" outlineLevel="0" collapsed="false">
      <c r="A106" s="41" t="s">
        <v>432</v>
      </c>
      <c r="B106" s="42" t="s">
        <v>154</v>
      </c>
      <c r="C106" s="43"/>
      <c r="D106" s="44" t="s">
        <v>296</v>
      </c>
      <c r="E106" s="41" t="n">
        <v>2</v>
      </c>
      <c r="F106" s="43" t="s">
        <v>435</v>
      </c>
      <c r="G106" s="29" t="s">
        <v>290</v>
      </c>
      <c r="H106" s="28" t="str">
        <f aca="false">IFERROR(INDEX('الإعدادات واللجنة'!$C$24:$C$32,MATCH(LEFT(A106,3),'الإعدادات واللجنة'!$A$24:$A$32,0)),"")</f>
        <v>د. احمد بن عوض البشري</v>
      </c>
      <c r="I106" s="30"/>
      <c r="J106" s="30"/>
      <c r="K106" s="28" t="str">
        <f aca="false">IF(OR(I106="",I106="متوفر ومكتمل"),"",IF(OR(D106="★",I106="غير متوفر"),"عالية","متوسطة"))</f>
        <v/>
      </c>
      <c r="L106" s="31"/>
      <c r="M106" s="30"/>
      <c r="N106" s="31"/>
      <c r="O106" s="31"/>
      <c r="P106" s="30"/>
      <c r="Q106" s="31"/>
    </row>
    <row r="107" customFormat="false" ht="32.8" hidden="false" customHeight="false" outlineLevel="0" collapsed="false">
      <c r="A107" s="32" t="s">
        <v>436</v>
      </c>
      <c r="B107" s="33" t="s">
        <v>154</v>
      </c>
      <c r="C107" s="34" t="s">
        <v>437</v>
      </c>
      <c r="D107" s="35" t="s">
        <v>296</v>
      </c>
      <c r="E107" s="36" t="n">
        <v>1</v>
      </c>
      <c r="F107" s="34" t="s">
        <v>438</v>
      </c>
      <c r="G107" s="37" t="s">
        <v>290</v>
      </c>
      <c r="H107" s="38" t="str">
        <f aca="false">IFERROR(INDEX('الإعدادات واللجنة'!$C$24:$C$32,MATCH(LEFT(A107,3),'الإعدادات واللجنة'!$A$24:$A$32,0)),"")</f>
        <v>د. يثرب بنت سعد القحطاني</v>
      </c>
      <c r="I107" s="39"/>
      <c r="J107" s="39"/>
      <c r="K107" s="38" t="str">
        <f aca="false">IF(OR(I107="",I107="متوفر ومكتمل"),"",IF(OR(D107="★",I107="غير متوفر"),"عالية","متوسطة"))</f>
        <v/>
      </c>
      <c r="L107" s="40"/>
      <c r="M107" s="39"/>
      <c r="N107" s="40"/>
      <c r="O107" s="40"/>
      <c r="P107" s="39"/>
      <c r="Q107" s="40"/>
    </row>
    <row r="108" customFormat="false" ht="22.35" hidden="false" customHeight="false" outlineLevel="0" collapsed="false">
      <c r="A108" s="41" t="s">
        <v>436</v>
      </c>
      <c r="B108" s="42" t="s">
        <v>154</v>
      </c>
      <c r="C108" s="43"/>
      <c r="D108" s="44" t="s">
        <v>296</v>
      </c>
      <c r="E108" s="41" t="n">
        <v>2</v>
      </c>
      <c r="F108" s="43" t="s">
        <v>439</v>
      </c>
      <c r="G108" s="29" t="s">
        <v>290</v>
      </c>
      <c r="H108" s="28" t="str">
        <f aca="false">IFERROR(INDEX('الإعدادات واللجنة'!$C$24:$C$32,MATCH(LEFT(A108,3),'الإعدادات واللجنة'!$A$24:$A$32,0)),"")</f>
        <v>د. يثرب بنت سعد القحطاني</v>
      </c>
      <c r="I108" s="30"/>
      <c r="J108" s="30"/>
      <c r="K108" s="28" t="str">
        <f aca="false">IF(OR(I108="",I108="متوفر ومكتمل"),"",IF(OR(D108="★",I108="غير متوفر"),"عالية","متوسطة"))</f>
        <v/>
      </c>
      <c r="L108" s="31"/>
      <c r="M108" s="30"/>
      <c r="N108" s="31"/>
      <c r="O108" s="31"/>
      <c r="P108" s="30"/>
      <c r="Q108" s="31"/>
    </row>
    <row r="109" customFormat="false" ht="32.8" hidden="false" customHeight="false" outlineLevel="0" collapsed="false">
      <c r="A109" s="41" t="s">
        <v>436</v>
      </c>
      <c r="B109" s="42" t="s">
        <v>154</v>
      </c>
      <c r="C109" s="43"/>
      <c r="D109" s="44" t="s">
        <v>296</v>
      </c>
      <c r="E109" s="41" t="n">
        <v>3</v>
      </c>
      <c r="F109" s="43" t="s">
        <v>440</v>
      </c>
      <c r="G109" s="29" t="s">
        <v>290</v>
      </c>
      <c r="H109" s="28" t="str">
        <f aca="false">IFERROR(INDEX('الإعدادات واللجنة'!$C$24:$C$32,MATCH(LEFT(A109,3),'الإعدادات واللجنة'!$A$24:$A$32,0)),"")</f>
        <v>د. يثرب بنت سعد القحطاني</v>
      </c>
      <c r="I109" s="30"/>
      <c r="J109" s="30"/>
      <c r="K109" s="28" t="str">
        <f aca="false">IF(OR(I109="",I109="متوفر ومكتمل"),"",IF(OR(D109="★",I109="غير متوفر"),"عالية","متوسطة"))</f>
        <v/>
      </c>
      <c r="L109" s="31"/>
      <c r="M109" s="30"/>
      <c r="N109" s="31"/>
      <c r="O109" s="31"/>
      <c r="P109" s="30"/>
      <c r="Q109" s="31"/>
    </row>
    <row r="110" customFormat="false" ht="22.35" hidden="false" customHeight="false" outlineLevel="0" collapsed="false">
      <c r="A110" s="41" t="s">
        <v>436</v>
      </c>
      <c r="B110" s="42" t="s">
        <v>154</v>
      </c>
      <c r="C110" s="43"/>
      <c r="D110" s="44" t="s">
        <v>296</v>
      </c>
      <c r="E110" s="41" t="n">
        <v>4</v>
      </c>
      <c r="F110" s="43" t="s">
        <v>441</v>
      </c>
      <c r="G110" s="29" t="s">
        <v>290</v>
      </c>
      <c r="H110" s="28" t="str">
        <f aca="false">IFERROR(INDEX('الإعدادات واللجنة'!$C$24:$C$32,MATCH(LEFT(A110,3),'الإعدادات واللجنة'!$A$24:$A$32,0)),"")</f>
        <v>د. يثرب بنت سعد القحطاني</v>
      </c>
      <c r="I110" s="30"/>
      <c r="J110" s="30"/>
      <c r="K110" s="28" t="str">
        <f aca="false">IF(OR(I110="",I110="متوفر ومكتمل"),"",IF(OR(D110="★",I110="غير متوفر"),"عالية","متوسطة"))</f>
        <v/>
      </c>
      <c r="L110" s="31"/>
      <c r="M110" s="30"/>
      <c r="N110" s="31"/>
      <c r="O110" s="31"/>
      <c r="P110" s="30"/>
      <c r="Q110" s="31"/>
    </row>
    <row r="111" customFormat="false" ht="22.35" hidden="false" customHeight="false" outlineLevel="0" collapsed="false">
      <c r="A111" s="41" t="s">
        <v>436</v>
      </c>
      <c r="B111" s="42" t="s">
        <v>154</v>
      </c>
      <c r="C111" s="43"/>
      <c r="D111" s="44" t="s">
        <v>296</v>
      </c>
      <c r="E111" s="41" t="n">
        <v>5</v>
      </c>
      <c r="F111" s="43" t="s">
        <v>442</v>
      </c>
      <c r="G111" s="29" t="s">
        <v>290</v>
      </c>
      <c r="H111" s="28" t="str">
        <f aca="false">IFERROR(INDEX('الإعدادات واللجنة'!$C$24:$C$32,MATCH(LEFT(A111,3),'الإعدادات واللجنة'!$A$24:$A$32,0)),"")</f>
        <v>د. يثرب بنت سعد القحطاني</v>
      </c>
      <c r="I111" s="30"/>
      <c r="J111" s="30"/>
      <c r="K111" s="28" t="str">
        <f aca="false">IF(OR(I111="",I111="متوفر ومكتمل"),"",IF(OR(D111="★",I111="غير متوفر"),"عالية","متوسطة"))</f>
        <v/>
      </c>
      <c r="L111" s="31"/>
      <c r="M111" s="30"/>
      <c r="N111" s="31"/>
      <c r="O111" s="31"/>
      <c r="P111" s="30"/>
      <c r="Q111" s="31"/>
    </row>
    <row r="112" customFormat="false" ht="32.8" hidden="false" customHeight="false" outlineLevel="0" collapsed="false">
      <c r="A112" s="45" t="s">
        <v>443</v>
      </c>
      <c r="B112" s="46" t="s">
        <v>154</v>
      </c>
      <c r="C112" s="47" t="s">
        <v>444</v>
      </c>
      <c r="D112" s="48"/>
      <c r="E112" s="38" t="n">
        <v>1</v>
      </c>
      <c r="F112" s="47" t="s">
        <v>445</v>
      </c>
      <c r="G112" s="37" t="s">
        <v>290</v>
      </c>
      <c r="H112" s="38" t="str">
        <f aca="false">IFERROR(INDEX('الإعدادات واللجنة'!$C$24:$C$32,MATCH(LEFT(A112,3),'الإعدادات واللجنة'!$A$24:$A$32,0)),"")</f>
        <v>د. يثرب بنت سعد القحطاني</v>
      </c>
      <c r="I112" s="39"/>
      <c r="J112" s="39"/>
      <c r="K112" s="38" t="str">
        <f aca="false">IF(OR(I112="",I112="متوفر ومكتمل"),"",IF(OR(D112="★",I112="غير متوفر"),"عالية","متوسطة"))</f>
        <v/>
      </c>
      <c r="L112" s="40"/>
      <c r="M112" s="39"/>
      <c r="N112" s="40"/>
      <c r="O112" s="40"/>
      <c r="P112" s="39"/>
      <c r="Q112" s="40"/>
    </row>
    <row r="113" customFormat="false" ht="22.35" hidden="false" customHeight="false" outlineLevel="0" collapsed="false">
      <c r="A113" s="28" t="s">
        <v>443</v>
      </c>
      <c r="B113" s="25" t="s">
        <v>154</v>
      </c>
      <c r="C113" s="26"/>
      <c r="D113" s="27"/>
      <c r="E113" s="28" t="n">
        <v>2</v>
      </c>
      <c r="F113" s="26" t="s">
        <v>446</v>
      </c>
      <c r="G113" s="29" t="s">
        <v>290</v>
      </c>
      <c r="H113" s="28" t="str">
        <f aca="false">IFERROR(INDEX('الإعدادات واللجنة'!$C$24:$C$32,MATCH(LEFT(A113,3),'الإعدادات واللجنة'!$A$24:$A$32,0)),"")</f>
        <v>د. يثرب بنت سعد القحطاني</v>
      </c>
      <c r="I113" s="30"/>
      <c r="J113" s="30"/>
      <c r="K113" s="28" t="str">
        <f aca="false">IF(OR(I113="",I113="متوفر ومكتمل"),"",IF(OR(D113="★",I113="غير متوفر"),"عالية","متوسطة"))</f>
        <v/>
      </c>
      <c r="L113" s="31"/>
      <c r="M113" s="30"/>
      <c r="N113" s="31"/>
      <c r="O113" s="31"/>
      <c r="P113" s="30"/>
      <c r="Q113" s="31"/>
    </row>
    <row r="114" customFormat="false" ht="22.35" hidden="false" customHeight="false" outlineLevel="0" collapsed="false">
      <c r="A114" s="28" t="s">
        <v>443</v>
      </c>
      <c r="B114" s="25" t="s">
        <v>154</v>
      </c>
      <c r="C114" s="26"/>
      <c r="D114" s="27"/>
      <c r="E114" s="28" t="n">
        <v>3</v>
      </c>
      <c r="F114" s="26" t="s">
        <v>447</v>
      </c>
      <c r="G114" s="29" t="s">
        <v>290</v>
      </c>
      <c r="H114" s="28" t="str">
        <f aca="false">IFERROR(INDEX('الإعدادات واللجنة'!$C$24:$C$32,MATCH(LEFT(A114,3),'الإعدادات واللجنة'!$A$24:$A$32,0)),"")</f>
        <v>د. يثرب بنت سعد القحطاني</v>
      </c>
      <c r="I114" s="30"/>
      <c r="J114" s="30"/>
      <c r="K114" s="28" t="str">
        <f aca="false">IF(OR(I114="",I114="متوفر ومكتمل"),"",IF(OR(D114="★",I114="غير متوفر"),"عالية","متوسطة"))</f>
        <v/>
      </c>
      <c r="L114" s="31"/>
      <c r="M114" s="30"/>
      <c r="N114" s="31"/>
      <c r="O114" s="31"/>
      <c r="P114" s="30"/>
      <c r="Q114" s="31"/>
    </row>
    <row r="115" customFormat="false" ht="22.35" hidden="false" customHeight="false" outlineLevel="0" collapsed="false">
      <c r="A115" s="28" t="s">
        <v>443</v>
      </c>
      <c r="B115" s="25" t="s">
        <v>154</v>
      </c>
      <c r="C115" s="26"/>
      <c r="D115" s="27"/>
      <c r="E115" s="28" t="n">
        <v>4</v>
      </c>
      <c r="F115" s="26" t="s">
        <v>448</v>
      </c>
      <c r="G115" s="29" t="s">
        <v>290</v>
      </c>
      <c r="H115" s="28" t="str">
        <f aca="false">IFERROR(INDEX('الإعدادات واللجنة'!$C$24:$C$32,MATCH(LEFT(A115,3),'الإعدادات واللجنة'!$A$24:$A$32,0)),"")</f>
        <v>د. يثرب بنت سعد القحطاني</v>
      </c>
      <c r="I115" s="30"/>
      <c r="J115" s="30"/>
      <c r="K115" s="28" t="str">
        <f aca="false">IF(OR(I115="",I115="متوفر ومكتمل"),"",IF(OR(D115="★",I115="غير متوفر"),"عالية","متوسطة"))</f>
        <v/>
      </c>
      <c r="L115" s="31"/>
      <c r="M115" s="30"/>
      <c r="N115" s="31"/>
      <c r="O115" s="31"/>
      <c r="P115" s="30"/>
      <c r="Q115" s="31"/>
    </row>
    <row r="116" customFormat="false" ht="32.8" hidden="false" customHeight="false" outlineLevel="0" collapsed="false">
      <c r="A116" s="45" t="s">
        <v>449</v>
      </c>
      <c r="B116" s="46" t="s">
        <v>154</v>
      </c>
      <c r="C116" s="47" t="s">
        <v>450</v>
      </c>
      <c r="D116" s="48"/>
      <c r="E116" s="38" t="n">
        <v>1</v>
      </c>
      <c r="F116" s="47" t="s">
        <v>451</v>
      </c>
      <c r="G116" s="37" t="s">
        <v>290</v>
      </c>
      <c r="H116" s="38" t="str">
        <f aca="false">IFERROR(INDEX('الإعدادات واللجنة'!$C$24:$C$32,MATCH(LEFT(A116,3),'الإعدادات واللجنة'!$A$24:$A$32,0)),"")</f>
        <v>د. يثرب بنت سعد القحطاني</v>
      </c>
      <c r="I116" s="39"/>
      <c r="J116" s="39"/>
      <c r="K116" s="38" t="str">
        <f aca="false">IF(OR(I116="",I116="متوفر ومكتمل"),"",IF(OR(D116="★",I116="غير متوفر"),"عالية","متوسطة"))</f>
        <v/>
      </c>
      <c r="L116" s="40"/>
      <c r="M116" s="39"/>
      <c r="N116" s="40"/>
      <c r="O116" s="40"/>
      <c r="P116" s="39"/>
      <c r="Q116" s="40"/>
    </row>
    <row r="117" customFormat="false" ht="32.8" hidden="false" customHeight="false" outlineLevel="0" collapsed="false">
      <c r="A117" s="28" t="s">
        <v>449</v>
      </c>
      <c r="B117" s="25" t="s">
        <v>154</v>
      </c>
      <c r="C117" s="26"/>
      <c r="D117" s="27"/>
      <c r="E117" s="28" t="n">
        <v>2</v>
      </c>
      <c r="F117" s="26" t="s">
        <v>452</v>
      </c>
      <c r="G117" s="29" t="s">
        <v>290</v>
      </c>
      <c r="H117" s="28" t="str">
        <f aca="false">IFERROR(INDEX('الإعدادات واللجنة'!$C$24:$C$32,MATCH(LEFT(A117,3),'الإعدادات واللجنة'!$A$24:$A$32,0)),"")</f>
        <v>د. يثرب بنت سعد القحطاني</v>
      </c>
      <c r="I117" s="30"/>
      <c r="J117" s="30"/>
      <c r="K117" s="28" t="str">
        <f aca="false">IF(OR(I117="",I117="متوفر ومكتمل"),"",IF(OR(D117="★",I117="غير متوفر"),"عالية","متوسطة"))</f>
        <v/>
      </c>
      <c r="L117" s="31"/>
      <c r="M117" s="30"/>
      <c r="N117" s="31"/>
      <c r="O117" s="31"/>
      <c r="P117" s="30"/>
      <c r="Q117" s="31"/>
    </row>
    <row r="118" customFormat="false" ht="22.35" hidden="false" customHeight="false" outlineLevel="0" collapsed="false">
      <c r="A118" s="28" t="s">
        <v>449</v>
      </c>
      <c r="B118" s="25" t="s">
        <v>154</v>
      </c>
      <c r="C118" s="26"/>
      <c r="D118" s="27"/>
      <c r="E118" s="28" t="n">
        <v>3</v>
      </c>
      <c r="F118" s="26" t="s">
        <v>453</v>
      </c>
      <c r="G118" s="29" t="s">
        <v>290</v>
      </c>
      <c r="H118" s="28" t="str">
        <f aca="false">IFERROR(INDEX('الإعدادات واللجنة'!$C$24:$C$32,MATCH(LEFT(A118,3),'الإعدادات واللجنة'!$A$24:$A$32,0)),"")</f>
        <v>د. يثرب بنت سعد القحطاني</v>
      </c>
      <c r="I118" s="30"/>
      <c r="J118" s="30"/>
      <c r="K118" s="28" t="str">
        <f aca="false">IF(OR(I118="",I118="متوفر ومكتمل"),"",IF(OR(D118="★",I118="غير متوفر"),"عالية","متوسطة"))</f>
        <v/>
      </c>
      <c r="L118" s="31"/>
      <c r="M118" s="30"/>
      <c r="N118" s="31"/>
      <c r="O118" s="31"/>
      <c r="P118" s="30"/>
      <c r="Q118" s="31"/>
    </row>
    <row r="119" customFormat="false" ht="22.35" hidden="false" customHeight="false" outlineLevel="0" collapsed="false">
      <c r="A119" s="45" t="s">
        <v>454</v>
      </c>
      <c r="B119" s="46" t="s">
        <v>154</v>
      </c>
      <c r="C119" s="47" t="s">
        <v>455</v>
      </c>
      <c r="D119" s="48"/>
      <c r="E119" s="38" t="n">
        <v>1</v>
      </c>
      <c r="F119" s="47" t="s">
        <v>456</v>
      </c>
      <c r="G119" s="37" t="s">
        <v>290</v>
      </c>
      <c r="H119" s="38" t="str">
        <f aca="false">IFERROR(INDEX('الإعدادات واللجنة'!$C$24:$C$32,MATCH(LEFT(A119,3),'الإعدادات واللجنة'!$A$24:$A$32,0)),"")</f>
        <v>د. يثرب بنت سعد القحطاني</v>
      </c>
      <c r="I119" s="39"/>
      <c r="J119" s="39"/>
      <c r="K119" s="38" t="str">
        <f aca="false">IF(OR(I119="",I119="متوفر ومكتمل"),"",IF(OR(D119="★",I119="غير متوفر"),"عالية","متوسطة"))</f>
        <v/>
      </c>
      <c r="L119" s="40"/>
      <c r="M119" s="39"/>
      <c r="N119" s="40"/>
      <c r="O119" s="40"/>
      <c r="P119" s="39"/>
      <c r="Q119" s="40"/>
    </row>
    <row r="120" customFormat="false" ht="22.35" hidden="false" customHeight="false" outlineLevel="0" collapsed="false">
      <c r="A120" s="28" t="s">
        <v>454</v>
      </c>
      <c r="B120" s="25" t="s">
        <v>154</v>
      </c>
      <c r="C120" s="26"/>
      <c r="D120" s="27"/>
      <c r="E120" s="28" t="n">
        <v>2</v>
      </c>
      <c r="F120" s="26" t="s">
        <v>457</v>
      </c>
      <c r="G120" s="29" t="s">
        <v>290</v>
      </c>
      <c r="H120" s="28" t="str">
        <f aca="false">IFERROR(INDEX('الإعدادات واللجنة'!$C$24:$C$32,MATCH(LEFT(A120,3),'الإعدادات واللجنة'!$A$24:$A$32,0)),"")</f>
        <v>د. يثرب بنت سعد القحطاني</v>
      </c>
      <c r="I120" s="30"/>
      <c r="J120" s="30"/>
      <c r="K120" s="28" t="str">
        <f aca="false">IF(OR(I120="",I120="متوفر ومكتمل"),"",IF(OR(D120="★",I120="غير متوفر"),"عالية","متوسطة"))</f>
        <v/>
      </c>
      <c r="L120" s="31"/>
      <c r="M120" s="30"/>
      <c r="N120" s="31"/>
      <c r="O120" s="31"/>
      <c r="P120" s="30"/>
      <c r="Q120" s="31"/>
    </row>
    <row r="121" customFormat="false" ht="22.35" hidden="false" customHeight="false" outlineLevel="0" collapsed="false">
      <c r="A121" s="28" t="s">
        <v>454</v>
      </c>
      <c r="B121" s="25" t="s">
        <v>154</v>
      </c>
      <c r="C121" s="26"/>
      <c r="D121" s="27"/>
      <c r="E121" s="28" t="n">
        <v>3</v>
      </c>
      <c r="F121" s="26" t="s">
        <v>458</v>
      </c>
      <c r="G121" s="29" t="s">
        <v>290</v>
      </c>
      <c r="H121" s="28" t="str">
        <f aca="false">IFERROR(INDEX('الإعدادات واللجنة'!$C$24:$C$32,MATCH(LEFT(A121,3),'الإعدادات واللجنة'!$A$24:$A$32,0)),"")</f>
        <v>د. يثرب بنت سعد القحطاني</v>
      </c>
      <c r="I121" s="30"/>
      <c r="J121" s="30"/>
      <c r="K121" s="28" t="str">
        <f aca="false">IF(OR(I121="",I121="متوفر ومكتمل"),"",IF(OR(D121="★",I121="غير متوفر"),"عالية","متوسطة"))</f>
        <v/>
      </c>
      <c r="L121" s="31"/>
      <c r="M121" s="30"/>
      <c r="N121" s="31"/>
      <c r="O121" s="31"/>
      <c r="P121" s="30"/>
      <c r="Q121" s="31"/>
    </row>
    <row r="122" customFormat="false" ht="22.35" hidden="false" customHeight="false" outlineLevel="0" collapsed="false">
      <c r="A122" s="45" t="s">
        <v>459</v>
      </c>
      <c r="B122" s="46" t="s">
        <v>154</v>
      </c>
      <c r="C122" s="47" t="s">
        <v>460</v>
      </c>
      <c r="D122" s="48"/>
      <c r="E122" s="38" t="n">
        <v>1</v>
      </c>
      <c r="F122" s="47" t="s">
        <v>461</v>
      </c>
      <c r="G122" s="37" t="s">
        <v>290</v>
      </c>
      <c r="H122" s="38" t="str">
        <f aca="false">IFERROR(INDEX('الإعدادات واللجنة'!$C$24:$C$32,MATCH(LEFT(A122,3),'الإعدادات واللجنة'!$A$24:$A$32,0)),"")</f>
        <v>د. يثرب بنت سعد القحطاني</v>
      </c>
      <c r="I122" s="39"/>
      <c r="J122" s="39"/>
      <c r="K122" s="38" t="str">
        <f aca="false">IF(OR(I122="",I122="متوفر ومكتمل"),"",IF(OR(D122="★",I122="غير متوفر"),"عالية","متوسطة"))</f>
        <v/>
      </c>
      <c r="L122" s="40"/>
      <c r="M122" s="39"/>
      <c r="N122" s="40"/>
      <c r="O122" s="40"/>
      <c r="P122" s="39"/>
      <c r="Q122" s="40"/>
    </row>
    <row r="123" customFormat="false" ht="22.35" hidden="false" customHeight="false" outlineLevel="0" collapsed="false">
      <c r="A123" s="28" t="s">
        <v>459</v>
      </c>
      <c r="B123" s="25" t="s">
        <v>154</v>
      </c>
      <c r="C123" s="26"/>
      <c r="D123" s="27"/>
      <c r="E123" s="28" t="n">
        <v>2</v>
      </c>
      <c r="F123" s="26" t="s">
        <v>462</v>
      </c>
      <c r="G123" s="29" t="s">
        <v>290</v>
      </c>
      <c r="H123" s="28" t="str">
        <f aca="false">IFERROR(INDEX('الإعدادات واللجنة'!$C$24:$C$32,MATCH(LEFT(A123,3),'الإعدادات واللجنة'!$A$24:$A$32,0)),"")</f>
        <v>د. يثرب بنت سعد القحطاني</v>
      </c>
      <c r="I123" s="30"/>
      <c r="J123" s="30"/>
      <c r="K123" s="28" t="str">
        <f aca="false">IF(OR(I123="",I123="متوفر ومكتمل"),"",IF(OR(D123="★",I123="غير متوفر"),"عالية","متوسطة"))</f>
        <v/>
      </c>
      <c r="L123" s="31"/>
      <c r="M123" s="30"/>
      <c r="N123" s="31"/>
      <c r="O123" s="31"/>
      <c r="P123" s="30"/>
      <c r="Q123" s="31"/>
    </row>
    <row r="124" customFormat="false" ht="22.35" hidden="false" customHeight="false" outlineLevel="0" collapsed="false">
      <c r="A124" s="28" t="s">
        <v>459</v>
      </c>
      <c r="B124" s="25" t="s">
        <v>154</v>
      </c>
      <c r="C124" s="26"/>
      <c r="D124" s="27"/>
      <c r="E124" s="28" t="n">
        <v>3</v>
      </c>
      <c r="F124" s="26" t="s">
        <v>463</v>
      </c>
      <c r="G124" s="29" t="s">
        <v>290</v>
      </c>
      <c r="H124" s="28" t="str">
        <f aca="false">IFERROR(INDEX('الإعدادات واللجنة'!$C$24:$C$32,MATCH(LEFT(A124,3),'الإعدادات واللجنة'!$A$24:$A$32,0)),"")</f>
        <v>د. يثرب بنت سعد القحطاني</v>
      </c>
      <c r="I124" s="30"/>
      <c r="J124" s="30"/>
      <c r="K124" s="28" t="str">
        <f aca="false">IF(OR(I124="",I124="متوفر ومكتمل"),"",IF(OR(D124="★",I124="غير متوفر"),"عالية","متوسطة"))</f>
        <v/>
      </c>
      <c r="L124" s="31"/>
      <c r="M124" s="30"/>
      <c r="N124" s="31"/>
      <c r="O124" s="31"/>
      <c r="P124" s="30"/>
      <c r="Q124" s="31"/>
    </row>
    <row r="125" customFormat="false" ht="22.35" hidden="false" customHeight="false" outlineLevel="0" collapsed="false">
      <c r="A125" s="28" t="s">
        <v>459</v>
      </c>
      <c r="B125" s="25" t="s">
        <v>154</v>
      </c>
      <c r="C125" s="26"/>
      <c r="D125" s="27"/>
      <c r="E125" s="28" t="n">
        <v>4</v>
      </c>
      <c r="F125" s="26" t="s">
        <v>464</v>
      </c>
      <c r="G125" s="29" t="s">
        <v>290</v>
      </c>
      <c r="H125" s="28" t="str">
        <f aca="false">IFERROR(INDEX('الإعدادات واللجنة'!$C$24:$C$32,MATCH(LEFT(A125,3),'الإعدادات واللجنة'!$A$24:$A$32,0)),"")</f>
        <v>د. يثرب بنت سعد القحطاني</v>
      </c>
      <c r="I125" s="30"/>
      <c r="J125" s="30"/>
      <c r="K125" s="28" t="str">
        <f aca="false">IF(OR(I125="",I125="متوفر ومكتمل"),"",IF(OR(D125="★",I125="غير متوفر"),"عالية","متوسطة"))</f>
        <v/>
      </c>
      <c r="L125" s="31"/>
      <c r="M125" s="30"/>
      <c r="N125" s="31"/>
      <c r="O125" s="31"/>
      <c r="P125" s="30"/>
      <c r="Q125" s="31"/>
    </row>
    <row r="126" customFormat="false" ht="22.35" hidden="false" customHeight="false" outlineLevel="0" collapsed="false">
      <c r="A126" s="28" t="s">
        <v>459</v>
      </c>
      <c r="B126" s="25" t="s">
        <v>154</v>
      </c>
      <c r="C126" s="26"/>
      <c r="D126" s="27"/>
      <c r="E126" s="28" t="n">
        <v>5</v>
      </c>
      <c r="F126" s="26" t="s">
        <v>465</v>
      </c>
      <c r="G126" s="29" t="s">
        <v>290</v>
      </c>
      <c r="H126" s="28" t="str">
        <f aca="false">IFERROR(INDEX('الإعدادات واللجنة'!$C$24:$C$32,MATCH(LEFT(A126,3),'الإعدادات واللجنة'!$A$24:$A$32,0)),"")</f>
        <v>د. يثرب بنت سعد القحطاني</v>
      </c>
      <c r="I126" s="30"/>
      <c r="J126" s="30"/>
      <c r="K126" s="28" t="str">
        <f aca="false">IF(OR(I126="",I126="متوفر ومكتمل"),"",IF(OR(D126="★",I126="غير متوفر"),"عالية","متوسطة"))</f>
        <v/>
      </c>
      <c r="L126" s="31"/>
      <c r="M126" s="30"/>
      <c r="N126" s="31"/>
      <c r="O126" s="31"/>
      <c r="P126" s="30"/>
      <c r="Q126" s="31"/>
    </row>
    <row r="127" customFormat="false" ht="32.8" hidden="false" customHeight="false" outlineLevel="0" collapsed="false">
      <c r="A127" s="32" t="s">
        <v>466</v>
      </c>
      <c r="B127" s="33" t="s">
        <v>154</v>
      </c>
      <c r="C127" s="34" t="s">
        <v>467</v>
      </c>
      <c r="D127" s="35" t="s">
        <v>296</v>
      </c>
      <c r="E127" s="36" t="n">
        <v>1</v>
      </c>
      <c r="F127" s="34" t="s">
        <v>468</v>
      </c>
      <c r="G127" s="37" t="s">
        <v>290</v>
      </c>
      <c r="H127" s="38" t="str">
        <f aca="false">IFERROR(INDEX('الإعدادات واللجنة'!$C$24:$C$32,MATCH(LEFT(A127,3),'الإعدادات واللجنة'!$A$24:$A$32,0)),"")</f>
        <v>د. يثرب بنت سعد القحطاني</v>
      </c>
      <c r="I127" s="39"/>
      <c r="J127" s="39"/>
      <c r="K127" s="38" t="str">
        <f aca="false">IF(OR(I127="",I127="متوفر ومكتمل"),"",IF(OR(D127="★",I127="غير متوفر"),"عالية","متوسطة"))</f>
        <v/>
      </c>
      <c r="L127" s="40"/>
      <c r="M127" s="39"/>
      <c r="N127" s="40"/>
      <c r="O127" s="40"/>
      <c r="P127" s="39"/>
      <c r="Q127" s="40"/>
    </row>
    <row r="128" customFormat="false" ht="22.35" hidden="false" customHeight="false" outlineLevel="0" collapsed="false">
      <c r="A128" s="41" t="s">
        <v>466</v>
      </c>
      <c r="B128" s="42" t="s">
        <v>154</v>
      </c>
      <c r="C128" s="43"/>
      <c r="D128" s="44" t="s">
        <v>296</v>
      </c>
      <c r="E128" s="41" t="n">
        <v>2</v>
      </c>
      <c r="F128" s="43" t="s">
        <v>469</v>
      </c>
      <c r="G128" s="29" t="s">
        <v>290</v>
      </c>
      <c r="H128" s="28" t="str">
        <f aca="false">IFERROR(INDEX('الإعدادات واللجنة'!$C$24:$C$32,MATCH(LEFT(A128,3),'الإعدادات واللجنة'!$A$24:$A$32,0)),"")</f>
        <v>د. يثرب بنت سعد القحطاني</v>
      </c>
      <c r="I128" s="30"/>
      <c r="J128" s="30"/>
      <c r="K128" s="28" t="str">
        <f aca="false">IF(OR(I128="",I128="متوفر ومكتمل"),"",IF(OR(D128="★",I128="غير متوفر"),"عالية","متوسطة"))</f>
        <v/>
      </c>
      <c r="L128" s="31"/>
      <c r="M128" s="30"/>
      <c r="N128" s="31"/>
      <c r="O128" s="31"/>
      <c r="P128" s="30"/>
      <c r="Q128" s="31"/>
    </row>
    <row r="129" customFormat="false" ht="22.35" hidden="false" customHeight="false" outlineLevel="0" collapsed="false">
      <c r="A129" s="41" t="s">
        <v>466</v>
      </c>
      <c r="B129" s="42" t="s">
        <v>154</v>
      </c>
      <c r="C129" s="43"/>
      <c r="D129" s="44" t="s">
        <v>296</v>
      </c>
      <c r="E129" s="41" t="n">
        <v>3</v>
      </c>
      <c r="F129" s="43" t="s">
        <v>470</v>
      </c>
      <c r="G129" s="29" t="s">
        <v>290</v>
      </c>
      <c r="H129" s="28" t="str">
        <f aca="false">IFERROR(INDEX('الإعدادات واللجنة'!$C$24:$C$32,MATCH(LEFT(A129,3),'الإعدادات واللجنة'!$A$24:$A$32,0)),"")</f>
        <v>د. يثرب بنت سعد القحطاني</v>
      </c>
      <c r="I129" s="30"/>
      <c r="J129" s="30"/>
      <c r="K129" s="28" t="str">
        <f aca="false">IF(OR(I129="",I129="متوفر ومكتمل"),"",IF(OR(D129="★",I129="غير متوفر"),"عالية","متوسطة"))</f>
        <v/>
      </c>
      <c r="L129" s="31"/>
      <c r="M129" s="30"/>
      <c r="N129" s="31"/>
      <c r="O129" s="31"/>
      <c r="P129" s="30"/>
      <c r="Q129" s="31"/>
    </row>
    <row r="130" customFormat="false" ht="22.35" hidden="false" customHeight="false" outlineLevel="0" collapsed="false">
      <c r="A130" s="41" t="s">
        <v>466</v>
      </c>
      <c r="B130" s="42" t="s">
        <v>154</v>
      </c>
      <c r="C130" s="43"/>
      <c r="D130" s="44" t="s">
        <v>296</v>
      </c>
      <c r="E130" s="41" t="n">
        <v>4</v>
      </c>
      <c r="F130" s="43" t="s">
        <v>471</v>
      </c>
      <c r="G130" s="29" t="s">
        <v>290</v>
      </c>
      <c r="H130" s="28" t="str">
        <f aca="false">IFERROR(INDEX('الإعدادات واللجنة'!$C$24:$C$32,MATCH(LEFT(A130,3),'الإعدادات واللجنة'!$A$24:$A$32,0)),"")</f>
        <v>د. يثرب بنت سعد القحطاني</v>
      </c>
      <c r="I130" s="30"/>
      <c r="J130" s="30"/>
      <c r="K130" s="28" t="str">
        <f aca="false">IF(OR(I130="",I130="متوفر ومكتمل"),"",IF(OR(D130="★",I130="غير متوفر"),"عالية","متوسطة"))</f>
        <v/>
      </c>
      <c r="L130" s="31"/>
      <c r="M130" s="30"/>
      <c r="N130" s="31"/>
      <c r="O130" s="31"/>
      <c r="P130" s="30"/>
      <c r="Q130" s="31"/>
    </row>
    <row r="131" customFormat="false" ht="22.35" hidden="false" customHeight="false" outlineLevel="0" collapsed="false">
      <c r="A131" s="41" t="s">
        <v>466</v>
      </c>
      <c r="B131" s="42" t="s">
        <v>154</v>
      </c>
      <c r="C131" s="43"/>
      <c r="D131" s="44" t="s">
        <v>296</v>
      </c>
      <c r="E131" s="41" t="n">
        <v>5</v>
      </c>
      <c r="F131" s="43" t="s">
        <v>472</v>
      </c>
      <c r="G131" s="29" t="s">
        <v>290</v>
      </c>
      <c r="H131" s="28" t="str">
        <f aca="false">IFERROR(INDEX('الإعدادات واللجنة'!$C$24:$C$32,MATCH(LEFT(A131,3),'الإعدادات واللجنة'!$A$24:$A$32,0)),"")</f>
        <v>د. يثرب بنت سعد القحطاني</v>
      </c>
      <c r="I131" s="30"/>
      <c r="J131" s="30"/>
      <c r="K131" s="28" t="str">
        <f aca="false">IF(OR(I131="",I131="متوفر ومكتمل"),"",IF(OR(D131="★",I131="غير متوفر"),"عالية","متوسطة"))</f>
        <v/>
      </c>
      <c r="L131" s="31"/>
      <c r="M131" s="30"/>
      <c r="N131" s="31"/>
      <c r="O131" s="31"/>
      <c r="P131" s="30"/>
      <c r="Q131" s="31"/>
    </row>
    <row r="132" customFormat="false" ht="32.8" hidden="false" customHeight="false" outlineLevel="0" collapsed="false">
      <c r="A132" s="45" t="s">
        <v>473</v>
      </c>
      <c r="B132" s="46" t="s">
        <v>155</v>
      </c>
      <c r="C132" s="47" t="s">
        <v>474</v>
      </c>
      <c r="D132" s="48"/>
      <c r="E132" s="38" t="n">
        <v>1</v>
      </c>
      <c r="F132" s="47" t="s">
        <v>475</v>
      </c>
      <c r="G132" s="37" t="s">
        <v>290</v>
      </c>
      <c r="H132" s="38" t="str">
        <f aca="false">IFERROR(INDEX('الإعدادات واللجنة'!$C$24:$C$32,MATCH(LEFT(A132,3),'الإعدادات واللجنة'!$A$24:$A$32,0)),"")</f>
        <v>د. عبدالله بن محمد البركاتي</v>
      </c>
      <c r="I132" s="39"/>
      <c r="J132" s="39"/>
      <c r="K132" s="38" t="str">
        <f aca="false">IF(OR(I132="",I132="متوفر ومكتمل"),"",IF(OR(D132="★",I132="غير متوفر"),"عالية","متوسطة"))</f>
        <v/>
      </c>
      <c r="L132" s="40"/>
      <c r="M132" s="39"/>
      <c r="N132" s="40"/>
      <c r="O132" s="40"/>
      <c r="P132" s="39"/>
      <c r="Q132" s="40"/>
    </row>
    <row r="133" customFormat="false" ht="22.35" hidden="false" customHeight="false" outlineLevel="0" collapsed="false">
      <c r="A133" s="28" t="s">
        <v>473</v>
      </c>
      <c r="B133" s="25" t="s">
        <v>155</v>
      </c>
      <c r="C133" s="26"/>
      <c r="D133" s="27"/>
      <c r="E133" s="28" t="n">
        <v>2</v>
      </c>
      <c r="F133" s="26" t="s">
        <v>476</v>
      </c>
      <c r="G133" s="29" t="s">
        <v>290</v>
      </c>
      <c r="H133" s="28" t="str">
        <f aca="false">IFERROR(INDEX('الإعدادات واللجنة'!$C$24:$C$32,MATCH(LEFT(A133,3),'الإعدادات واللجنة'!$A$24:$A$32,0)),"")</f>
        <v>د. عبدالله بن محمد البركاتي</v>
      </c>
      <c r="I133" s="30"/>
      <c r="J133" s="30"/>
      <c r="K133" s="28" t="str">
        <f aca="false">IF(OR(I133="",I133="متوفر ومكتمل"),"",IF(OR(D133="★",I133="غير متوفر"),"عالية","متوسطة"))</f>
        <v/>
      </c>
      <c r="L133" s="31"/>
      <c r="M133" s="30"/>
      <c r="N133" s="31"/>
      <c r="O133" s="31"/>
      <c r="P133" s="30"/>
      <c r="Q133" s="31"/>
    </row>
    <row r="134" customFormat="false" ht="22.35" hidden="false" customHeight="false" outlineLevel="0" collapsed="false">
      <c r="A134" s="28" t="s">
        <v>473</v>
      </c>
      <c r="B134" s="25" t="s">
        <v>155</v>
      </c>
      <c r="C134" s="26"/>
      <c r="D134" s="27"/>
      <c r="E134" s="28" t="n">
        <v>3</v>
      </c>
      <c r="F134" s="26" t="s">
        <v>477</v>
      </c>
      <c r="G134" s="29" t="s">
        <v>290</v>
      </c>
      <c r="H134" s="28" t="str">
        <f aca="false">IFERROR(INDEX('الإعدادات واللجنة'!$C$24:$C$32,MATCH(LEFT(A134,3),'الإعدادات واللجنة'!$A$24:$A$32,0)),"")</f>
        <v>د. عبدالله بن محمد البركاتي</v>
      </c>
      <c r="I134" s="30"/>
      <c r="J134" s="30"/>
      <c r="K134" s="28" t="str">
        <f aca="false">IF(OR(I134="",I134="متوفر ومكتمل"),"",IF(OR(D134="★",I134="غير متوفر"),"عالية","متوسطة"))</f>
        <v/>
      </c>
      <c r="L134" s="31"/>
      <c r="M134" s="30"/>
      <c r="N134" s="31"/>
      <c r="O134" s="31"/>
      <c r="P134" s="30"/>
      <c r="Q134" s="31"/>
    </row>
    <row r="135" customFormat="false" ht="22.35" hidden="false" customHeight="false" outlineLevel="0" collapsed="false">
      <c r="A135" s="28" t="s">
        <v>473</v>
      </c>
      <c r="B135" s="25" t="s">
        <v>155</v>
      </c>
      <c r="C135" s="26"/>
      <c r="D135" s="27"/>
      <c r="E135" s="28" t="n">
        <v>4</v>
      </c>
      <c r="F135" s="26" t="s">
        <v>478</v>
      </c>
      <c r="G135" s="29" t="s">
        <v>290</v>
      </c>
      <c r="H135" s="28" t="str">
        <f aca="false">IFERROR(INDEX('الإعدادات واللجنة'!$C$24:$C$32,MATCH(LEFT(A135,3),'الإعدادات واللجنة'!$A$24:$A$32,0)),"")</f>
        <v>د. عبدالله بن محمد البركاتي</v>
      </c>
      <c r="I135" s="30"/>
      <c r="J135" s="30"/>
      <c r="K135" s="28" t="str">
        <f aca="false">IF(OR(I135="",I135="متوفر ومكتمل"),"",IF(OR(D135="★",I135="غير متوفر"),"عالية","متوسطة"))</f>
        <v/>
      </c>
      <c r="L135" s="31"/>
      <c r="M135" s="30"/>
      <c r="N135" s="31"/>
      <c r="O135" s="31"/>
      <c r="P135" s="30"/>
      <c r="Q135" s="31"/>
    </row>
    <row r="136" customFormat="false" ht="22.35" hidden="false" customHeight="false" outlineLevel="0" collapsed="false">
      <c r="A136" s="28" t="s">
        <v>473</v>
      </c>
      <c r="B136" s="25" t="s">
        <v>155</v>
      </c>
      <c r="C136" s="26"/>
      <c r="D136" s="27"/>
      <c r="E136" s="28" t="n">
        <v>5</v>
      </c>
      <c r="F136" s="26" t="s">
        <v>479</v>
      </c>
      <c r="G136" s="29" t="s">
        <v>290</v>
      </c>
      <c r="H136" s="28" t="str">
        <f aca="false">IFERROR(INDEX('الإعدادات واللجنة'!$C$24:$C$32,MATCH(LEFT(A136,3),'الإعدادات واللجنة'!$A$24:$A$32,0)),"")</f>
        <v>د. عبدالله بن محمد البركاتي</v>
      </c>
      <c r="I136" s="30"/>
      <c r="J136" s="30"/>
      <c r="K136" s="28" t="str">
        <f aca="false">IF(OR(I136="",I136="متوفر ومكتمل"),"",IF(OR(D136="★",I136="غير متوفر"),"عالية","متوسطة"))</f>
        <v/>
      </c>
      <c r="L136" s="31"/>
      <c r="M136" s="30"/>
      <c r="N136" s="31"/>
      <c r="O136" s="31"/>
      <c r="P136" s="30"/>
      <c r="Q136" s="31"/>
    </row>
    <row r="137" customFormat="false" ht="22.35" hidden="false" customHeight="false" outlineLevel="0" collapsed="false">
      <c r="A137" s="45" t="s">
        <v>480</v>
      </c>
      <c r="B137" s="46" t="s">
        <v>155</v>
      </c>
      <c r="C137" s="47" t="s">
        <v>481</v>
      </c>
      <c r="D137" s="48"/>
      <c r="E137" s="38" t="n">
        <v>1</v>
      </c>
      <c r="F137" s="47" t="s">
        <v>482</v>
      </c>
      <c r="G137" s="37" t="s">
        <v>290</v>
      </c>
      <c r="H137" s="38" t="str">
        <f aca="false">IFERROR(INDEX('الإعدادات واللجنة'!$C$24:$C$32,MATCH(LEFT(A137,3),'الإعدادات واللجنة'!$A$24:$A$32,0)),"")</f>
        <v>د. عبدالله بن محمد البركاتي</v>
      </c>
      <c r="I137" s="39"/>
      <c r="J137" s="39"/>
      <c r="K137" s="38" t="str">
        <f aca="false">IF(OR(I137="",I137="متوفر ومكتمل"),"",IF(OR(D137="★",I137="غير متوفر"),"عالية","متوسطة"))</f>
        <v/>
      </c>
      <c r="L137" s="40"/>
      <c r="M137" s="39"/>
      <c r="N137" s="40"/>
      <c r="O137" s="40"/>
      <c r="P137" s="39"/>
      <c r="Q137" s="40"/>
    </row>
    <row r="138" customFormat="false" ht="22.35" hidden="false" customHeight="false" outlineLevel="0" collapsed="false">
      <c r="A138" s="28" t="s">
        <v>480</v>
      </c>
      <c r="B138" s="25" t="s">
        <v>155</v>
      </c>
      <c r="C138" s="26"/>
      <c r="D138" s="27"/>
      <c r="E138" s="28" t="n">
        <v>2</v>
      </c>
      <c r="F138" s="26" t="s">
        <v>483</v>
      </c>
      <c r="G138" s="29" t="s">
        <v>290</v>
      </c>
      <c r="H138" s="28" t="str">
        <f aca="false">IFERROR(INDEX('الإعدادات واللجنة'!$C$24:$C$32,MATCH(LEFT(A138,3),'الإعدادات واللجنة'!$A$24:$A$32,0)),"")</f>
        <v>د. عبدالله بن محمد البركاتي</v>
      </c>
      <c r="I138" s="30"/>
      <c r="J138" s="30"/>
      <c r="K138" s="28" t="str">
        <f aca="false">IF(OR(I138="",I138="متوفر ومكتمل"),"",IF(OR(D138="★",I138="غير متوفر"),"عالية","متوسطة"))</f>
        <v/>
      </c>
      <c r="L138" s="31"/>
      <c r="M138" s="30"/>
      <c r="N138" s="31"/>
      <c r="O138" s="31"/>
      <c r="P138" s="30"/>
      <c r="Q138" s="31"/>
    </row>
    <row r="139" customFormat="false" ht="22.35" hidden="false" customHeight="false" outlineLevel="0" collapsed="false">
      <c r="A139" s="28" t="s">
        <v>480</v>
      </c>
      <c r="B139" s="25" t="s">
        <v>155</v>
      </c>
      <c r="C139" s="26"/>
      <c r="D139" s="27"/>
      <c r="E139" s="28" t="n">
        <v>3</v>
      </c>
      <c r="F139" s="26" t="s">
        <v>484</v>
      </c>
      <c r="G139" s="29" t="s">
        <v>290</v>
      </c>
      <c r="H139" s="28" t="str">
        <f aca="false">IFERROR(INDEX('الإعدادات واللجنة'!$C$24:$C$32,MATCH(LEFT(A139,3),'الإعدادات واللجنة'!$A$24:$A$32,0)),"")</f>
        <v>د. عبدالله بن محمد البركاتي</v>
      </c>
      <c r="I139" s="30"/>
      <c r="J139" s="30"/>
      <c r="K139" s="28" t="str">
        <f aca="false">IF(OR(I139="",I139="متوفر ومكتمل"),"",IF(OR(D139="★",I139="غير متوفر"),"عالية","متوسطة"))</f>
        <v/>
      </c>
      <c r="L139" s="31"/>
      <c r="M139" s="30"/>
      <c r="N139" s="31"/>
      <c r="O139" s="31"/>
      <c r="P139" s="30"/>
      <c r="Q139" s="31"/>
    </row>
    <row r="140" customFormat="false" ht="22.35" hidden="false" customHeight="false" outlineLevel="0" collapsed="false">
      <c r="A140" s="32" t="s">
        <v>485</v>
      </c>
      <c r="B140" s="33" t="s">
        <v>155</v>
      </c>
      <c r="C140" s="34" t="s">
        <v>486</v>
      </c>
      <c r="D140" s="35" t="s">
        <v>296</v>
      </c>
      <c r="E140" s="36" t="n">
        <v>1</v>
      </c>
      <c r="F140" s="34" t="s">
        <v>487</v>
      </c>
      <c r="G140" s="37" t="s">
        <v>290</v>
      </c>
      <c r="H140" s="38" t="str">
        <f aca="false">IFERROR(INDEX('الإعدادات واللجنة'!$C$24:$C$32,MATCH(LEFT(A140,3),'الإعدادات واللجنة'!$A$24:$A$32,0)),"")</f>
        <v>د. عبدالله بن محمد البركاتي</v>
      </c>
      <c r="I140" s="39"/>
      <c r="J140" s="39"/>
      <c r="K140" s="38" t="str">
        <f aca="false">IF(OR(I140="",I140="متوفر ومكتمل"),"",IF(OR(D140="★",I140="غير متوفر"),"عالية","متوسطة"))</f>
        <v/>
      </c>
      <c r="L140" s="40"/>
      <c r="M140" s="39"/>
      <c r="N140" s="40"/>
      <c r="O140" s="40"/>
      <c r="P140" s="39"/>
      <c r="Q140" s="40"/>
    </row>
    <row r="141" customFormat="false" ht="22.35" hidden="false" customHeight="false" outlineLevel="0" collapsed="false">
      <c r="A141" s="41" t="s">
        <v>485</v>
      </c>
      <c r="B141" s="42" t="s">
        <v>155</v>
      </c>
      <c r="C141" s="43"/>
      <c r="D141" s="44" t="s">
        <v>296</v>
      </c>
      <c r="E141" s="41" t="n">
        <v>2</v>
      </c>
      <c r="F141" s="43" t="s">
        <v>488</v>
      </c>
      <c r="G141" s="29" t="s">
        <v>290</v>
      </c>
      <c r="H141" s="28" t="str">
        <f aca="false">IFERROR(INDEX('الإعدادات واللجنة'!$C$24:$C$32,MATCH(LEFT(A141,3),'الإعدادات واللجنة'!$A$24:$A$32,0)),"")</f>
        <v>د. عبدالله بن محمد البركاتي</v>
      </c>
      <c r="I141" s="30"/>
      <c r="J141" s="30"/>
      <c r="K141" s="28" t="str">
        <f aca="false">IF(OR(I141="",I141="متوفر ومكتمل"),"",IF(OR(D141="★",I141="غير متوفر"),"عالية","متوسطة"))</f>
        <v/>
      </c>
      <c r="L141" s="31"/>
      <c r="M141" s="30"/>
      <c r="N141" s="31"/>
      <c r="O141" s="31"/>
      <c r="P141" s="30"/>
      <c r="Q141" s="31"/>
    </row>
    <row r="142" customFormat="false" ht="22.35" hidden="false" customHeight="false" outlineLevel="0" collapsed="false">
      <c r="A142" s="41" t="s">
        <v>485</v>
      </c>
      <c r="B142" s="42" t="s">
        <v>155</v>
      </c>
      <c r="C142" s="43"/>
      <c r="D142" s="44" t="s">
        <v>296</v>
      </c>
      <c r="E142" s="41" t="n">
        <v>3</v>
      </c>
      <c r="F142" s="43" t="s">
        <v>489</v>
      </c>
      <c r="G142" s="29" t="s">
        <v>290</v>
      </c>
      <c r="H142" s="28" t="str">
        <f aca="false">IFERROR(INDEX('الإعدادات واللجنة'!$C$24:$C$32,MATCH(LEFT(A142,3),'الإعدادات واللجنة'!$A$24:$A$32,0)),"")</f>
        <v>د. عبدالله بن محمد البركاتي</v>
      </c>
      <c r="I142" s="30"/>
      <c r="J142" s="30"/>
      <c r="K142" s="28" t="str">
        <f aca="false">IF(OR(I142="",I142="متوفر ومكتمل"),"",IF(OR(D142="★",I142="غير متوفر"),"عالية","متوسطة"))</f>
        <v/>
      </c>
      <c r="L142" s="31"/>
      <c r="M142" s="30"/>
      <c r="N142" s="31"/>
      <c r="O142" s="31"/>
      <c r="P142" s="30"/>
      <c r="Q142" s="31"/>
    </row>
    <row r="143" customFormat="false" ht="22.35" hidden="false" customHeight="false" outlineLevel="0" collapsed="false">
      <c r="A143" s="41" t="s">
        <v>485</v>
      </c>
      <c r="B143" s="42" t="s">
        <v>155</v>
      </c>
      <c r="C143" s="43"/>
      <c r="D143" s="44" t="s">
        <v>296</v>
      </c>
      <c r="E143" s="41" t="n">
        <v>4</v>
      </c>
      <c r="F143" s="43" t="s">
        <v>490</v>
      </c>
      <c r="G143" s="29" t="s">
        <v>290</v>
      </c>
      <c r="H143" s="28" t="str">
        <f aca="false">IFERROR(INDEX('الإعدادات واللجنة'!$C$24:$C$32,MATCH(LEFT(A143,3),'الإعدادات واللجنة'!$A$24:$A$32,0)),"")</f>
        <v>د. عبدالله بن محمد البركاتي</v>
      </c>
      <c r="I143" s="30"/>
      <c r="J143" s="30"/>
      <c r="K143" s="28" t="str">
        <f aca="false">IF(OR(I143="",I143="متوفر ومكتمل"),"",IF(OR(D143="★",I143="غير متوفر"),"عالية","متوسطة"))</f>
        <v/>
      </c>
      <c r="L143" s="31"/>
      <c r="M143" s="30"/>
      <c r="N143" s="31"/>
      <c r="O143" s="31"/>
      <c r="P143" s="30"/>
      <c r="Q143" s="31"/>
    </row>
    <row r="144" customFormat="false" ht="22.35" hidden="false" customHeight="false" outlineLevel="0" collapsed="false">
      <c r="A144" s="41" t="s">
        <v>485</v>
      </c>
      <c r="B144" s="42" t="s">
        <v>155</v>
      </c>
      <c r="C144" s="43"/>
      <c r="D144" s="44" t="s">
        <v>296</v>
      </c>
      <c r="E144" s="41" t="n">
        <v>5</v>
      </c>
      <c r="F144" s="43" t="s">
        <v>491</v>
      </c>
      <c r="G144" s="29" t="s">
        <v>290</v>
      </c>
      <c r="H144" s="28" t="str">
        <f aca="false">IFERROR(INDEX('الإعدادات واللجنة'!$C$24:$C$32,MATCH(LEFT(A144,3),'الإعدادات واللجنة'!$A$24:$A$32,0)),"")</f>
        <v>د. عبدالله بن محمد البركاتي</v>
      </c>
      <c r="I144" s="30"/>
      <c r="J144" s="30"/>
      <c r="K144" s="28" t="str">
        <f aca="false">IF(OR(I144="",I144="متوفر ومكتمل"),"",IF(OR(D144="★",I144="غير متوفر"),"عالية","متوسطة"))</f>
        <v/>
      </c>
      <c r="L144" s="31"/>
      <c r="M144" s="30"/>
      <c r="N144" s="31"/>
      <c r="O144" s="31"/>
      <c r="P144" s="30"/>
      <c r="Q144" s="31"/>
    </row>
    <row r="145" customFormat="false" ht="22.35" hidden="false" customHeight="false" outlineLevel="0" collapsed="false">
      <c r="A145" s="41" t="s">
        <v>485</v>
      </c>
      <c r="B145" s="42" t="s">
        <v>155</v>
      </c>
      <c r="C145" s="43"/>
      <c r="D145" s="44" t="s">
        <v>296</v>
      </c>
      <c r="E145" s="41" t="n">
        <v>6</v>
      </c>
      <c r="F145" s="43" t="s">
        <v>492</v>
      </c>
      <c r="G145" s="29" t="s">
        <v>290</v>
      </c>
      <c r="H145" s="28" t="str">
        <f aca="false">IFERROR(INDEX('الإعدادات واللجنة'!$C$24:$C$32,MATCH(LEFT(A145,3),'الإعدادات واللجنة'!$A$24:$A$32,0)),"")</f>
        <v>د. عبدالله بن محمد البركاتي</v>
      </c>
      <c r="I145" s="30"/>
      <c r="J145" s="30"/>
      <c r="K145" s="28" t="str">
        <f aca="false">IF(OR(I145="",I145="متوفر ومكتمل"),"",IF(OR(D145="★",I145="غير متوفر"),"عالية","متوسطة"))</f>
        <v/>
      </c>
      <c r="L145" s="31"/>
      <c r="M145" s="30"/>
      <c r="N145" s="31"/>
      <c r="O145" s="31"/>
      <c r="P145" s="30"/>
      <c r="Q145" s="31"/>
    </row>
    <row r="146" customFormat="false" ht="22.35" hidden="false" customHeight="false" outlineLevel="0" collapsed="false">
      <c r="A146" s="41" t="s">
        <v>485</v>
      </c>
      <c r="B146" s="42" t="s">
        <v>155</v>
      </c>
      <c r="C146" s="43"/>
      <c r="D146" s="44" t="s">
        <v>296</v>
      </c>
      <c r="E146" s="41" t="n">
        <v>7</v>
      </c>
      <c r="F146" s="43" t="s">
        <v>493</v>
      </c>
      <c r="G146" s="29" t="s">
        <v>290</v>
      </c>
      <c r="H146" s="28" t="str">
        <f aca="false">IFERROR(INDEX('الإعدادات واللجنة'!$C$24:$C$32,MATCH(LEFT(A146,3),'الإعدادات واللجنة'!$A$24:$A$32,0)),"")</f>
        <v>د. عبدالله بن محمد البركاتي</v>
      </c>
      <c r="I146" s="30"/>
      <c r="J146" s="30"/>
      <c r="K146" s="28" t="str">
        <f aca="false">IF(OR(I146="",I146="متوفر ومكتمل"),"",IF(OR(D146="★",I146="غير متوفر"),"عالية","متوسطة"))</f>
        <v/>
      </c>
      <c r="L146" s="31"/>
      <c r="M146" s="30"/>
      <c r="N146" s="31"/>
      <c r="O146" s="31"/>
      <c r="P146" s="30"/>
      <c r="Q146" s="31"/>
    </row>
    <row r="147" customFormat="false" ht="32.8" hidden="false" customHeight="false" outlineLevel="0" collapsed="false">
      <c r="A147" s="45" t="s">
        <v>494</v>
      </c>
      <c r="B147" s="46" t="s">
        <v>155</v>
      </c>
      <c r="C147" s="47" t="s">
        <v>495</v>
      </c>
      <c r="D147" s="48"/>
      <c r="E147" s="38" t="n">
        <v>1</v>
      </c>
      <c r="F147" s="47" t="s">
        <v>496</v>
      </c>
      <c r="G147" s="37" t="s">
        <v>290</v>
      </c>
      <c r="H147" s="38" t="str">
        <f aca="false">IFERROR(INDEX('الإعدادات واللجنة'!$C$24:$C$32,MATCH(LEFT(A147,3),'الإعدادات واللجنة'!$A$24:$A$32,0)),"")</f>
        <v>د. عبدالله بن محمد البركاتي</v>
      </c>
      <c r="I147" s="39"/>
      <c r="J147" s="39"/>
      <c r="K147" s="38" t="str">
        <f aca="false">IF(OR(I147="",I147="متوفر ومكتمل"),"",IF(OR(D147="★",I147="غير متوفر"),"عالية","متوسطة"))</f>
        <v/>
      </c>
      <c r="L147" s="40"/>
      <c r="M147" s="39"/>
      <c r="N147" s="40"/>
      <c r="O147" s="40"/>
      <c r="P147" s="39"/>
      <c r="Q147" s="40"/>
    </row>
    <row r="148" customFormat="false" ht="22.35" hidden="false" customHeight="false" outlineLevel="0" collapsed="false">
      <c r="A148" s="28" t="s">
        <v>494</v>
      </c>
      <c r="B148" s="25" t="s">
        <v>155</v>
      </c>
      <c r="C148" s="26"/>
      <c r="D148" s="27"/>
      <c r="E148" s="28" t="n">
        <v>2</v>
      </c>
      <c r="F148" s="26" t="s">
        <v>497</v>
      </c>
      <c r="G148" s="29" t="s">
        <v>290</v>
      </c>
      <c r="H148" s="28" t="str">
        <f aca="false">IFERROR(INDEX('الإعدادات واللجنة'!$C$24:$C$32,MATCH(LEFT(A148,3),'الإعدادات واللجنة'!$A$24:$A$32,0)),"")</f>
        <v>د. عبدالله بن محمد البركاتي</v>
      </c>
      <c r="I148" s="30"/>
      <c r="J148" s="30"/>
      <c r="K148" s="28" t="str">
        <f aca="false">IF(OR(I148="",I148="متوفر ومكتمل"),"",IF(OR(D148="★",I148="غير متوفر"),"عالية","متوسطة"))</f>
        <v/>
      </c>
      <c r="L148" s="31"/>
      <c r="M148" s="30"/>
      <c r="N148" s="31"/>
      <c r="O148" s="31"/>
      <c r="P148" s="30"/>
      <c r="Q148" s="31"/>
    </row>
    <row r="149" customFormat="false" ht="22.35" hidden="false" customHeight="false" outlineLevel="0" collapsed="false">
      <c r="A149" s="28" t="s">
        <v>494</v>
      </c>
      <c r="B149" s="25" t="s">
        <v>155</v>
      </c>
      <c r="C149" s="26"/>
      <c r="D149" s="27"/>
      <c r="E149" s="28" t="n">
        <v>3</v>
      </c>
      <c r="F149" s="26" t="s">
        <v>498</v>
      </c>
      <c r="G149" s="29" t="s">
        <v>290</v>
      </c>
      <c r="H149" s="28" t="str">
        <f aca="false">IFERROR(INDEX('الإعدادات واللجنة'!$C$24:$C$32,MATCH(LEFT(A149,3),'الإعدادات واللجنة'!$A$24:$A$32,0)),"")</f>
        <v>د. عبدالله بن محمد البركاتي</v>
      </c>
      <c r="I149" s="30"/>
      <c r="J149" s="30"/>
      <c r="K149" s="28" t="str">
        <f aca="false">IF(OR(I149="",I149="متوفر ومكتمل"),"",IF(OR(D149="★",I149="غير متوفر"),"عالية","متوسطة"))</f>
        <v/>
      </c>
      <c r="L149" s="31"/>
      <c r="M149" s="30"/>
      <c r="N149" s="31"/>
      <c r="O149" s="31"/>
      <c r="P149" s="30"/>
      <c r="Q149" s="31"/>
    </row>
    <row r="150" customFormat="false" ht="22.35" hidden="false" customHeight="false" outlineLevel="0" collapsed="false">
      <c r="A150" s="28" t="s">
        <v>494</v>
      </c>
      <c r="B150" s="25" t="s">
        <v>155</v>
      </c>
      <c r="C150" s="26"/>
      <c r="D150" s="27"/>
      <c r="E150" s="28" t="n">
        <v>4</v>
      </c>
      <c r="F150" s="26" t="s">
        <v>499</v>
      </c>
      <c r="G150" s="29" t="s">
        <v>290</v>
      </c>
      <c r="H150" s="28" t="str">
        <f aca="false">IFERROR(INDEX('الإعدادات واللجنة'!$C$24:$C$32,MATCH(LEFT(A150,3),'الإعدادات واللجنة'!$A$24:$A$32,0)),"")</f>
        <v>د. عبدالله بن محمد البركاتي</v>
      </c>
      <c r="I150" s="30"/>
      <c r="J150" s="30"/>
      <c r="K150" s="28" t="str">
        <f aca="false">IF(OR(I150="",I150="متوفر ومكتمل"),"",IF(OR(D150="★",I150="غير متوفر"),"عالية","متوسطة"))</f>
        <v/>
      </c>
      <c r="L150" s="31"/>
      <c r="M150" s="30"/>
      <c r="N150" s="31"/>
      <c r="O150" s="31"/>
      <c r="P150" s="30"/>
      <c r="Q150" s="31"/>
    </row>
    <row r="151" customFormat="false" ht="32.8" hidden="false" customHeight="false" outlineLevel="0" collapsed="false">
      <c r="A151" s="45" t="s">
        <v>500</v>
      </c>
      <c r="B151" s="46" t="s">
        <v>155</v>
      </c>
      <c r="C151" s="47" t="s">
        <v>501</v>
      </c>
      <c r="D151" s="48"/>
      <c r="E151" s="38" t="n">
        <v>1</v>
      </c>
      <c r="F151" s="47" t="s">
        <v>502</v>
      </c>
      <c r="G151" s="37" t="s">
        <v>290</v>
      </c>
      <c r="H151" s="38" t="str">
        <f aca="false">IFERROR(INDEX('الإعدادات واللجنة'!$C$24:$C$32,MATCH(LEFT(A151,3),'الإعدادات واللجنة'!$A$24:$A$32,0)),"")</f>
        <v>د. عبدالله بن محمد البركاتي</v>
      </c>
      <c r="I151" s="39"/>
      <c r="J151" s="39"/>
      <c r="K151" s="38" t="str">
        <f aca="false">IF(OR(I151="",I151="متوفر ومكتمل"),"",IF(OR(D151="★",I151="غير متوفر"),"عالية","متوسطة"))</f>
        <v/>
      </c>
      <c r="L151" s="40"/>
      <c r="M151" s="39"/>
      <c r="N151" s="40"/>
      <c r="O151" s="40"/>
      <c r="P151" s="39"/>
      <c r="Q151" s="40"/>
    </row>
    <row r="152" customFormat="false" ht="22.35" hidden="false" customHeight="false" outlineLevel="0" collapsed="false">
      <c r="A152" s="28" t="s">
        <v>500</v>
      </c>
      <c r="B152" s="25" t="s">
        <v>155</v>
      </c>
      <c r="C152" s="26"/>
      <c r="D152" s="27"/>
      <c r="E152" s="28" t="n">
        <v>2</v>
      </c>
      <c r="F152" s="26" t="s">
        <v>503</v>
      </c>
      <c r="G152" s="29" t="s">
        <v>290</v>
      </c>
      <c r="H152" s="28" t="str">
        <f aca="false">IFERROR(INDEX('الإعدادات واللجنة'!$C$24:$C$32,MATCH(LEFT(A152,3),'الإعدادات واللجنة'!$A$24:$A$32,0)),"")</f>
        <v>د. عبدالله بن محمد البركاتي</v>
      </c>
      <c r="I152" s="30"/>
      <c r="J152" s="30"/>
      <c r="K152" s="28" t="str">
        <f aca="false">IF(OR(I152="",I152="متوفر ومكتمل"),"",IF(OR(D152="★",I152="غير متوفر"),"عالية","متوسطة"))</f>
        <v/>
      </c>
      <c r="L152" s="31"/>
      <c r="M152" s="30"/>
      <c r="N152" s="31"/>
      <c r="O152" s="31"/>
      <c r="P152" s="30"/>
      <c r="Q152" s="31"/>
    </row>
    <row r="153" customFormat="false" ht="22.35" hidden="false" customHeight="false" outlineLevel="0" collapsed="false">
      <c r="A153" s="28" t="s">
        <v>500</v>
      </c>
      <c r="B153" s="25" t="s">
        <v>155</v>
      </c>
      <c r="C153" s="26"/>
      <c r="D153" s="27"/>
      <c r="E153" s="28" t="n">
        <v>3</v>
      </c>
      <c r="F153" s="26" t="s">
        <v>504</v>
      </c>
      <c r="G153" s="29" t="s">
        <v>290</v>
      </c>
      <c r="H153" s="28" t="str">
        <f aca="false">IFERROR(INDEX('الإعدادات واللجنة'!$C$24:$C$32,MATCH(LEFT(A153,3),'الإعدادات واللجنة'!$A$24:$A$32,0)),"")</f>
        <v>د. عبدالله بن محمد البركاتي</v>
      </c>
      <c r="I153" s="30"/>
      <c r="J153" s="30"/>
      <c r="K153" s="28" t="str">
        <f aca="false">IF(OR(I153="",I153="متوفر ومكتمل"),"",IF(OR(D153="★",I153="غير متوفر"),"عالية","متوسطة"))</f>
        <v/>
      </c>
      <c r="L153" s="31"/>
      <c r="M153" s="30"/>
      <c r="N153" s="31"/>
      <c r="O153" s="31"/>
      <c r="P153" s="30"/>
      <c r="Q153" s="31"/>
    </row>
    <row r="154" customFormat="false" ht="22.35" hidden="false" customHeight="false" outlineLevel="0" collapsed="false">
      <c r="A154" s="28" t="s">
        <v>500</v>
      </c>
      <c r="B154" s="25" t="s">
        <v>155</v>
      </c>
      <c r="C154" s="26"/>
      <c r="D154" s="27"/>
      <c r="E154" s="28" t="n">
        <v>4</v>
      </c>
      <c r="F154" s="26" t="s">
        <v>505</v>
      </c>
      <c r="G154" s="29" t="s">
        <v>290</v>
      </c>
      <c r="H154" s="28" t="str">
        <f aca="false">IFERROR(INDEX('الإعدادات واللجنة'!$C$24:$C$32,MATCH(LEFT(A154,3),'الإعدادات واللجنة'!$A$24:$A$32,0)),"")</f>
        <v>د. عبدالله بن محمد البركاتي</v>
      </c>
      <c r="I154" s="30"/>
      <c r="J154" s="30"/>
      <c r="K154" s="28" t="str">
        <f aca="false">IF(OR(I154="",I154="متوفر ومكتمل"),"",IF(OR(D154="★",I154="غير متوفر"),"عالية","متوسطة"))</f>
        <v/>
      </c>
      <c r="L154" s="31"/>
      <c r="M154" s="30"/>
      <c r="N154" s="31"/>
      <c r="O154" s="31"/>
      <c r="P154" s="30"/>
      <c r="Q154" s="31"/>
    </row>
    <row r="155" customFormat="false" ht="32.8" hidden="false" customHeight="false" outlineLevel="0" collapsed="false">
      <c r="A155" s="45" t="s">
        <v>506</v>
      </c>
      <c r="B155" s="46" t="s">
        <v>155</v>
      </c>
      <c r="C155" s="47" t="s">
        <v>507</v>
      </c>
      <c r="D155" s="48"/>
      <c r="E155" s="38" t="n">
        <v>1</v>
      </c>
      <c r="F155" s="47" t="s">
        <v>508</v>
      </c>
      <c r="G155" s="37" t="s">
        <v>290</v>
      </c>
      <c r="H155" s="38" t="str">
        <f aca="false">IFERROR(INDEX('الإعدادات واللجنة'!$C$24:$C$32,MATCH(LEFT(A155,3),'الإعدادات واللجنة'!$A$24:$A$32,0)),"")</f>
        <v>د. عبدالله بن محمد البركاتي</v>
      </c>
      <c r="I155" s="39"/>
      <c r="J155" s="39"/>
      <c r="K155" s="38" t="str">
        <f aca="false">IF(OR(I155="",I155="متوفر ومكتمل"),"",IF(OR(D155="★",I155="غير متوفر"),"عالية","متوسطة"))</f>
        <v/>
      </c>
      <c r="L155" s="40"/>
      <c r="M155" s="39"/>
      <c r="N155" s="40"/>
      <c r="O155" s="40"/>
      <c r="P155" s="39"/>
      <c r="Q155" s="40"/>
    </row>
    <row r="156" customFormat="false" ht="22.35" hidden="false" customHeight="false" outlineLevel="0" collapsed="false">
      <c r="A156" s="28" t="s">
        <v>506</v>
      </c>
      <c r="B156" s="25" t="s">
        <v>155</v>
      </c>
      <c r="C156" s="26"/>
      <c r="D156" s="27"/>
      <c r="E156" s="28" t="n">
        <v>2</v>
      </c>
      <c r="F156" s="26" t="s">
        <v>509</v>
      </c>
      <c r="G156" s="29" t="s">
        <v>290</v>
      </c>
      <c r="H156" s="28" t="str">
        <f aca="false">IFERROR(INDEX('الإعدادات واللجنة'!$C$24:$C$32,MATCH(LEFT(A156,3),'الإعدادات واللجنة'!$A$24:$A$32,0)),"")</f>
        <v>د. عبدالله بن محمد البركاتي</v>
      </c>
      <c r="I156" s="30"/>
      <c r="J156" s="30"/>
      <c r="K156" s="28" t="str">
        <f aca="false">IF(OR(I156="",I156="متوفر ومكتمل"),"",IF(OR(D156="★",I156="غير متوفر"),"عالية","متوسطة"))</f>
        <v/>
      </c>
      <c r="L156" s="31"/>
      <c r="M156" s="30"/>
      <c r="N156" s="31"/>
      <c r="O156" s="31"/>
      <c r="P156" s="30"/>
      <c r="Q156" s="31"/>
    </row>
    <row r="157" customFormat="false" ht="22.35" hidden="false" customHeight="false" outlineLevel="0" collapsed="false">
      <c r="A157" s="28" t="s">
        <v>506</v>
      </c>
      <c r="B157" s="25" t="s">
        <v>155</v>
      </c>
      <c r="C157" s="26"/>
      <c r="D157" s="27"/>
      <c r="E157" s="28" t="n">
        <v>3</v>
      </c>
      <c r="F157" s="26" t="s">
        <v>510</v>
      </c>
      <c r="G157" s="29" t="s">
        <v>290</v>
      </c>
      <c r="H157" s="28" t="str">
        <f aca="false">IFERROR(INDEX('الإعدادات واللجنة'!$C$24:$C$32,MATCH(LEFT(A157,3),'الإعدادات واللجنة'!$A$24:$A$32,0)),"")</f>
        <v>د. عبدالله بن محمد البركاتي</v>
      </c>
      <c r="I157" s="30"/>
      <c r="J157" s="30"/>
      <c r="K157" s="28" t="str">
        <f aca="false">IF(OR(I157="",I157="متوفر ومكتمل"),"",IF(OR(D157="★",I157="غير متوفر"),"عالية","متوسطة"))</f>
        <v/>
      </c>
      <c r="L157" s="31"/>
      <c r="M157" s="30"/>
      <c r="N157" s="31"/>
      <c r="O157" s="31"/>
      <c r="P157" s="30"/>
      <c r="Q157" s="31"/>
    </row>
    <row r="158" customFormat="false" ht="22.35" hidden="false" customHeight="false" outlineLevel="0" collapsed="false">
      <c r="A158" s="28" t="s">
        <v>506</v>
      </c>
      <c r="B158" s="25" t="s">
        <v>155</v>
      </c>
      <c r="C158" s="26"/>
      <c r="D158" s="27"/>
      <c r="E158" s="28" t="n">
        <v>4</v>
      </c>
      <c r="F158" s="26" t="s">
        <v>511</v>
      </c>
      <c r="G158" s="29" t="s">
        <v>290</v>
      </c>
      <c r="H158" s="28" t="str">
        <f aca="false">IFERROR(INDEX('الإعدادات واللجنة'!$C$24:$C$32,MATCH(LEFT(A158,3),'الإعدادات واللجنة'!$A$24:$A$32,0)),"")</f>
        <v>د. عبدالله بن محمد البركاتي</v>
      </c>
      <c r="I158" s="30"/>
      <c r="J158" s="30"/>
      <c r="K158" s="28" t="str">
        <f aca="false">IF(OR(I158="",I158="متوفر ومكتمل"),"",IF(OR(D158="★",I158="غير متوفر"),"عالية","متوسطة"))</f>
        <v/>
      </c>
      <c r="L158" s="31"/>
      <c r="M158" s="30"/>
      <c r="N158" s="31"/>
      <c r="O158" s="31"/>
      <c r="P158" s="30"/>
      <c r="Q158" s="31"/>
    </row>
    <row r="159" customFormat="false" ht="22.35" hidden="false" customHeight="false" outlineLevel="0" collapsed="false">
      <c r="A159" s="28" t="s">
        <v>506</v>
      </c>
      <c r="B159" s="25" t="s">
        <v>155</v>
      </c>
      <c r="C159" s="26"/>
      <c r="D159" s="27"/>
      <c r="E159" s="28" t="n">
        <v>5</v>
      </c>
      <c r="F159" s="26" t="s">
        <v>512</v>
      </c>
      <c r="G159" s="29" t="s">
        <v>290</v>
      </c>
      <c r="H159" s="28" t="str">
        <f aca="false">IFERROR(INDEX('الإعدادات واللجنة'!$C$24:$C$32,MATCH(LEFT(A159,3),'الإعدادات واللجنة'!$A$24:$A$32,0)),"")</f>
        <v>د. عبدالله بن محمد البركاتي</v>
      </c>
      <c r="I159" s="30"/>
      <c r="J159" s="30"/>
      <c r="K159" s="28" t="str">
        <f aca="false">IF(OR(I159="",I159="متوفر ومكتمل"),"",IF(OR(D159="★",I159="غير متوفر"),"عالية","متوسطة"))</f>
        <v/>
      </c>
      <c r="L159" s="31"/>
      <c r="M159" s="30"/>
      <c r="N159" s="31"/>
      <c r="O159" s="31"/>
      <c r="P159" s="30"/>
      <c r="Q159" s="31"/>
    </row>
    <row r="160" customFormat="false" ht="22.35" hidden="false" customHeight="false" outlineLevel="0" collapsed="false">
      <c r="A160" s="28" t="s">
        <v>506</v>
      </c>
      <c r="B160" s="25" t="s">
        <v>155</v>
      </c>
      <c r="C160" s="26"/>
      <c r="D160" s="27"/>
      <c r="E160" s="28" t="n">
        <v>6</v>
      </c>
      <c r="F160" s="26" t="s">
        <v>513</v>
      </c>
      <c r="G160" s="29" t="s">
        <v>290</v>
      </c>
      <c r="H160" s="28" t="str">
        <f aca="false">IFERROR(INDEX('الإعدادات واللجنة'!$C$24:$C$32,MATCH(LEFT(A160,3),'الإعدادات واللجنة'!$A$24:$A$32,0)),"")</f>
        <v>د. عبدالله بن محمد البركاتي</v>
      </c>
      <c r="I160" s="30"/>
      <c r="J160" s="30"/>
      <c r="K160" s="28" t="str">
        <f aca="false">IF(OR(I160="",I160="متوفر ومكتمل"),"",IF(OR(D160="★",I160="غير متوفر"),"عالية","متوسطة"))</f>
        <v/>
      </c>
      <c r="L160" s="31"/>
      <c r="M160" s="30"/>
      <c r="N160" s="31"/>
      <c r="O160" s="31"/>
      <c r="P160" s="30"/>
      <c r="Q160" s="31"/>
    </row>
    <row r="161" customFormat="false" ht="22.35" hidden="false" customHeight="false" outlineLevel="0" collapsed="false">
      <c r="A161" s="32" t="s">
        <v>514</v>
      </c>
      <c r="B161" s="33" t="s">
        <v>155</v>
      </c>
      <c r="C161" s="34" t="s">
        <v>515</v>
      </c>
      <c r="D161" s="35" t="s">
        <v>296</v>
      </c>
      <c r="E161" s="36" t="n">
        <v>1</v>
      </c>
      <c r="F161" s="34" t="s">
        <v>516</v>
      </c>
      <c r="G161" s="37" t="s">
        <v>290</v>
      </c>
      <c r="H161" s="38" t="str">
        <f aca="false">IFERROR(INDEX('الإعدادات واللجنة'!$C$24:$C$32,MATCH(LEFT(A161,3),'الإعدادات واللجنة'!$A$24:$A$32,0)),"")</f>
        <v>د. عبدالله بن محمد البركاتي</v>
      </c>
      <c r="I161" s="39"/>
      <c r="J161" s="39"/>
      <c r="K161" s="38" t="str">
        <f aca="false">IF(OR(I161="",I161="متوفر ومكتمل"),"",IF(OR(D161="★",I161="غير متوفر"),"عالية","متوسطة"))</f>
        <v/>
      </c>
      <c r="L161" s="40"/>
      <c r="M161" s="39"/>
      <c r="N161" s="40"/>
      <c r="O161" s="40"/>
      <c r="P161" s="39"/>
      <c r="Q161" s="40"/>
    </row>
    <row r="162" customFormat="false" ht="22.35" hidden="false" customHeight="false" outlineLevel="0" collapsed="false">
      <c r="A162" s="41" t="s">
        <v>514</v>
      </c>
      <c r="B162" s="42" t="s">
        <v>155</v>
      </c>
      <c r="C162" s="43"/>
      <c r="D162" s="44" t="s">
        <v>296</v>
      </c>
      <c r="E162" s="41" t="n">
        <v>2</v>
      </c>
      <c r="F162" s="43" t="s">
        <v>517</v>
      </c>
      <c r="G162" s="29" t="s">
        <v>290</v>
      </c>
      <c r="H162" s="28" t="str">
        <f aca="false">IFERROR(INDEX('الإعدادات واللجنة'!$C$24:$C$32,MATCH(LEFT(A162,3),'الإعدادات واللجنة'!$A$24:$A$32,0)),"")</f>
        <v>د. عبدالله بن محمد البركاتي</v>
      </c>
      <c r="I162" s="30"/>
      <c r="J162" s="30"/>
      <c r="K162" s="28" t="str">
        <f aca="false">IF(OR(I162="",I162="متوفر ومكتمل"),"",IF(OR(D162="★",I162="غير متوفر"),"عالية","متوسطة"))</f>
        <v/>
      </c>
      <c r="L162" s="31"/>
      <c r="M162" s="30"/>
      <c r="N162" s="31"/>
      <c r="O162" s="31"/>
      <c r="P162" s="30"/>
      <c r="Q162" s="31"/>
    </row>
    <row r="163" customFormat="false" ht="22.35" hidden="false" customHeight="false" outlineLevel="0" collapsed="false">
      <c r="A163" s="41" t="s">
        <v>514</v>
      </c>
      <c r="B163" s="42" t="s">
        <v>155</v>
      </c>
      <c r="C163" s="43"/>
      <c r="D163" s="44" t="s">
        <v>296</v>
      </c>
      <c r="E163" s="41" t="n">
        <v>3</v>
      </c>
      <c r="F163" s="43" t="s">
        <v>518</v>
      </c>
      <c r="G163" s="29" t="s">
        <v>290</v>
      </c>
      <c r="H163" s="28" t="str">
        <f aca="false">IFERROR(INDEX('الإعدادات واللجنة'!$C$24:$C$32,MATCH(LEFT(A163,3),'الإعدادات واللجنة'!$A$24:$A$32,0)),"")</f>
        <v>د. عبدالله بن محمد البركاتي</v>
      </c>
      <c r="I163" s="30"/>
      <c r="J163" s="30"/>
      <c r="K163" s="28" t="str">
        <f aca="false">IF(OR(I163="",I163="متوفر ومكتمل"),"",IF(OR(D163="★",I163="غير متوفر"),"عالية","متوسطة"))</f>
        <v/>
      </c>
      <c r="L163" s="31"/>
      <c r="M163" s="30"/>
      <c r="N163" s="31"/>
      <c r="O163" s="31"/>
      <c r="P163" s="30"/>
      <c r="Q163" s="31"/>
    </row>
    <row r="164" customFormat="false" ht="22.35" hidden="false" customHeight="false" outlineLevel="0" collapsed="false">
      <c r="A164" s="32" t="s">
        <v>519</v>
      </c>
      <c r="B164" s="33" t="s">
        <v>156</v>
      </c>
      <c r="C164" s="34" t="s">
        <v>520</v>
      </c>
      <c r="D164" s="35" t="s">
        <v>296</v>
      </c>
      <c r="E164" s="36" t="n">
        <v>1</v>
      </c>
      <c r="F164" s="34" t="s">
        <v>521</v>
      </c>
      <c r="G164" s="37" t="s">
        <v>290</v>
      </c>
      <c r="H164" s="38" t="str">
        <f aca="false">IFERROR(INDEX('الإعدادات واللجنة'!$C$24:$C$32,MATCH(LEFT(A164,3),'الإعدادات واللجنة'!$A$24:$A$32,0)),"")</f>
        <v>د. عمر بن محمد موسى</v>
      </c>
      <c r="I164" s="39"/>
      <c r="J164" s="39"/>
      <c r="K164" s="38" t="str">
        <f aca="false">IF(OR(I164="",I164="متوفر ومكتمل"),"",IF(OR(D164="★",I164="غير متوفر"),"عالية","متوسطة"))</f>
        <v/>
      </c>
      <c r="L164" s="40"/>
      <c r="M164" s="39"/>
      <c r="N164" s="40"/>
      <c r="O164" s="40"/>
      <c r="P164" s="39"/>
      <c r="Q164" s="40"/>
    </row>
    <row r="165" customFormat="false" ht="15" hidden="false" customHeight="false" outlineLevel="0" collapsed="false">
      <c r="A165" s="41" t="s">
        <v>519</v>
      </c>
      <c r="B165" s="42" t="s">
        <v>156</v>
      </c>
      <c r="C165" s="43"/>
      <c r="D165" s="44" t="s">
        <v>296</v>
      </c>
      <c r="E165" s="41" t="n">
        <v>2</v>
      </c>
      <c r="F165" s="43" t="s">
        <v>522</v>
      </c>
      <c r="G165" s="29" t="s">
        <v>290</v>
      </c>
      <c r="H165" s="28" t="str">
        <f aca="false">IFERROR(INDEX('الإعدادات واللجنة'!$C$24:$C$32,MATCH(LEFT(A165,3),'الإعدادات واللجنة'!$A$24:$A$32,0)),"")</f>
        <v>د. عمر بن محمد موسى</v>
      </c>
      <c r="I165" s="30"/>
      <c r="J165" s="30"/>
      <c r="K165" s="28" t="str">
        <f aca="false">IF(OR(I165="",I165="متوفر ومكتمل"),"",IF(OR(D165="★",I165="غير متوفر"),"عالية","متوسطة"))</f>
        <v/>
      </c>
      <c r="L165" s="31"/>
      <c r="M165" s="30"/>
      <c r="N165" s="31"/>
      <c r="O165" s="31"/>
      <c r="P165" s="30"/>
      <c r="Q165" s="31"/>
    </row>
    <row r="166" customFormat="false" ht="22.35" hidden="false" customHeight="false" outlineLevel="0" collapsed="false">
      <c r="A166" s="41" t="s">
        <v>519</v>
      </c>
      <c r="B166" s="42" t="s">
        <v>156</v>
      </c>
      <c r="C166" s="43"/>
      <c r="D166" s="44" t="s">
        <v>296</v>
      </c>
      <c r="E166" s="41" t="n">
        <v>3</v>
      </c>
      <c r="F166" s="43" t="s">
        <v>523</v>
      </c>
      <c r="G166" s="29" t="s">
        <v>290</v>
      </c>
      <c r="H166" s="28" t="str">
        <f aca="false">IFERROR(INDEX('الإعدادات واللجنة'!$C$24:$C$32,MATCH(LEFT(A166,3),'الإعدادات واللجنة'!$A$24:$A$32,0)),"")</f>
        <v>د. عمر بن محمد موسى</v>
      </c>
      <c r="I166" s="30"/>
      <c r="J166" s="30"/>
      <c r="K166" s="28" t="str">
        <f aca="false">IF(OR(I166="",I166="متوفر ومكتمل"),"",IF(OR(D166="★",I166="غير متوفر"),"عالية","متوسطة"))</f>
        <v/>
      </c>
      <c r="L166" s="31"/>
      <c r="M166" s="30"/>
      <c r="N166" s="31"/>
      <c r="O166" s="31"/>
      <c r="P166" s="30"/>
      <c r="Q166" s="31"/>
    </row>
    <row r="167" customFormat="false" ht="22.35" hidden="false" customHeight="false" outlineLevel="0" collapsed="false">
      <c r="A167" s="41" t="s">
        <v>519</v>
      </c>
      <c r="B167" s="42" t="s">
        <v>156</v>
      </c>
      <c r="C167" s="43"/>
      <c r="D167" s="44" t="s">
        <v>296</v>
      </c>
      <c r="E167" s="41" t="n">
        <v>4</v>
      </c>
      <c r="F167" s="43" t="s">
        <v>524</v>
      </c>
      <c r="G167" s="29" t="s">
        <v>290</v>
      </c>
      <c r="H167" s="28" t="str">
        <f aca="false">IFERROR(INDEX('الإعدادات واللجنة'!$C$24:$C$32,MATCH(LEFT(A167,3),'الإعدادات واللجنة'!$A$24:$A$32,0)),"")</f>
        <v>د. عمر بن محمد موسى</v>
      </c>
      <c r="I167" s="30"/>
      <c r="J167" s="30"/>
      <c r="K167" s="28" t="str">
        <f aca="false">IF(OR(I167="",I167="متوفر ومكتمل"),"",IF(OR(D167="★",I167="غير متوفر"),"عالية","متوسطة"))</f>
        <v/>
      </c>
      <c r="L167" s="31"/>
      <c r="M167" s="30"/>
      <c r="N167" s="31"/>
      <c r="O167" s="31"/>
      <c r="P167" s="30"/>
      <c r="Q167" s="31"/>
    </row>
    <row r="168" customFormat="false" ht="22.35" hidden="false" customHeight="false" outlineLevel="0" collapsed="false">
      <c r="A168" s="45" t="s">
        <v>525</v>
      </c>
      <c r="B168" s="46" t="s">
        <v>156</v>
      </c>
      <c r="C168" s="47" t="s">
        <v>526</v>
      </c>
      <c r="D168" s="48"/>
      <c r="E168" s="38" t="n">
        <v>1</v>
      </c>
      <c r="F168" s="47" t="s">
        <v>527</v>
      </c>
      <c r="G168" s="37" t="s">
        <v>290</v>
      </c>
      <c r="H168" s="38" t="str">
        <f aca="false">IFERROR(INDEX('الإعدادات واللجنة'!$C$24:$C$32,MATCH(LEFT(A168,3),'الإعدادات واللجنة'!$A$24:$A$32,0)),"")</f>
        <v>د. عمر بن محمد موسى</v>
      </c>
      <c r="I168" s="39"/>
      <c r="J168" s="39"/>
      <c r="K168" s="38" t="str">
        <f aca="false">IF(OR(I168="",I168="متوفر ومكتمل"),"",IF(OR(D168="★",I168="غير متوفر"),"عالية","متوسطة"))</f>
        <v/>
      </c>
      <c r="L168" s="40"/>
      <c r="M168" s="39"/>
      <c r="N168" s="40"/>
      <c r="O168" s="40"/>
      <c r="P168" s="39"/>
      <c r="Q168" s="40"/>
    </row>
    <row r="169" customFormat="false" ht="22.35" hidden="false" customHeight="false" outlineLevel="0" collapsed="false">
      <c r="A169" s="28" t="s">
        <v>525</v>
      </c>
      <c r="B169" s="25" t="s">
        <v>156</v>
      </c>
      <c r="C169" s="26"/>
      <c r="D169" s="27"/>
      <c r="E169" s="28" t="n">
        <v>2</v>
      </c>
      <c r="F169" s="26" t="s">
        <v>528</v>
      </c>
      <c r="G169" s="29" t="s">
        <v>290</v>
      </c>
      <c r="H169" s="28" t="str">
        <f aca="false">IFERROR(INDEX('الإعدادات واللجنة'!$C$24:$C$32,MATCH(LEFT(A169,3),'الإعدادات واللجنة'!$A$24:$A$32,0)),"")</f>
        <v>د. عمر بن محمد موسى</v>
      </c>
      <c r="I169" s="30"/>
      <c r="J169" s="30"/>
      <c r="K169" s="28" t="str">
        <f aca="false">IF(OR(I169="",I169="متوفر ومكتمل"),"",IF(OR(D169="★",I169="غير متوفر"),"عالية","متوسطة"))</f>
        <v/>
      </c>
      <c r="L169" s="31"/>
      <c r="M169" s="30"/>
      <c r="N169" s="31"/>
      <c r="O169" s="31"/>
      <c r="P169" s="30"/>
      <c r="Q169" s="31"/>
    </row>
    <row r="170" customFormat="false" ht="32.8" hidden="false" customHeight="false" outlineLevel="0" collapsed="false">
      <c r="A170" s="45" t="s">
        <v>529</v>
      </c>
      <c r="B170" s="46" t="s">
        <v>156</v>
      </c>
      <c r="C170" s="47" t="s">
        <v>530</v>
      </c>
      <c r="D170" s="48"/>
      <c r="E170" s="38" t="n">
        <v>1</v>
      </c>
      <c r="F170" s="47" t="s">
        <v>531</v>
      </c>
      <c r="G170" s="37" t="s">
        <v>290</v>
      </c>
      <c r="H170" s="38" t="str">
        <f aca="false">IFERROR(INDEX('الإعدادات واللجنة'!$C$24:$C$32,MATCH(LEFT(A170,3),'الإعدادات واللجنة'!$A$24:$A$32,0)),"")</f>
        <v>د. عمر بن محمد موسى</v>
      </c>
      <c r="I170" s="39"/>
      <c r="J170" s="39"/>
      <c r="K170" s="38" t="str">
        <f aca="false">IF(OR(I170="",I170="متوفر ومكتمل"),"",IF(OR(D170="★",I170="غير متوفر"),"عالية","متوسطة"))</f>
        <v/>
      </c>
      <c r="L170" s="40"/>
      <c r="M170" s="39"/>
      <c r="N170" s="40"/>
      <c r="O170" s="40"/>
      <c r="P170" s="39"/>
      <c r="Q170" s="40"/>
    </row>
    <row r="171" customFormat="false" ht="22.35" hidden="false" customHeight="false" outlineLevel="0" collapsed="false">
      <c r="A171" s="28" t="s">
        <v>529</v>
      </c>
      <c r="B171" s="25" t="s">
        <v>156</v>
      </c>
      <c r="C171" s="26"/>
      <c r="D171" s="27"/>
      <c r="E171" s="28" t="n">
        <v>2</v>
      </c>
      <c r="F171" s="26" t="s">
        <v>532</v>
      </c>
      <c r="G171" s="29" t="s">
        <v>290</v>
      </c>
      <c r="H171" s="28" t="str">
        <f aca="false">IFERROR(INDEX('الإعدادات واللجنة'!$C$24:$C$32,MATCH(LEFT(A171,3),'الإعدادات واللجنة'!$A$24:$A$32,0)),"")</f>
        <v>د. عمر بن محمد موسى</v>
      </c>
      <c r="I171" s="30"/>
      <c r="J171" s="30"/>
      <c r="K171" s="28" t="str">
        <f aca="false">IF(OR(I171="",I171="متوفر ومكتمل"),"",IF(OR(D171="★",I171="غير متوفر"),"عالية","متوسطة"))</f>
        <v/>
      </c>
      <c r="L171" s="31"/>
      <c r="M171" s="30"/>
      <c r="N171" s="31"/>
      <c r="O171" s="31"/>
      <c r="P171" s="30"/>
      <c r="Q171" s="31"/>
    </row>
    <row r="172" customFormat="false" ht="22.35" hidden="false" customHeight="false" outlineLevel="0" collapsed="false">
      <c r="A172" s="28" t="s">
        <v>529</v>
      </c>
      <c r="B172" s="25" t="s">
        <v>156</v>
      </c>
      <c r="C172" s="26"/>
      <c r="D172" s="27"/>
      <c r="E172" s="28" t="n">
        <v>3</v>
      </c>
      <c r="F172" s="26" t="s">
        <v>533</v>
      </c>
      <c r="G172" s="29" t="s">
        <v>290</v>
      </c>
      <c r="H172" s="28" t="str">
        <f aca="false">IFERROR(INDEX('الإعدادات واللجنة'!$C$24:$C$32,MATCH(LEFT(A172,3),'الإعدادات واللجنة'!$A$24:$A$32,0)),"")</f>
        <v>د. عمر بن محمد موسى</v>
      </c>
      <c r="I172" s="30"/>
      <c r="J172" s="30"/>
      <c r="K172" s="28" t="str">
        <f aca="false">IF(OR(I172="",I172="متوفر ومكتمل"),"",IF(OR(D172="★",I172="غير متوفر"),"عالية","متوسطة"))</f>
        <v/>
      </c>
      <c r="L172" s="31"/>
      <c r="M172" s="30"/>
      <c r="N172" s="31"/>
      <c r="O172" s="31"/>
      <c r="P172" s="30"/>
      <c r="Q172" s="31"/>
    </row>
    <row r="173" customFormat="false" ht="22.35" hidden="false" customHeight="false" outlineLevel="0" collapsed="false">
      <c r="A173" s="28" t="s">
        <v>529</v>
      </c>
      <c r="B173" s="25" t="s">
        <v>156</v>
      </c>
      <c r="C173" s="26"/>
      <c r="D173" s="27"/>
      <c r="E173" s="28" t="n">
        <v>4</v>
      </c>
      <c r="F173" s="26" t="s">
        <v>534</v>
      </c>
      <c r="G173" s="29" t="s">
        <v>290</v>
      </c>
      <c r="H173" s="28" t="str">
        <f aca="false">IFERROR(INDEX('الإعدادات واللجنة'!$C$24:$C$32,MATCH(LEFT(A173,3),'الإعدادات واللجنة'!$A$24:$A$32,0)),"")</f>
        <v>د. عمر بن محمد موسى</v>
      </c>
      <c r="I173" s="30"/>
      <c r="J173" s="30"/>
      <c r="K173" s="28" t="str">
        <f aca="false">IF(OR(I173="",I173="متوفر ومكتمل"),"",IF(OR(D173="★",I173="غير متوفر"),"عالية","متوسطة"))</f>
        <v/>
      </c>
      <c r="L173" s="31"/>
      <c r="M173" s="30"/>
      <c r="N173" s="31"/>
      <c r="O173" s="31"/>
      <c r="P173" s="30"/>
      <c r="Q173" s="31"/>
    </row>
    <row r="174" customFormat="false" ht="15" hidden="false" customHeight="false" outlineLevel="0" collapsed="false">
      <c r="A174" s="28" t="s">
        <v>529</v>
      </c>
      <c r="B174" s="25" t="s">
        <v>156</v>
      </c>
      <c r="C174" s="26"/>
      <c r="D174" s="27"/>
      <c r="E174" s="28" t="n">
        <v>5</v>
      </c>
      <c r="F174" s="26" t="s">
        <v>535</v>
      </c>
      <c r="G174" s="29" t="s">
        <v>290</v>
      </c>
      <c r="H174" s="28" t="str">
        <f aca="false">IFERROR(INDEX('الإعدادات واللجنة'!$C$24:$C$32,MATCH(LEFT(A174,3),'الإعدادات واللجنة'!$A$24:$A$32,0)),"")</f>
        <v>د. عمر بن محمد موسى</v>
      </c>
      <c r="I174" s="30"/>
      <c r="J174" s="30"/>
      <c r="K174" s="28" t="str">
        <f aca="false">IF(OR(I174="",I174="متوفر ومكتمل"),"",IF(OR(D174="★",I174="غير متوفر"),"عالية","متوسطة"))</f>
        <v/>
      </c>
      <c r="L174" s="31"/>
      <c r="M174" s="30"/>
      <c r="N174" s="31"/>
      <c r="O174" s="31"/>
      <c r="P174" s="30"/>
      <c r="Q174" s="31"/>
    </row>
    <row r="175" customFormat="false" ht="15" hidden="false" customHeight="false" outlineLevel="0" collapsed="false">
      <c r="A175" s="28" t="s">
        <v>529</v>
      </c>
      <c r="B175" s="25" t="s">
        <v>156</v>
      </c>
      <c r="C175" s="26"/>
      <c r="D175" s="27"/>
      <c r="E175" s="28" t="n">
        <v>6</v>
      </c>
      <c r="F175" s="26" t="s">
        <v>536</v>
      </c>
      <c r="G175" s="29" t="s">
        <v>290</v>
      </c>
      <c r="H175" s="28" t="str">
        <f aca="false">IFERROR(INDEX('الإعدادات واللجنة'!$C$24:$C$32,MATCH(LEFT(A175,3),'الإعدادات واللجنة'!$A$24:$A$32,0)),"")</f>
        <v>د. عمر بن محمد موسى</v>
      </c>
      <c r="I175" s="30"/>
      <c r="J175" s="30"/>
      <c r="K175" s="28" t="str">
        <f aca="false">IF(OR(I175="",I175="متوفر ومكتمل"),"",IF(OR(D175="★",I175="غير متوفر"),"عالية","متوسطة"))</f>
        <v/>
      </c>
      <c r="L175" s="31"/>
      <c r="M175" s="30"/>
      <c r="N175" s="31"/>
      <c r="O175" s="31"/>
      <c r="P175" s="30"/>
      <c r="Q175" s="31"/>
    </row>
    <row r="176" customFormat="false" ht="22.35" hidden="false" customHeight="false" outlineLevel="0" collapsed="false">
      <c r="A176" s="28" t="s">
        <v>529</v>
      </c>
      <c r="B176" s="25" t="s">
        <v>156</v>
      </c>
      <c r="C176" s="26"/>
      <c r="D176" s="27"/>
      <c r="E176" s="28" t="n">
        <v>7</v>
      </c>
      <c r="F176" s="26" t="s">
        <v>537</v>
      </c>
      <c r="G176" s="29" t="s">
        <v>290</v>
      </c>
      <c r="H176" s="28" t="str">
        <f aca="false">IFERROR(INDEX('الإعدادات واللجنة'!$C$24:$C$32,MATCH(LEFT(A176,3),'الإعدادات واللجنة'!$A$24:$A$32,0)),"")</f>
        <v>د. عمر بن محمد موسى</v>
      </c>
      <c r="I176" s="30"/>
      <c r="J176" s="30"/>
      <c r="K176" s="28" t="str">
        <f aca="false">IF(OR(I176="",I176="متوفر ومكتمل"),"",IF(OR(D176="★",I176="غير متوفر"),"عالية","متوسطة"))</f>
        <v/>
      </c>
      <c r="L176" s="31"/>
      <c r="M176" s="30"/>
      <c r="N176" s="31"/>
      <c r="O176" s="31"/>
      <c r="P176" s="30"/>
      <c r="Q176" s="31"/>
    </row>
    <row r="177" customFormat="false" ht="22.35" hidden="false" customHeight="false" outlineLevel="0" collapsed="false">
      <c r="A177" s="45" t="s">
        <v>538</v>
      </c>
      <c r="B177" s="46" t="s">
        <v>156</v>
      </c>
      <c r="C177" s="47" t="s">
        <v>539</v>
      </c>
      <c r="D177" s="48"/>
      <c r="E177" s="38" t="n">
        <v>1</v>
      </c>
      <c r="F177" s="47" t="s">
        <v>540</v>
      </c>
      <c r="G177" s="37" t="s">
        <v>290</v>
      </c>
      <c r="H177" s="38" t="str">
        <f aca="false">IFERROR(INDEX('الإعدادات واللجنة'!$C$24:$C$32,MATCH(LEFT(A177,3),'الإعدادات واللجنة'!$A$24:$A$32,0)),"")</f>
        <v>د. عمر بن محمد موسى</v>
      </c>
      <c r="I177" s="39"/>
      <c r="J177" s="39"/>
      <c r="K177" s="38" t="str">
        <f aca="false">IF(OR(I177="",I177="متوفر ومكتمل"),"",IF(OR(D177="★",I177="غير متوفر"),"عالية","متوسطة"))</f>
        <v/>
      </c>
      <c r="L177" s="40"/>
      <c r="M177" s="39"/>
      <c r="N177" s="40"/>
      <c r="O177" s="40"/>
      <c r="P177" s="39"/>
      <c r="Q177" s="40"/>
    </row>
    <row r="178" customFormat="false" ht="15" hidden="false" customHeight="false" outlineLevel="0" collapsed="false">
      <c r="A178" s="28" t="s">
        <v>538</v>
      </c>
      <c r="B178" s="25" t="s">
        <v>156</v>
      </c>
      <c r="C178" s="26"/>
      <c r="D178" s="27"/>
      <c r="E178" s="28" t="n">
        <v>2</v>
      </c>
      <c r="F178" s="26" t="s">
        <v>541</v>
      </c>
      <c r="G178" s="29" t="s">
        <v>290</v>
      </c>
      <c r="H178" s="28" t="str">
        <f aca="false">IFERROR(INDEX('الإعدادات واللجنة'!$C$24:$C$32,MATCH(LEFT(A178,3),'الإعدادات واللجنة'!$A$24:$A$32,0)),"")</f>
        <v>د. عمر بن محمد موسى</v>
      </c>
      <c r="I178" s="30"/>
      <c r="J178" s="30"/>
      <c r="K178" s="28" t="str">
        <f aca="false">IF(OR(I178="",I178="متوفر ومكتمل"),"",IF(OR(D178="★",I178="غير متوفر"),"عالية","متوسطة"))</f>
        <v/>
      </c>
      <c r="L178" s="31"/>
      <c r="M178" s="30"/>
      <c r="N178" s="31"/>
      <c r="O178" s="31"/>
      <c r="P178" s="30"/>
      <c r="Q178" s="31"/>
    </row>
    <row r="179" customFormat="false" ht="22.35" hidden="false" customHeight="false" outlineLevel="0" collapsed="false">
      <c r="A179" s="28" t="s">
        <v>538</v>
      </c>
      <c r="B179" s="25" t="s">
        <v>156</v>
      </c>
      <c r="C179" s="26"/>
      <c r="D179" s="27"/>
      <c r="E179" s="28" t="n">
        <v>3</v>
      </c>
      <c r="F179" s="26" t="s">
        <v>542</v>
      </c>
      <c r="G179" s="29" t="s">
        <v>290</v>
      </c>
      <c r="H179" s="28" t="str">
        <f aca="false">IFERROR(INDEX('الإعدادات واللجنة'!$C$24:$C$32,MATCH(LEFT(A179,3),'الإعدادات واللجنة'!$A$24:$A$32,0)),"")</f>
        <v>د. عمر بن محمد موسى</v>
      </c>
      <c r="I179" s="30"/>
      <c r="J179" s="30"/>
      <c r="K179" s="28" t="str">
        <f aca="false">IF(OR(I179="",I179="متوفر ومكتمل"),"",IF(OR(D179="★",I179="غير متوفر"),"عالية","متوسطة"))</f>
        <v/>
      </c>
      <c r="L179" s="31"/>
      <c r="M179" s="30"/>
      <c r="N179" s="31"/>
      <c r="O179" s="31"/>
      <c r="P179" s="30"/>
      <c r="Q179" s="31"/>
    </row>
    <row r="180" customFormat="false" ht="22.35" hidden="false" customHeight="false" outlineLevel="0" collapsed="false">
      <c r="A180" s="45" t="s">
        <v>543</v>
      </c>
      <c r="B180" s="46" t="s">
        <v>156</v>
      </c>
      <c r="C180" s="47" t="s">
        <v>544</v>
      </c>
      <c r="D180" s="48"/>
      <c r="E180" s="38" t="n">
        <v>1</v>
      </c>
      <c r="F180" s="47" t="s">
        <v>545</v>
      </c>
      <c r="G180" s="37" t="s">
        <v>290</v>
      </c>
      <c r="H180" s="38" t="str">
        <f aca="false">IFERROR(INDEX('الإعدادات واللجنة'!$C$24:$C$32,MATCH(LEFT(A180,3),'الإعدادات واللجنة'!$A$24:$A$32,0)),"")</f>
        <v>د. عمر بن محمد موسى</v>
      </c>
      <c r="I180" s="39"/>
      <c r="J180" s="39"/>
      <c r="K180" s="38" t="str">
        <f aca="false">IF(OR(I180="",I180="متوفر ومكتمل"),"",IF(OR(D180="★",I180="غير متوفر"),"عالية","متوسطة"))</f>
        <v/>
      </c>
      <c r="L180" s="40"/>
      <c r="M180" s="39"/>
      <c r="N180" s="40"/>
      <c r="O180" s="40"/>
      <c r="P180" s="39"/>
      <c r="Q180" s="40"/>
    </row>
    <row r="181" customFormat="false" ht="15" hidden="false" customHeight="false" outlineLevel="0" collapsed="false">
      <c r="A181" s="28" t="s">
        <v>543</v>
      </c>
      <c r="B181" s="25" t="s">
        <v>156</v>
      </c>
      <c r="C181" s="26"/>
      <c r="D181" s="27"/>
      <c r="E181" s="28" t="n">
        <v>2</v>
      </c>
      <c r="F181" s="26" t="s">
        <v>546</v>
      </c>
      <c r="G181" s="29" t="s">
        <v>290</v>
      </c>
      <c r="H181" s="28" t="str">
        <f aca="false">IFERROR(INDEX('الإعدادات واللجنة'!$C$24:$C$32,MATCH(LEFT(A181,3),'الإعدادات واللجنة'!$A$24:$A$32,0)),"")</f>
        <v>د. عمر بن محمد موسى</v>
      </c>
      <c r="I181" s="30"/>
      <c r="J181" s="30"/>
      <c r="K181" s="28" t="str">
        <f aca="false">IF(OR(I181="",I181="متوفر ومكتمل"),"",IF(OR(D181="★",I181="غير متوفر"),"عالية","متوسطة"))</f>
        <v/>
      </c>
      <c r="L181" s="31"/>
      <c r="M181" s="30"/>
      <c r="N181" s="31"/>
      <c r="O181" s="31"/>
      <c r="P181" s="30"/>
      <c r="Q181" s="31"/>
    </row>
    <row r="182" customFormat="false" ht="22.35" hidden="false" customHeight="false" outlineLevel="0" collapsed="false">
      <c r="A182" s="28" t="s">
        <v>543</v>
      </c>
      <c r="B182" s="25" t="s">
        <v>156</v>
      </c>
      <c r="C182" s="26"/>
      <c r="D182" s="27"/>
      <c r="E182" s="28" t="n">
        <v>3</v>
      </c>
      <c r="F182" s="26" t="s">
        <v>547</v>
      </c>
      <c r="G182" s="29" t="s">
        <v>290</v>
      </c>
      <c r="H182" s="28" t="str">
        <f aca="false">IFERROR(INDEX('الإعدادات واللجنة'!$C$24:$C$32,MATCH(LEFT(A182,3),'الإعدادات واللجنة'!$A$24:$A$32,0)),"")</f>
        <v>د. عمر بن محمد موسى</v>
      </c>
      <c r="I182" s="30"/>
      <c r="J182" s="30"/>
      <c r="K182" s="28" t="str">
        <f aca="false">IF(OR(I182="",I182="متوفر ومكتمل"),"",IF(OR(D182="★",I182="غير متوفر"),"عالية","متوسطة"))</f>
        <v/>
      </c>
      <c r="L182" s="31"/>
      <c r="M182" s="30"/>
      <c r="N182" s="31"/>
      <c r="O182" s="31"/>
      <c r="P182" s="30"/>
      <c r="Q182" s="31"/>
    </row>
    <row r="183" customFormat="false" ht="22.35" hidden="false" customHeight="false" outlineLevel="0" collapsed="false">
      <c r="A183" s="28" t="s">
        <v>543</v>
      </c>
      <c r="B183" s="25" t="s">
        <v>156</v>
      </c>
      <c r="C183" s="26"/>
      <c r="D183" s="27"/>
      <c r="E183" s="28" t="n">
        <v>4</v>
      </c>
      <c r="F183" s="26" t="s">
        <v>548</v>
      </c>
      <c r="G183" s="29" t="s">
        <v>290</v>
      </c>
      <c r="H183" s="28" t="str">
        <f aca="false">IFERROR(INDEX('الإعدادات واللجنة'!$C$24:$C$32,MATCH(LEFT(A183,3),'الإعدادات واللجنة'!$A$24:$A$32,0)),"")</f>
        <v>د. عمر بن محمد موسى</v>
      </c>
      <c r="I183" s="30"/>
      <c r="J183" s="30"/>
      <c r="K183" s="28" t="str">
        <f aca="false">IF(OR(I183="",I183="متوفر ومكتمل"),"",IF(OR(D183="★",I183="غير متوفر"),"عالية","متوسطة"))</f>
        <v/>
      </c>
      <c r="L183" s="31"/>
      <c r="M183" s="30"/>
      <c r="N183" s="31"/>
      <c r="O183" s="31"/>
      <c r="P183" s="30"/>
      <c r="Q183" s="31"/>
    </row>
    <row r="184" customFormat="false" ht="15" hidden="false" customHeight="false" outlineLevel="0" collapsed="false">
      <c r="A184" s="28" t="s">
        <v>543</v>
      </c>
      <c r="B184" s="25" t="s">
        <v>156</v>
      </c>
      <c r="C184" s="26"/>
      <c r="D184" s="27"/>
      <c r="E184" s="28" t="n">
        <v>5</v>
      </c>
      <c r="F184" s="26" t="s">
        <v>549</v>
      </c>
      <c r="G184" s="29" t="s">
        <v>290</v>
      </c>
      <c r="H184" s="28" t="str">
        <f aca="false">IFERROR(INDEX('الإعدادات واللجنة'!$C$24:$C$32,MATCH(LEFT(A184,3),'الإعدادات واللجنة'!$A$24:$A$32,0)),"")</f>
        <v>د. عمر بن محمد موسى</v>
      </c>
      <c r="I184" s="30"/>
      <c r="J184" s="30"/>
      <c r="K184" s="28" t="str">
        <f aca="false">IF(OR(I184="",I184="متوفر ومكتمل"),"",IF(OR(D184="★",I184="غير متوفر"),"عالية","متوسطة"))</f>
        <v/>
      </c>
      <c r="L184" s="31"/>
      <c r="M184" s="30"/>
      <c r="N184" s="31"/>
      <c r="O184" s="31"/>
      <c r="P184" s="30"/>
      <c r="Q184" s="31"/>
    </row>
    <row r="185" customFormat="false" ht="22.35" hidden="false" customHeight="false" outlineLevel="0" collapsed="false">
      <c r="A185" s="45" t="s">
        <v>550</v>
      </c>
      <c r="B185" s="46" t="s">
        <v>156</v>
      </c>
      <c r="C185" s="47" t="s">
        <v>551</v>
      </c>
      <c r="D185" s="48"/>
      <c r="E185" s="38" t="n">
        <v>1</v>
      </c>
      <c r="F185" s="47" t="s">
        <v>552</v>
      </c>
      <c r="G185" s="37" t="s">
        <v>290</v>
      </c>
      <c r="H185" s="38" t="str">
        <f aca="false">IFERROR(INDEX('الإعدادات واللجنة'!$C$24:$C$32,MATCH(LEFT(A185,3),'الإعدادات واللجنة'!$A$24:$A$32,0)),"")</f>
        <v>د. عمر بن محمد موسى</v>
      </c>
      <c r="I185" s="39"/>
      <c r="J185" s="39"/>
      <c r="K185" s="38" t="str">
        <f aca="false">IF(OR(I185="",I185="متوفر ومكتمل"),"",IF(OR(D185="★",I185="غير متوفر"),"عالية","متوسطة"))</f>
        <v/>
      </c>
      <c r="L185" s="40"/>
      <c r="M185" s="39"/>
      <c r="N185" s="40"/>
      <c r="O185" s="40"/>
      <c r="P185" s="39"/>
      <c r="Q185" s="40"/>
    </row>
    <row r="186" customFormat="false" ht="15" hidden="false" customHeight="false" outlineLevel="0" collapsed="false">
      <c r="A186" s="28" t="s">
        <v>550</v>
      </c>
      <c r="B186" s="25" t="s">
        <v>156</v>
      </c>
      <c r="C186" s="26"/>
      <c r="D186" s="27"/>
      <c r="E186" s="28" t="n">
        <v>2</v>
      </c>
      <c r="F186" s="26" t="s">
        <v>553</v>
      </c>
      <c r="G186" s="29" t="s">
        <v>290</v>
      </c>
      <c r="H186" s="28" t="str">
        <f aca="false">IFERROR(INDEX('الإعدادات واللجنة'!$C$24:$C$32,MATCH(LEFT(A186,3),'الإعدادات واللجنة'!$A$24:$A$32,0)),"")</f>
        <v>د. عمر بن محمد موسى</v>
      </c>
      <c r="I186" s="30"/>
      <c r="J186" s="30"/>
      <c r="K186" s="28" t="str">
        <f aca="false">IF(OR(I186="",I186="متوفر ومكتمل"),"",IF(OR(D186="★",I186="غير متوفر"),"عالية","متوسطة"))</f>
        <v/>
      </c>
      <c r="L186" s="31"/>
      <c r="M186" s="30"/>
      <c r="N186" s="31"/>
      <c r="O186" s="31"/>
      <c r="P186" s="30"/>
      <c r="Q186" s="31"/>
    </row>
    <row r="187" customFormat="false" ht="15" hidden="false" customHeight="false" outlineLevel="0" collapsed="false">
      <c r="A187" s="28" t="s">
        <v>550</v>
      </c>
      <c r="B187" s="25" t="s">
        <v>156</v>
      </c>
      <c r="C187" s="26"/>
      <c r="D187" s="27"/>
      <c r="E187" s="28" t="n">
        <v>3</v>
      </c>
      <c r="F187" s="26" t="s">
        <v>554</v>
      </c>
      <c r="G187" s="29" t="s">
        <v>290</v>
      </c>
      <c r="H187" s="28" t="str">
        <f aca="false">IFERROR(INDEX('الإعدادات واللجنة'!$C$24:$C$32,MATCH(LEFT(A187,3),'الإعدادات واللجنة'!$A$24:$A$32,0)),"")</f>
        <v>د. عمر بن محمد موسى</v>
      </c>
      <c r="I187" s="30"/>
      <c r="J187" s="30"/>
      <c r="K187" s="28" t="str">
        <f aca="false">IF(OR(I187="",I187="متوفر ومكتمل"),"",IF(OR(D187="★",I187="غير متوفر"),"عالية","متوسطة"))</f>
        <v/>
      </c>
      <c r="L187" s="31"/>
      <c r="M187" s="30"/>
      <c r="N187" s="31"/>
      <c r="O187" s="31"/>
      <c r="P187" s="30"/>
      <c r="Q187" s="31"/>
    </row>
    <row r="188" customFormat="false" ht="43.25" hidden="false" customHeight="false" outlineLevel="0" collapsed="false">
      <c r="A188" s="28" t="s">
        <v>550</v>
      </c>
      <c r="B188" s="25" t="s">
        <v>156</v>
      </c>
      <c r="C188" s="26"/>
      <c r="D188" s="27"/>
      <c r="E188" s="28" t="n">
        <v>4</v>
      </c>
      <c r="F188" s="26" t="s">
        <v>555</v>
      </c>
      <c r="G188" s="29" t="s">
        <v>290</v>
      </c>
      <c r="H188" s="28" t="str">
        <f aca="false">IFERROR(INDEX('الإعدادات واللجنة'!$C$24:$C$32,MATCH(LEFT(A188,3),'الإعدادات واللجنة'!$A$24:$A$32,0)),"")</f>
        <v>د. عمر بن محمد موسى</v>
      </c>
      <c r="I188" s="30"/>
      <c r="J188" s="30"/>
      <c r="K188" s="28" t="str">
        <f aca="false">IF(OR(I188="",I188="متوفر ومكتمل"),"",IF(OR(D188="★",I188="غير متوفر"),"عالية","متوسطة"))</f>
        <v/>
      </c>
      <c r="L188" s="31"/>
      <c r="M188" s="30"/>
      <c r="N188" s="31"/>
      <c r="O188" s="31"/>
      <c r="P188" s="30"/>
      <c r="Q188" s="31"/>
    </row>
    <row r="189" customFormat="false" ht="15" hidden="false" customHeight="false" outlineLevel="0" collapsed="false">
      <c r="A189" s="28" t="s">
        <v>550</v>
      </c>
      <c r="B189" s="25" t="s">
        <v>156</v>
      </c>
      <c r="C189" s="26"/>
      <c r="D189" s="27"/>
      <c r="E189" s="28" t="n">
        <v>5</v>
      </c>
      <c r="F189" s="26" t="s">
        <v>556</v>
      </c>
      <c r="G189" s="29" t="s">
        <v>290</v>
      </c>
      <c r="H189" s="28" t="str">
        <f aca="false">IFERROR(INDEX('الإعدادات واللجنة'!$C$24:$C$32,MATCH(LEFT(A189,3),'الإعدادات واللجنة'!$A$24:$A$32,0)),"")</f>
        <v>د. عمر بن محمد موسى</v>
      </c>
      <c r="I189" s="30"/>
      <c r="J189" s="30"/>
      <c r="K189" s="28" t="str">
        <f aca="false">IF(OR(I189="",I189="متوفر ومكتمل"),"",IF(OR(D189="★",I189="غير متوفر"),"عالية","متوسطة"))</f>
        <v/>
      </c>
      <c r="L189" s="31"/>
      <c r="M189" s="30"/>
      <c r="N189" s="31"/>
      <c r="O189" s="31"/>
      <c r="P189" s="30"/>
      <c r="Q189" s="31"/>
    </row>
    <row r="190" customFormat="false" ht="22.35" hidden="false" customHeight="false" outlineLevel="0" collapsed="false">
      <c r="A190" s="45" t="s">
        <v>557</v>
      </c>
      <c r="B190" s="46" t="s">
        <v>157</v>
      </c>
      <c r="C190" s="47" t="s">
        <v>558</v>
      </c>
      <c r="D190" s="48"/>
      <c r="E190" s="38" t="n">
        <v>1</v>
      </c>
      <c r="F190" s="47" t="s">
        <v>559</v>
      </c>
      <c r="G190" s="37" t="s">
        <v>290</v>
      </c>
      <c r="H190" s="38" t="str">
        <f aca="false">IFERROR(INDEX('الإعدادات واللجنة'!$C$24:$C$32,MATCH(LEFT(A190,3),'الإعدادات واللجنة'!$A$24:$A$32,0)),"")</f>
        <v>د. حسن بن سعد القحطاني</v>
      </c>
      <c r="I190" s="39"/>
      <c r="J190" s="39"/>
      <c r="K190" s="38" t="str">
        <f aca="false">IF(OR(I190="",I190="متوفر ومكتمل"),"",IF(OR(D190="★",I190="غير متوفر"),"عالية","متوسطة"))</f>
        <v/>
      </c>
      <c r="L190" s="40"/>
      <c r="M190" s="39"/>
      <c r="N190" s="40"/>
      <c r="O190" s="40"/>
      <c r="P190" s="39"/>
      <c r="Q190" s="40"/>
    </row>
    <row r="191" customFormat="false" ht="19.4" hidden="false" customHeight="false" outlineLevel="0" collapsed="false">
      <c r="A191" s="28" t="s">
        <v>557</v>
      </c>
      <c r="B191" s="25" t="s">
        <v>157</v>
      </c>
      <c r="C191" s="26"/>
      <c r="D191" s="27"/>
      <c r="E191" s="28" t="n">
        <v>2</v>
      </c>
      <c r="F191" s="26" t="s">
        <v>560</v>
      </c>
      <c r="G191" s="29" t="s">
        <v>290</v>
      </c>
      <c r="H191" s="28" t="str">
        <f aca="false">IFERROR(INDEX('الإعدادات واللجنة'!$C$24:$C$32,MATCH(LEFT(A191,3),'الإعدادات واللجنة'!$A$24:$A$32,0)),"")</f>
        <v>د. حسن بن سعد القحطاني</v>
      </c>
      <c r="I191" s="30"/>
      <c r="J191" s="30"/>
      <c r="K191" s="28" t="str">
        <f aca="false">IF(OR(I191="",I191="متوفر ومكتمل"),"",IF(OR(D191="★",I191="غير متوفر"),"عالية","متوسطة"))</f>
        <v/>
      </c>
      <c r="L191" s="31"/>
      <c r="M191" s="30"/>
      <c r="N191" s="31"/>
      <c r="O191" s="31"/>
      <c r="P191" s="30"/>
      <c r="Q191" s="31"/>
    </row>
    <row r="192" customFormat="false" ht="22.35" hidden="false" customHeight="false" outlineLevel="0" collapsed="false">
      <c r="A192" s="28" t="s">
        <v>557</v>
      </c>
      <c r="B192" s="25" t="s">
        <v>157</v>
      </c>
      <c r="C192" s="26"/>
      <c r="D192" s="27"/>
      <c r="E192" s="28" t="n">
        <v>3</v>
      </c>
      <c r="F192" s="26" t="s">
        <v>561</v>
      </c>
      <c r="G192" s="29" t="s">
        <v>290</v>
      </c>
      <c r="H192" s="28" t="str">
        <f aca="false">IFERROR(INDEX('الإعدادات واللجنة'!$C$24:$C$32,MATCH(LEFT(A192,3),'الإعدادات واللجنة'!$A$24:$A$32,0)),"")</f>
        <v>د. حسن بن سعد القحطاني</v>
      </c>
      <c r="I192" s="30"/>
      <c r="J192" s="30"/>
      <c r="K192" s="28" t="str">
        <f aca="false">IF(OR(I192="",I192="متوفر ومكتمل"),"",IF(OR(D192="★",I192="غير متوفر"),"عالية","متوسطة"))</f>
        <v/>
      </c>
      <c r="L192" s="31"/>
      <c r="M192" s="30"/>
      <c r="N192" s="31"/>
      <c r="O192" s="31"/>
      <c r="P192" s="30"/>
      <c r="Q192" s="31"/>
    </row>
    <row r="193" customFormat="false" ht="32.8" hidden="false" customHeight="false" outlineLevel="0" collapsed="false">
      <c r="A193" s="45" t="s">
        <v>562</v>
      </c>
      <c r="B193" s="46" t="s">
        <v>157</v>
      </c>
      <c r="C193" s="47" t="s">
        <v>563</v>
      </c>
      <c r="D193" s="48"/>
      <c r="E193" s="38" t="n">
        <v>1</v>
      </c>
      <c r="F193" s="47" t="s">
        <v>564</v>
      </c>
      <c r="G193" s="37" t="s">
        <v>290</v>
      </c>
      <c r="H193" s="38" t="str">
        <f aca="false">IFERROR(INDEX('الإعدادات واللجنة'!$C$24:$C$32,MATCH(LEFT(A193,3),'الإعدادات واللجنة'!$A$24:$A$32,0)),"")</f>
        <v>د. حسن بن سعد القحطاني</v>
      </c>
      <c r="I193" s="39"/>
      <c r="J193" s="39"/>
      <c r="K193" s="38" t="str">
        <f aca="false">IF(OR(I193="",I193="متوفر ومكتمل"),"",IF(OR(D193="★",I193="غير متوفر"),"عالية","متوسطة"))</f>
        <v/>
      </c>
      <c r="L193" s="40"/>
      <c r="M193" s="39"/>
      <c r="N193" s="40"/>
      <c r="O193" s="40"/>
      <c r="P193" s="39"/>
      <c r="Q193" s="40"/>
    </row>
    <row r="194" customFormat="false" ht="22.35" hidden="false" customHeight="false" outlineLevel="0" collapsed="false">
      <c r="A194" s="28" t="s">
        <v>562</v>
      </c>
      <c r="B194" s="25" t="s">
        <v>157</v>
      </c>
      <c r="C194" s="26"/>
      <c r="D194" s="27"/>
      <c r="E194" s="28" t="n">
        <v>2</v>
      </c>
      <c r="F194" s="26" t="s">
        <v>565</v>
      </c>
      <c r="G194" s="29" t="s">
        <v>290</v>
      </c>
      <c r="H194" s="28" t="str">
        <f aca="false">IFERROR(INDEX('الإعدادات واللجنة'!$C$24:$C$32,MATCH(LEFT(A194,3),'الإعدادات واللجنة'!$A$24:$A$32,0)),"")</f>
        <v>د. حسن بن سعد القحطاني</v>
      </c>
      <c r="I194" s="30"/>
      <c r="J194" s="30"/>
      <c r="K194" s="28" t="str">
        <f aca="false">IF(OR(I194="",I194="متوفر ومكتمل"),"",IF(OR(D194="★",I194="غير متوفر"),"عالية","متوسطة"))</f>
        <v/>
      </c>
      <c r="L194" s="31"/>
      <c r="M194" s="30"/>
      <c r="N194" s="31"/>
      <c r="O194" s="31"/>
      <c r="P194" s="30"/>
      <c r="Q194" s="31"/>
    </row>
    <row r="195" customFormat="false" ht="22.35" hidden="false" customHeight="false" outlineLevel="0" collapsed="false">
      <c r="A195" s="28" t="s">
        <v>562</v>
      </c>
      <c r="B195" s="25" t="s">
        <v>157</v>
      </c>
      <c r="C195" s="26"/>
      <c r="D195" s="27"/>
      <c r="E195" s="28" t="n">
        <v>3</v>
      </c>
      <c r="F195" s="26" t="s">
        <v>566</v>
      </c>
      <c r="G195" s="29" t="s">
        <v>290</v>
      </c>
      <c r="H195" s="28" t="str">
        <f aca="false">IFERROR(INDEX('الإعدادات واللجنة'!$C$24:$C$32,MATCH(LEFT(A195,3),'الإعدادات واللجنة'!$A$24:$A$32,0)),"")</f>
        <v>د. حسن بن سعد القحطاني</v>
      </c>
      <c r="I195" s="30"/>
      <c r="J195" s="30"/>
      <c r="K195" s="28" t="str">
        <f aca="false">IF(OR(I195="",I195="متوفر ومكتمل"),"",IF(OR(D195="★",I195="غير متوفر"),"عالية","متوسطة"))</f>
        <v/>
      </c>
      <c r="L195" s="31"/>
      <c r="M195" s="30"/>
      <c r="N195" s="31"/>
      <c r="O195" s="31"/>
      <c r="P195" s="30"/>
      <c r="Q195" s="31"/>
    </row>
    <row r="196" customFormat="false" ht="32.8" hidden="false" customHeight="false" outlineLevel="0" collapsed="false">
      <c r="A196" s="32" t="s">
        <v>567</v>
      </c>
      <c r="B196" s="33" t="s">
        <v>157</v>
      </c>
      <c r="C196" s="34" t="s">
        <v>568</v>
      </c>
      <c r="D196" s="35" t="s">
        <v>296</v>
      </c>
      <c r="E196" s="36" t="n">
        <v>1</v>
      </c>
      <c r="F196" s="34" t="s">
        <v>569</v>
      </c>
      <c r="G196" s="37" t="s">
        <v>290</v>
      </c>
      <c r="H196" s="38" t="str">
        <f aca="false">IFERROR(INDEX('الإعدادات واللجنة'!$C$24:$C$32,MATCH(LEFT(A196,3),'الإعدادات واللجنة'!$A$24:$A$32,0)),"")</f>
        <v>د. حسن بن سعد القحطاني</v>
      </c>
      <c r="I196" s="39"/>
      <c r="J196" s="39"/>
      <c r="K196" s="38" t="str">
        <f aca="false">IF(OR(I196="",I196="متوفر ومكتمل"),"",IF(OR(D196="★",I196="غير متوفر"),"عالية","متوسطة"))</f>
        <v/>
      </c>
      <c r="L196" s="40"/>
      <c r="M196" s="39"/>
      <c r="N196" s="40"/>
      <c r="O196" s="40"/>
      <c r="P196" s="39"/>
      <c r="Q196" s="40"/>
    </row>
    <row r="197" customFormat="false" ht="22.35" hidden="false" customHeight="false" outlineLevel="0" collapsed="false">
      <c r="A197" s="41" t="s">
        <v>567</v>
      </c>
      <c r="B197" s="42" t="s">
        <v>157</v>
      </c>
      <c r="C197" s="43"/>
      <c r="D197" s="44" t="s">
        <v>296</v>
      </c>
      <c r="E197" s="41" t="n">
        <v>2</v>
      </c>
      <c r="F197" s="43" t="s">
        <v>570</v>
      </c>
      <c r="G197" s="29" t="s">
        <v>290</v>
      </c>
      <c r="H197" s="28" t="str">
        <f aca="false">IFERROR(INDEX('الإعدادات واللجنة'!$C$24:$C$32,MATCH(LEFT(A197,3),'الإعدادات واللجنة'!$A$24:$A$32,0)),"")</f>
        <v>د. حسن بن سعد القحطاني</v>
      </c>
      <c r="I197" s="30"/>
      <c r="J197" s="30"/>
      <c r="K197" s="28" t="str">
        <f aca="false">IF(OR(I197="",I197="متوفر ومكتمل"),"",IF(OR(D197="★",I197="غير متوفر"),"عالية","متوسطة"))</f>
        <v/>
      </c>
      <c r="L197" s="31"/>
      <c r="M197" s="30"/>
      <c r="N197" s="31"/>
      <c r="O197" s="31"/>
      <c r="P197" s="30"/>
      <c r="Q197" s="31"/>
    </row>
    <row r="198" customFormat="false" ht="22.35" hidden="false" customHeight="false" outlineLevel="0" collapsed="false">
      <c r="A198" s="41" t="s">
        <v>567</v>
      </c>
      <c r="B198" s="42" t="s">
        <v>157</v>
      </c>
      <c r="C198" s="43"/>
      <c r="D198" s="44" t="s">
        <v>296</v>
      </c>
      <c r="E198" s="41" t="n">
        <v>3</v>
      </c>
      <c r="F198" s="43" t="s">
        <v>571</v>
      </c>
      <c r="G198" s="29" t="s">
        <v>290</v>
      </c>
      <c r="H198" s="28" t="str">
        <f aca="false">IFERROR(INDEX('الإعدادات واللجنة'!$C$24:$C$32,MATCH(LEFT(A198,3),'الإعدادات واللجنة'!$A$24:$A$32,0)),"")</f>
        <v>د. حسن بن سعد القحطاني</v>
      </c>
      <c r="I198" s="30"/>
      <c r="J198" s="30"/>
      <c r="K198" s="28" t="str">
        <f aca="false">IF(OR(I198="",I198="متوفر ومكتمل"),"",IF(OR(D198="★",I198="غير متوفر"),"عالية","متوسطة"))</f>
        <v/>
      </c>
      <c r="L198" s="31"/>
      <c r="M198" s="30"/>
      <c r="N198" s="31"/>
      <c r="O198" s="31"/>
      <c r="P198" s="30"/>
      <c r="Q198" s="31"/>
    </row>
    <row r="199" customFormat="false" ht="19.4" hidden="false" customHeight="false" outlineLevel="0" collapsed="false">
      <c r="A199" s="41" t="s">
        <v>567</v>
      </c>
      <c r="B199" s="42" t="s">
        <v>157</v>
      </c>
      <c r="C199" s="43"/>
      <c r="D199" s="44" t="s">
        <v>296</v>
      </c>
      <c r="E199" s="41" t="n">
        <v>4</v>
      </c>
      <c r="F199" s="43" t="s">
        <v>572</v>
      </c>
      <c r="G199" s="29" t="s">
        <v>290</v>
      </c>
      <c r="H199" s="28" t="str">
        <f aca="false">IFERROR(INDEX('الإعدادات واللجنة'!$C$24:$C$32,MATCH(LEFT(A199,3),'الإعدادات واللجنة'!$A$24:$A$32,0)),"")</f>
        <v>د. حسن بن سعد القحطاني</v>
      </c>
      <c r="I199" s="30"/>
      <c r="J199" s="30"/>
      <c r="K199" s="28" t="str">
        <f aca="false">IF(OR(I199="",I199="متوفر ومكتمل"),"",IF(OR(D199="★",I199="غير متوفر"),"عالية","متوسطة"))</f>
        <v/>
      </c>
      <c r="L199" s="31"/>
      <c r="M199" s="30"/>
      <c r="N199" s="31"/>
      <c r="O199" s="31"/>
      <c r="P199" s="30"/>
      <c r="Q199" s="31"/>
    </row>
    <row r="200" customFormat="false" ht="19.4" hidden="false" customHeight="false" outlineLevel="0" collapsed="false">
      <c r="A200" s="41" t="s">
        <v>567</v>
      </c>
      <c r="B200" s="42" t="s">
        <v>157</v>
      </c>
      <c r="C200" s="43"/>
      <c r="D200" s="44" t="s">
        <v>296</v>
      </c>
      <c r="E200" s="41" t="n">
        <v>5</v>
      </c>
      <c r="F200" s="43" t="s">
        <v>573</v>
      </c>
      <c r="G200" s="29" t="s">
        <v>290</v>
      </c>
      <c r="H200" s="28" t="str">
        <f aca="false">IFERROR(INDEX('الإعدادات واللجنة'!$C$24:$C$32,MATCH(LEFT(A200,3),'الإعدادات واللجنة'!$A$24:$A$32,0)),"")</f>
        <v>د. حسن بن سعد القحطاني</v>
      </c>
      <c r="I200" s="30"/>
      <c r="J200" s="30"/>
      <c r="K200" s="28" t="str">
        <f aca="false">IF(OR(I200="",I200="متوفر ومكتمل"),"",IF(OR(D200="★",I200="غير متوفر"),"عالية","متوسطة"))</f>
        <v/>
      </c>
      <c r="L200" s="31"/>
      <c r="M200" s="30"/>
      <c r="N200" s="31"/>
      <c r="O200" s="31"/>
      <c r="P200" s="30"/>
      <c r="Q200" s="31"/>
    </row>
    <row r="201" customFormat="false" ht="19.4" hidden="false" customHeight="false" outlineLevel="0" collapsed="false">
      <c r="A201" s="41" t="s">
        <v>567</v>
      </c>
      <c r="B201" s="42" t="s">
        <v>157</v>
      </c>
      <c r="C201" s="43"/>
      <c r="D201" s="44" t="s">
        <v>296</v>
      </c>
      <c r="E201" s="41" t="n">
        <v>6</v>
      </c>
      <c r="F201" s="43" t="s">
        <v>574</v>
      </c>
      <c r="G201" s="29" t="s">
        <v>290</v>
      </c>
      <c r="H201" s="28" t="str">
        <f aca="false">IFERROR(INDEX('الإعدادات واللجنة'!$C$24:$C$32,MATCH(LEFT(A201,3),'الإعدادات واللجنة'!$A$24:$A$32,0)),"")</f>
        <v>د. حسن بن سعد القحطاني</v>
      </c>
      <c r="I201" s="30"/>
      <c r="J201" s="30"/>
      <c r="K201" s="28" t="str">
        <f aca="false">IF(OR(I201="",I201="متوفر ومكتمل"),"",IF(OR(D201="★",I201="غير متوفر"),"عالية","متوسطة"))</f>
        <v/>
      </c>
      <c r="L201" s="31"/>
      <c r="M201" s="30"/>
      <c r="N201" s="31"/>
      <c r="O201" s="31"/>
      <c r="P201" s="30"/>
      <c r="Q201" s="31"/>
    </row>
    <row r="202" customFormat="false" ht="22.35" hidden="false" customHeight="false" outlineLevel="0" collapsed="false">
      <c r="A202" s="45" t="s">
        <v>575</v>
      </c>
      <c r="B202" s="46" t="s">
        <v>157</v>
      </c>
      <c r="C202" s="47" t="s">
        <v>576</v>
      </c>
      <c r="D202" s="48"/>
      <c r="E202" s="38" t="n">
        <v>1</v>
      </c>
      <c r="F202" s="47" t="s">
        <v>577</v>
      </c>
      <c r="G202" s="37" t="s">
        <v>290</v>
      </c>
      <c r="H202" s="38" t="str">
        <f aca="false">IFERROR(INDEX('الإعدادات واللجنة'!$C$24:$C$32,MATCH(LEFT(A202,3),'الإعدادات واللجنة'!$A$24:$A$32,0)),"")</f>
        <v>د. حسن بن سعد القحطاني</v>
      </c>
      <c r="I202" s="39"/>
      <c r="J202" s="39"/>
      <c r="K202" s="38" t="str">
        <f aca="false">IF(OR(I202="",I202="متوفر ومكتمل"),"",IF(OR(D202="★",I202="غير متوفر"),"عالية","متوسطة"))</f>
        <v/>
      </c>
      <c r="L202" s="40"/>
      <c r="M202" s="39"/>
      <c r="N202" s="40"/>
      <c r="O202" s="40"/>
      <c r="P202" s="39"/>
      <c r="Q202" s="40"/>
    </row>
    <row r="203" customFormat="false" ht="22.35" hidden="false" customHeight="false" outlineLevel="0" collapsed="false">
      <c r="A203" s="28" t="s">
        <v>575</v>
      </c>
      <c r="B203" s="25" t="s">
        <v>157</v>
      </c>
      <c r="C203" s="26"/>
      <c r="D203" s="27"/>
      <c r="E203" s="28" t="n">
        <v>2</v>
      </c>
      <c r="F203" s="26" t="s">
        <v>578</v>
      </c>
      <c r="G203" s="29" t="s">
        <v>290</v>
      </c>
      <c r="H203" s="28" t="str">
        <f aca="false">IFERROR(INDEX('الإعدادات واللجنة'!$C$24:$C$32,MATCH(LEFT(A203,3),'الإعدادات واللجنة'!$A$24:$A$32,0)),"")</f>
        <v>د. حسن بن سعد القحطاني</v>
      </c>
      <c r="I203" s="30"/>
      <c r="J203" s="30"/>
      <c r="K203" s="28" t="str">
        <f aca="false">IF(OR(I203="",I203="متوفر ومكتمل"),"",IF(OR(D203="★",I203="غير متوفر"),"عالية","متوسطة"))</f>
        <v/>
      </c>
      <c r="L203" s="31"/>
      <c r="M203" s="30"/>
      <c r="N203" s="31"/>
      <c r="O203" s="31"/>
      <c r="P203" s="30"/>
      <c r="Q203" s="31"/>
    </row>
    <row r="204" customFormat="false" ht="19.4" hidden="false" customHeight="false" outlineLevel="0" collapsed="false">
      <c r="A204" s="28" t="s">
        <v>575</v>
      </c>
      <c r="B204" s="25" t="s">
        <v>157</v>
      </c>
      <c r="C204" s="26"/>
      <c r="D204" s="27"/>
      <c r="E204" s="28" t="n">
        <v>3</v>
      </c>
      <c r="F204" s="26" t="s">
        <v>579</v>
      </c>
      <c r="G204" s="29" t="s">
        <v>290</v>
      </c>
      <c r="H204" s="28" t="str">
        <f aca="false">IFERROR(INDEX('الإعدادات واللجنة'!$C$24:$C$32,MATCH(LEFT(A204,3),'الإعدادات واللجنة'!$A$24:$A$32,0)),"")</f>
        <v>د. حسن بن سعد القحطاني</v>
      </c>
      <c r="I204" s="30"/>
      <c r="J204" s="30"/>
      <c r="K204" s="28" t="str">
        <f aca="false">IF(OR(I204="",I204="متوفر ومكتمل"),"",IF(OR(D204="★",I204="غير متوفر"),"عالية","متوسطة"))</f>
        <v/>
      </c>
      <c r="L204" s="31"/>
      <c r="M204" s="30"/>
      <c r="N204" s="31"/>
      <c r="O204" s="31"/>
      <c r="P204" s="30"/>
      <c r="Q204" s="31"/>
    </row>
    <row r="205" customFormat="false" ht="19.4" hidden="false" customHeight="false" outlineLevel="0" collapsed="false">
      <c r="A205" s="28" t="s">
        <v>575</v>
      </c>
      <c r="B205" s="25" t="s">
        <v>157</v>
      </c>
      <c r="C205" s="26"/>
      <c r="D205" s="27"/>
      <c r="E205" s="28" t="n">
        <v>4</v>
      </c>
      <c r="F205" s="26" t="s">
        <v>580</v>
      </c>
      <c r="G205" s="29" t="s">
        <v>290</v>
      </c>
      <c r="H205" s="28" t="str">
        <f aca="false">IFERROR(INDEX('الإعدادات واللجنة'!$C$24:$C$32,MATCH(LEFT(A205,3),'الإعدادات واللجنة'!$A$24:$A$32,0)),"")</f>
        <v>د. حسن بن سعد القحطاني</v>
      </c>
      <c r="I205" s="30"/>
      <c r="J205" s="30"/>
      <c r="K205" s="28" t="str">
        <f aca="false">IF(OR(I205="",I205="متوفر ومكتمل"),"",IF(OR(D205="★",I205="غير متوفر"),"عالية","متوسطة"))</f>
        <v/>
      </c>
      <c r="L205" s="31"/>
      <c r="M205" s="30"/>
      <c r="N205" s="31"/>
      <c r="O205" s="31"/>
      <c r="P205" s="30"/>
      <c r="Q205" s="31"/>
    </row>
    <row r="206" customFormat="false" ht="22.35" hidden="false" customHeight="false" outlineLevel="0" collapsed="false">
      <c r="A206" s="28" t="s">
        <v>575</v>
      </c>
      <c r="B206" s="25" t="s">
        <v>157</v>
      </c>
      <c r="C206" s="26"/>
      <c r="D206" s="27"/>
      <c r="E206" s="28" t="n">
        <v>5</v>
      </c>
      <c r="F206" s="26" t="s">
        <v>581</v>
      </c>
      <c r="G206" s="29" t="s">
        <v>290</v>
      </c>
      <c r="H206" s="28" t="str">
        <f aca="false">IFERROR(INDEX('الإعدادات واللجنة'!$C$24:$C$32,MATCH(LEFT(A206,3),'الإعدادات واللجنة'!$A$24:$A$32,0)),"")</f>
        <v>د. حسن بن سعد القحطاني</v>
      </c>
      <c r="I206" s="30"/>
      <c r="J206" s="30"/>
      <c r="K206" s="28" t="str">
        <f aca="false">IF(OR(I206="",I206="متوفر ومكتمل"),"",IF(OR(D206="★",I206="غير متوفر"),"عالية","متوسطة"))</f>
        <v/>
      </c>
      <c r="L206" s="31"/>
      <c r="M206" s="30"/>
      <c r="N206" s="31"/>
      <c r="O206" s="31"/>
      <c r="P206" s="30"/>
      <c r="Q206" s="31"/>
    </row>
    <row r="207" customFormat="false" ht="22.35" hidden="false" customHeight="false" outlineLevel="0" collapsed="false">
      <c r="A207" s="45" t="s">
        <v>582</v>
      </c>
      <c r="B207" s="46" t="s">
        <v>157</v>
      </c>
      <c r="C207" s="47" t="s">
        <v>583</v>
      </c>
      <c r="D207" s="48"/>
      <c r="E207" s="38" t="n">
        <v>1</v>
      </c>
      <c r="F207" s="47" t="s">
        <v>584</v>
      </c>
      <c r="G207" s="37" t="s">
        <v>290</v>
      </c>
      <c r="H207" s="38" t="str">
        <f aca="false">IFERROR(INDEX('الإعدادات واللجنة'!$C$24:$C$32,MATCH(LEFT(A207,3),'الإعدادات واللجنة'!$A$24:$A$32,0)),"")</f>
        <v>د. حسن بن سعد القحطاني</v>
      </c>
      <c r="I207" s="39"/>
      <c r="J207" s="39"/>
      <c r="K207" s="38" t="str">
        <f aca="false">IF(OR(I207="",I207="متوفر ومكتمل"),"",IF(OR(D207="★",I207="غير متوفر"),"عالية","متوسطة"))</f>
        <v/>
      </c>
      <c r="L207" s="40"/>
      <c r="M207" s="39"/>
      <c r="N207" s="40"/>
      <c r="O207" s="40"/>
      <c r="P207" s="39"/>
      <c r="Q207" s="40"/>
    </row>
    <row r="208" customFormat="false" ht="22.35" hidden="false" customHeight="false" outlineLevel="0" collapsed="false">
      <c r="A208" s="28" t="s">
        <v>582</v>
      </c>
      <c r="B208" s="25" t="s">
        <v>157</v>
      </c>
      <c r="C208" s="26"/>
      <c r="D208" s="27"/>
      <c r="E208" s="28" t="n">
        <v>2</v>
      </c>
      <c r="F208" s="26" t="s">
        <v>585</v>
      </c>
      <c r="G208" s="29" t="s">
        <v>290</v>
      </c>
      <c r="H208" s="28" t="str">
        <f aca="false">IFERROR(INDEX('الإعدادات واللجنة'!$C$24:$C$32,MATCH(LEFT(A208,3),'الإعدادات واللجنة'!$A$24:$A$32,0)),"")</f>
        <v>د. حسن بن سعد القحطاني</v>
      </c>
      <c r="I208" s="30"/>
      <c r="J208" s="30"/>
      <c r="K208" s="28" t="str">
        <f aca="false">IF(OR(I208="",I208="متوفر ومكتمل"),"",IF(OR(D208="★",I208="غير متوفر"),"عالية","متوسطة"))</f>
        <v/>
      </c>
      <c r="L208" s="31"/>
      <c r="M208" s="30"/>
      <c r="N208" s="31"/>
      <c r="O208" s="31"/>
      <c r="P208" s="30"/>
      <c r="Q208" s="31"/>
    </row>
  </sheetData>
  <autoFilter ref="A4:Q208"/>
  <mergeCells count="2">
    <mergeCell ref="A1:H1"/>
    <mergeCell ref="A2:Q2"/>
  </mergeCells>
  <conditionalFormatting sqref="I5:I208">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08">
    <cfRule type="cellIs" priority="5" operator="equal" aboveAverage="0" equalAverage="0" bottom="0" percent="0" rank="0" text="" dxfId="13">
      <formula>"عالية"</formula>
    </cfRule>
  </conditionalFormatting>
  <conditionalFormatting sqref="P5:P208">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08" type="list">
      <formula1>"متوفر ومكتمل,متوفر ويحتاج تحسين,غير متوفر"</formula1>
      <formula2>0</formula2>
    </dataValidation>
    <dataValidation allowBlank="true" errorStyle="stop" operator="between" showDropDown="false" showErrorMessage="false" showInputMessage="false" sqref="J5:J208"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08"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08"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3" t="str">
        <f aca="false">"فحص الأدلة – "&amp;'الإعدادات واللجنة'!$B$7</f>
        <v>فحص الأدلة – ماجستير علوم البيانات</v>
      </c>
      <c r="B1" s="23"/>
      <c r="C1" s="23"/>
      <c r="D1" s="23"/>
      <c r="E1" s="23"/>
      <c r="F1" s="23"/>
      <c r="G1" s="23"/>
      <c r="H1" s="23"/>
    </row>
    <row r="2" customFormat="false" ht="15" hidden="false" customHeight="true" outlineLevel="0" collapsed="false">
      <c r="A2" s="14" t="s">
        <v>274</v>
      </c>
      <c r="B2" s="14"/>
      <c r="C2" s="14"/>
      <c r="D2" s="14"/>
      <c r="E2" s="14"/>
      <c r="F2" s="14"/>
      <c r="G2" s="14"/>
      <c r="H2" s="14"/>
      <c r="I2" s="14"/>
      <c r="J2" s="14"/>
      <c r="K2" s="14"/>
      <c r="L2" s="14"/>
      <c r="M2" s="14"/>
      <c r="N2" s="14"/>
      <c r="O2" s="14"/>
      <c r="P2" s="14"/>
      <c r="Q2" s="14"/>
    </row>
    <row r="4" customFormat="false" ht="30" hidden="false" customHeight="true" outlineLevel="0" collapsed="false">
      <c r="A4" s="3" t="s">
        <v>120</v>
      </c>
      <c r="B4" s="3" t="s">
        <v>144</v>
      </c>
      <c r="C4" s="3" t="s">
        <v>275</v>
      </c>
      <c r="D4" s="3" t="s">
        <v>276</v>
      </c>
      <c r="E4" s="3" t="s">
        <v>91</v>
      </c>
      <c r="F4" s="3" t="s">
        <v>277</v>
      </c>
      <c r="G4" s="3" t="s">
        <v>278</v>
      </c>
      <c r="H4" s="3" t="s">
        <v>5</v>
      </c>
      <c r="I4" s="3" t="s">
        <v>279</v>
      </c>
      <c r="J4" s="3" t="s">
        <v>167</v>
      </c>
      <c r="K4" s="3" t="s">
        <v>280</v>
      </c>
      <c r="L4" s="3" t="s">
        <v>281</v>
      </c>
      <c r="M4" s="3" t="s">
        <v>282</v>
      </c>
      <c r="N4" s="3" t="s">
        <v>283</v>
      </c>
      <c r="O4" s="3" t="s">
        <v>284</v>
      </c>
      <c r="P4" s="3" t="s">
        <v>285</v>
      </c>
      <c r="Q4" s="3" t="s">
        <v>286</v>
      </c>
    </row>
    <row r="5" customFormat="false" ht="22.35" hidden="false" customHeight="false" outlineLevel="0" collapsed="false">
      <c r="A5" s="24" t="s">
        <v>287</v>
      </c>
      <c r="B5" s="25" t="s">
        <v>153</v>
      </c>
      <c r="C5" s="26" t="s">
        <v>288</v>
      </c>
      <c r="D5" s="27"/>
      <c r="E5" s="28" t="n">
        <v>1</v>
      </c>
      <c r="F5" s="26" t="s">
        <v>289</v>
      </c>
      <c r="G5" s="29" t="s">
        <v>586</v>
      </c>
      <c r="H5" s="28" t="str">
        <f aca="false">IFERROR(INDEX('الإعدادات واللجنة'!$C$24:$C$32,MATCH(LEFT(A5,3),'الإعدادات واللجنة'!$A$24:$A$32,0)),"")</f>
        <v>د. سلطان بن سعيد الشمراني</v>
      </c>
      <c r="I5" s="30"/>
      <c r="J5" s="30"/>
      <c r="K5" s="28" t="str">
        <f aca="false">IF(OR(I5="",I5="متوفر ومكتمل"),"",IF(OR(D5="★",I5="غير متوفر"),"عالية","متوسطة"))</f>
        <v/>
      </c>
      <c r="L5" s="31"/>
      <c r="M5" s="30"/>
      <c r="N5" s="31"/>
      <c r="O5" s="31"/>
      <c r="P5" s="30"/>
      <c r="Q5" s="31"/>
    </row>
    <row r="6" customFormat="false" ht="22.35" hidden="false" customHeight="false" outlineLevel="0" collapsed="false">
      <c r="A6" s="28" t="s">
        <v>287</v>
      </c>
      <c r="B6" s="25" t="s">
        <v>153</v>
      </c>
      <c r="C6" s="26"/>
      <c r="D6" s="27"/>
      <c r="E6" s="28" t="n">
        <v>2</v>
      </c>
      <c r="F6" s="26" t="s">
        <v>291</v>
      </c>
      <c r="G6" s="29" t="s">
        <v>586</v>
      </c>
      <c r="H6" s="28" t="str">
        <f aca="false">IFERROR(INDEX('الإعدادات واللجنة'!$C$24:$C$32,MATCH(LEFT(A6,3),'الإعدادات واللجنة'!$A$24:$A$32,0)),"")</f>
        <v>د. سلطان بن سعيد الشمراني</v>
      </c>
      <c r="I6" s="30"/>
      <c r="J6" s="30"/>
      <c r="K6" s="28" t="str">
        <f aca="false">IF(OR(I6="",I6="متوفر ومكتمل"),"",IF(OR(D6="★",I6="غير متوفر"),"عالية","متوسطة"))</f>
        <v/>
      </c>
      <c r="L6" s="31"/>
      <c r="M6" s="30"/>
      <c r="N6" s="31"/>
      <c r="O6" s="31"/>
      <c r="P6" s="30"/>
      <c r="Q6" s="31"/>
    </row>
    <row r="7" customFormat="false" ht="22.35" hidden="false" customHeight="false" outlineLevel="0" collapsed="false">
      <c r="A7" s="28" t="s">
        <v>287</v>
      </c>
      <c r="B7" s="25" t="s">
        <v>153</v>
      </c>
      <c r="C7" s="26"/>
      <c r="D7" s="27"/>
      <c r="E7" s="28" t="n">
        <v>3</v>
      </c>
      <c r="F7" s="26" t="s">
        <v>292</v>
      </c>
      <c r="G7" s="29" t="s">
        <v>586</v>
      </c>
      <c r="H7" s="28" t="str">
        <f aca="false">IFERROR(INDEX('الإعدادات واللجنة'!$C$24:$C$32,MATCH(LEFT(A7,3),'الإعدادات واللجنة'!$A$24:$A$32,0)),"")</f>
        <v>د. سلطان بن سعيد الشمراني</v>
      </c>
      <c r="I7" s="30"/>
      <c r="J7" s="30"/>
      <c r="K7" s="28" t="str">
        <f aca="false">IF(OR(I7="",I7="متوفر ومكتمل"),"",IF(OR(D7="★",I7="غير متوفر"),"عالية","متوسطة"))</f>
        <v/>
      </c>
      <c r="L7" s="31"/>
      <c r="M7" s="30"/>
      <c r="N7" s="31"/>
      <c r="O7" s="31"/>
      <c r="P7" s="30"/>
      <c r="Q7" s="31"/>
    </row>
    <row r="8" customFormat="false" ht="22.35" hidden="false" customHeight="false" outlineLevel="0" collapsed="false">
      <c r="A8" s="28" t="s">
        <v>287</v>
      </c>
      <c r="B8" s="25" t="s">
        <v>153</v>
      </c>
      <c r="C8" s="26"/>
      <c r="D8" s="27"/>
      <c r="E8" s="28" t="n">
        <v>4</v>
      </c>
      <c r="F8" s="26" t="s">
        <v>293</v>
      </c>
      <c r="G8" s="29" t="s">
        <v>586</v>
      </c>
      <c r="H8" s="28" t="str">
        <f aca="false">IFERROR(INDEX('الإعدادات واللجنة'!$C$24:$C$32,MATCH(LEFT(A8,3),'الإعدادات واللجنة'!$A$24:$A$32,0)),"")</f>
        <v>د. سلطان بن سعيد الشمراني</v>
      </c>
      <c r="I8" s="30"/>
      <c r="J8" s="30"/>
      <c r="K8" s="28" t="str">
        <f aca="false">IF(OR(I8="",I8="متوفر ومكتمل"),"",IF(OR(D8="★",I8="غير متوفر"),"عالية","متوسطة"))</f>
        <v/>
      </c>
      <c r="L8" s="31"/>
      <c r="M8" s="30"/>
      <c r="N8" s="31"/>
      <c r="O8" s="31"/>
      <c r="P8" s="30"/>
      <c r="Q8" s="31"/>
    </row>
    <row r="9" customFormat="false" ht="22.35" hidden="false" customHeight="false" outlineLevel="0" collapsed="false">
      <c r="A9" s="32" t="s">
        <v>294</v>
      </c>
      <c r="B9" s="33" t="s">
        <v>153</v>
      </c>
      <c r="C9" s="34" t="s">
        <v>295</v>
      </c>
      <c r="D9" s="35" t="s">
        <v>296</v>
      </c>
      <c r="E9" s="36" t="n">
        <v>1</v>
      </c>
      <c r="F9" s="34" t="s">
        <v>297</v>
      </c>
      <c r="G9" s="37" t="s">
        <v>586</v>
      </c>
      <c r="H9" s="38" t="str">
        <f aca="false">IFERROR(INDEX('الإعدادات واللجنة'!$C$24:$C$32,MATCH(LEFT(A9,3),'الإعدادات واللجنة'!$A$24:$A$32,0)),"")</f>
        <v>د. سلطان بن سعيد الشمراني</v>
      </c>
      <c r="I9" s="39"/>
      <c r="J9" s="39"/>
      <c r="K9" s="38" t="str">
        <f aca="false">IF(OR(I9="",I9="متوفر ومكتمل"),"",IF(OR(D9="★",I9="غير متوفر"),"عالية","متوسطة"))</f>
        <v/>
      </c>
      <c r="L9" s="40"/>
      <c r="M9" s="39"/>
      <c r="N9" s="40"/>
      <c r="O9" s="40"/>
      <c r="P9" s="39"/>
      <c r="Q9" s="40"/>
    </row>
    <row r="10" customFormat="false" ht="22.35" hidden="false" customHeight="false" outlineLevel="0" collapsed="false">
      <c r="A10" s="41" t="s">
        <v>294</v>
      </c>
      <c r="B10" s="42" t="s">
        <v>153</v>
      </c>
      <c r="C10" s="43"/>
      <c r="D10" s="44" t="s">
        <v>296</v>
      </c>
      <c r="E10" s="41" t="n">
        <v>2</v>
      </c>
      <c r="F10" s="43" t="s">
        <v>298</v>
      </c>
      <c r="G10" s="29" t="s">
        <v>586</v>
      </c>
      <c r="H10" s="28" t="str">
        <f aca="false">IFERROR(INDEX('الإعدادات واللجنة'!$C$24:$C$32,MATCH(LEFT(A10,3),'الإعدادات واللجنة'!$A$24:$A$32,0)),"")</f>
        <v>د. سلطان بن سعيد الشمراني</v>
      </c>
      <c r="I10" s="30"/>
      <c r="J10" s="30"/>
      <c r="K10" s="28" t="str">
        <f aca="false">IF(OR(I10="",I10="متوفر ومكتمل"),"",IF(OR(D10="★",I10="غير متوفر"),"عالية","متوسطة"))</f>
        <v/>
      </c>
      <c r="L10" s="31"/>
      <c r="M10" s="30"/>
      <c r="N10" s="31"/>
      <c r="O10" s="31"/>
      <c r="P10" s="30"/>
      <c r="Q10" s="31"/>
    </row>
    <row r="11" customFormat="false" ht="22.35" hidden="false" customHeight="false" outlineLevel="0" collapsed="false">
      <c r="A11" s="41" t="s">
        <v>294</v>
      </c>
      <c r="B11" s="42" t="s">
        <v>153</v>
      </c>
      <c r="C11" s="43"/>
      <c r="D11" s="44" t="s">
        <v>296</v>
      </c>
      <c r="E11" s="41" t="n">
        <v>3</v>
      </c>
      <c r="F11" s="43" t="s">
        <v>299</v>
      </c>
      <c r="G11" s="29" t="s">
        <v>586</v>
      </c>
      <c r="H11" s="28" t="str">
        <f aca="false">IFERROR(INDEX('الإعدادات واللجنة'!$C$24:$C$32,MATCH(LEFT(A11,3),'الإعدادات واللجنة'!$A$24:$A$32,0)),"")</f>
        <v>د. سلطان بن سعيد الشمراني</v>
      </c>
      <c r="I11" s="30"/>
      <c r="J11" s="30"/>
      <c r="K11" s="28" t="str">
        <f aca="false">IF(OR(I11="",I11="متوفر ومكتمل"),"",IF(OR(D11="★",I11="غير متوفر"),"عالية","متوسطة"))</f>
        <v/>
      </c>
      <c r="L11" s="31"/>
      <c r="M11" s="30"/>
      <c r="N11" s="31"/>
      <c r="O11" s="31"/>
      <c r="P11" s="30"/>
      <c r="Q11" s="31"/>
    </row>
    <row r="12" customFormat="false" ht="22.35" hidden="false" customHeight="false" outlineLevel="0" collapsed="false">
      <c r="A12" s="41" t="s">
        <v>294</v>
      </c>
      <c r="B12" s="42" t="s">
        <v>153</v>
      </c>
      <c r="C12" s="43"/>
      <c r="D12" s="44" t="s">
        <v>296</v>
      </c>
      <c r="E12" s="41" t="n">
        <v>4</v>
      </c>
      <c r="F12" s="43" t="s">
        <v>300</v>
      </c>
      <c r="G12" s="29" t="s">
        <v>586</v>
      </c>
      <c r="H12" s="28" t="str">
        <f aca="false">IFERROR(INDEX('الإعدادات واللجنة'!$C$24:$C$32,MATCH(LEFT(A12,3),'الإعدادات واللجنة'!$A$24:$A$32,0)),"")</f>
        <v>د. سلطان بن سعيد الشمراني</v>
      </c>
      <c r="I12" s="30"/>
      <c r="J12" s="30"/>
      <c r="K12" s="28" t="str">
        <f aca="false">IF(OR(I12="",I12="متوفر ومكتمل"),"",IF(OR(D12="★",I12="غير متوفر"),"عالية","متوسطة"))</f>
        <v/>
      </c>
      <c r="L12" s="31"/>
      <c r="M12" s="30"/>
      <c r="N12" s="31"/>
      <c r="O12" s="31"/>
      <c r="P12" s="30"/>
      <c r="Q12" s="31"/>
    </row>
    <row r="13" customFormat="false" ht="22.35" hidden="false" customHeight="false" outlineLevel="0" collapsed="false">
      <c r="A13" s="41" t="s">
        <v>294</v>
      </c>
      <c r="B13" s="42" t="s">
        <v>153</v>
      </c>
      <c r="C13" s="43"/>
      <c r="D13" s="44" t="s">
        <v>296</v>
      </c>
      <c r="E13" s="41" t="n">
        <v>5</v>
      </c>
      <c r="F13" s="43" t="s">
        <v>301</v>
      </c>
      <c r="G13" s="29" t="s">
        <v>586</v>
      </c>
      <c r="H13" s="28" t="str">
        <f aca="false">IFERROR(INDEX('الإعدادات واللجنة'!$C$24:$C$32,MATCH(LEFT(A13,3),'الإعدادات واللجنة'!$A$24:$A$32,0)),"")</f>
        <v>د. سلطان بن سعيد الشمراني</v>
      </c>
      <c r="I13" s="30"/>
      <c r="J13" s="30"/>
      <c r="K13" s="28" t="str">
        <f aca="false">IF(OR(I13="",I13="متوفر ومكتمل"),"",IF(OR(D13="★",I13="غير متوفر"),"عالية","متوسطة"))</f>
        <v/>
      </c>
      <c r="L13" s="31"/>
      <c r="M13" s="30"/>
      <c r="N13" s="31"/>
      <c r="O13" s="31"/>
      <c r="P13" s="30"/>
      <c r="Q13" s="31"/>
    </row>
    <row r="14" customFormat="false" ht="22.35" hidden="false" customHeight="false" outlineLevel="0" collapsed="false">
      <c r="A14" s="45" t="s">
        <v>302</v>
      </c>
      <c r="B14" s="46" t="s">
        <v>153</v>
      </c>
      <c r="C14" s="47" t="s">
        <v>303</v>
      </c>
      <c r="D14" s="48"/>
      <c r="E14" s="38" t="n">
        <v>1</v>
      </c>
      <c r="F14" s="47" t="s">
        <v>304</v>
      </c>
      <c r="G14" s="37" t="s">
        <v>586</v>
      </c>
      <c r="H14" s="38" t="str">
        <f aca="false">IFERROR(INDEX('الإعدادات واللجنة'!$C$24:$C$32,MATCH(LEFT(A14,3),'الإعدادات واللجنة'!$A$24:$A$32,0)),"")</f>
        <v>د. سلطان بن سعيد الشمراني</v>
      </c>
      <c r="I14" s="39"/>
      <c r="J14" s="39"/>
      <c r="K14" s="38" t="str">
        <f aca="false">IF(OR(I14="",I14="متوفر ومكتمل"),"",IF(OR(D14="★",I14="غير متوفر"),"عالية","متوسطة"))</f>
        <v/>
      </c>
      <c r="L14" s="40"/>
      <c r="M14" s="39"/>
      <c r="N14" s="40"/>
      <c r="O14" s="40"/>
      <c r="P14" s="39"/>
      <c r="Q14" s="40"/>
    </row>
    <row r="15" customFormat="false" ht="22.35" hidden="false" customHeight="false" outlineLevel="0" collapsed="false">
      <c r="A15" s="28" t="s">
        <v>302</v>
      </c>
      <c r="B15" s="25" t="s">
        <v>153</v>
      </c>
      <c r="C15" s="26"/>
      <c r="D15" s="27"/>
      <c r="E15" s="28" t="n">
        <v>2</v>
      </c>
      <c r="F15" s="26" t="s">
        <v>305</v>
      </c>
      <c r="G15" s="29" t="s">
        <v>586</v>
      </c>
      <c r="H15" s="28" t="str">
        <f aca="false">IFERROR(INDEX('الإعدادات واللجنة'!$C$24:$C$32,MATCH(LEFT(A15,3),'الإعدادات واللجنة'!$A$24:$A$32,0)),"")</f>
        <v>د. سلطان بن سعيد الشمراني</v>
      </c>
      <c r="I15" s="30"/>
      <c r="J15" s="30"/>
      <c r="K15" s="28" t="str">
        <f aca="false">IF(OR(I15="",I15="متوفر ومكتمل"),"",IF(OR(D15="★",I15="غير متوفر"),"عالية","متوسطة"))</f>
        <v/>
      </c>
      <c r="L15" s="31"/>
      <c r="M15" s="30"/>
      <c r="N15" s="31"/>
      <c r="O15" s="31"/>
      <c r="P15" s="30"/>
      <c r="Q15" s="31"/>
    </row>
    <row r="16" customFormat="false" ht="22.35" hidden="false" customHeight="false" outlineLevel="0" collapsed="false">
      <c r="A16" s="28" t="s">
        <v>302</v>
      </c>
      <c r="B16" s="25" t="s">
        <v>153</v>
      </c>
      <c r="C16" s="26"/>
      <c r="D16" s="27"/>
      <c r="E16" s="28" t="n">
        <v>3</v>
      </c>
      <c r="F16" s="26" t="s">
        <v>306</v>
      </c>
      <c r="G16" s="29" t="s">
        <v>586</v>
      </c>
      <c r="H16" s="28" t="str">
        <f aca="false">IFERROR(INDEX('الإعدادات واللجنة'!$C$24:$C$32,MATCH(LEFT(A16,3),'الإعدادات واللجنة'!$A$24:$A$32,0)),"")</f>
        <v>د. سلطان بن سعيد الشمراني</v>
      </c>
      <c r="I16" s="30"/>
      <c r="J16" s="30"/>
      <c r="K16" s="28" t="str">
        <f aca="false">IF(OR(I16="",I16="متوفر ومكتمل"),"",IF(OR(D16="★",I16="غير متوفر"),"عالية","متوسطة"))</f>
        <v/>
      </c>
      <c r="L16" s="31"/>
      <c r="M16" s="30"/>
      <c r="N16" s="31"/>
      <c r="O16" s="31"/>
      <c r="P16" s="30"/>
      <c r="Q16" s="31"/>
    </row>
    <row r="17" customFormat="false" ht="22.35" hidden="false" customHeight="false" outlineLevel="0" collapsed="false">
      <c r="A17" s="28" t="s">
        <v>302</v>
      </c>
      <c r="B17" s="25" t="s">
        <v>153</v>
      </c>
      <c r="C17" s="26"/>
      <c r="D17" s="27"/>
      <c r="E17" s="28" t="n">
        <v>4</v>
      </c>
      <c r="F17" s="26" t="s">
        <v>307</v>
      </c>
      <c r="G17" s="29" t="s">
        <v>586</v>
      </c>
      <c r="H17" s="28" t="str">
        <f aca="false">IFERROR(INDEX('الإعدادات واللجنة'!$C$24:$C$32,MATCH(LEFT(A17,3),'الإعدادات واللجنة'!$A$24:$A$32,0)),"")</f>
        <v>د. سلطان بن سعيد الشمراني</v>
      </c>
      <c r="I17" s="30"/>
      <c r="J17" s="30"/>
      <c r="K17" s="28" t="str">
        <f aca="false">IF(OR(I17="",I17="متوفر ومكتمل"),"",IF(OR(D17="★",I17="غير متوفر"),"عالية","متوسطة"))</f>
        <v/>
      </c>
      <c r="L17" s="31"/>
      <c r="M17" s="30"/>
      <c r="N17" s="31"/>
      <c r="O17" s="31"/>
      <c r="P17" s="30"/>
      <c r="Q17" s="31"/>
    </row>
    <row r="18" customFormat="false" ht="22.35" hidden="false" customHeight="false" outlineLevel="0" collapsed="false">
      <c r="A18" s="28" t="s">
        <v>302</v>
      </c>
      <c r="B18" s="25" t="s">
        <v>153</v>
      </c>
      <c r="C18" s="26"/>
      <c r="D18" s="27"/>
      <c r="E18" s="28" t="n">
        <v>5</v>
      </c>
      <c r="F18" s="26" t="s">
        <v>308</v>
      </c>
      <c r="G18" s="29" t="s">
        <v>586</v>
      </c>
      <c r="H18" s="28" t="str">
        <f aca="false">IFERROR(INDEX('الإعدادات واللجنة'!$C$24:$C$32,MATCH(LEFT(A18,3),'الإعدادات واللجنة'!$A$24:$A$32,0)),"")</f>
        <v>د. سلطان بن سعيد الشمراني</v>
      </c>
      <c r="I18" s="30"/>
      <c r="J18" s="30"/>
      <c r="K18" s="28" t="str">
        <f aca="false">IF(OR(I18="",I18="متوفر ومكتمل"),"",IF(OR(D18="★",I18="غير متوفر"),"عالية","متوسطة"))</f>
        <v/>
      </c>
      <c r="L18" s="31"/>
      <c r="M18" s="30"/>
      <c r="N18" s="31"/>
      <c r="O18" s="31"/>
      <c r="P18" s="30"/>
      <c r="Q18" s="31"/>
    </row>
    <row r="19" customFormat="false" ht="22.35" hidden="false" customHeight="false" outlineLevel="0" collapsed="false">
      <c r="A19" s="45" t="s">
        <v>309</v>
      </c>
      <c r="B19" s="46" t="s">
        <v>153</v>
      </c>
      <c r="C19" s="47" t="s">
        <v>310</v>
      </c>
      <c r="D19" s="48"/>
      <c r="E19" s="38" t="n">
        <v>1</v>
      </c>
      <c r="F19" s="47" t="s">
        <v>311</v>
      </c>
      <c r="G19" s="37" t="s">
        <v>586</v>
      </c>
      <c r="H19" s="38" t="str">
        <f aca="false">IFERROR(INDEX('الإعدادات واللجنة'!$C$24:$C$32,MATCH(LEFT(A19,3),'الإعدادات واللجنة'!$A$24:$A$32,0)),"")</f>
        <v>د. سلطان بن سعيد الشمراني</v>
      </c>
      <c r="I19" s="39"/>
      <c r="J19" s="39"/>
      <c r="K19" s="38" t="str">
        <f aca="false">IF(OR(I19="",I19="متوفر ومكتمل"),"",IF(OR(D19="★",I19="غير متوفر"),"عالية","متوسطة"))</f>
        <v/>
      </c>
      <c r="L19" s="40"/>
      <c r="M19" s="39"/>
      <c r="N19" s="40"/>
      <c r="O19" s="40"/>
      <c r="P19" s="39"/>
      <c r="Q19" s="40"/>
    </row>
    <row r="20" customFormat="false" ht="22.35" hidden="false" customHeight="false" outlineLevel="0" collapsed="false">
      <c r="A20" s="28" t="s">
        <v>309</v>
      </c>
      <c r="B20" s="25" t="s">
        <v>153</v>
      </c>
      <c r="C20" s="26"/>
      <c r="D20" s="27"/>
      <c r="E20" s="28" t="n">
        <v>2</v>
      </c>
      <c r="F20" s="26" t="s">
        <v>312</v>
      </c>
      <c r="G20" s="29" t="s">
        <v>586</v>
      </c>
      <c r="H20" s="28" t="str">
        <f aca="false">IFERROR(INDEX('الإعدادات واللجنة'!$C$24:$C$32,MATCH(LEFT(A20,3),'الإعدادات واللجنة'!$A$24:$A$32,0)),"")</f>
        <v>د. سلطان بن سعيد الشمراني</v>
      </c>
      <c r="I20" s="30"/>
      <c r="J20" s="30"/>
      <c r="K20" s="28" t="str">
        <f aca="false">IF(OR(I20="",I20="متوفر ومكتمل"),"",IF(OR(D20="★",I20="غير متوفر"),"عالية","متوسطة"))</f>
        <v/>
      </c>
      <c r="L20" s="31"/>
      <c r="M20" s="30"/>
      <c r="N20" s="31"/>
      <c r="O20" s="31"/>
      <c r="P20" s="30"/>
      <c r="Q20" s="31"/>
    </row>
    <row r="21" customFormat="false" ht="43.25" hidden="false" customHeight="false" outlineLevel="0" collapsed="false">
      <c r="A21" s="45" t="s">
        <v>313</v>
      </c>
      <c r="B21" s="46" t="s">
        <v>153</v>
      </c>
      <c r="C21" s="47" t="s">
        <v>314</v>
      </c>
      <c r="D21" s="48"/>
      <c r="E21" s="38" t="n">
        <v>1</v>
      </c>
      <c r="F21" s="47" t="s">
        <v>315</v>
      </c>
      <c r="G21" s="37" t="s">
        <v>586</v>
      </c>
      <c r="H21" s="38" t="str">
        <f aca="false">IFERROR(INDEX('الإعدادات واللجنة'!$C$24:$C$32,MATCH(LEFT(A21,3),'الإعدادات واللجنة'!$A$24:$A$32,0)),"")</f>
        <v>د. سلطان بن سعيد الشمراني</v>
      </c>
      <c r="I21" s="39"/>
      <c r="J21" s="39"/>
      <c r="K21" s="38" t="str">
        <f aca="false">IF(OR(I21="",I21="متوفر ومكتمل"),"",IF(OR(D21="★",I21="غير متوفر"),"عالية","متوسطة"))</f>
        <v/>
      </c>
      <c r="L21" s="40"/>
      <c r="M21" s="39"/>
      <c r="N21" s="40"/>
      <c r="O21" s="40"/>
      <c r="P21" s="39"/>
      <c r="Q21" s="40"/>
    </row>
    <row r="22" customFormat="false" ht="22.35" hidden="false" customHeight="false" outlineLevel="0" collapsed="false">
      <c r="A22" s="28" t="s">
        <v>313</v>
      </c>
      <c r="B22" s="25" t="s">
        <v>153</v>
      </c>
      <c r="C22" s="26"/>
      <c r="D22" s="27"/>
      <c r="E22" s="28" t="n">
        <v>2</v>
      </c>
      <c r="F22" s="26" t="s">
        <v>316</v>
      </c>
      <c r="G22" s="29" t="s">
        <v>586</v>
      </c>
      <c r="H22" s="28" t="str">
        <f aca="false">IFERROR(INDEX('الإعدادات واللجنة'!$C$24:$C$32,MATCH(LEFT(A22,3),'الإعدادات واللجنة'!$A$24:$A$32,0)),"")</f>
        <v>د. سلطان بن سعيد الشمراني</v>
      </c>
      <c r="I22" s="30"/>
      <c r="J22" s="30"/>
      <c r="K22" s="28" t="str">
        <f aca="false">IF(OR(I22="",I22="متوفر ومكتمل"),"",IF(OR(D22="★",I22="غير متوفر"),"عالية","متوسطة"))</f>
        <v/>
      </c>
      <c r="L22" s="31"/>
      <c r="M22" s="30"/>
      <c r="N22" s="31"/>
      <c r="O22" s="31"/>
      <c r="P22" s="30"/>
      <c r="Q22" s="31"/>
    </row>
    <row r="23" customFormat="false" ht="22.35" hidden="false" customHeight="false" outlineLevel="0" collapsed="false">
      <c r="A23" s="28" t="s">
        <v>313</v>
      </c>
      <c r="B23" s="25" t="s">
        <v>153</v>
      </c>
      <c r="C23" s="26"/>
      <c r="D23" s="27"/>
      <c r="E23" s="28" t="n">
        <v>3</v>
      </c>
      <c r="F23" s="26" t="s">
        <v>317</v>
      </c>
      <c r="G23" s="29" t="s">
        <v>586</v>
      </c>
      <c r="H23" s="28" t="str">
        <f aca="false">IFERROR(INDEX('الإعدادات واللجنة'!$C$24:$C$32,MATCH(LEFT(A23,3),'الإعدادات واللجنة'!$A$24:$A$32,0)),"")</f>
        <v>د. سلطان بن سعيد الشمراني</v>
      </c>
      <c r="I23" s="30"/>
      <c r="J23" s="30"/>
      <c r="K23" s="28" t="str">
        <f aca="false">IF(OR(I23="",I23="متوفر ومكتمل"),"",IF(OR(D23="★",I23="غير متوفر"),"عالية","متوسطة"))</f>
        <v/>
      </c>
      <c r="L23" s="31"/>
      <c r="M23" s="30"/>
      <c r="N23" s="31"/>
      <c r="O23" s="31"/>
      <c r="P23" s="30"/>
      <c r="Q23" s="31"/>
    </row>
    <row r="24" customFormat="false" ht="32.8" hidden="false" customHeight="false" outlineLevel="0" collapsed="false">
      <c r="A24" s="28" t="s">
        <v>313</v>
      </c>
      <c r="B24" s="25" t="s">
        <v>153</v>
      </c>
      <c r="C24" s="26"/>
      <c r="D24" s="27"/>
      <c r="E24" s="28" t="n">
        <v>4</v>
      </c>
      <c r="F24" s="26" t="s">
        <v>318</v>
      </c>
      <c r="G24" s="29" t="s">
        <v>586</v>
      </c>
      <c r="H24" s="28" t="str">
        <f aca="false">IFERROR(INDEX('الإعدادات واللجنة'!$C$24:$C$32,MATCH(LEFT(A24,3),'الإعدادات واللجنة'!$A$24:$A$32,0)),"")</f>
        <v>د. سلطان بن سعيد الشمراني</v>
      </c>
      <c r="I24" s="30"/>
      <c r="J24" s="30"/>
      <c r="K24" s="28" t="str">
        <f aca="false">IF(OR(I24="",I24="متوفر ومكتمل"),"",IF(OR(D24="★",I24="غير متوفر"),"عالية","متوسطة"))</f>
        <v/>
      </c>
      <c r="L24" s="31"/>
      <c r="M24" s="30"/>
      <c r="N24" s="31"/>
      <c r="O24" s="31"/>
      <c r="P24" s="30"/>
      <c r="Q24" s="31"/>
    </row>
    <row r="25" customFormat="false" ht="32.8" hidden="false" customHeight="false" outlineLevel="0" collapsed="false">
      <c r="A25" s="45" t="s">
        <v>319</v>
      </c>
      <c r="B25" s="46" t="s">
        <v>153</v>
      </c>
      <c r="C25" s="47" t="s">
        <v>320</v>
      </c>
      <c r="D25" s="48"/>
      <c r="E25" s="38" t="n">
        <v>1</v>
      </c>
      <c r="F25" s="47" t="s">
        <v>321</v>
      </c>
      <c r="G25" s="37" t="s">
        <v>586</v>
      </c>
      <c r="H25" s="38" t="str">
        <f aca="false">IFERROR(INDEX('الإعدادات واللجنة'!$C$24:$C$32,MATCH(LEFT(A25,3),'الإعدادات واللجنة'!$A$24:$A$32,0)),"")</f>
        <v>د. سلطان بن سعيد الشمراني</v>
      </c>
      <c r="I25" s="39"/>
      <c r="J25" s="39"/>
      <c r="K25" s="38" t="str">
        <f aca="false">IF(OR(I25="",I25="متوفر ومكتمل"),"",IF(OR(D25="★",I25="غير متوفر"),"عالية","متوسطة"))</f>
        <v/>
      </c>
      <c r="L25" s="40"/>
      <c r="M25" s="39"/>
      <c r="N25" s="40"/>
      <c r="O25" s="40"/>
      <c r="P25" s="39"/>
      <c r="Q25" s="40"/>
    </row>
    <row r="26" customFormat="false" ht="22.35" hidden="false" customHeight="false" outlineLevel="0" collapsed="false">
      <c r="A26" s="28" t="s">
        <v>319</v>
      </c>
      <c r="B26" s="25" t="s">
        <v>153</v>
      </c>
      <c r="C26" s="26"/>
      <c r="D26" s="27"/>
      <c r="E26" s="28" t="n">
        <v>2</v>
      </c>
      <c r="F26" s="26" t="s">
        <v>322</v>
      </c>
      <c r="G26" s="29" t="s">
        <v>586</v>
      </c>
      <c r="H26" s="28" t="str">
        <f aca="false">IFERROR(INDEX('الإعدادات واللجنة'!$C$24:$C$32,MATCH(LEFT(A26,3),'الإعدادات واللجنة'!$A$24:$A$32,0)),"")</f>
        <v>د. سلطان بن سعيد الشمراني</v>
      </c>
      <c r="I26" s="30"/>
      <c r="J26" s="30"/>
      <c r="K26" s="28" t="str">
        <f aca="false">IF(OR(I26="",I26="متوفر ومكتمل"),"",IF(OR(D26="★",I26="غير متوفر"),"عالية","متوسطة"))</f>
        <v/>
      </c>
      <c r="L26" s="31"/>
      <c r="M26" s="30"/>
      <c r="N26" s="31"/>
      <c r="O26" s="31"/>
      <c r="P26" s="30"/>
      <c r="Q26" s="31"/>
    </row>
    <row r="27" customFormat="false" ht="22.35" hidden="false" customHeight="false" outlineLevel="0" collapsed="false">
      <c r="A27" s="28" t="s">
        <v>319</v>
      </c>
      <c r="B27" s="25" t="s">
        <v>153</v>
      </c>
      <c r="C27" s="26"/>
      <c r="D27" s="27"/>
      <c r="E27" s="28" t="n">
        <v>3</v>
      </c>
      <c r="F27" s="26" t="s">
        <v>323</v>
      </c>
      <c r="G27" s="29" t="s">
        <v>586</v>
      </c>
      <c r="H27" s="28" t="str">
        <f aca="false">IFERROR(INDEX('الإعدادات واللجنة'!$C$24:$C$32,MATCH(LEFT(A27,3),'الإعدادات واللجنة'!$A$24:$A$32,0)),"")</f>
        <v>د. سلطان بن سعيد الشمراني</v>
      </c>
      <c r="I27" s="30"/>
      <c r="J27" s="30"/>
      <c r="K27" s="28" t="str">
        <f aca="false">IF(OR(I27="",I27="متوفر ومكتمل"),"",IF(OR(D27="★",I27="غير متوفر"),"عالية","متوسطة"))</f>
        <v/>
      </c>
      <c r="L27" s="31"/>
      <c r="M27" s="30"/>
      <c r="N27" s="31"/>
      <c r="O27" s="31"/>
      <c r="P27" s="30"/>
      <c r="Q27" s="31"/>
    </row>
    <row r="28" customFormat="false" ht="22.35" hidden="false" customHeight="false" outlineLevel="0" collapsed="false">
      <c r="A28" s="28" t="s">
        <v>319</v>
      </c>
      <c r="B28" s="25" t="s">
        <v>153</v>
      </c>
      <c r="C28" s="26"/>
      <c r="D28" s="27"/>
      <c r="E28" s="28" t="n">
        <v>4</v>
      </c>
      <c r="F28" s="26" t="s">
        <v>324</v>
      </c>
      <c r="G28" s="29" t="s">
        <v>586</v>
      </c>
      <c r="H28" s="28" t="str">
        <f aca="false">IFERROR(INDEX('الإعدادات واللجنة'!$C$24:$C$32,MATCH(LEFT(A28,3),'الإعدادات واللجنة'!$A$24:$A$32,0)),"")</f>
        <v>د. سلطان بن سعيد الشمراني</v>
      </c>
      <c r="I28" s="30"/>
      <c r="J28" s="30"/>
      <c r="K28" s="28" t="str">
        <f aca="false">IF(OR(I28="",I28="متوفر ومكتمل"),"",IF(OR(D28="★",I28="غير متوفر"),"عالية","متوسطة"))</f>
        <v/>
      </c>
      <c r="L28" s="31"/>
      <c r="M28" s="30"/>
      <c r="N28" s="31"/>
      <c r="O28" s="31"/>
      <c r="P28" s="30"/>
      <c r="Q28" s="31"/>
    </row>
    <row r="29" customFormat="false" ht="22.35" hidden="false" customHeight="false" outlineLevel="0" collapsed="false">
      <c r="A29" s="45" t="s">
        <v>325</v>
      </c>
      <c r="B29" s="46" t="s">
        <v>153</v>
      </c>
      <c r="C29" s="47" t="s">
        <v>326</v>
      </c>
      <c r="D29" s="48"/>
      <c r="E29" s="38" t="n">
        <v>1</v>
      </c>
      <c r="F29" s="47" t="s">
        <v>327</v>
      </c>
      <c r="G29" s="37" t="s">
        <v>586</v>
      </c>
      <c r="H29" s="38" t="str">
        <f aca="false">IFERROR(INDEX('الإعدادات واللجنة'!$C$24:$C$32,MATCH(LEFT(A29,3),'الإعدادات واللجنة'!$A$24:$A$32,0)),"")</f>
        <v>د. سلطان بن سعيد الشمراني</v>
      </c>
      <c r="I29" s="39"/>
      <c r="J29" s="39"/>
      <c r="K29" s="38" t="str">
        <f aca="false">IF(OR(I29="",I29="متوفر ومكتمل"),"",IF(OR(D29="★",I29="غير متوفر"),"عالية","متوسطة"))</f>
        <v/>
      </c>
      <c r="L29" s="40"/>
      <c r="M29" s="39"/>
      <c r="N29" s="40"/>
      <c r="O29" s="40"/>
      <c r="P29" s="39"/>
      <c r="Q29" s="40"/>
    </row>
    <row r="30" customFormat="false" ht="22.35" hidden="false" customHeight="false" outlineLevel="0" collapsed="false">
      <c r="A30" s="28" t="s">
        <v>325</v>
      </c>
      <c r="B30" s="25" t="s">
        <v>153</v>
      </c>
      <c r="C30" s="26"/>
      <c r="D30" s="27"/>
      <c r="E30" s="28" t="n">
        <v>2</v>
      </c>
      <c r="F30" s="26" t="s">
        <v>328</v>
      </c>
      <c r="G30" s="29" t="s">
        <v>586</v>
      </c>
      <c r="H30" s="28" t="str">
        <f aca="false">IFERROR(INDEX('الإعدادات واللجنة'!$C$24:$C$32,MATCH(LEFT(A30,3),'الإعدادات واللجنة'!$A$24:$A$32,0)),"")</f>
        <v>د. سلطان بن سعيد الشمراني</v>
      </c>
      <c r="I30" s="30"/>
      <c r="J30" s="30"/>
      <c r="K30" s="28" t="str">
        <f aca="false">IF(OR(I30="",I30="متوفر ومكتمل"),"",IF(OR(D30="★",I30="غير متوفر"),"عالية","متوسطة"))</f>
        <v/>
      </c>
      <c r="L30" s="31"/>
      <c r="M30" s="30"/>
      <c r="N30" s="31"/>
      <c r="O30" s="31"/>
      <c r="P30" s="30"/>
      <c r="Q30" s="31"/>
    </row>
    <row r="31" customFormat="false" ht="22.35" hidden="false" customHeight="false" outlineLevel="0" collapsed="false">
      <c r="A31" s="28" t="s">
        <v>325</v>
      </c>
      <c r="B31" s="25" t="s">
        <v>153</v>
      </c>
      <c r="C31" s="26"/>
      <c r="D31" s="27"/>
      <c r="E31" s="28" t="n">
        <v>3</v>
      </c>
      <c r="F31" s="26" t="s">
        <v>329</v>
      </c>
      <c r="G31" s="29" t="s">
        <v>586</v>
      </c>
      <c r="H31" s="28" t="str">
        <f aca="false">IFERROR(INDEX('الإعدادات واللجنة'!$C$24:$C$32,MATCH(LEFT(A31,3),'الإعدادات واللجنة'!$A$24:$A$32,0)),"")</f>
        <v>د. سلطان بن سعيد الشمراني</v>
      </c>
      <c r="I31" s="30"/>
      <c r="J31" s="30"/>
      <c r="K31" s="28" t="str">
        <f aca="false">IF(OR(I31="",I31="متوفر ومكتمل"),"",IF(OR(D31="★",I31="غير متوفر"),"عالية","متوسطة"))</f>
        <v/>
      </c>
      <c r="L31" s="31"/>
      <c r="M31" s="30"/>
      <c r="N31" s="31"/>
      <c r="O31" s="31"/>
      <c r="P31" s="30"/>
      <c r="Q31" s="31"/>
    </row>
    <row r="32" customFormat="false" ht="22.35" hidden="false" customHeight="false" outlineLevel="0" collapsed="false">
      <c r="A32" s="28" t="s">
        <v>325</v>
      </c>
      <c r="B32" s="25" t="s">
        <v>153</v>
      </c>
      <c r="C32" s="26"/>
      <c r="D32" s="27"/>
      <c r="E32" s="28" t="n">
        <v>4</v>
      </c>
      <c r="F32" s="26" t="s">
        <v>330</v>
      </c>
      <c r="G32" s="29" t="s">
        <v>586</v>
      </c>
      <c r="H32" s="28" t="str">
        <f aca="false">IFERROR(INDEX('الإعدادات واللجنة'!$C$24:$C$32,MATCH(LEFT(A32,3),'الإعدادات واللجنة'!$A$24:$A$32,0)),"")</f>
        <v>د. سلطان بن سعيد الشمراني</v>
      </c>
      <c r="I32" s="30"/>
      <c r="J32" s="30"/>
      <c r="K32" s="28" t="str">
        <f aca="false">IF(OR(I32="",I32="متوفر ومكتمل"),"",IF(OR(D32="★",I32="غير متوفر"),"عالية","متوسطة"))</f>
        <v/>
      </c>
      <c r="L32" s="31"/>
      <c r="M32" s="30"/>
      <c r="N32" s="31"/>
      <c r="O32" s="31"/>
      <c r="P32" s="30"/>
      <c r="Q32" s="31"/>
    </row>
    <row r="33" customFormat="false" ht="22.35" hidden="false" customHeight="false" outlineLevel="0" collapsed="false">
      <c r="A33" s="28" t="s">
        <v>325</v>
      </c>
      <c r="B33" s="25" t="s">
        <v>153</v>
      </c>
      <c r="C33" s="26"/>
      <c r="D33" s="27"/>
      <c r="E33" s="28" t="n">
        <v>5</v>
      </c>
      <c r="F33" s="26" t="s">
        <v>331</v>
      </c>
      <c r="G33" s="29" t="s">
        <v>586</v>
      </c>
      <c r="H33" s="28" t="str">
        <f aca="false">IFERROR(INDEX('الإعدادات واللجنة'!$C$24:$C$32,MATCH(LEFT(A33,3),'الإعدادات واللجنة'!$A$24:$A$32,0)),"")</f>
        <v>د. سلطان بن سعيد الشمراني</v>
      </c>
      <c r="I33" s="30"/>
      <c r="J33" s="30"/>
      <c r="K33" s="28" t="str">
        <f aca="false">IF(OR(I33="",I33="متوفر ومكتمل"),"",IF(OR(D33="★",I33="غير متوفر"),"عالية","متوسطة"))</f>
        <v/>
      </c>
      <c r="L33" s="31"/>
      <c r="M33" s="30"/>
      <c r="N33" s="31"/>
      <c r="O33" s="31"/>
      <c r="P33" s="30"/>
      <c r="Q33" s="31"/>
    </row>
    <row r="34" customFormat="false" ht="32.8" hidden="false" customHeight="false" outlineLevel="0" collapsed="false">
      <c r="A34" s="32" t="s">
        <v>332</v>
      </c>
      <c r="B34" s="33" t="s">
        <v>153</v>
      </c>
      <c r="C34" s="34" t="s">
        <v>333</v>
      </c>
      <c r="D34" s="35" t="s">
        <v>296</v>
      </c>
      <c r="E34" s="36" t="n">
        <v>1</v>
      </c>
      <c r="F34" s="34" t="s">
        <v>334</v>
      </c>
      <c r="G34" s="37" t="s">
        <v>586</v>
      </c>
      <c r="H34" s="38" t="str">
        <f aca="false">IFERROR(INDEX('الإعدادات واللجنة'!$C$24:$C$32,MATCH(LEFT(A34,3),'الإعدادات واللجنة'!$A$24:$A$32,0)),"")</f>
        <v>د. سلطان بن سعيد الشمراني</v>
      </c>
      <c r="I34" s="39"/>
      <c r="J34" s="39"/>
      <c r="K34" s="38" t="str">
        <f aca="false">IF(OR(I34="",I34="متوفر ومكتمل"),"",IF(OR(D34="★",I34="غير متوفر"),"عالية","متوسطة"))</f>
        <v/>
      </c>
      <c r="L34" s="40"/>
      <c r="M34" s="39"/>
      <c r="N34" s="40"/>
      <c r="O34" s="40"/>
      <c r="P34" s="39"/>
      <c r="Q34" s="40"/>
    </row>
    <row r="35" customFormat="false" ht="22.35" hidden="false" customHeight="false" outlineLevel="0" collapsed="false">
      <c r="A35" s="41" t="s">
        <v>332</v>
      </c>
      <c r="B35" s="42" t="s">
        <v>153</v>
      </c>
      <c r="C35" s="43"/>
      <c r="D35" s="44" t="s">
        <v>296</v>
      </c>
      <c r="E35" s="41" t="n">
        <v>2</v>
      </c>
      <c r="F35" s="43" t="s">
        <v>335</v>
      </c>
      <c r="G35" s="29" t="s">
        <v>586</v>
      </c>
      <c r="H35" s="28" t="str">
        <f aca="false">IFERROR(INDEX('الإعدادات واللجنة'!$C$24:$C$32,MATCH(LEFT(A35,3),'الإعدادات واللجنة'!$A$24:$A$32,0)),"")</f>
        <v>د. سلطان بن سعيد الشمراني</v>
      </c>
      <c r="I35" s="30"/>
      <c r="J35" s="30"/>
      <c r="K35" s="28" t="str">
        <f aca="false">IF(OR(I35="",I35="متوفر ومكتمل"),"",IF(OR(D35="★",I35="غير متوفر"),"عالية","متوسطة"))</f>
        <v/>
      </c>
      <c r="L35" s="31"/>
      <c r="M35" s="30"/>
      <c r="N35" s="31"/>
      <c r="O35" s="31"/>
      <c r="P35" s="30"/>
      <c r="Q35" s="31"/>
    </row>
    <row r="36" customFormat="false" ht="22.35" hidden="false" customHeight="false" outlineLevel="0" collapsed="false">
      <c r="A36" s="41" t="s">
        <v>332</v>
      </c>
      <c r="B36" s="42" t="s">
        <v>153</v>
      </c>
      <c r="C36" s="43"/>
      <c r="D36" s="44" t="s">
        <v>296</v>
      </c>
      <c r="E36" s="41" t="n">
        <v>3</v>
      </c>
      <c r="F36" s="43" t="s">
        <v>336</v>
      </c>
      <c r="G36" s="29" t="s">
        <v>586</v>
      </c>
      <c r="H36" s="28" t="str">
        <f aca="false">IFERROR(INDEX('الإعدادات واللجنة'!$C$24:$C$32,MATCH(LEFT(A36,3),'الإعدادات واللجنة'!$A$24:$A$32,0)),"")</f>
        <v>د. سلطان بن سعيد الشمراني</v>
      </c>
      <c r="I36" s="30"/>
      <c r="J36" s="30"/>
      <c r="K36" s="28" t="str">
        <f aca="false">IF(OR(I36="",I36="متوفر ومكتمل"),"",IF(OR(D36="★",I36="غير متوفر"),"عالية","متوسطة"))</f>
        <v/>
      </c>
      <c r="L36" s="31"/>
      <c r="M36" s="30"/>
      <c r="N36" s="31"/>
      <c r="O36" s="31"/>
      <c r="P36" s="30"/>
      <c r="Q36" s="31"/>
    </row>
    <row r="37" customFormat="false" ht="22.35" hidden="false" customHeight="false" outlineLevel="0" collapsed="false">
      <c r="A37" s="41" t="s">
        <v>332</v>
      </c>
      <c r="B37" s="42" t="s">
        <v>153</v>
      </c>
      <c r="C37" s="43"/>
      <c r="D37" s="44" t="s">
        <v>296</v>
      </c>
      <c r="E37" s="41" t="n">
        <v>4</v>
      </c>
      <c r="F37" s="43" t="s">
        <v>337</v>
      </c>
      <c r="G37" s="29" t="s">
        <v>586</v>
      </c>
      <c r="H37" s="28" t="str">
        <f aca="false">IFERROR(INDEX('الإعدادات واللجنة'!$C$24:$C$32,MATCH(LEFT(A37,3),'الإعدادات واللجنة'!$A$24:$A$32,0)),"")</f>
        <v>د. سلطان بن سعيد الشمراني</v>
      </c>
      <c r="I37" s="30"/>
      <c r="J37" s="30"/>
      <c r="K37" s="28" t="str">
        <f aca="false">IF(OR(I37="",I37="متوفر ومكتمل"),"",IF(OR(D37="★",I37="غير متوفر"),"عالية","متوسطة"))</f>
        <v/>
      </c>
      <c r="L37" s="31"/>
      <c r="M37" s="30"/>
      <c r="N37" s="31"/>
      <c r="O37" s="31"/>
      <c r="P37" s="30"/>
      <c r="Q37" s="31"/>
    </row>
    <row r="38" customFormat="false" ht="22.35" hidden="false" customHeight="false" outlineLevel="0" collapsed="false">
      <c r="A38" s="41" t="s">
        <v>332</v>
      </c>
      <c r="B38" s="42" t="s">
        <v>153</v>
      </c>
      <c r="C38" s="43"/>
      <c r="D38" s="44" t="s">
        <v>296</v>
      </c>
      <c r="E38" s="41" t="n">
        <v>5</v>
      </c>
      <c r="F38" s="43" t="s">
        <v>338</v>
      </c>
      <c r="G38" s="29" t="s">
        <v>586</v>
      </c>
      <c r="H38" s="28" t="str">
        <f aca="false">IFERROR(INDEX('الإعدادات واللجنة'!$C$24:$C$32,MATCH(LEFT(A38,3),'الإعدادات واللجنة'!$A$24:$A$32,0)),"")</f>
        <v>د. سلطان بن سعيد الشمراني</v>
      </c>
      <c r="I38" s="30"/>
      <c r="J38" s="30"/>
      <c r="K38" s="28" t="str">
        <f aca="false">IF(OR(I38="",I38="متوفر ومكتمل"),"",IF(OR(D38="★",I38="غير متوفر"),"عالية","متوسطة"))</f>
        <v/>
      </c>
      <c r="L38" s="31"/>
      <c r="M38" s="30"/>
      <c r="N38" s="31"/>
      <c r="O38" s="31"/>
      <c r="P38" s="30"/>
      <c r="Q38" s="31"/>
    </row>
    <row r="39" customFormat="false" ht="22.35" hidden="false" customHeight="false" outlineLevel="0" collapsed="false">
      <c r="A39" s="41" t="s">
        <v>332</v>
      </c>
      <c r="B39" s="42" t="s">
        <v>153</v>
      </c>
      <c r="C39" s="43"/>
      <c r="D39" s="44" t="s">
        <v>296</v>
      </c>
      <c r="E39" s="41" t="n">
        <v>6</v>
      </c>
      <c r="F39" s="43" t="s">
        <v>339</v>
      </c>
      <c r="G39" s="29" t="s">
        <v>586</v>
      </c>
      <c r="H39" s="28" t="str">
        <f aca="false">IFERROR(INDEX('الإعدادات واللجنة'!$C$24:$C$32,MATCH(LEFT(A39,3),'الإعدادات واللجنة'!$A$24:$A$32,0)),"")</f>
        <v>د. سلطان بن سعيد الشمراني</v>
      </c>
      <c r="I39" s="30"/>
      <c r="J39" s="30"/>
      <c r="K39" s="28" t="str">
        <f aca="false">IF(OR(I39="",I39="متوفر ومكتمل"),"",IF(OR(D39="★",I39="غير متوفر"),"عالية","متوسطة"))</f>
        <v/>
      </c>
      <c r="L39" s="31"/>
      <c r="M39" s="30"/>
      <c r="N39" s="31"/>
      <c r="O39" s="31"/>
      <c r="P39" s="30"/>
      <c r="Q39" s="31"/>
    </row>
    <row r="40" customFormat="false" ht="22.35" hidden="false" customHeight="false" outlineLevel="0" collapsed="false">
      <c r="A40" s="45" t="s">
        <v>340</v>
      </c>
      <c r="B40" s="46" t="s">
        <v>153</v>
      </c>
      <c r="C40" s="47" t="s">
        <v>341</v>
      </c>
      <c r="D40" s="48"/>
      <c r="E40" s="38" t="n">
        <v>1</v>
      </c>
      <c r="F40" s="47" t="s">
        <v>342</v>
      </c>
      <c r="G40" s="37" t="s">
        <v>586</v>
      </c>
      <c r="H40" s="38" t="str">
        <f aca="false">IFERROR(INDEX('الإعدادات واللجنة'!$C$24:$C$32,MATCH(LEFT(A40,3),'الإعدادات واللجنة'!$A$24:$A$32,0)),"")</f>
        <v>د. سلطان بن سعيد الشمراني</v>
      </c>
      <c r="I40" s="39"/>
      <c r="J40" s="39"/>
      <c r="K40" s="38" t="str">
        <f aca="false">IF(OR(I40="",I40="متوفر ومكتمل"),"",IF(OR(D40="★",I40="غير متوفر"),"عالية","متوسطة"))</f>
        <v/>
      </c>
      <c r="L40" s="40"/>
      <c r="M40" s="39"/>
      <c r="N40" s="40"/>
      <c r="O40" s="40"/>
      <c r="P40" s="39"/>
      <c r="Q40" s="40"/>
    </row>
    <row r="41" customFormat="false" ht="22.35" hidden="false" customHeight="false" outlineLevel="0" collapsed="false">
      <c r="A41" s="28" t="s">
        <v>340</v>
      </c>
      <c r="B41" s="25" t="s">
        <v>153</v>
      </c>
      <c r="C41" s="26"/>
      <c r="D41" s="27"/>
      <c r="E41" s="28" t="n">
        <v>2</v>
      </c>
      <c r="F41" s="26" t="s">
        <v>343</v>
      </c>
      <c r="G41" s="29" t="s">
        <v>586</v>
      </c>
      <c r="H41" s="28" t="str">
        <f aca="false">IFERROR(INDEX('الإعدادات واللجنة'!$C$24:$C$32,MATCH(LEFT(A41,3),'الإعدادات واللجنة'!$A$24:$A$32,0)),"")</f>
        <v>د. سلطان بن سعيد الشمراني</v>
      </c>
      <c r="I41" s="30"/>
      <c r="J41" s="30"/>
      <c r="K41" s="28" t="str">
        <f aca="false">IF(OR(I41="",I41="متوفر ومكتمل"),"",IF(OR(D41="★",I41="غير متوفر"),"عالية","متوسطة"))</f>
        <v/>
      </c>
      <c r="L41" s="31"/>
      <c r="M41" s="30"/>
      <c r="N41" s="31"/>
      <c r="O41" s="31"/>
      <c r="P41" s="30"/>
      <c r="Q41" s="31"/>
    </row>
    <row r="42" customFormat="false" ht="22.35" hidden="false" customHeight="false" outlineLevel="0" collapsed="false">
      <c r="A42" s="28" t="s">
        <v>340</v>
      </c>
      <c r="B42" s="25" t="s">
        <v>153</v>
      </c>
      <c r="C42" s="26"/>
      <c r="D42" s="27"/>
      <c r="E42" s="28" t="n">
        <v>3</v>
      </c>
      <c r="F42" s="26" t="s">
        <v>344</v>
      </c>
      <c r="G42" s="29" t="s">
        <v>586</v>
      </c>
      <c r="H42" s="28" t="str">
        <f aca="false">IFERROR(INDEX('الإعدادات واللجنة'!$C$24:$C$32,MATCH(LEFT(A42,3),'الإعدادات واللجنة'!$A$24:$A$32,0)),"")</f>
        <v>د. سلطان بن سعيد الشمراني</v>
      </c>
      <c r="I42" s="30"/>
      <c r="J42" s="30"/>
      <c r="K42" s="28" t="str">
        <f aca="false">IF(OR(I42="",I42="متوفر ومكتمل"),"",IF(OR(D42="★",I42="غير متوفر"),"عالية","متوسطة"))</f>
        <v/>
      </c>
      <c r="L42" s="31"/>
      <c r="M42" s="30"/>
      <c r="N42" s="31"/>
      <c r="O42" s="31"/>
      <c r="P42" s="30"/>
      <c r="Q42" s="31"/>
    </row>
    <row r="43" customFormat="false" ht="22.35" hidden="false" customHeight="false" outlineLevel="0" collapsed="false">
      <c r="A43" s="28" t="s">
        <v>340</v>
      </c>
      <c r="B43" s="25" t="s">
        <v>153</v>
      </c>
      <c r="C43" s="26"/>
      <c r="D43" s="27"/>
      <c r="E43" s="28" t="n">
        <v>4</v>
      </c>
      <c r="F43" s="26" t="s">
        <v>345</v>
      </c>
      <c r="G43" s="29" t="s">
        <v>586</v>
      </c>
      <c r="H43" s="28" t="str">
        <f aca="false">IFERROR(INDEX('الإعدادات واللجنة'!$C$24:$C$32,MATCH(LEFT(A43,3),'الإعدادات واللجنة'!$A$24:$A$32,0)),"")</f>
        <v>د. سلطان بن سعيد الشمراني</v>
      </c>
      <c r="I43" s="30"/>
      <c r="J43" s="30"/>
      <c r="K43" s="28" t="str">
        <f aca="false">IF(OR(I43="",I43="متوفر ومكتمل"),"",IF(OR(D43="★",I43="غير متوفر"),"عالية","متوسطة"))</f>
        <v/>
      </c>
      <c r="L43" s="31"/>
      <c r="M43" s="30"/>
      <c r="N43" s="31"/>
      <c r="O43" s="31"/>
      <c r="P43" s="30"/>
      <c r="Q43" s="31"/>
    </row>
    <row r="44" customFormat="false" ht="22.35" hidden="false" customHeight="false" outlineLevel="0" collapsed="false">
      <c r="A44" s="45" t="s">
        <v>346</v>
      </c>
      <c r="B44" s="46" t="s">
        <v>153</v>
      </c>
      <c r="C44" s="47" t="s">
        <v>347</v>
      </c>
      <c r="D44" s="48"/>
      <c r="E44" s="38" t="n">
        <v>1</v>
      </c>
      <c r="F44" s="47" t="s">
        <v>348</v>
      </c>
      <c r="G44" s="37" t="s">
        <v>586</v>
      </c>
      <c r="H44" s="38" t="str">
        <f aca="false">IFERROR(INDEX('الإعدادات واللجنة'!$C$24:$C$32,MATCH(LEFT(A44,3),'الإعدادات واللجنة'!$A$24:$A$32,0)),"")</f>
        <v>د. حسن بن سعد القحطاني</v>
      </c>
      <c r="I44" s="39"/>
      <c r="J44" s="39"/>
      <c r="K44" s="38" t="str">
        <f aca="false">IF(OR(I44="",I44="متوفر ومكتمل"),"",IF(OR(D44="★",I44="غير متوفر"),"عالية","متوسطة"))</f>
        <v/>
      </c>
      <c r="L44" s="40"/>
      <c r="M44" s="39"/>
      <c r="N44" s="40"/>
      <c r="O44" s="40"/>
      <c r="P44" s="39"/>
      <c r="Q44" s="40"/>
    </row>
    <row r="45" customFormat="false" ht="19.4" hidden="false" customHeight="false" outlineLevel="0" collapsed="false">
      <c r="A45" s="28" t="s">
        <v>346</v>
      </c>
      <c r="B45" s="25" t="s">
        <v>153</v>
      </c>
      <c r="C45" s="26"/>
      <c r="D45" s="27"/>
      <c r="E45" s="28" t="n">
        <v>2</v>
      </c>
      <c r="F45" s="26" t="s">
        <v>349</v>
      </c>
      <c r="G45" s="29" t="s">
        <v>586</v>
      </c>
      <c r="H45" s="28" t="str">
        <f aca="false">IFERROR(INDEX('الإعدادات واللجنة'!$C$24:$C$32,MATCH(LEFT(A45,3),'الإعدادات واللجنة'!$A$24:$A$32,0)),"")</f>
        <v>د. حسن بن سعد القحطاني</v>
      </c>
      <c r="I45" s="30"/>
      <c r="J45" s="30"/>
      <c r="K45" s="28" t="str">
        <f aca="false">IF(OR(I45="",I45="متوفر ومكتمل"),"",IF(OR(D45="★",I45="غير متوفر"),"عالية","متوسطة"))</f>
        <v/>
      </c>
      <c r="L45" s="31"/>
      <c r="M45" s="30"/>
      <c r="N45" s="31"/>
      <c r="O45" s="31"/>
      <c r="P45" s="30"/>
      <c r="Q45" s="31"/>
    </row>
    <row r="46" customFormat="false" ht="19.4" hidden="false" customHeight="false" outlineLevel="0" collapsed="false">
      <c r="A46" s="28" t="s">
        <v>346</v>
      </c>
      <c r="B46" s="25" t="s">
        <v>153</v>
      </c>
      <c r="C46" s="26"/>
      <c r="D46" s="27"/>
      <c r="E46" s="28" t="n">
        <v>3</v>
      </c>
      <c r="F46" s="26" t="s">
        <v>350</v>
      </c>
      <c r="G46" s="29" t="s">
        <v>586</v>
      </c>
      <c r="H46" s="28" t="str">
        <f aca="false">IFERROR(INDEX('الإعدادات واللجنة'!$C$24:$C$32,MATCH(LEFT(A46,3),'الإعدادات واللجنة'!$A$24:$A$32,0)),"")</f>
        <v>د. حسن بن سعد القحطاني</v>
      </c>
      <c r="I46" s="30"/>
      <c r="J46" s="30"/>
      <c r="K46" s="28" t="str">
        <f aca="false">IF(OR(I46="",I46="متوفر ومكتمل"),"",IF(OR(D46="★",I46="غير متوفر"),"عالية","متوسطة"))</f>
        <v/>
      </c>
      <c r="L46" s="31"/>
      <c r="M46" s="30"/>
      <c r="N46" s="31"/>
      <c r="O46" s="31"/>
      <c r="P46" s="30"/>
      <c r="Q46" s="31"/>
    </row>
    <row r="47" customFormat="false" ht="19.4" hidden="false" customHeight="false" outlineLevel="0" collapsed="false">
      <c r="A47" s="28" t="s">
        <v>346</v>
      </c>
      <c r="B47" s="25" t="s">
        <v>153</v>
      </c>
      <c r="C47" s="26"/>
      <c r="D47" s="27"/>
      <c r="E47" s="28" t="n">
        <v>4</v>
      </c>
      <c r="F47" s="26" t="s">
        <v>351</v>
      </c>
      <c r="G47" s="29" t="s">
        <v>586</v>
      </c>
      <c r="H47" s="28" t="str">
        <f aca="false">IFERROR(INDEX('الإعدادات واللجنة'!$C$24:$C$32,MATCH(LEFT(A47,3),'الإعدادات واللجنة'!$A$24:$A$32,0)),"")</f>
        <v>د. حسن بن سعد القحطاني</v>
      </c>
      <c r="I47" s="30"/>
      <c r="J47" s="30"/>
      <c r="K47" s="28" t="str">
        <f aca="false">IF(OR(I47="",I47="متوفر ومكتمل"),"",IF(OR(D47="★",I47="غير متوفر"),"عالية","متوسطة"))</f>
        <v/>
      </c>
      <c r="L47" s="31"/>
      <c r="M47" s="30"/>
      <c r="N47" s="31"/>
      <c r="O47" s="31"/>
      <c r="P47" s="30"/>
      <c r="Q47" s="31"/>
    </row>
    <row r="48" customFormat="false" ht="22.35" hidden="false" customHeight="false" outlineLevel="0" collapsed="false">
      <c r="A48" s="32" t="s">
        <v>352</v>
      </c>
      <c r="B48" s="33" t="s">
        <v>153</v>
      </c>
      <c r="C48" s="34" t="s">
        <v>353</v>
      </c>
      <c r="D48" s="35" t="s">
        <v>296</v>
      </c>
      <c r="E48" s="36" t="n">
        <v>1</v>
      </c>
      <c r="F48" s="34" t="s">
        <v>354</v>
      </c>
      <c r="G48" s="37" t="s">
        <v>586</v>
      </c>
      <c r="H48" s="38" t="str">
        <f aca="false">IFERROR(INDEX('الإعدادات واللجنة'!$C$24:$C$32,MATCH(LEFT(A48,3),'الإعدادات واللجنة'!$A$24:$A$32,0)),"")</f>
        <v>د. حسن بن سعد القحطاني</v>
      </c>
      <c r="I48" s="39"/>
      <c r="J48" s="39"/>
      <c r="K48" s="38" t="str">
        <f aca="false">IF(OR(I48="",I48="متوفر ومكتمل"),"",IF(OR(D48="★",I48="غير متوفر"),"عالية","متوسطة"))</f>
        <v/>
      </c>
      <c r="L48" s="40"/>
      <c r="M48" s="39"/>
      <c r="N48" s="40"/>
      <c r="O48" s="40"/>
      <c r="P48" s="39"/>
      <c r="Q48" s="40"/>
    </row>
    <row r="49" customFormat="false" ht="22.35" hidden="false" customHeight="false" outlineLevel="0" collapsed="false">
      <c r="A49" s="41" t="s">
        <v>352</v>
      </c>
      <c r="B49" s="42" t="s">
        <v>153</v>
      </c>
      <c r="C49" s="43"/>
      <c r="D49" s="44" t="s">
        <v>296</v>
      </c>
      <c r="E49" s="41" t="n">
        <v>2</v>
      </c>
      <c r="F49" s="43" t="s">
        <v>355</v>
      </c>
      <c r="G49" s="29" t="s">
        <v>586</v>
      </c>
      <c r="H49" s="28" t="str">
        <f aca="false">IFERROR(INDEX('الإعدادات واللجنة'!$C$24:$C$32,MATCH(LEFT(A49,3),'الإعدادات واللجنة'!$A$24:$A$32,0)),"")</f>
        <v>د. حسن بن سعد القحطاني</v>
      </c>
      <c r="I49" s="30"/>
      <c r="J49" s="30"/>
      <c r="K49" s="28" t="str">
        <f aca="false">IF(OR(I49="",I49="متوفر ومكتمل"),"",IF(OR(D49="★",I49="غير متوفر"),"عالية","متوسطة"))</f>
        <v/>
      </c>
      <c r="L49" s="31"/>
      <c r="M49" s="30"/>
      <c r="N49" s="31"/>
      <c r="O49" s="31"/>
      <c r="P49" s="30"/>
      <c r="Q49" s="31"/>
    </row>
    <row r="50" customFormat="false" ht="19.4" hidden="false" customHeight="false" outlineLevel="0" collapsed="false">
      <c r="A50" s="41" t="s">
        <v>352</v>
      </c>
      <c r="B50" s="42" t="s">
        <v>153</v>
      </c>
      <c r="C50" s="43"/>
      <c r="D50" s="44" t="s">
        <v>296</v>
      </c>
      <c r="E50" s="41" t="n">
        <v>3</v>
      </c>
      <c r="F50" s="43" t="s">
        <v>356</v>
      </c>
      <c r="G50" s="29" t="s">
        <v>586</v>
      </c>
      <c r="H50" s="28" t="str">
        <f aca="false">IFERROR(INDEX('الإعدادات واللجنة'!$C$24:$C$32,MATCH(LEFT(A50,3),'الإعدادات واللجنة'!$A$24:$A$32,0)),"")</f>
        <v>د. حسن بن سعد القحطاني</v>
      </c>
      <c r="I50" s="30"/>
      <c r="J50" s="30"/>
      <c r="K50" s="28" t="str">
        <f aca="false">IF(OR(I50="",I50="متوفر ومكتمل"),"",IF(OR(D50="★",I50="غير متوفر"),"عالية","متوسطة"))</f>
        <v/>
      </c>
      <c r="L50" s="31"/>
      <c r="M50" s="30"/>
      <c r="N50" s="31"/>
      <c r="O50" s="31"/>
      <c r="P50" s="30"/>
      <c r="Q50" s="31"/>
    </row>
    <row r="51" customFormat="false" ht="19.4" hidden="false" customHeight="false" outlineLevel="0" collapsed="false">
      <c r="A51" s="45" t="s">
        <v>357</v>
      </c>
      <c r="B51" s="46" t="s">
        <v>153</v>
      </c>
      <c r="C51" s="47" t="s">
        <v>358</v>
      </c>
      <c r="D51" s="48"/>
      <c r="E51" s="38" t="n">
        <v>1</v>
      </c>
      <c r="F51" s="47" t="s">
        <v>359</v>
      </c>
      <c r="G51" s="37" t="s">
        <v>586</v>
      </c>
      <c r="H51" s="38" t="str">
        <f aca="false">IFERROR(INDEX('الإعدادات واللجنة'!$C$24:$C$32,MATCH(LEFT(A51,3),'الإعدادات واللجنة'!$A$24:$A$32,0)),"")</f>
        <v>د. حسن بن سعد القحطاني</v>
      </c>
      <c r="I51" s="39"/>
      <c r="J51" s="39"/>
      <c r="K51" s="38" t="str">
        <f aca="false">IF(OR(I51="",I51="متوفر ومكتمل"),"",IF(OR(D51="★",I51="غير متوفر"),"عالية","متوسطة"))</f>
        <v/>
      </c>
      <c r="L51" s="40"/>
      <c r="M51" s="39"/>
      <c r="N51" s="40"/>
      <c r="O51" s="40"/>
      <c r="P51" s="39"/>
      <c r="Q51" s="40"/>
    </row>
    <row r="52" customFormat="false" ht="19.4" hidden="false" customHeight="false" outlineLevel="0" collapsed="false">
      <c r="A52" s="28" t="s">
        <v>357</v>
      </c>
      <c r="B52" s="25" t="s">
        <v>153</v>
      </c>
      <c r="C52" s="26"/>
      <c r="D52" s="27"/>
      <c r="E52" s="28" t="n">
        <v>2</v>
      </c>
      <c r="F52" s="26" t="s">
        <v>360</v>
      </c>
      <c r="G52" s="29" t="s">
        <v>586</v>
      </c>
      <c r="H52" s="28" t="str">
        <f aca="false">IFERROR(INDEX('الإعدادات واللجنة'!$C$24:$C$32,MATCH(LEFT(A52,3),'الإعدادات واللجنة'!$A$24:$A$32,0)),"")</f>
        <v>د. حسن بن سعد القحطاني</v>
      </c>
      <c r="I52" s="30"/>
      <c r="J52" s="30"/>
      <c r="K52" s="28" t="str">
        <f aca="false">IF(OR(I52="",I52="متوفر ومكتمل"),"",IF(OR(D52="★",I52="غير متوفر"),"عالية","متوسطة"))</f>
        <v/>
      </c>
      <c r="L52" s="31"/>
      <c r="M52" s="30"/>
      <c r="N52" s="31"/>
      <c r="O52" s="31"/>
      <c r="P52" s="30"/>
      <c r="Q52" s="31"/>
    </row>
    <row r="53" customFormat="false" ht="19.4" hidden="false" customHeight="false" outlineLevel="0" collapsed="false">
      <c r="A53" s="28" t="s">
        <v>357</v>
      </c>
      <c r="B53" s="25" t="s">
        <v>153</v>
      </c>
      <c r="C53" s="26"/>
      <c r="D53" s="27"/>
      <c r="E53" s="28" t="n">
        <v>3</v>
      </c>
      <c r="F53" s="26" t="s">
        <v>361</v>
      </c>
      <c r="G53" s="29" t="s">
        <v>586</v>
      </c>
      <c r="H53" s="28" t="str">
        <f aca="false">IFERROR(INDEX('الإعدادات واللجنة'!$C$24:$C$32,MATCH(LEFT(A53,3),'الإعدادات واللجنة'!$A$24:$A$32,0)),"")</f>
        <v>د. حسن بن سعد القحطاني</v>
      </c>
      <c r="I53" s="30"/>
      <c r="J53" s="30"/>
      <c r="K53" s="28" t="str">
        <f aca="false">IF(OR(I53="",I53="متوفر ومكتمل"),"",IF(OR(D53="★",I53="غير متوفر"),"عالية","متوسطة"))</f>
        <v/>
      </c>
      <c r="L53" s="31"/>
      <c r="M53" s="30"/>
      <c r="N53" s="31"/>
      <c r="O53" s="31"/>
      <c r="P53" s="30"/>
      <c r="Q53" s="31"/>
    </row>
    <row r="54" customFormat="false" ht="19.4" hidden="false" customHeight="false" outlineLevel="0" collapsed="false">
      <c r="A54" s="28" t="s">
        <v>357</v>
      </c>
      <c r="B54" s="25" t="s">
        <v>153</v>
      </c>
      <c r="C54" s="26"/>
      <c r="D54" s="27"/>
      <c r="E54" s="28" t="n">
        <v>4</v>
      </c>
      <c r="F54" s="26" t="s">
        <v>362</v>
      </c>
      <c r="G54" s="29" t="s">
        <v>586</v>
      </c>
      <c r="H54" s="28" t="str">
        <f aca="false">IFERROR(INDEX('الإعدادات واللجنة'!$C$24:$C$32,MATCH(LEFT(A54,3),'الإعدادات واللجنة'!$A$24:$A$32,0)),"")</f>
        <v>د. حسن بن سعد القحطاني</v>
      </c>
      <c r="I54" s="30"/>
      <c r="J54" s="30"/>
      <c r="K54" s="28" t="str">
        <f aca="false">IF(OR(I54="",I54="متوفر ومكتمل"),"",IF(OR(D54="★",I54="غير متوفر"),"عالية","متوسطة"))</f>
        <v/>
      </c>
      <c r="L54" s="31"/>
      <c r="M54" s="30"/>
      <c r="N54" s="31"/>
      <c r="O54" s="31"/>
      <c r="P54" s="30"/>
      <c r="Q54" s="31"/>
    </row>
    <row r="55" customFormat="false" ht="19.4" hidden="false" customHeight="false" outlineLevel="0" collapsed="false">
      <c r="A55" s="28" t="s">
        <v>357</v>
      </c>
      <c r="B55" s="25" t="s">
        <v>153</v>
      </c>
      <c r="C55" s="26"/>
      <c r="D55" s="27"/>
      <c r="E55" s="28" t="n">
        <v>5</v>
      </c>
      <c r="F55" s="26" t="s">
        <v>363</v>
      </c>
      <c r="G55" s="29" t="s">
        <v>586</v>
      </c>
      <c r="H55" s="28" t="str">
        <f aca="false">IFERROR(INDEX('الإعدادات واللجنة'!$C$24:$C$32,MATCH(LEFT(A55,3),'الإعدادات واللجنة'!$A$24:$A$32,0)),"")</f>
        <v>د. حسن بن سعد القحطاني</v>
      </c>
      <c r="I55" s="30"/>
      <c r="J55" s="30"/>
      <c r="K55" s="28" t="str">
        <f aca="false">IF(OR(I55="",I55="متوفر ومكتمل"),"",IF(OR(D55="★",I55="غير متوفر"),"عالية","متوسطة"))</f>
        <v/>
      </c>
      <c r="L55" s="31"/>
      <c r="M55" s="30"/>
      <c r="N55" s="31"/>
      <c r="O55" s="31"/>
      <c r="P55" s="30"/>
      <c r="Q55" s="31"/>
    </row>
    <row r="56" customFormat="false" ht="19.4" hidden="false" customHeight="false" outlineLevel="0" collapsed="false">
      <c r="A56" s="28" t="s">
        <v>357</v>
      </c>
      <c r="B56" s="25" t="s">
        <v>153</v>
      </c>
      <c r="C56" s="26"/>
      <c r="D56" s="27"/>
      <c r="E56" s="28" t="n">
        <v>6</v>
      </c>
      <c r="F56" s="26" t="s">
        <v>364</v>
      </c>
      <c r="G56" s="29" t="s">
        <v>586</v>
      </c>
      <c r="H56" s="28" t="str">
        <f aca="false">IFERROR(INDEX('الإعدادات واللجنة'!$C$24:$C$32,MATCH(LEFT(A56,3),'الإعدادات واللجنة'!$A$24:$A$32,0)),"")</f>
        <v>د. حسن بن سعد القحطاني</v>
      </c>
      <c r="I56" s="30"/>
      <c r="J56" s="30"/>
      <c r="K56" s="28" t="str">
        <f aca="false">IF(OR(I56="",I56="متوفر ومكتمل"),"",IF(OR(D56="★",I56="غير متوفر"),"عالية","متوسطة"))</f>
        <v/>
      </c>
      <c r="L56" s="31"/>
      <c r="M56" s="30"/>
      <c r="N56" s="31"/>
      <c r="O56" s="31"/>
      <c r="P56" s="30"/>
      <c r="Q56" s="31"/>
    </row>
    <row r="57" customFormat="false" ht="32.8" hidden="false" customHeight="false" outlineLevel="0" collapsed="false">
      <c r="A57" s="45" t="s">
        <v>365</v>
      </c>
      <c r="B57" s="46" t="s">
        <v>154</v>
      </c>
      <c r="C57" s="47" t="s">
        <v>366</v>
      </c>
      <c r="D57" s="48"/>
      <c r="E57" s="38" t="n">
        <v>1</v>
      </c>
      <c r="F57" s="47" t="s">
        <v>367</v>
      </c>
      <c r="G57" s="37" t="s">
        <v>586</v>
      </c>
      <c r="H57" s="38" t="str">
        <f aca="false">IFERROR(INDEX('الإعدادات واللجنة'!$C$24:$C$32,MATCH(LEFT(A57,3),'الإعدادات واللجنة'!$A$24:$A$32,0)),"")</f>
        <v>د. احمد بن عوض البشري</v>
      </c>
      <c r="I57" s="39"/>
      <c r="J57" s="39"/>
      <c r="K57" s="38" t="str">
        <f aca="false">IF(OR(I57="",I57="متوفر ومكتمل"),"",IF(OR(D57="★",I57="غير متوفر"),"عالية","متوسطة"))</f>
        <v/>
      </c>
      <c r="L57" s="40"/>
      <c r="M57" s="39"/>
      <c r="N57" s="40"/>
      <c r="O57" s="40"/>
      <c r="P57" s="39"/>
      <c r="Q57" s="40"/>
    </row>
    <row r="58" customFormat="false" ht="15" hidden="false" customHeight="false" outlineLevel="0" collapsed="false">
      <c r="A58" s="28" t="s">
        <v>365</v>
      </c>
      <c r="B58" s="25" t="s">
        <v>154</v>
      </c>
      <c r="C58" s="26"/>
      <c r="D58" s="27"/>
      <c r="E58" s="28" t="n">
        <v>2</v>
      </c>
      <c r="F58" s="26" t="s">
        <v>368</v>
      </c>
      <c r="G58" s="29" t="s">
        <v>586</v>
      </c>
      <c r="H58" s="28" t="str">
        <f aca="false">IFERROR(INDEX('الإعدادات واللجنة'!$C$24:$C$32,MATCH(LEFT(A58,3),'الإعدادات واللجنة'!$A$24:$A$32,0)),"")</f>
        <v>د. احمد بن عوض البشري</v>
      </c>
      <c r="I58" s="30"/>
      <c r="J58" s="30"/>
      <c r="K58" s="28" t="str">
        <f aca="false">IF(OR(I58="",I58="متوفر ومكتمل"),"",IF(OR(D58="★",I58="غير متوفر"),"عالية","متوسطة"))</f>
        <v/>
      </c>
      <c r="L58" s="31"/>
      <c r="M58" s="30"/>
      <c r="N58" s="31"/>
      <c r="O58" s="31"/>
      <c r="P58" s="30"/>
      <c r="Q58" s="31"/>
    </row>
    <row r="59" customFormat="false" ht="22.35" hidden="false" customHeight="false" outlineLevel="0" collapsed="false">
      <c r="A59" s="28" t="s">
        <v>365</v>
      </c>
      <c r="B59" s="25" t="s">
        <v>154</v>
      </c>
      <c r="C59" s="26"/>
      <c r="D59" s="27"/>
      <c r="E59" s="28" t="n">
        <v>3</v>
      </c>
      <c r="F59" s="26" t="s">
        <v>369</v>
      </c>
      <c r="G59" s="29" t="s">
        <v>586</v>
      </c>
      <c r="H59" s="28" t="str">
        <f aca="false">IFERROR(INDEX('الإعدادات واللجنة'!$C$24:$C$32,MATCH(LEFT(A59,3),'الإعدادات واللجنة'!$A$24:$A$32,0)),"")</f>
        <v>د. احمد بن عوض البشري</v>
      </c>
      <c r="I59" s="30"/>
      <c r="J59" s="30"/>
      <c r="K59" s="28" t="str">
        <f aca="false">IF(OR(I59="",I59="متوفر ومكتمل"),"",IF(OR(D59="★",I59="غير متوفر"),"عالية","متوسطة"))</f>
        <v/>
      </c>
      <c r="L59" s="31"/>
      <c r="M59" s="30"/>
      <c r="N59" s="31"/>
      <c r="O59" s="31"/>
      <c r="P59" s="30"/>
      <c r="Q59" s="31"/>
    </row>
    <row r="60" customFormat="false" ht="15" hidden="false" customHeight="false" outlineLevel="0" collapsed="false">
      <c r="A60" s="28" t="s">
        <v>365</v>
      </c>
      <c r="B60" s="25" t="s">
        <v>154</v>
      </c>
      <c r="C60" s="26"/>
      <c r="D60" s="27"/>
      <c r="E60" s="28" t="n">
        <v>4</v>
      </c>
      <c r="F60" s="26" t="s">
        <v>370</v>
      </c>
      <c r="G60" s="29" t="s">
        <v>586</v>
      </c>
      <c r="H60" s="28" t="str">
        <f aca="false">IFERROR(INDEX('الإعدادات واللجنة'!$C$24:$C$32,MATCH(LEFT(A60,3),'الإعدادات واللجنة'!$A$24:$A$32,0)),"")</f>
        <v>د. احمد بن عوض البشري</v>
      </c>
      <c r="I60" s="30"/>
      <c r="J60" s="30"/>
      <c r="K60" s="28" t="str">
        <f aca="false">IF(OR(I60="",I60="متوفر ومكتمل"),"",IF(OR(D60="★",I60="غير متوفر"),"عالية","متوسطة"))</f>
        <v/>
      </c>
      <c r="L60" s="31"/>
      <c r="M60" s="30"/>
      <c r="N60" s="31"/>
      <c r="O60" s="31"/>
      <c r="P60" s="30"/>
      <c r="Q60" s="31"/>
    </row>
    <row r="61" customFormat="false" ht="15" hidden="false" customHeight="false" outlineLevel="0" collapsed="false">
      <c r="A61" s="28" t="s">
        <v>365</v>
      </c>
      <c r="B61" s="25" t="s">
        <v>154</v>
      </c>
      <c r="C61" s="26"/>
      <c r="D61" s="27"/>
      <c r="E61" s="28" t="n">
        <v>5</v>
      </c>
      <c r="F61" s="26" t="s">
        <v>371</v>
      </c>
      <c r="G61" s="29" t="s">
        <v>586</v>
      </c>
      <c r="H61" s="28" t="str">
        <f aca="false">IFERROR(INDEX('الإعدادات واللجنة'!$C$24:$C$32,MATCH(LEFT(A61,3),'الإعدادات واللجنة'!$A$24:$A$32,0)),"")</f>
        <v>د. احمد بن عوض البشري</v>
      </c>
      <c r="I61" s="30"/>
      <c r="J61" s="30"/>
      <c r="K61" s="28" t="str">
        <f aca="false">IF(OR(I61="",I61="متوفر ومكتمل"),"",IF(OR(D61="★",I61="غير متوفر"),"عالية","متوسطة"))</f>
        <v/>
      </c>
      <c r="L61" s="31"/>
      <c r="M61" s="30"/>
      <c r="N61" s="31"/>
      <c r="O61" s="31"/>
      <c r="P61" s="30"/>
      <c r="Q61" s="31"/>
    </row>
    <row r="62" customFormat="false" ht="22.35" hidden="false" customHeight="false" outlineLevel="0" collapsed="false">
      <c r="A62" s="28" t="s">
        <v>365</v>
      </c>
      <c r="B62" s="25" t="s">
        <v>154</v>
      </c>
      <c r="C62" s="26"/>
      <c r="D62" s="27"/>
      <c r="E62" s="28" t="n">
        <v>6</v>
      </c>
      <c r="F62" s="26" t="s">
        <v>372</v>
      </c>
      <c r="G62" s="29" t="s">
        <v>586</v>
      </c>
      <c r="H62" s="28" t="str">
        <f aca="false">IFERROR(INDEX('الإعدادات واللجنة'!$C$24:$C$32,MATCH(LEFT(A62,3),'الإعدادات واللجنة'!$A$24:$A$32,0)),"")</f>
        <v>د. احمد بن عوض البشري</v>
      </c>
      <c r="I62" s="30"/>
      <c r="J62" s="30"/>
      <c r="K62" s="28" t="str">
        <f aca="false">IF(OR(I62="",I62="متوفر ومكتمل"),"",IF(OR(D62="★",I62="غير متوفر"),"عالية","متوسطة"))</f>
        <v/>
      </c>
      <c r="L62" s="31"/>
      <c r="M62" s="30"/>
      <c r="N62" s="31"/>
      <c r="O62" s="31"/>
      <c r="P62" s="30"/>
      <c r="Q62" s="31"/>
    </row>
    <row r="63" customFormat="false" ht="15" hidden="false" customHeight="false" outlineLevel="0" collapsed="false">
      <c r="A63" s="28" t="s">
        <v>365</v>
      </c>
      <c r="B63" s="25" t="s">
        <v>154</v>
      </c>
      <c r="C63" s="26"/>
      <c r="D63" s="27"/>
      <c r="E63" s="28" t="n">
        <v>7</v>
      </c>
      <c r="F63" s="26" t="s">
        <v>373</v>
      </c>
      <c r="G63" s="29" t="s">
        <v>586</v>
      </c>
      <c r="H63" s="28" t="str">
        <f aca="false">IFERROR(INDEX('الإعدادات واللجنة'!$C$24:$C$32,MATCH(LEFT(A63,3),'الإعدادات واللجنة'!$A$24:$A$32,0)),"")</f>
        <v>د. احمد بن عوض البشري</v>
      </c>
      <c r="I63" s="30"/>
      <c r="J63" s="30"/>
      <c r="K63" s="28" t="str">
        <f aca="false">IF(OR(I63="",I63="متوفر ومكتمل"),"",IF(OR(D63="★",I63="غير متوفر"),"عالية","متوسطة"))</f>
        <v/>
      </c>
      <c r="L63" s="31"/>
      <c r="M63" s="30"/>
      <c r="N63" s="31"/>
      <c r="O63" s="31"/>
      <c r="P63" s="30"/>
      <c r="Q63" s="31"/>
    </row>
    <row r="64" customFormat="false" ht="22.35" hidden="false" customHeight="false" outlineLevel="0" collapsed="false">
      <c r="A64" s="28" t="s">
        <v>365</v>
      </c>
      <c r="B64" s="25" t="s">
        <v>154</v>
      </c>
      <c r="C64" s="26"/>
      <c r="D64" s="27"/>
      <c r="E64" s="28" t="n">
        <v>8</v>
      </c>
      <c r="F64" s="26" t="s">
        <v>374</v>
      </c>
      <c r="G64" s="29" t="s">
        <v>586</v>
      </c>
      <c r="H64" s="28" t="str">
        <f aca="false">IFERROR(INDEX('الإعدادات واللجنة'!$C$24:$C$32,MATCH(LEFT(A64,3),'الإعدادات واللجنة'!$A$24:$A$32,0)),"")</f>
        <v>د. احمد بن عوض البشري</v>
      </c>
      <c r="I64" s="30"/>
      <c r="J64" s="30"/>
      <c r="K64" s="28" t="str">
        <f aca="false">IF(OR(I64="",I64="متوفر ومكتمل"),"",IF(OR(D64="★",I64="غير متوفر"),"عالية","متوسطة"))</f>
        <v/>
      </c>
      <c r="L64" s="31"/>
      <c r="M64" s="30"/>
      <c r="N64" s="31"/>
      <c r="O64" s="31"/>
      <c r="P64" s="30"/>
      <c r="Q64" s="31"/>
    </row>
    <row r="65" customFormat="false" ht="22.35" hidden="false" customHeight="false" outlineLevel="0" collapsed="false">
      <c r="A65" s="28" t="s">
        <v>365</v>
      </c>
      <c r="B65" s="25" t="s">
        <v>154</v>
      </c>
      <c r="C65" s="26"/>
      <c r="D65" s="27"/>
      <c r="E65" s="28" t="n">
        <v>9</v>
      </c>
      <c r="F65" s="26" t="s">
        <v>375</v>
      </c>
      <c r="G65" s="29" t="s">
        <v>586</v>
      </c>
      <c r="H65" s="28" t="str">
        <f aca="false">IFERROR(INDEX('الإعدادات واللجنة'!$C$24:$C$32,MATCH(LEFT(A65,3),'الإعدادات واللجنة'!$A$24:$A$32,0)),"")</f>
        <v>د. احمد بن عوض البشري</v>
      </c>
      <c r="I65" s="30"/>
      <c r="J65" s="30"/>
      <c r="K65" s="28" t="str">
        <f aca="false">IF(OR(I65="",I65="متوفر ومكتمل"),"",IF(OR(D65="★",I65="غير متوفر"),"عالية","متوسطة"))</f>
        <v/>
      </c>
      <c r="L65" s="31"/>
      <c r="M65" s="30"/>
      <c r="N65" s="31"/>
      <c r="O65" s="31"/>
      <c r="P65" s="30"/>
      <c r="Q65" s="31"/>
    </row>
    <row r="66" customFormat="false" ht="22.35" hidden="false" customHeight="false" outlineLevel="0" collapsed="false">
      <c r="A66" s="28" t="s">
        <v>365</v>
      </c>
      <c r="B66" s="25" t="s">
        <v>154</v>
      </c>
      <c r="C66" s="26"/>
      <c r="D66" s="27"/>
      <c r="E66" s="28" t="n">
        <v>10</v>
      </c>
      <c r="F66" s="26" t="s">
        <v>376</v>
      </c>
      <c r="G66" s="29" t="s">
        <v>586</v>
      </c>
      <c r="H66" s="28" t="str">
        <f aca="false">IFERROR(INDEX('الإعدادات واللجنة'!$C$24:$C$32,MATCH(LEFT(A66,3),'الإعدادات واللجنة'!$A$24:$A$32,0)),"")</f>
        <v>د. احمد بن عوض البشري</v>
      </c>
      <c r="I66" s="30"/>
      <c r="J66" s="30"/>
      <c r="K66" s="28" t="str">
        <f aca="false">IF(OR(I66="",I66="متوفر ومكتمل"),"",IF(OR(D66="★",I66="غير متوفر"),"عالية","متوسطة"))</f>
        <v/>
      </c>
      <c r="L66" s="31"/>
      <c r="M66" s="30"/>
      <c r="N66" s="31"/>
      <c r="O66" s="31"/>
      <c r="P66" s="30"/>
      <c r="Q66" s="31"/>
    </row>
    <row r="67" customFormat="false" ht="22.35" hidden="false" customHeight="false" outlineLevel="0" collapsed="false">
      <c r="A67" s="32" t="s">
        <v>377</v>
      </c>
      <c r="B67" s="33" t="s">
        <v>154</v>
      </c>
      <c r="C67" s="34" t="s">
        <v>378</v>
      </c>
      <c r="D67" s="35" t="s">
        <v>296</v>
      </c>
      <c r="E67" s="36" t="n">
        <v>1</v>
      </c>
      <c r="F67" s="34" t="s">
        <v>379</v>
      </c>
      <c r="G67" s="37" t="s">
        <v>586</v>
      </c>
      <c r="H67" s="38" t="str">
        <f aca="false">IFERROR(INDEX('الإعدادات واللجنة'!$C$24:$C$32,MATCH(LEFT(A67,3),'الإعدادات واللجنة'!$A$24:$A$32,0)),"")</f>
        <v>د. احمد بن عوض البشري</v>
      </c>
      <c r="I67" s="39"/>
      <c r="J67" s="39"/>
      <c r="K67" s="38" t="str">
        <f aca="false">IF(OR(I67="",I67="متوفر ومكتمل"),"",IF(OR(D67="★",I67="غير متوفر"),"عالية","متوسطة"))</f>
        <v/>
      </c>
      <c r="L67" s="40"/>
      <c r="M67" s="39"/>
      <c r="N67" s="40"/>
      <c r="O67" s="40"/>
      <c r="P67" s="39"/>
      <c r="Q67" s="40"/>
    </row>
    <row r="68" customFormat="false" ht="22.35" hidden="false" customHeight="false" outlineLevel="0" collapsed="false">
      <c r="A68" s="41" t="s">
        <v>377</v>
      </c>
      <c r="B68" s="42" t="s">
        <v>154</v>
      </c>
      <c r="C68" s="43"/>
      <c r="D68" s="44" t="s">
        <v>296</v>
      </c>
      <c r="E68" s="41" t="n">
        <v>2</v>
      </c>
      <c r="F68" s="43" t="s">
        <v>380</v>
      </c>
      <c r="G68" s="29" t="s">
        <v>586</v>
      </c>
      <c r="H68" s="28" t="str">
        <f aca="false">IFERROR(INDEX('الإعدادات واللجنة'!$C$24:$C$32,MATCH(LEFT(A68,3),'الإعدادات واللجنة'!$A$24:$A$32,0)),"")</f>
        <v>د. احمد بن عوض البشري</v>
      </c>
      <c r="I68" s="30"/>
      <c r="J68" s="30"/>
      <c r="K68" s="28" t="str">
        <f aca="false">IF(OR(I68="",I68="متوفر ومكتمل"),"",IF(OR(D68="★",I68="غير متوفر"),"عالية","متوسطة"))</f>
        <v/>
      </c>
      <c r="L68" s="31"/>
      <c r="M68" s="30"/>
      <c r="N68" s="31"/>
      <c r="O68" s="31"/>
      <c r="P68" s="30"/>
      <c r="Q68" s="31"/>
    </row>
    <row r="69" customFormat="false" ht="22.35" hidden="false" customHeight="false" outlineLevel="0" collapsed="false">
      <c r="A69" s="41" t="s">
        <v>377</v>
      </c>
      <c r="B69" s="42" t="s">
        <v>154</v>
      </c>
      <c r="C69" s="43"/>
      <c r="D69" s="44" t="s">
        <v>296</v>
      </c>
      <c r="E69" s="41" t="n">
        <v>3</v>
      </c>
      <c r="F69" s="43" t="s">
        <v>381</v>
      </c>
      <c r="G69" s="29" t="s">
        <v>586</v>
      </c>
      <c r="H69" s="28" t="str">
        <f aca="false">IFERROR(INDEX('الإعدادات واللجنة'!$C$24:$C$32,MATCH(LEFT(A69,3),'الإعدادات واللجنة'!$A$24:$A$32,0)),"")</f>
        <v>د. احمد بن عوض البشري</v>
      </c>
      <c r="I69" s="30"/>
      <c r="J69" s="30"/>
      <c r="K69" s="28" t="str">
        <f aca="false">IF(OR(I69="",I69="متوفر ومكتمل"),"",IF(OR(D69="★",I69="غير متوفر"),"عالية","متوسطة"))</f>
        <v/>
      </c>
      <c r="L69" s="31"/>
      <c r="M69" s="30"/>
      <c r="N69" s="31"/>
      <c r="O69" s="31"/>
      <c r="P69" s="30"/>
      <c r="Q69" s="31"/>
    </row>
    <row r="70" customFormat="false" ht="22.35" hidden="false" customHeight="false" outlineLevel="0" collapsed="false">
      <c r="A70" s="45" t="s">
        <v>382</v>
      </c>
      <c r="B70" s="46" t="s">
        <v>154</v>
      </c>
      <c r="C70" s="47" t="s">
        <v>383</v>
      </c>
      <c r="D70" s="48"/>
      <c r="E70" s="38" t="n">
        <v>1</v>
      </c>
      <c r="F70" s="47" t="s">
        <v>384</v>
      </c>
      <c r="G70" s="37" t="s">
        <v>586</v>
      </c>
      <c r="H70" s="38" t="str">
        <f aca="false">IFERROR(INDEX('الإعدادات واللجنة'!$C$24:$C$32,MATCH(LEFT(A70,3),'الإعدادات واللجنة'!$A$24:$A$32,0)),"")</f>
        <v>د. احمد بن عوض البشري</v>
      </c>
      <c r="I70" s="39"/>
      <c r="J70" s="39"/>
      <c r="K70" s="38" t="str">
        <f aca="false">IF(OR(I70="",I70="متوفر ومكتمل"),"",IF(OR(D70="★",I70="غير متوفر"),"عالية","متوسطة"))</f>
        <v/>
      </c>
      <c r="L70" s="40"/>
      <c r="M70" s="39"/>
      <c r="N70" s="40"/>
      <c r="O70" s="40"/>
      <c r="P70" s="39"/>
      <c r="Q70" s="40"/>
    </row>
    <row r="71" customFormat="false" ht="22.35" hidden="false" customHeight="false" outlineLevel="0" collapsed="false">
      <c r="A71" s="28" t="s">
        <v>382</v>
      </c>
      <c r="B71" s="25" t="s">
        <v>154</v>
      </c>
      <c r="C71" s="26"/>
      <c r="D71" s="27"/>
      <c r="E71" s="28" t="n">
        <v>2</v>
      </c>
      <c r="F71" s="26" t="s">
        <v>385</v>
      </c>
      <c r="G71" s="29" t="s">
        <v>586</v>
      </c>
      <c r="H71" s="28" t="str">
        <f aca="false">IFERROR(INDEX('الإعدادات واللجنة'!$C$24:$C$32,MATCH(LEFT(A71,3),'الإعدادات واللجنة'!$A$24:$A$32,0)),"")</f>
        <v>د. احمد بن عوض البشري</v>
      </c>
      <c r="I71" s="30"/>
      <c r="J71" s="30"/>
      <c r="K71" s="28" t="str">
        <f aca="false">IF(OR(I71="",I71="متوفر ومكتمل"),"",IF(OR(D71="★",I71="غير متوفر"),"عالية","متوسطة"))</f>
        <v/>
      </c>
      <c r="L71" s="31"/>
      <c r="M71" s="30"/>
      <c r="N71" s="31"/>
      <c r="O71" s="31"/>
      <c r="P71" s="30"/>
      <c r="Q71" s="31"/>
    </row>
    <row r="72" customFormat="false" ht="22.35" hidden="false" customHeight="false" outlineLevel="0" collapsed="false">
      <c r="A72" s="28" t="s">
        <v>382</v>
      </c>
      <c r="B72" s="25" t="s">
        <v>154</v>
      </c>
      <c r="C72" s="26"/>
      <c r="D72" s="27"/>
      <c r="E72" s="28" t="n">
        <v>3</v>
      </c>
      <c r="F72" s="26" t="s">
        <v>386</v>
      </c>
      <c r="G72" s="29" t="s">
        <v>586</v>
      </c>
      <c r="H72" s="28" t="str">
        <f aca="false">IFERROR(INDEX('الإعدادات واللجنة'!$C$24:$C$32,MATCH(LEFT(A72,3),'الإعدادات واللجنة'!$A$24:$A$32,0)),"")</f>
        <v>د. احمد بن عوض البشري</v>
      </c>
      <c r="I72" s="30"/>
      <c r="J72" s="30"/>
      <c r="K72" s="28" t="str">
        <f aca="false">IF(OR(I72="",I72="متوفر ومكتمل"),"",IF(OR(D72="★",I72="غير متوفر"),"عالية","متوسطة"))</f>
        <v/>
      </c>
      <c r="L72" s="31"/>
      <c r="M72" s="30"/>
      <c r="N72" s="31"/>
      <c r="O72" s="31"/>
      <c r="P72" s="30"/>
      <c r="Q72" s="31"/>
    </row>
    <row r="73" customFormat="false" ht="22.35" hidden="false" customHeight="false" outlineLevel="0" collapsed="false">
      <c r="A73" s="28" t="s">
        <v>382</v>
      </c>
      <c r="B73" s="25" t="s">
        <v>154</v>
      </c>
      <c r="C73" s="26"/>
      <c r="D73" s="27"/>
      <c r="E73" s="28" t="n">
        <v>4</v>
      </c>
      <c r="F73" s="26" t="s">
        <v>387</v>
      </c>
      <c r="G73" s="29" t="s">
        <v>586</v>
      </c>
      <c r="H73" s="28" t="str">
        <f aca="false">IFERROR(INDEX('الإعدادات واللجنة'!$C$24:$C$32,MATCH(LEFT(A73,3),'الإعدادات واللجنة'!$A$24:$A$32,0)),"")</f>
        <v>د. احمد بن عوض البشري</v>
      </c>
      <c r="I73" s="30"/>
      <c r="J73" s="30"/>
      <c r="K73" s="28" t="str">
        <f aca="false">IF(OR(I73="",I73="متوفر ومكتمل"),"",IF(OR(D73="★",I73="غير متوفر"),"عالية","متوسطة"))</f>
        <v/>
      </c>
      <c r="L73" s="31"/>
      <c r="M73" s="30"/>
      <c r="N73" s="31"/>
      <c r="O73" s="31"/>
      <c r="P73" s="30"/>
      <c r="Q73" s="31"/>
    </row>
    <row r="74" customFormat="false" ht="22.35" hidden="false" customHeight="false" outlineLevel="0" collapsed="false">
      <c r="A74" s="32" t="s">
        <v>388</v>
      </c>
      <c r="B74" s="33" t="s">
        <v>154</v>
      </c>
      <c r="C74" s="34" t="s">
        <v>389</v>
      </c>
      <c r="D74" s="35" t="s">
        <v>296</v>
      </c>
      <c r="E74" s="36" t="n">
        <v>1</v>
      </c>
      <c r="F74" s="34" t="s">
        <v>368</v>
      </c>
      <c r="G74" s="37" t="s">
        <v>586</v>
      </c>
      <c r="H74" s="38" t="str">
        <f aca="false">IFERROR(INDEX('الإعدادات واللجنة'!$C$24:$C$32,MATCH(LEFT(A74,3),'الإعدادات واللجنة'!$A$24:$A$32,0)),"")</f>
        <v>د. احمد بن عوض البشري</v>
      </c>
      <c r="I74" s="39"/>
      <c r="J74" s="39"/>
      <c r="K74" s="38" t="str">
        <f aca="false">IF(OR(I74="",I74="متوفر ومكتمل"),"",IF(OR(D74="★",I74="غير متوفر"),"عالية","متوسطة"))</f>
        <v/>
      </c>
      <c r="L74" s="40"/>
      <c r="M74" s="39"/>
      <c r="N74" s="40"/>
      <c r="O74" s="40"/>
      <c r="P74" s="39"/>
      <c r="Q74" s="40"/>
    </row>
    <row r="75" customFormat="false" ht="15" hidden="false" customHeight="false" outlineLevel="0" collapsed="false">
      <c r="A75" s="41" t="s">
        <v>388</v>
      </c>
      <c r="B75" s="42" t="s">
        <v>154</v>
      </c>
      <c r="C75" s="43"/>
      <c r="D75" s="44" t="s">
        <v>296</v>
      </c>
      <c r="E75" s="41" t="n">
        <v>2</v>
      </c>
      <c r="F75" s="43" t="s">
        <v>390</v>
      </c>
      <c r="G75" s="29" t="s">
        <v>586</v>
      </c>
      <c r="H75" s="28" t="str">
        <f aca="false">IFERROR(INDEX('الإعدادات واللجنة'!$C$24:$C$32,MATCH(LEFT(A75,3),'الإعدادات واللجنة'!$A$24:$A$32,0)),"")</f>
        <v>د. احمد بن عوض البشري</v>
      </c>
      <c r="I75" s="30"/>
      <c r="J75" s="30"/>
      <c r="K75" s="28" t="str">
        <f aca="false">IF(OR(I75="",I75="متوفر ومكتمل"),"",IF(OR(D75="★",I75="غير متوفر"),"عالية","متوسطة"))</f>
        <v/>
      </c>
      <c r="L75" s="31"/>
      <c r="M75" s="30"/>
      <c r="N75" s="31"/>
      <c r="O75" s="31"/>
      <c r="P75" s="30"/>
      <c r="Q75" s="31"/>
    </row>
    <row r="76" customFormat="false" ht="22.35" hidden="false" customHeight="false" outlineLevel="0" collapsed="false">
      <c r="A76" s="41" t="s">
        <v>388</v>
      </c>
      <c r="B76" s="42" t="s">
        <v>154</v>
      </c>
      <c r="C76" s="43"/>
      <c r="D76" s="44" t="s">
        <v>296</v>
      </c>
      <c r="E76" s="41" t="n">
        <v>3</v>
      </c>
      <c r="F76" s="43" t="s">
        <v>391</v>
      </c>
      <c r="G76" s="29" t="s">
        <v>586</v>
      </c>
      <c r="H76" s="28" t="str">
        <f aca="false">IFERROR(INDEX('الإعدادات واللجنة'!$C$24:$C$32,MATCH(LEFT(A76,3),'الإعدادات واللجنة'!$A$24:$A$32,0)),"")</f>
        <v>د. احمد بن عوض البشري</v>
      </c>
      <c r="I76" s="30"/>
      <c r="J76" s="30"/>
      <c r="K76" s="28" t="str">
        <f aca="false">IF(OR(I76="",I76="متوفر ومكتمل"),"",IF(OR(D76="★",I76="غير متوفر"),"عالية","متوسطة"))</f>
        <v/>
      </c>
      <c r="L76" s="31"/>
      <c r="M76" s="30"/>
      <c r="N76" s="31"/>
      <c r="O76" s="31"/>
      <c r="P76" s="30"/>
      <c r="Q76" s="31"/>
    </row>
    <row r="77" customFormat="false" ht="15" hidden="false" customHeight="false" outlineLevel="0" collapsed="false">
      <c r="A77" s="41" t="s">
        <v>388</v>
      </c>
      <c r="B77" s="42" t="s">
        <v>154</v>
      </c>
      <c r="C77" s="43"/>
      <c r="D77" s="44" t="s">
        <v>296</v>
      </c>
      <c r="E77" s="41" t="n">
        <v>4</v>
      </c>
      <c r="F77" s="43" t="s">
        <v>392</v>
      </c>
      <c r="G77" s="29" t="s">
        <v>586</v>
      </c>
      <c r="H77" s="28" t="str">
        <f aca="false">IFERROR(INDEX('الإعدادات واللجنة'!$C$24:$C$32,MATCH(LEFT(A77,3),'الإعدادات واللجنة'!$A$24:$A$32,0)),"")</f>
        <v>د. احمد بن عوض البشري</v>
      </c>
      <c r="I77" s="30"/>
      <c r="J77" s="30"/>
      <c r="K77" s="28" t="str">
        <f aca="false">IF(OR(I77="",I77="متوفر ومكتمل"),"",IF(OR(D77="★",I77="غير متوفر"),"عالية","متوسطة"))</f>
        <v/>
      </c>
      <c r="L77" s="31"/>
      <c r="M77" s="30"/>
      <c r="N77" s="31"/>
      <c r="O77" s="31"/>
      <c r="P77" s="30"/>
      <c r="Q77" s="31"/>
    </row>
    <row r="78" customFormat="false" ht="22.35" hidden="false" customHeight="false" outlineLevel="0" collapsed="false">
      <c r="A78" s="45" t="s">
        <v>393</v>
      </c>
      <c r="B78" s="46" t="s">
        <v>154</v>
      </c>
      <c r="C78" s="47" t="s">
        <v>394</v>
      </c>
      <c r="D78" s="48"/>
      <c r="E78" s="38" t="n">
        <v>1</v>
      </c>
      <c r="F78" s="47" t="s">
        <v>395</v>
      </c>
      <c r="G78" s="37" t="s">
        <v>586</v>
      </c>
      <c r="H78" s="38" t="str">
        <f aca="false">IFERROR(INDEX('الإعدادات واللجنة'!$C$24:$C$32,MATCH(LEFT(A78,3),'الإعدادات واللجنة'!$A$24:$A$32,0)),"")</f>
        <v>د. احمد بن عوض البشري</v>
      </c>
      <c r="I78" s="39"/>
      <c r="J78" s="39"/>
      <c r="K78" s="38" t="str">
        <f aca="false">IF(OR(I78="",I78="متوفر ومكتمل"),"",IF(OR(D78="★",I78="غير متوفر"),"عالية","متوسطة"))</f>
        <v/>
      </c>
      <c r="L78" s="40"/>
      <c r="M78" s="39"/>
      <c r="N78" s="40"/>
      <c r="O78" s="40"/>
      <c r="P78" s="39"/>
      <c r="Q78" s="40"/>
    </row>
    <row r="79" customFormat="false" ht="22.35" hidden="false" customHeight="false" outlineLevel="0" collapsed="false">
      <c r="A79" s="28" t="s">
        <v>393</v>
      </c>
      <c r="B79" s="25" t="s">
        <v>154</v>
      </c>
      <c r="C79" s="26"/>
      <c r="D79" s="27"/>
      <c r="E79" s="28" t="n">
        <v>2</v>
      </c>
      <c r="F79" s="26" t="s">
        <v>396</v>
      </c>
      <c r="G79" s="29" t="s">
        <v>586</v>
      </c>
      <c r="H79" s="28" t="str">
        <f aca="false">IFERROR(INDEX('الإعدادات واللجنة'!$C$24:$C$32,MATCH(LEFT(A79,3),'الإعدادات واللجنة'!$A$24:$A$32,0)),"")</f>
        <v>د. احمد بن عوض البشري</v>
      </c>
      <c r="I79" s="30"/>
      <c r="J79" s="30"/>
      <c r="K79" s="28" t="str">
        <f aca="false">IF(OR(I79="",I79="متوفر ومكتمل"),"",IF(OR(D79="★",I79="غير متوفر"),"عالية","متوسطة"))</f>
        <v/>
      </c>
      <c r="L79" s="31"/>
      <c r="M79" s="30"/>
      <c r="N79" s="31"/>
      <c r="O79" s="31"/>
      <c r="P79" s="30"/>
      <c r="Q79" s="31"/>
    </row>
    <row r="80" customFormat="false" ht="22.35" hidden="false" customHeight="false" outlineLevel="0" collapsed="false">
      <c r="A80" s="28" t="s">
        <v>393</v>
      </c>
      <c r="B80" s="25" t="s">
        <v>154</v>
      </c>
      <c r="C80" s="26"/>
      <c r="D80" s="27"/>
      <c r="E80" s="28" t="n">
        <v>3</v>
      </c>
      <c r="F80" s="26" t="s">
        <v>397</v>
      </c>
      <c r="G80" s="29" t="s">
        <v>586</v>
      </c>
      <c r="H80" s="28" t="str">
        <f aca="false">IFERROR(INDEX('الإعدادات واللجنة'!$C$24:$C$32,MATCH(LEFT(A80,3),'الإعدادات واللجنة'!$A$24:$A$32,0)),"")</f>
        <v>د. احمد بن عوض البشري</v>
      </c>
      <c r="I80" s="30"/>
      <c r="J80" s="30"/>
      <c r="K80" s="28" t="str">
        <f aca="false">IF(OR(I80="",I80="متوفر ومكتمل"),"",IF(OR(D80="★",I80="غير متوفر"),"عالية","متوسطة"))</f>
        <v/>
      </c>
      <c r="L80" s="31"/>
      <c r="M80" s="30"/>
      <c r="N80" s="31"/>
      <c r="O80" s="31"/>
      <c r="P80" s="30"/>
      <c r="Q80" s="31"/>
    </row>
    <row r="81" customFormat="false" ht="15" hidden="false" customHeight="false" outlineLevel="0" collapsed="false">
      <c r="A81" s="28" t="s">
        <v>393</v>
      </c>
      <c r="B81" s="25" t="s">
        <v>154</v>
      </c>
      <c r="C81" s="26"/>
      <c r="D81" s="27"/>
      <c r="E81" s="28" t="n">
        <v>4</v>
      </c>
      <c r="F81" s="26" t="s">
        <v>398</v>
      </c>
      <c r="G81" s="29" t="s">
        <v>586</v>
      </c>
      <c r="H81" s="28" t="str">
        <f aca="false">IFERROR(INDEX('الإعدادات واللجنة'!$C$24:$C$32,MATCH(LEFT(A81,3),'الإعدادات واللجنة'!$A$24:$A$32,0)),"")</f>
        <v>د. احمد بن عوض البشري</v>
      </c>
      <c r="I81" s="30"/>
      <c r="J81" s="30"/>
      <c r="K81" s="28" t="str">
        <f aca="false">IF(OR(I81="",I81="متوفر ومكتمل"),"",IF(OR(D81="★",I81="غير متوفر"),"عالية","متوسطة"))</f>
        <v/>
      </c>
      <c r="L81" s="31"/>
      <c r="M81" s="30"/>
      <c r="N81" s="31"/>
      <c r="O81" s="31"/>
      <c r="P81" s="30"/>
      <c r="Q81" s="31"/>
    </row>
    <row r="82" customFormat="false" ht="32.8" hidden="false" customHeight="false" outlineLevel="0" collapsed="false">
      <c r="A82" s="32" t="s">
        <v>399</v>
      </c>
      <c r="B82" s="33" t="s">
        <v>154</v>
      </c>
      <c r="C82" s="34" t="s">
        <v>400</v>
      </c>
      <c r="D82" s="35" t="s">
        <v>296</v>
      </c>
      <c r="E82" s="36" t="n">
        <v>1</v>
      </c>
      <c r="F82" s="34" t="s">
        <v>401</v>
      </c>
      <c r="G82" s="37" t="s">
        <v>586</v>
      </c>
      <c r="H82" s="38" t="str">
        <f aca="false">IFERROR(INDEX('الإعدادات واللجنة'!$C$24:$C$32,MATCH(LEFT(A82,3),'الإعدادات واللجنة'!$A$24:$A$32,0)),"")</f>
        <v>د. احمد بن عوض البشري</v>
      </c>
      <c r="I82" s="39"/>
      <c r="J82" s="39"/>
      <c r="K82" s="38" t="str">
        <f aca="false">IF(OR(I82="",I82="متوفر ومكتمل"),"",IF(OR(D82="★",I82="غير متوفر"),"عالية","متوسطة"))</f>
        <v/>
      </c>
      <c r="L82" s="40"/>
      <c r="M82" s="39"/>
      <c r="N82" s="40"/>
      <c r="O82" s="40"/>
      <c r="P82" s="39"/>
      <c r="Q82" s="40"/>
    </row>
    <row r="83" customFormat="false" ht="22.35" hidden="false" customHeight="false" outlineLevel="0" collapsed="false">
      <c r="A83" s="41" t="s">
        <v>399</v>
      </c>
      <c r="B83" s="42" t="s">
        <v>154</v>
      </c>
      <c r="C83" s="43"/>
      <c r="D83" s="44" t="s">
        <v>296</v>
      </c>
      <c r="E83" s="41" t="n">
        <v>2</v>
      </c>
      <c r="F83" s="43" t="s">
        <v>402</v>
      </c>
      <c r="G83" s="29" t="s">
        <v>586</v>
      </c>
      <c r="H83" s="28" t="str">
        <f aca="false">IFERROR(INDEX('الإعدادات واللجنة'!$C$24:$C$32,MATCH(LEFT(A83,3),'الإعدادات واللجنة'!$A$24:$A$32,0)),"")</f>
        <v>د. احمد بن عوض البشري</v>
      </c>
      <c r="I83" s="30"/>
      <c r="J83" s="30"/>
      <c r="K83" s="28" t="str">
        <f aca="false">IF(OR(I83="",I83="متوفر ومكتمل"),"",IF(OR(D83="★",I83="غير متوفر"),"عالية","متوسطة"))</f>
        <v/>
      </c>
      <c r="L83" s="31"/>
      <c r="M83" s="30"/>
      <c r="N83" s="31"/>
      <c r="O83" s="31"/>
      <c r="P83" s="30"/>
      <c r="Q83" s="31"/>
    </row>
    <row r="84" customFormat="false" ht="22.35" hidden="false" customHeight="false" outlineLevel="0" collapsed="false">
      <c r="A84" s="41" t="s">
        <v>399</v>
      </c>
      <c r="B84" s="42" t="s">
        <v>154</v>
      </c>
      <c r="C84" s="43"/>
      <c r="D84" s="44" t="s">
        <v>296</v>
      </c>
      <c r="E84" s="41" t="n">
        <v>3</v>
      </c>
      <c r="F84" s="43" t="s">
        <v>403</v>
      </c>
      <c r="G84" s="29" t="s">
        <v>586</v>
      </c>
      <c r="H84" s="28" t="str">
        <f aca="false">IFERROR(INDEX('الإعدادات واللجنة'!$C$24:$C$32,MATCH(LEFT(A84,3),'الإعدادات واللجنة'!$A$24:$A$32,0)),"")</f>
        <v>د. احمد بن عوض البشري</v>
      </c>
      <c r="I84" s="30"/>
      <c r="J84" s="30"/>
      <c r="K84" s="28" t="str">
        <f aca="false">IF(OR(I84="",I84="متوفر ومكتمل"),"",IF(OR(D84="★",I84="غير متوفر"),"عالية","متوسطة"))</f>
        <v/>
      </c>
      <c r="L84" s="31"/>
      <c r="M84" s="30"/>
      <c r="N84" s="31"/>
      <c r="O84" s="31"/>
      <c r="P84" s="30"/>
      <c r="Q84" s="31"/>
    </row>
    <row r="85" customFormat="false" ht="22.35" hidden="false" customHeight="false" outlineLevel="0" collapsed="false">
      <c r="A85" s="41" t="s">
        <v>399</v>
      </c>
      <c r="B85" s="42" t="s">
        <v>154</v>
      </c>
      <c r="C85" s="43"/>
      <c r="D85" s="44" t="s">
        <v>296</v>
      </c>
      <c r="E85" s="41" t="n">
        <v>4</v>
      </c>
      <c r="F85" s="43" t="s">
        <v>404</v>
      </c>
      <c r="G85" s="29" t="s">
        <v>586</v>
      </c>
      <c r="H85" s="28" t="str">
        <f aca="false">IFERROR(INDEX('الإعدادات واللجنة'!$C$24:$C$32,MATCH(LEFT(A85,3),'الإعدادات واللجنة'!$A$24:$A$32,0)),"")</f>
        <v>د. احمد بن عوض البشري</v>
      </c>
      <c r="I85" s="30"/>
      <c r="J85" s="30"/>
      <c r="K85" s="28" t="str">
        <f aca="false">IF(OR(I85="",I85="متوفر ومكتمل"),"",IF(OR(D85="★",I85="غير متوفر"),"عالية","متوسطة"))</f>
        <v/>
      </c>
      <c r="L85" s="31"/>
      <c r="M85" s="30"/>
      <c r="N85" s="31"/>
      <c r="O85" s="31"/>
      <c r="P85" s="30"/>
      <c r="Q85" s="31"/>
    </row>
    <row r="86" customFormat="false" ht="22.35" hidden="false" customHeight="false" outlineLevel="0" collapsed="false">
      <c r="A86" s="41" t="s">
        <v>399</v>
      </c>
      <c r="B86" s="42" t="s">
        <v>154</v>
      </c>
      <c r="C86" s="43"/>
      <c r="D86" s="44" t="s">
        <v>296</v>
      </c>
      <c r="E86" s="41" t="n">
        <v>5</v>
      </c>
      <c r="F86" s="43" t="s">
        <v>405</v>
      </c>
      <c r="G86" s="29" t="s">
        <v>586</v>
      </c>
      <c r="H86" s="28" t="str">
        <f aca="false">IFERROR(INDEX('الإعدادات واللجنة'!$C$24:$C$32,MATCH(LEFT(A86,3),'الإعدادات واللجنة'!$A$24:$A$32,0)),"")</f>
        <v>د. احمد بن عوض البشري</v>
      </c>
      <c r="I86" s="30"/>
      <c r="J86" s="30"/>
      <c r="K86" s="28" t="str">
        <f aca="false">IF(OR(I86="",I86="متوفر ومكتمل"),"",IF(OR(D86="★",I86="غير متوفر"),"عالية","متوسطة"))</f>
        <v/>
      </c>
      <c r="L86" s="31"/>
      <c r="M86" s="30"/>
      <c r="N86" s="31"/>
      <c r="O86" s="31"/>
      <c r="P86" s="30"/>
      <c r="Q86" s="31"/>
    </row>
    <row r="87" customFormat="false" ht="22.35" hidden="false" customHeight="false" outlineLevel="0" collapsed="false">
      <c r="A87" s="41" t="s">
        <v>399</v>
      </c>
      <c r="B87" s="42" t="s">
        <v>154</v>
      </c>
      <c r="C87" s="43"/>
      <c r="D87" s="44" t="s">
        <v>296</v>
      </c>
      <c r="E87" s="41" t="n">
        <v>6</v>
      </c>
      <c r="F87" s="43" t="s">
        <v>406</v>
      </c>
      <c r="G87" s="29" t="s">
        <v>586</v>
      </c>
      <c r="H87" s="28" t="str">
        <f aca="false">IFERROR(INDEX('الإعدادات واللجنة'!$C$24:$C$32,MATCH(LEFT(A87,3),'الإعدادات واللجنة'!$A$24:$A$32,0)),"")</f>
        <v>د. احمد بن عوض البشري</v>
      </c>
      <c r="I87" s="30"/>
      <c r="J87" s="30"/>
      <c r="K87" s="28" t="str">
        <f aca="false">IF(OR(I87="",I87="متوفر ومكتمل"),"",IF(OR(D87="★",I87="غير متوفر"),"عالية","متوسطة"))</f>
        <v/>
      </c>
      <c r="L87" s="31"/>
      <c r="M87" s="30"/>
      <c r="N87" s="31"/>
      <c r="O87" s="31"/>
      <c r="P87" s="30"/>
      <c r="Q87" s="31"/>
    </row>
    <row r="88" customFormat="false" ht="32.8" hidden="false" customHeight="false" outlineLevel="0" collapsed="false">
      <c r="A88" s="32" t="s">
        <v>407</v>
      </c>
      <c r="B88" s="33" t="s">
        <v>154</v>
      </c>
      <c r="C88" s="34" t="s">
        <v>408</v>
      </c>
      <c r="D88" s="35" t="s">
        <v>296</v>
      </c>
      <c r="E88" s="36" t="n">
        <v>1</v>
      </c>
      <c r="F88" s="34" t="s">
        <v>409</v>
      </c>
      <c r="G88" s="37" t="s">
        <v>586</v>
      </c>
      <c r="H88" s="38" t="str">
        <f aca="false">IFERROR(INDEX('الإعدادات واللجنة'!$C$24:$C$32,MATCH(LEFT(A88,3),'الإعدادات واللجنة'!$A$24:$A$32,0)),"")</f>
        <v>د. احمد بن عوض البشري</v>
      </c>
      <c r="I88" s="39"/>
      <c r="J88" s="39"/>
      <c r="K88" s="38" t="str">
        <f aca="false">IF(OR(I88="",I88="متوفر ومكتمل"),"",IF(OR(D88="★",I88="غير متوفر"),"عالية","متوسطة"))</f>
        <v/>
      </c>
      <c r="L88" s="40"/>
      <c r="M88" s="39"/>
      <c r="N88" s="40"/>
      <c r="O88" s="40"/>
      <c r="P88" s="39"/>
      <c r="Q88" s="40"/>
    </row>
    <row r="89" customFormat="false" ht="22.35" hidden="false" customHeight="false" outlineLevel="0" collapsed="false">
      <c r="A89" s="41" t="s">
        <v>407</v>
      </c>
      <c r="B89" s="42" t="s">
        <v>154</v>
      </c>
      <c r="C89" s="43"/>
      <c r="D89" s="44" t="s">
        <v>296</v>
      </c>
      <c r="E89" s="41" t="n">
        <v>2</v>
      </c>
      <c r="F89" s="43" t="s">
        <v>410</v>
      </c>
      <c r="G89" s="29" t="s">
        <v>586</v>
      </c>
      <c r="H89" s="28" t="str">
        <f aca="false">IFERROR(INDEX('الإعدادات واللجنة'!$C$24:$C$32,MATCH(LEFT(A89,3),'الإعدادات واللجنة'!$A$24:$A$32,0)),"")</f>
        <v>د. احمد بن عوض البشري</v>
      </c>
      <c r="I89" s="30"/>
      <c r="J89" s="30"/>
      <c r="K89" s="28" t="str">
        <f aca="false">IF(OR(I89="",I89="متوفر ومكتمل"),"",IF(OR(D89="★",I89="غير متوفر"),"عالية","متوسطة"))</f>
        <v/>
      </c>
      <c r="L89" s="31"/>
      <c r="M89" s="30"/>
      <c r="N89" s="31"/>
      <c r="O89" s="31"/>
      <c r="P89" s="30"/>
      <c r="Q89" s="31"/>
    </row>
    <row r="90" customFormat="false" ht="22.35" hidden="false" customHeight="false" outlineLevel="0" collapsed="false">
      <c r="A90" s="41" t="s">
        <v>407</v>
      </c>
      <c r="B90" s="42" t="s">
        <v>154</v>
      </c>
      <c r="C90" s="43"/>
      <c r="D90" s="44" t="s">
        <v>296</v>
      </c>
      <c r="E90" s="41" t="n">
        <v>3</v>
      </c>
      <c r="F90" s="43" t="s">
        <v>404</v>
      </c>
      <c r="G90" s="29" t="s">
        <v>586</v>
      </c>
      <c r="H90" s="28" t="str">
        <f aca="false">IFERROR(INDEX('الإعدادات واللجنة'!$C$24:$C$32,MATCH(LEFT(A90,3),'الإعدادات واللجنة'!$A$24:$A$32,0)),"")</f>
        <v>د. احمد بن عوض البشري</v>
      </c>
      <c r="I90" s="30"/>
      <c r="J90" s="30"/>
      <c r="K90" s="28" t="str">
        <f aca="false">IF(OR(I90="",I90="متوفر ومكتمل"),"",IF(OR(D90="★",I90="غير متوفر"),"عالية","متوسطة"))</f>
        <v/>
      </c>
      <c r="L90" s="31"/>
      <c r="M90" s="30"/>
      <c r="N90" s="31"/>
      <c r="O90" s="31"/>
      <c r="P90" s="30"/>
      <c r="Q90" s="31"/>
    </row>
    <row r="91" customFormat="false" ht="22.35" hidden="false" customHeight="false" outlineLevel="0" collapsed="false">
      <c r="A91" s="41" t="s">
        <v>407</v>
      </c>
      <c r="B91" s="42" t="s">
        <v>154</v>
      </c>
      <c r="C91" s="43"/>
      <c r="D91" s="44" t="s">
        <v>296</v>
      </c>
      <c r="E91" s="41" t="n">
        <v>4</v>
      </c>
      <c r="F91" s="43" t="s">
        <v>411</v>
      </c>
      <c r="G91" s="29" t="s">
        <v>586</v>
      </c>
      <c r="H91" s="28" t="str">
        <f aca="false">IFERROR(INDEX('الإعدادات واللجنة'!$C$24:$C$32,MATCH(LEFT(A91,3),'الإعدادات واللجنة'!$A$24:$A$32,0)),"")</f>
        <v>د. احمد بن عوض البشري</v>
      </c>
      <c r="I91" s="30"/>
      <c r="J91" s="30"/>
      <c r="K91" s="28" t="str">
        <f aca="false">IF(OR(I91="",I91="متوفر ومكتمل"),"",IF(OR(D91="★",I91="غير متوفر"),"عالية","متوسطة"))</f>
        <v/>
      </c>
      <c r="L91" s="31"/>
      <c r="M91" s="30"/>
      <c r="N91" s="31"/>
      <c r="O91" s="31"/>
      <c r="P91" s="30"/>
      <c r="Q91" s="31"/>
    </row>
    <row r="92" customFormat="false" ht="22.35" hidden="false" customHeight="false" outlineLevel="0" collapsed="false">
      <c r="A92" s="45" t="s">
        <v>412</v>
      </c>
      <c r="B92" s="46" t="s">
        <v>154</v>
      </c>
      <c r="C92" s="47" t="s">
        <v>419</v>
      </c>
      <c r="D92" s="48"/>
      <c r="E92" s="38" t="n">
        <v>1</v>
      </c>
      <c r="F92" s="47" t="s">
        <v>402</v>
      </c>
      <c r="G92" s="37" t="s">
        <v>586</v>
      </c>
      <c r="H92" s="38" t="str">
        <f aca="false">IFERROR(INDEX('الإعدادات واللجنة'!$C$24:$C$32,MATCH(LEFT(A92,3),'الإعدادات واللجنة'!$A$24:$A$32,0)),"")</f>
        <v>د. احمد بن عوض البشري</v>
      </c>
      <c r="I92" s="39"/>
      <c r="J92" s="39"/>
      <c r="K92" s="38" t="str">
        <f aca="false">IF(OR(I92="",I92="متوفر ومكتمل"),"",IF(OR(D92="★",I92="غير متوفر"),"عالية","متوسطة"))</f>
        <v/>
      </c>
      <c r="L92" s="40"/>
      <c r="M92" s="39"/>
      <c r="N92" s="40"/>
      <c r="O92" s="40"/>
      <c r="P92" s="39"/>
      <c r="Q92" s="40"/>
    </row>
    <row r="93" customFormat="false" ht="15" hidden="false" customHeight="false" outlineLevel="0" collapsed="false">
      <c r="A93" s="28" t="s">
        <v>412</v>
      </c>
      <c r="B93" s="25" t="s">
        <v>154</v>
      </c>
      <c r="C93" s="26"/>
      <c r="D93" s="27"/>
      <c r="E93" s="28" t="n">
        <v>2</v>
      </c>
      <c r="F93" s="26" t="s">
        <v>420</v>
      </c>
      <c r="G93" s="29" t="s">
        <v>586</v>
      </c>
      <c r="H93" s="28" t="str">
        <f aca="false">IFERROR(INDEX('الإعدادات واللجنة'!$C$24:$C$32,MATCH(LEFT(A93,3),'الإعدادات واللجنة'!$A$24:$A$32,0)),"")</f>
        <v>د. احمد بن عوض البشري</v>
      </c>
      <c r="I93" s="30"/>
      <c r="J93" s="30"/>
      <c r="K93" s="28" t="str">
        <f aca="false">IF(OR(I93="",I93="متوفر ومكتمل"),"",IF(OR(D93="★",I93="غير متوفر"),"عالية","متوسطة"))</f>
        <v/>
      </c>
      <c r="L93" s="31"/>
      <c r="M93" s="30"/>
      <c r="N93" s="31"/>
      <c r="O93" s="31"/>
      <c r="P93" s="30"/>
      <c r="Q93" s="31"/>
    </row>
    <row r="94" customFormat="false" ht="15" hidden="false" customHeight="false" outlineLevel="0" collapsed="false">
      <c r="A94" s="28" t="s">
        <v>412</v>
      </c>
      <c r="B94" s="25" t="s">
        <v>154</v>
      </c>
      <c r="C94" s="26"/>
      <c r="D94" s="27"/>
      <c r="E94" s="28" t="n">
        <v>3</v>
      </c>
      <c r="F94" s="26" t="s">
        <v>421</v>
      </c>
      <c r="G94" s="29" t="s">
        <v>586</v>
      </c>
      <c r="H94" s="28" t="str">
        <f aca="false">IFERROR(INDEX('الإعدادات واللجنة'!$C$24:$C$32,MATCH(LEFT(A94,3),'الإعدادات واللجنة'!$A$24:$A$32,0)),"")</f>
        <v>د. احمد بن عوض البشري</v>
      </c>
      <c r="I94" s="30"/>
      <c r="J94" s="30"/>
      <c r="K94" s="28" t="str">
        <f aca="false">IF(OR(I94="",I94="متوفر ومكتمل"),"",IF(OR(D94="★",I94="غير متوفر"),"عالية","متوسطة"))</f>
        <v/>
      </c>
      <c r="L94" s="31"/>
      <c r="M94" s="30"/>
      <c r="N94" s="31"/>
      <c r="O94" s="31"/>
      <c r="P94" s="30"/>
      <c r="Q94" s="31"/>
    </row>
    <row r="95" customFormat="false" ht="32.8" hidden="false" customHeight="false" outlineLevel="0" collapsed="false">
      <c r="A95" s="28" t="s">
        <v>412</v>
      </c>
      <c r="B95" s="25" t="s">
        <v>154</v>
      </c>
      <c r="C95" s="26"/>
      <c r="D95" s="27"/>
      <c r="E95" s="28" t="n">
        <v>4</v>
      </c>
      <c r="F95" s="26" t="s">
        <v>422</v>
      </c>
      <c r="G95" s="29" t="s">
        <v>586</v>
      </c>
      <c r="H95" s="28" t="str">
        <f aca="false">IFERROR(INDEX('الإعدادات واللجنة'!$C$24:$C$32,MATCH(LEFT(A95,3),'الإعدادات واللجنة'!$A$24:$A$32,0)),"")</f>
        <v>د. احمد بن عوض البشري</v>
      </c>
      <c r="I95" s="30"/>
      <c r="J95" s="30"/>
      <c r="K95" s="28" t="str">
        <f aca="false">IF(OR(I95="",I95="متوفر ومكتمل"),"",IF(OR(D95="★",I95="غير متوفر"),"عالية","متوسطة"))</f>
        <v/>
      </c>
      <c r="L95" s="31"/>
      <c r="M95" s="30"/>
      <c r="N95" s="31"/>
      <c r="O95" s="31"/>
      <c r="P95" s="30"/>
      <c r="Q95" s="31"/>
    </row>
    <row r="96" customFormat="false" ht="32.8" hidden="false" customHeight="false" outlineLevel="0" collapsed="false">
      <c r="A96" s="32" t="s">
        <v>418</v>
      </c>
      <c r="B96" s="33" t="s">
        <v>154</v>
      </c>
      <c r="C96" s="34" t="s">
        <v>433</v>
      </c>
      <c r="D96" s="35" t="s">
        <v>296</v>
      </c>
      <c r="E96" s="36" t="n">
        <v>1</v>
      </c>
      <c r="F96" s="34" t="s">
        <v>434</v>
      </c>
      <c r="G96" s="37" t="s">
        <v>586</v>
      </c>
      <c r="H96" s="38" t="str">
        <f aca="false">IFERROR(INDEX('الإعدادات واللجنة'!$C$24:$C$32,MATCH(LEFT(A96,3),'الإعدادات واللجنة'!$A$24:$A$32,0)),"")</f>
        <v>د. احمد بن عوض البشري</v>
      </c>
      <c r="I96" s="39"/>
      <c r="J96" s="39"/>
      <c r="K96" s="38" t="str">
        <f aca="false">IF(OR(I96="",I96="متوفر ومكتمل"),"",IF(OR(D96="★",I96="غير متوفر"),"عالية","متوسطة"))</f>
        <v/>
      </c>
      <c r="L96" s="40"/>
      <c r="M96" s="39"/>
      <c r="N96" s="40"/>
      <c r="O96" s="40"/>
      <c r="P96" s="39"/>
      <c r="Q96" s="40"/>
    </row>
    <row r="97" customFormat="false" ht="22.35" hidden="false" customHeight="false" outlineLevel="0" collapsed="false">
      <c r="A97" s="41" t="s">
        <v>418</v>
      </c>
      <c r="B97" s="42" t="s">
        <v>154</v>
      </c>
      <c r="C97" s="43"/>
      <c r="D97" s="44" t="s">
        <v>296</v>
      </c>
      <c r="E97" s="41" t="n">
        <v>2</v>
      </c>
      <c r="F97" s="43" t="s">
        <v>435</v>
      </c>
      <c r="G97" s="29" t="s">
        <v>586</v>
      </c>
      <c r="H97" s="28" t="str">
        <f aca="false">IFERROR(INDEX('الإعدادات واللجنة'!$C$24:$C$32,MATCH(LEFT(A97,3),'الإعدادات واللجنة'!$A$24:$A$32,0)),"")</f>
        <v>د. احمد بن عوض البشري</v>
      </c>
      <c r="I97" s="30"/>
      <c r="J97" s="30"/>
      <c r="K97" s="28" t="str">
        <f aca="false">IF(OR(I97="",I97="متوفر ومكتمل"),"",IF(OR(D97="★",I97="غير متوفر"),"عالية","متوسطة"))</f>
        <v/>
      </c>
      <c r="L97" s="31"/>
      <c r="M97" s="30"/>
      <c r="N97" s="31"/>
      <c r="O97" s="31"/>
      <c r="P97" s="30"/>
      <c r="Q97" s="31"/>
    </row>
    <row r="98" customFormat="false" ht="32.8" hidden="false" customHeight="false" outlineLevel="0" collapsed="false">
      <c r="A98" s="32" t="s">
        <v>436</v>
      </c>
      <c r="B98" s="33" t="s">
        <v>154</v>
      </c>
      <c r="C98" s="34" t="s">
        <v>587</v>
      </c>
      <c r="D98" s="35" t="s">
        <v>296</v>
      </c>
      <c r="E98" s="36" t="n">
        <v>1</v>
      </c>
      <c r="F98" s="34" t="s">
        <v>438</v>
      </c>
      <c r="G98" s="37" t="s">
        <v>586</v>
      </c>
      <c r="H98" s="38" t="str">
        <f aca="false">IFERROR(INDEX('الإعدادات واللجنة'!$C$24:$C$32,MATCH(LEFT(A98,3),'الإعدادات واللجنة'!$A$24:$A$32,0)),"")</f>
        <v>د. يثرب بنت سعد القحطاني</v>
      </c>
      <c r="I98" s="39"/>
      <c r="J98" s="39"/>
      <c r="K98" s="38" t="str">
        <f aca="false">IF(OR(I98="",I98="متوفر ومكتمل"),"",IF(OR(D98="★",I98="غير متوفر"),"عالية","متوسطة"))</f>
        <v/>
      </c>
      <c r="L98" s="40"/>
      <c r="M98" s="39"/>
      <c r="N98" s="40"/>
      <c r="O98" s="40"/>
      <c r="P98" s="39"/>
      <c r="Q98" s="40"/>
    </row>
    <row r="99" customFormat="false" ht="22.35" hidden="false" customHeight="false" outlineLevel="0" collapsed="false">
      <c r="A99" s="41" t="s">
        <v>436</v>
      </c>
      <c r="B99" s="42" t="s">
        <v>154</v>
      </c>
      <c r="C99" s="43"/>
      <c r="D99" s="44" t="s">
        <v>296</v>
      </c>
      <c r="E99" s="41" t="n">
        <v>2</v>
      </c>
      <c r="F99" s="43" t="s">
        <v>439</v>
      </c>
      <c r="G99" s="29" t="s">
        <v>586</v>
      </c>
      <c r="H99" s="28" t="str">
        <f aca="false">IFERROR(INDEX('الإعدادات واللجنة'!$C$24:$C$32,MATCH(LEFT(A99,3),'الإعدادات واللجنة'!$A$24:$A$32,0)),"")</f>
        <v>د. يثرب بنت سعد القحطاني</v>
      </c>
      <c r="I99" s="30"/>
      <c r="J99" s="30"/>
      <c r="K99" s="28" t="str">
        <f aca="false">IF(OR(I99="",I99="متوفر ومكتمل"),"",IF(OR(D99="★",I99="غير متوفر"),"عالية","متوسطة"))</f>
        <v/>
      </c>
      <c r="L99" s="31"/>
      <c r="M99" s="30"/>
      <c r="N99" s="31"/>
      <c r="O99" s="31"/>
      <c r="P99" s="30"/>
      <c r="Q99" s="31"/>
    </row>
    <row r="100" customFormat="false" ht="32.8" hidden="false" customHeight="false" outlineLevel="0" collapsed="false">
      <c r="A100" s="41" t="s">
        <v>436</v>
      </c>
      <c r="B100" s="42" t="s">
        <v>154</v>
      </c>
      <c r="C100" s="43"/>
      <c r="D100" s="44" t="s">
        <v>296</v>
      </c>
      <c r="E100" s="41" t="n">
        <v>3</v>
      </c>
      <c r="F100" s="43" t="s">
        <v>440</v>
      </c>
      <c r="G100" s="29" t="s">
        <v>586</v>
      </c>
      <c r="H100" s="28" t="str">
        <f aca="false">IFERROR(INDEX('الإعدادات واللجنة'!$C$24:$C$32,MATCH(LEFT(A100,3),'الإعدادات واللجنة'!$A$24:$A$32,0)),"")</f>
        <v>د. يثرب بنت سعد القحطاني</v>
      </c>
      <c r="I100" s="30"/>
      <c r="J100" s="30"/>
      <c r="K100" s="28" t="str">
        <f aca="false">IF(OR(I100="",I100="متوفر ومكتمل"),"",IF(OR(D100="★",I100="غير متوفر"),"عالية","متوسطة"))</f>
        <v/>
      </c>
      <c r="L100" s="31"/>
      <c r="M100" s="30"/>
      <c r="N100" s="31"/>
      <c r="O100" s="31"/>
      <c r="P100" s="30"/>
      <c r="Q100" s="31"/>
    </row>
    <row r="101" customFormat="false" ht="22.35" hidden="false" customHeight="false" outlineLevel="0" collapsed="false">
      <c r="A101" s="41" t="s">
        <v>436</v>
      </c>
      <c r="B101" s="42" t="s">
        <v>154</v>
      </c>
      <c r="C101" s="43"/>
      <c r="D101" s="44" t="s">
        <v>296</v>
      </c>
      <c r="E101" s="41" t="n">
        <v>4</v>
      </c>
      <c r="F101" s="43" t="s">
        <v>441</v>
      </c>
      <c r="G101" s="29" t="s">
        <v>586</v>
      </c>
      <c r="H101" s="28" t="str">
        <f aca="false">IFERROR(INDEX('الإعدادات واللجنة'!$C$24:$C$32,MATCH(LEFT(A101,3),'الإعدادات واللجنة'!$A$24:$A$32,0)),"")</f>
        <v>د. يثرب بنت سعد القحطاني</v>
      </c>
      <c r="I101" s="30"/>
      <c r="J101" s="30"/>
      <c r="K101" s="28" t="str">
        <f aca="false">IF(OR(I101="",I101="متوفر ومكتمل"),"",IF(OR(D101="★",I101="غير متوفر"),"عالية","متوسطة"))</f>
        <v/>
      </c>
      <c r="L101" s="31"/>
      <c r="M101" s="30"/>
      <c r="N101" s="31"/>
      <c r="O101" s="31"/>
      <c r="P101" s="30"/>
      <c r="Q101" s="31"/>
    </row>
    <row r="102" customFormat="false" ht="22.35" hidden="false" customHeight="false" outlineLevel="0" collapsed="false">
      <c r="A102" s="41" t="s">
        <v>436</v>
      </c>
      <c r="B102" s="42" t="s">
        <v>154</v>
      </c>
      <c r="C102" s="43"/>
      <c r="D102" s="44" t="s">
        <v>296</v>
      </c>
      <c r="E102" s="41" t="n">
        <v>5</v>
      </c>
      <c r="F102" s="43" t="s">
        <v>442</v>
      </c>
      <c r="G102" s="29" t="s">
        <v>586</v>
      </c>
      <c r="H102" s="28" t="str">
        <f aca="false">IFERROR(INDEX('الإعدادات واللجنة'!$C$24:$C$32,MATCH(LEFT(A102,3),'الإعدادات واللجنة'!$A$24:$A$32,0)),"")</f>
        <v>د. يثرب بنت سعد القحطاني</v>
      </c>
      <c r="I102" s="30"/>
      <c r="J102" s="30"/>
      <c r="K102" s="28" t="str">
        <f aca="false">IF(OR(I102="",I102="متوفر ومكتمل"),"",IF(OR(D102="★",I102="غير متوفر"),"عالية","متوسطة"))</f>
        <v/>
      </c>
      <c r="L102" s="31"/>
      <c r="M102" s="30"/>
      <c r="N102" s="31"/>
      <c r="O102" s="31"/>
      <c r="P102" s="30"/>
      <c r="Q102" s="31"/>
    </row>
    <row r="103" customFormat="false" ht="32.8" hidden="false" customHeight="false" outlineLevel="0" collapsed="false">
      <c r="A103" s="45" t="s">
        <v>443</v>
      </c>
      <c r="B103" s="46" t="s">
        <v>154</v>
      </c>
      <c r="C103" s="47" t="s">
        <v>424</v>
      </c>
      <c r="D103" s="48"/>
      <c r="E103" s="38" t="n">
        <v>1</v>
      </c>
      <c r="F103" s="47" t="s">
        <v>425</v>
      </c>
      <c r="G103" s="37" t="s">
        <v>586</v>
      </c>
      <c r="H103" s="38" t="str">
        <f aca="false">IFERROR(INDEX('الإعدادات واللجنة'!$C$24:$C$32,MATCH(LEFT(A103,3),'الإعدادات واللجنة'!$A$24:$A$32,0)),"")</f>
        <v>د. يثرب بنت سعد القحطاني</v>
      </c>
      <c r="I103" s="39"/>
      <c r="J103" s="39"/>
      <c r="K103" s="38" t="str">
        <f aca="false">IF(OR(I103="",I103="متوفر ومكتمل"),"",IF(OR(D103="★",I103="غير متوفر"),"عالية","متوسطة"))</f>
        <v/>
      </c>
      <c r="L103" s="40"/>
      <c r="M103" s="39"/>
      <c r="N103" s="40"/>
      <c r="O103" s="40"/>
      <c r="P103" s="39"/>
      <c r="Q103" s="40"/>
    </row>
    <row r="104" customFormat="false" ht="22.35" hidden="false" customHeight="false" outlineLevel="0" collapsed="false">
      <c r="A104" s="28" t="s">
        <v>443</v>
      </c>
      <c r="B104" s="25" t="s">
        <v>154</v>
      </c>
      <c r="C104" s="26"/>
      <c r="D104" s="27"/>
      <c r="E104" s="28" t="n">
        <v>2</v>
      </c>
      <c r="F104" s="26" t="s">
        <v>426</v>
      </c>
      <c r="G104" s="29" t="s">
        <v>586</v>
      </c>
      <c r="H104" s="28" t="str">
        <f aca="false">IFERROR(INDEX('الإعدادات واللجنة'!$C$24:$C$32,MATCH(LEFT(A104,3),'الإعدادات واللجنة'!$A$24:$A$32,0)),"")</f>
        <v>د. يثرب بنت سعد القحطاني</v>
      </c>
      <c r="I104" s="30"/>
      <c r="J104" s="30"/>
      <c r="K104" s="28" t="str">
        <f aca="false">IF(OR(I104="",I104="متوفر ومكتمل"),"",IF(OR(D104="★",I104="غير متوفر"),"عالية","متوسطة"))</f>
        <v/>
      </c>
      <c r="L104" s="31"/>
      <c r="M104" s="30"/>
      <c r="N104" s="31"/>
      <c r="O104" s="31"/>
      <c r="P104" s="30"/>
      <c r="Q104" s="31"/>
    </row>
    <row r="105" customFormat="false" ht="32.8" hidden="false" customHeight="false" outlineLevel="0" collapsed="false">
      <c r="A105" s="45" t="s">
        <v>449</v>
      </c>
      <c r="B105" s="46" t="s">
        <v>154</v>
      </c>
      <c r="C105" s="47" t="s">
        <v>444</v>
      </c>
      <c r="D105" s="48"/>
      <c r="E105" s="38" t="n">
        <v>1</v>
      </c>
      <c r="F105" s="47" t="s">
        <v>445</v>
      </c>
      <c r="G105" s="37" t="s">
        <v>586</v>
      </c>
      <c r="H105" s="38" t="str">
        <f aca="false">IFERROR(INDEX('الإعدادات واللجنة'!$C$24:$C$32,MATCH(LEFT(A105,3),'الإعدادات واللجنة'!$A$24:$A$32,0)),"")</f>
        <v>د. يثرب بنت سعد القحطاني</v>
      </c>
      <c r="I105" s="39"/>
      <c r="J105" s="39"/>
      <c r="K105" s="38" t="str">
        <f aca="false">IF(OR(I105="",I105="متوفر ومكتمل"),"",IF(OR(D105="★",I105="غير متوفر"),"عالية","متوسطة"))</f>
        <v/>
      </c>
      <c r="L105" s="40"/>
      <c r="M105" s="39"/>
      <c r="N105" s="40"/>
      <c r="O105" s="40"/>
      <c r="P105" s="39"/>
      <c r="Q105" s="40"/>
    </row>
    <row r="106" customFormat="false" ht="22.35" hidden="false" customHeight="false" outlineLevel="0" collapsed="false">
      <c r="A106" s="28" t="s">
        <v>449</v>
      </c>
      <c r="B106" s="25" t="s">
        <v>154</v>
      </c>
      <c r="C106" s="26"/>
      <c r="D106" s="27"/>
      <c r="E106" s="28" t="n">
        <v>2</v>
      </c>
      <c r="F106" s="26" t="s">
        <v>446</v>
      </c>
      <c r="G106" s="29" t="s">
        <v>586</v>
      </c>
      <c r="H106" s="28" t="str">
        <f aca="false">IFERROR(INDEX('الإعدادات واللجنة'!$C$24:$C$32,MATCH(LEFT(A106,3),'الإعدادات واللجنة'!$A$24:$A$32,0)),"")</f>
        <v>د. يثرب بنت سعد القحطاني</v>
      </c>
      <c r="I106" s="30"/>
      <c r="J106" s="30"/>
      <c r="K106" s="28" t="str">
        <f aca="false">IF(OR(I106="",I106="متوفر ومكتمل"),"",IF(OR(D106="★",I106="غير متوفر"),"عالية","متوسطة"))</f>
        <v/>
      </c>
      <c r="L106" s="31"/>
      <c r="M106" s="30"/>
      <c r="N106" s="31"/>
      <c r="O106" s="31"/>
      <c r="P106" s="30"/>
      <c r="Q106" s="31"/>
    </row>
    <row r="107" customFormat="false" ht="22.35" hidden="false" customHeight="false" outlineLevel="0" collapsed="false">
      <c r="A107" s="28" t="s">
        <v>449</v>
      </c>
      <c r="B107" s="25" t="s">
        <v>154</v>
      </c>
      <c r="C107" s="26"/>
      <c r="D107" s="27"/>
      <c r="E107" s="28" t="n">
        <v>3</v>
      </c>
      <c r="F107" s="26" t="s">
        <v>447</v>
      </c>
      <c r="G107" s="29" t="s">
        <v>586</v>
      </c>
      <c r="H107" s="28" t="str">
        <f aca="false">IFERROR(INDEX('الإعدادات واللجنة'!$C$24:$C$32,MATCH(LEFT(A107,3),'الإعدادات واللجنة'!$A$24:$A$32,0)),"")</f>
        <v>د. يثرب بنت سعد القحطاني</v>
      </c>
      <c r="I107" s="30"/>
      <c r="J107" s="30"/>
      <c r="K107" s="28" t="str">
        <f aca="false">IF(OR(I107="",I107="متوفر ومكتمل"),"",IF(OR(D107="★",I107="غير متوفر"),"عالية","متوسطة"))</f>
        <v/>
      </c>
      <c r="L107" s="31"/>
      <c r="M107" s="30"/>
      <c r="N107" s="31"/>
      <c r="O107" s="31"/>
      <c r="P107" s="30"/>
      <c r="Q107" s="31"/>
    </row>
    <row r="108" customFormat="false" ht="22.35" hidden="false" customHeight="false" outlineLevel="0" collapsed="false">
      <c r="A108" s="28" t="s">
        <v>449</v>
      </c>
      <c r="B108" s="25" t="s">
        <v>154</v>
      </c>
      <c r="C108" s="26"/>
      <c r="D108" s="27"/>
      <c r="E108" s="28" t="n">
        <v>4</v>
      </c>
      <c r="F108" s="26" t="s">
        <v>448</v>
      </c>
      <c r="G108" s="29" t="s">
        <v>586</v>
      </c>
      <c r="H108" s="28" t="str">
        <f aca="false">IFERROR(INDEX('الإعدادات واللجنة'!$C$24:$C$32,MATCH(LEFT(A108,3),'الإعدادات واللجنة'!$A$24:$A$32,0)),"")</f>
        <v>د. يثرب بنت سعد القحطاني</v>
      </c>
      <c r="I108" s="30"/>
      <c r="J108" s="30"/>
      <c r="K108" s="28" t="str">
        <f aca="false">IF(OR(I108="",I108="متوفر ومكتمل"),"",IF(OR(D108="★",I108="غير متوفر"),"عالية","متوسطة"))</f>
        <v/>
      </c>
      <c r="L108" s="31"/>
      <c r="M108" s="30"/>
      <c r="N108" s="31"/>
      <c r="O108" s="31"/>
      <c r="P108" s="30"/>
      <c r="Q108" s="31"/>
    </row>
    <row r="109" customFormat="false" ht="32.8" hidden="false" customHeight="false" outlineLevel="0" collapsed="false">
      <c r="A109" s="45" t="s">
        <v>454</v>
      </c>
      <c r="B109" s="46" t="s">
        <v>154</v>
      </c>
      <c r="C109" s="47" t="s">
        <v>450</v>
      </c>
      <c r="D109" s="48"/>
      <c r="E109" s="38" t="n">
        <v>1</v>
      </c>
      <c r="F109" s="47" t="s">
        <v>451</v>
      </c>
      <c r="G109" s="37" t="s">
        <v>586</v>
      </c>
      <c r="H109" s="38" t="str">
        <f aca="false">IFERROR(INDEX('الإعدادات واللجنة'!$C$24:$C$32,MATCH(LEFT(A109,3),'الإعدادات واللجنة'!$A$24:$A$32,0)),"")</f>
        <v>د. يثرب بنت سعد القحطاني</v>
      </c>
      <c r="I109" s="39"/>
      <c r="J109" s="39"/>
      <c r="K109" s="38" t="str">
        <f aca="false">IF(OR(I109="",I109="متوفر ومكتمل"),"",IF(OR(D109="★",I109="غير متوفر"),"عالية","متوسطة"))</f>
        <v/>
      </c>
      <c r="L109" s="40"/>
      <c r="M109" s="39"/>
      <c r="N109" s="40"/>
      <c r="O109" s="40"/>
      <c r="P109" s="39"/>
      <c r="Q109" s="40"/>
    </row>
    <row r="110" customFormat="false" ht="32.8" hidden="false" customHeight="false" outlineLevel="0" collapsed="false">
      <c r="A110" s="28" t="s">
        <v>454</v>
      </c>
      <c r="B110" s="25" t="s">
        <v>154</v>
      </c>
      <c r="C110" s="26"/>
      <c r="D110" s="27"/>
      <c r="E110" s="28" t="n">
        <v>2</v>
      </c>
      <c r="F110" s="26" t="s">
        <v>452</v>
      </c>
      <c r="G110" s="29" t="s">
        <v>586</v>
      </c>
      <c r="H110" s="28" t="str">
        <f aca="false">IFERROR(INDEX('الإعدادات واللجنة'!$C$24:$C$32,MATCH(LEFT(A110,3),'الإعدادات واللجنة'!$A$24:$A$32,0)),"")</f>
        <v>د. يثرب بنت سعد القحطاني</v>
      </c>
      <c r="I110" s="30"/>
      <c r="J110" s="30"/>
      <c r="K110" s="28" t="str">
        <f aca="false">IF(OR(I110="",I110="متوفر ومكتمل"),"",IF(OR(D110="★",I110="غير متوفر"),"عالية","متوسطة"))</f>
        <v/>
      </c>
      <c r="L110" s="31"/>
      <c r="M110" s="30"/>
      <c r="N110" s="31"/>
      <c r="O110" s="31"/>
      <c r="P110" s="30"/>
      <c r="Q110" s="31"/>
    </row>
    <row r="111" customFormat="false" ht="22.35" hidden="false" customHeight="false" outlineLevel="0" collapsed="false">
      <c r="A111" s="28" t="s">
        <v>454</v>
      </c>
      <c r="B111" s="25" t="s">
        <v>154</v>
      </c>
      <c r="C111" s="26"/>
      <c r="D111" s="27"/>
      <c r="E111" s="28" t="n">
        <v>3</v>
      </c>
      <c r="F111" s="26" t="s">
        <v>453</v>
      </c>
      <c r="G111" s="29" t="s">
        <v>586</v>
      </c>
      <c r="H111" s="28" t="str">
        <f aca="false">IFERROR(INDEX('الإعدادات واللجنة'!$C$24:$C$32,MATCH(LEFT(A111,3),'الإعدادات واللجنة'!$A$24:$A$32,0)),"")</f>
        <v>د. يثرب بنت سعد القحطاني</v>
      </c>
      <c r="I111" s="30"/>
      <c r="J111" s="30"/>
      <c r="K111" s="28" t="str">
        <f aca="false">IF(OR(I111="",I111="متوفر ومكتمل"),"",IF(OR(D111="★",I111="غير متوفر"),"عالية","متوسطة"))</f>
        <v/>
      </c>
      <c r="L111" s="31"/>
      <c r="M111" s="30"/>
      <c r="N111" s="31"/>
      <c r="O111" s="31"/>
      <c r="P111" s="30"/>
      <c r="Q111" s="31"/>
    </row>
    <row r="112" customFormat="false" ht="22.35" hidden="false" customHeight="false" outlineLevel="0" collapsed="false">
      <c r="A112" s="45" t="s">
        <v>459</v>
      </c>
      <c r="B112" s="46" t="s">
        <v>154</v>
      </c>
      <c r="C112" s="47" t="s">
        <v>455</v>
      </c>
      <c r="D112" s="48"/>
      <c r="E112" s="38" t="n">
        <v>1</v>
      </c>
      <c r="F112" s="47" t="s">
        <v>456</v>
      </c>
      <c r="G112" s="37" t="s">
        <v>586</v>
      </c>
      <c r="H112" s="38" t="str">
        <f aca="false">IFERROR(INDEX('الإعدادات واللجنة'!$C$24:$C$32,MATCH(LEFT(A112,3),'الإعدادات واللجنة'!$A$24:$A$32,0)),"")</f>
        <v>د. يثرب بنت سعد القحطاني</v>
      </c>
      <c r="I112" s="39"/>
      <c r="J112" s="39"/>
      <c r="K112" s="38" t="str">
        <f aca="false">IF(OR(I112="",I112="متوفر ومكتمل"),"",IF(OR(D112="★",I112="غير متوفر"),"عالية","متوسطة"))</f>
        <v/>
      </c>
      <c r="L112" s="40"/>
      <c r="M112" s="39"/>
      <c r="N112" s="40"/>
      <c r="O112" s="40"/>
      <c r="P112" s="39"/>
      <c r="Q112" s="40"/>
    </row>
    <row r="113" customFormat="false" ht="22.35" hidden="false" customHeight="false" outlineLevel="0" collapsed="false">
      <c r="A113" s="28" t="s">
        <v>459</v>
      </c>
      <c r="B113" s="25" t="s">
        <v>154</v>
      </c>
      <c r="C113" s="26"/>
      <c r="D113" s="27"/>
      <c r="E113" s="28" t="n">
        <v>2</v>
      </c>
      <c r="F113" s="26" t="s">
        <v>457</v>
      </c>
      <c r="G113" s="29" t="s">
        <v>586</v>
      </c>
      <c r="H113" s="28" t="str">
        <f aca="false">IFERROR(INDEX('الإعدادات واللجنة'!$C$24:$C$32,MATCH(LEFT(A113,3),'الإعدادات واللجنة'!$A$24:$A$32,0)),"")</f>
        <v>د. يثرب بنت سعد القحطاني</v>
      </c>
      <c r="I113" s="30"/>
      <c r="J113" s="30"/>
      <c r="K113" s="28" t="str">
        <f aca="false">IF(OR(I113="",I113="متوفر ومكتمل"),"",IF(OR(D113="★",I113="غير متوفر"),"عالية","متوسطة"))</f>
        <v/>
      </c>
      <c r="L113" s="31"/>
      <c r="M113" s="30"/>
      <c r="N113" s="31"/>
      <c r="O113" s="31"/>
      <c r="P113" s="30"/>
      <c r="Q113" s="31"/>
    </row>
    <row r="114" customFormat="false" ht="22.35" hidden="false" customHeight="false" outlineLevel="0" collapsed="false">
      <c r="A114" s="28" t="s">
        <v>459</v>
      </c>
      <c r="B114" s="25" t="s">
        <v>154</v>
      </c>
      <c r="C114" s="26"/>
      <c r="D114" s="27"/>
      <c r="E114" s="28" t="n">
        <v>3</v>
      </c>
      <c r="F114" s="26" t="s">
        <v>458</v>
      </c>
      <c r="G114" s="29" t="s">
        <v>586</v>
      </c>
      <c r="H114" s="28" t="str">
        <f aca="false">IFERROR(INDEX('الإعدادات واللجنة'!$C$24:$C$32,MATCH(LEFT(A114,3),'الإعدادات واللجنة'!$A$24:$A$32,0)),"")</f>
        <v>د. يثرب بنت سعد القحطاني</v>
      </c>
      <c r="I114" s="30"/>
      <c r="J114" s="30"/>
      <c r="K114" s="28" t="str">
        <f aca="false">IF(OR(I114="",I114="متوفر ومكتمل"),"",IF(OR(D114="★",I114="غير متوفر"),"عالية","متوسطة"))</f>
        <v/>
      </c>
      <c r="L114" s="31"/>
      <c r="M114" s="30"/>
      <c r="N114" s="31"/>
      <c r="O114" s="31"/>
      <c r="P114" s="30"/>
      <c r="Q114" s="31"/>
    </row>
    <row r="115" customFormat="false" ht="22.35" hidden="false" customHeight="false" outlineLevel="0" collapsed="false">
      <c r="A115" s="45" t="s">
        <v>466</v>
      </c>
      <c r="B115" s="46" t="s">
        <v>154</v>
      </c>
      <c r="C115" s="47" t="s">
        <v>460</v>
      </c>
      <c r="D115" s="48"/>
      <c r="E115" s="38" t="n">
        <v>1</v>
      </c>
      <c r="F115" s="47" t="s">
        <v>461</v>
      </c>
      <c r="G115" s="37" t="s">
        <v>586</v>
      </c>
      <c r="H115" s="38" t="str">
        <f aca="false">IFERROR(INDEX('الإعدادات واللجنة'!$C$24:$C$32,MATCH(LEFT(A115,3),'الإعدادات واللجنة'!$A$24:$A$32,0)),"")</f>
        <v>د. يثرب بنت سعد القحطاني</v>
      </c>
      <c r="I115" s="39"/>
      <c r="J115" s="39"/>
      <c r="K115" s="38" t="str">
        <f aca="false">IF(OR(I115="",I115="متوفر ومكتمل"),"",IF(OR(D115="★",I115="غير متوفر"),"عالية","متوسطة"))</f>
        <v/>
      </c>
      <c r="L115" s="40"/>
      <c r="M115" s="39"/>
      <c r="N115" s="40"/>
      <c r="O115" s="40"/>
      <c r="P115" s="39"/>
      <c r="Q115" s="40"/>
    </row>
    <row r="116" customFormat="false" ht="22.35" hidden="false" customHeight="false" outlineLevel="0" collapsed="false">
      <c r="A116" s="28" t="s">
        <v>466</v>
      </c>
      <c r="B116" s="25" t="s">
        <v>154</v>
      </c>
      <c r="C116" s="26"/>
      <c r="D116" s="27"/>
      <c r="E116" s="28" t="n">
        <v>2</v>
      </c>
      <c r="F116" s="26" t="s">
        <v>462</v>
      </c>
      <c r="G116" s="29" t="s">
        <v>586</v>
      </c>
      <c r="H116" s="28" t="str">
        <f aca="false">IFERROR(INDEX('الإعدادات واللجنة'!$C$24:$C$32,MATCH(LEFT(A116,3),'الإعدادات واللجنة'!$A$24:$A$32,0)),"")</f>
        <v>د. يثرب بنت سعد القحطاني</v>
      </c>
      <c r="I116" s="30"/>
      <c r="J116" s="30"/>
      <c r="K116" s="28" t="str">
        <f aca="false">IF(OR(I116="",I116="متوفر ومكتمل"),"",IF(OR(D116="★",I116="غير متوفر"),"عالية","متوسطة"))</f>
        <v/>
      </c>
      <c r="L116" s="31"/>
      <c r="M116" s="30"/>
      <c r="N116" s="31"/>
      <c r="O116" s="31"/>
      <c r="P116" s="30"/>
      <c r="Q116" s="31"/>
    </row>
    <row r="117" customFormat="false" ht="22.35" hidden="false" customHeight="false" outlineLevel="0" collapsed="false">
      <c r="A117" s="28" t="s">
        <v>466</v>
      </c>
      <c r="B117" s="25" t="s">
        <v>154</v>
      </c>
      <c r="C117" s="26"/>
      <c r="D117" s="27"/>
      <c r="E117" s="28" t="n">
        <v>3</v>
      </c>
      <c r="F117" s="26" t="s">
        <v>463</v>
      </c>
      <c r="G117" s="29" t="s">
        <v>586</v>
      </c>
      <c r="H117" s="28" t="str">
        <f aca="false">IFERROR(INDEX('الإعدادات واللجنة'!$C$24:$C$32,MATCH(LEFT(A117,3),'الإعدادات واللجنة'!$A$24:$A$32,0)),"")</f>
        <v>د. يثرب بنت سعد القحطاني</v>
      </c>
      <c r="I117" s="30"/>
      <c r="J117" s="30"/>
      <c r="K117" s="28" t="str">
        <f aca="false">IF(OR(I117="",I117="متوفر ومكتمل"),"",IF(OR(D117="★",I117="غير متوفر"),"عالية","متوسطة"))</f>
        <v/>
      </c>
      <c r="L117" s="31"/>
      <c r="M117" s="30"/>
      <c r="N117" s="31"/>
      <c r="O117" s="31"/>
      <c r="P117" s="30"/>
      <c r="Q117" s="31"/>
    </row>
    <row r="118" customFormat="false" ht="22.35" hidden="false" customHeight="false" outlineLevel="0" collapsed="false">
      <c r="A118" s="28" t="s">
        <v>466</v>
      </c>
      <c r="B118" s="25" t="s">
        <v>154</v>
      </c>
      <c r="C118" s="26"/>
      <c r="D118" s="27"/>
      <c r="E118" s="28" t="n">
        <v>4</v>
      </c>
      <c r="F118" s="26" t="s">
        <v>464</v>
      </c>
      <c r="G118" s="29" t="s">
        <v>586</v>
      </c>
      <c r="H118" s="28" t="str">
        <f aca="false">IFERROR(INDEX('الإعدادات واللجنة'!$C$24:$C$32,MATCH(LEFT(A118,3),'الإعدادات واللجنة'!$A$24:$A$32,0)),"")</f>
        <v>د. يثرب بنت سعد القحطاني</v>
      </c>
      <c r="I118" s="30"/>
      <c r="J118" s="30"/>
      <c r="K118" s="28" t="str">
        <f aca="false">IF(OR(I118="",I118="متوفر ومكتمل"),"",IF(OR(D118="★",I118="غير متوفر"),"عالية","متوسطة"))</f>
        <v/>
      </c>
      <c r="L118" s="31"/>
      <c r="M118" s="30"/>
      <c r="N118" s="31"/>
      <c r="O118" s="31"/>
      <c r="P118" s="30"/>
      <c r="Q118" s="31"/>
    </row>
    <row r="119" customFormat="false" ht="22.35" hidden="false" customHeight="false" outlineLevel="0" collapsed="false">
      <c r="A119" s="28" t="s">
        <v>466</v>
      </c>
      <c r="B119" s="25" t="s">
        <v>154</v>
      </c>
      <c r="C119" s="26"/>
      <c r="D119" s="27"/>
      <c r="E119" s="28" t="n">
        <v>5</v>
      </c>
      <c r="F119" s="26" t="s">
        <v>465</v>
      </c>
      <c r="G119" s="29" t="s">
        <v>586</v>
      </c>
      <c r="H119" s="28" t="str">
        <f aca="false">IFERROR(INDEX('الإعدادات واللجنة'!$C$24:$C$32,MATCH(LEFT(A119,3),'الإعدادات واللجنة'!$A$24:$A$32,0)),"")</f>
        <v>د. يثرب بنت سعد القحطاني</v>
      </c>
      <c r="I119" s="30"/>
      <c r="J119" s="30"/>
      <c r="K119" s="28" t="str">
        <f aca="false">IF(OR(I119="",I119="متوفر ومكتمل"),"",IF(OR(D119="★",I119="غير متوفر"),"عالية","متوسطة"))</f>
        <v/>
      </c>
      <c r="L119" s="31"/>
      <c r="M119" s="30"/>
      <c r="N119" s="31"/>
      <c r="O119" s="31"/>
      <c r="P119" s="30"/>
      <c r="Q119" s="31"/>
    </row>
    <row r="120" customFormat="false" ht="32.8" hidden="false" customHeight="false" outlineLevel="0" collapsed="false">
      <c r="A120" s="32" t="s">
        <v>588</v>
      </c>
      <c r="B120" s="33" t="s">
        <v>154</v>
      </c>
      <c r="C120" s="34" t="s">
        <v>467</v>
      </c>
      <c r="D120" s="35" t="s">
        <v>296</v>
      </c>
      <c r="E120" s="36" t="n">
        <v>1</v>
      </c>
      <c r="F120" s="34" t="s">
        <v>468</v>
      </c>
      <c r="G120" s="37" t="s">
        <v>586</v>
      </c>
      <c r="H120" s="38" t="str">
        <f aca="false">IFERROR(INDEX('الإعدادات واللجنة'!$C$24:$C$32,MATCH(LEFT(A120,3),'الإعدادات واللجنة'!$A$24:$A$32,0)),"")</f>
        <v>د. يثرب بنت سعد القحطاني</v>
      </c>
      <c r="I120" s="39"/>
      <c r="J120" s="39"/>
      <c r="K120" s="38" t="str">
        <f aca="false">IF(OR(I120="",I120="متوفر ومكتمل"),"",IF(OR(D120="★",I120="غير متوفر"),"عالية","متوسطة"))</f>
        <v/>
      </c>
      <c r="L120" s="40"/>
      <c r="M120" s="39"/>
      <c r="N120" s="40"/>
      <c r="O120" s="40"/>
      <c r="P120" s="39"/>
      <c r="Q120" s="40"/>
    </row>
    <row r="121" customFormat="false" ht="22.35" hidden="false" customHeight="false" outlineLevel="0" collapsed="false">
      <c r="A121" s="41" t="s">
        <v>588</v>
      </c>
      <c r="B121" s="42" t="s">
        <v>154</v>
      </c>
      <c r="C121" s="43"/>
      <c r="D121" s="44" t="s">
        <v>296</v>
      </c>
      <c r="E121" s="41" t="n">
        <v>2</v>
      </c>
      <c r="F121" s="43" t="s">
        <v>469</v>
      </c>
      <c r="G121" s="29" t="s">
        <v>586</v>
      </c>
      <c r="H121" s="28" t="str">
        <f aca="false">IFERROR(INDEX('الإعدادات واللجنة'!$C$24:$C$32,MATCH(LEFT(A121,3),'الإعدادات واللجنة'!$A$24:$A$32,0)),"")</f>
        <v>د. يثرب بنت سعد القحطاني</v>
      </c>
      <c r="I121" s="30"/>
      <c r="J121" s="30"/>
      <c r="K121" s="28" t="str">
        <f aca="false">IF(OR(I121="",I121="متوفر ومكتمل"),"",IF(OR(D121="★",I121="غير متوفر"),"عالية","متوسطة"))</f>
        <v/>
      </c>
      <c r="L121" s="31"/>
      <c r="M121" s="30"/>
      <c r="N121" s="31"/>
      <c r="O121" s="31"/>
      <c r="P121" s="30"/>
      <c r="Q121" s="31"/>
    </row>
    <row r="122" customFormat="false" ht="22.35" hidden="false" customHeight="false" outlineLevel="0" collapsed="false">
      <c r="A122" s="41" t="s">
        <v>588</v>
      </c>
      <c r="B122" s="42" t="s">
        <v>154</v>
      </c>
      <c r="C122" s="43"/>
      <c r="D122" s="44" t="s">
        <v>296</v>
      </c>
      <c r="E122" s="41" t="n">
        <v>3</v>
      </c>
      <c r="F122" s="43" t="s">
        <v>470</v>
      </c>
      <c r="G122" s="29" t="s">
        <v>586</v>
      </c>
      <c r="H122" s="28" t="str">
        <f aca="false">IFERROR(INDEX('الإعدادات واللجنة'!$C$24:$C$32,MATCH(LEFT(A122,3),'الإعدادات واللجنة'!$A$24:$A$32,0)),"")</f>
        <v>د. يثرب بنت سعد القحطاني</v>
      </c>
      <c r="I122" s="30"/>
      <c r="J122" s="30"/>
      <c r="K122" s="28" t="str">
        <f aca="false">IF(OR(I122="",I122="متوفر ومكتمل"),"",IF(OR(D122="★",I122="غير متوفر"),"عالية","متوسطة"))</f>
        <v/>
      </c>
      <c r="L122" s="31"/>
      <c r="M122" s="30"/>
      <c r="N122" s="31"/>
      <c r="O122" s="31"/>
      <c r="P122" s="30"/>
      <c r="Q122" s="31"/>
    </row>
    <row r="123" customFormat="false" ht="22.35" hidden="false" customHeight="false" outlineLevel="0" collapsed="false">
      <c r="A123" s="41" t="s">
        <v>588</v>
      </c>
      <c r="B123" s="42" t="s">
        <v>154</v>
      </c>
      <c r="C123" s="43"/>
      <c r="D123" s="44" t="s">
        <v>296</v>
      </c>
      <c r="E123" s="41" t="n">
        <v>4</v>
      </c>
      <c r="F123" s="43" t="s">
        <v>471</v>
      </c>
      <c r="G123" s="29" t="s">
        <v>586</v>
      </c>
      <c r="H123" s="28" t="str">
        <f aca="false">IFERROR(INDEX('الإعدادات واللجنة'!$C$24:$C$32,MATCH(LEFT(A123,3),'الإعدادات واللجنة'!$A$24:$A$32,0)),"")</f>
        <v>د. يثرب بنت سعد القحطاني</v>
      </c>
      <c r="I123" s="30"/>
      <c r="J123" s="30"/>
      <c r="K123" s="28" t="str">
        <f aca="false">IF(OR(I123="",I123="متوفر ومكتمل"),"",IF(OR(D123="★",I123="غير متوفر"),"عالية","متوسطة"))</f>
        <v/>
      </c>
      <c r="L123" s="31"/>
      <c r="M123" s="30"/>
      <c r="N123" s="31"/>
      <c r="O123" s="31"/>
      <c r="P123" s="30"/>
      <c r="Q123" s="31"/>
    </row>
    <row r="124" customFormat="false" ht="22.35" hidden="false" customHeight="false" outlineLevel="0" collapsed="false">
      <c r="A124" s="41" t="s">
        <v>588</v>
      </c>
      <c r="B124" s="42" t="s">
        <v>154</v>
      </c>
      <c r="C124" s="43"/>
      <c r="D124" s="44" t="s">
        <v>296</v>
      </c>
      <c r="E124" s="41" t="n">
        <v>5</v>
      </c>
      <c r="F124" s="43" t="s">
        <v>472</v>
      </c>
      <c r="G124" s="29" t="s">
        <v>586</v>
      </c>
      <c r="H124" s="28" t="str">
        <f aca="false">IFERROR(INDEX('الإعدادات واللجنة'!$C$24:$C$32,MATCH(LEFT(A124,3),'الإعدادات واللجنة'!$A$24:$A$32,0)),"")</f>
        <v>د. يثرب بنت سعد القحطاني</v>
      </c>
      <c r="I124" s="30"/>
      <c r="J124" s="30"/>
      <c r="K124" s="28" t="str">
        <f aca="false">IF(OR(I124="",I124="متوفر ومكتمل"),"",IF(OR(D124="★",I124="غير متوفر"),"عالية","متوسطة"))</f>
        <v/>
      </c>
      <c r="L124" s="31"/>
      <c r="M124" s="30"/>
      <c r="N124" s="31"/>
      <c r="O124" s="31"/>
      <c r="P124" s="30"/>
      <c r="Q124" s="31"/>
    </row>
    <row r="125" customFormat="false" ht="32.8" hidden="false" customHeight="false" outlineLevel="0" collapsed="false">
      <c r="A125" s="45" t="s">
        <v>473</v>
      </c>
      <c r="B125" s="46" t="s">
        <v>155</v>
      </c>
      <c r="C125" s="47" t="s">
        <v>474</v>
      </c>
      <c r="D125" s="48"/>
      <c r="E125" s="38" t="n">
        <v>1</v>
      </c>
      <c r="F125" s="47" t="s">
        <v>475</v>
      </c>
      <c r="G125" s="37" t="s">
        <v>586</v>
      </c>
      <c r="H125" s="38" t="str">
        <f aca="false">IFERROR(INDEX('الإعدادات واللجنة'!$C$24:$C$32,MATCH(LEFT(A125,3),'الإعدادات واللجنة'!$A$24:$A$32,0)),"")</f>
        <v>د. عبدالله بن محمد البركاتي</v>
      </c>
      <c r="I125" s="39"/>
      <c r="J125" s="39"/>
      <c r="K125" s="38" t="str">
        <f aca="false">IF(OR(I125="",I125="متوفر ومكتمل"),"",IF(OR(D125="★",I125="غير متوفر"),"عالية","متوسطة"))</f>
        <v/>
      </c>
      <c r="L125" s="40"/>
      <c r="M125" s="39"/>
      <c r="N125" s="40"/>
      <c r="O125" s="40"/>
      <c r="P125" s="39"/>
      <c r="Q125" s="40"/>
    </row>
    <row r="126" customFormat="false" ht="22.35" hidden="false" customHeight="false" outlineLevel="0" collapsed="false">
      <c r="A126" s="28" t="s">
        <v>473</v>
      </c>
      <c r="B126" s="25" t="s">
        <v>155</v>
      </c>
      <c r="C126" s="26"/>
      <c r="D126" s="27"/>
      <c r="E126" s="28" t="n">
        <v>2</v>
      </c>
      <c r="F126" s="26" t="s">
        <v>476</v>
      </c>
      <c r="G126" s="29" t="s">
        <v>586</v>
      </c>
      <c r="H126" s="28" t="str">
        <f aca="false">IFERROR(INDEX('الإعدادات واللجنة'!$C$24:$C$32,MATCH(LEFT(A126,3),'الإعدادات واللجنة'!$A$24:$A$32,0)),"")</f>
        <v>د. عبدالله بن محمد البركاتي</v>
      </c>
      <c r="I126" s="30"/>
      <c r="J126" s="30"/>
      <c r="K126" s="28" t="str">
        <f aca="false">IF(OR(I126="",I126="متوفر ومكتمل"),"",IF(OR(D126="★",I126="غير متوفر"),"عالية","متوسطة"))</f>
        <v/>
      </c>
      <c r="L126" s="31"/>
      <c r="M126" s="30"/>
      <c r="N126" s="31"/>
      <c r="O126" s="31"/>
      <c r="P126" s="30"/>
      <c r="Q126" s="31"/>
    </row>
    <row r="127" customFormat="false" ht="22.35" hidden="false" customHeight="false" outlineLevel="0" collapsed="false">
      <c r="A127" s="28" t="s">
        <v>473</v>
      </c>
      <c r="B127" s="25" t="s">
        <v>155</v>
      </c>
      <c r="C127" s="26"/>
      <c r="D127" s="27"/>
      <c r="E127" s="28" t="n">
        <v>3</v>
      </c>
      <c r="F127" s="26" t="s">
        <v>477</v>
      </c>
      <c r="G127" s="29" t="s">
        <v>586</v>
      </c>
      <c r="H127" s="28" t="str">
        <f aca="false">IFERROR(INDEX('الإعدادات واللجنة'!$C$24:$C$32,MATCH(LEFT(A127,3),'الإعدادات واللجنة'!$A$24:$A$32,0)),"")</f>
        <v>د. عبدالله بن محمد البركاتي</v>
      </c>
      <c r="I127" s="30"/>
      <c r="J127" s="30"/>
      <c r="K127" s="28" t="str">
        <f aca="false">IF(OR(I127="",I127="متوفر ومكتمل"),"",IF(OR(D127="★",I127="غير متوفر"),"عالية","متوسطة"))</f>
        <v/>
      </c>
      <c r="L127" s="31"/>
      <c r="M127" s="30"/>
      <c r="N127" s="31"/>
      <c r="O127" s="31"/>
      <c r="P127" s="30"/>
      <c r="Q127" s="31"/>
    </row>
    <row r="128" customFormat="false" ht="22.35" hidden="false" customHeight="false" outlineLevel="0" collapsed="false">
      <c r="A128" s="28" t="s">
        <v>473</v>
      </c>
      <c r="B128" s="25" t="s">
        <v>155</v>
      </c>
      <c r="C128" s="26"/>
      <c r="D128" s="27"/>
      <c r="E128" s="28" t="n">
        <v>4</v>
      </c>
      <c r="F128" s="26" t="s">
        <v>478</v>
      </c>
      <c r="G128" s="29" t="s">
        <v>586</v>
      </c>
      <c r="H128" s="28" t="str">
        <f aca="false">IFERROR(INDEX('الإعدادات واللجنة'!$C$24:$C$32,MATCH(LEFT(A128,3),'الإعدادات واللجنة'!$A$24:$A$32,0)),"")</f>
        <v>د. عبدالله بن محمد البركاتي</v>
      </c>
      <c r="I128" s="30"/>
      <c r="J128" s="30"/>
      <c r="K128" s="28" t="str">
        <f aca="false">IF(OR(I128="",I128="متوفر ومكتمل"),"",IF(OR(D128="★",I128="غير متوفر"),"عالية","متوسطة"))</f>
        <v/>
      </c>
      <c r="L128" s="31"/>
      <c r="M128" s="30"/>
      <c r="N128" s="31"/>
      <c r="O128" s="31"/>
      <c r="P128" s="30"/>
      <c r="Q128" s="31"/>
    </row>
    <row r="129" customFormat="false" ht="22.35" hidden="false" customHeight="false" outlineLevel="0" collapsed="false">
      <c r="A129" s="28" t="s">
        <v>473</v>
      </c>
      <c r="B129" s="25" t="s">
        <v>155</v>
      </c>
      <c r="C129" s="26"/>
      <c r="D129" s="27"/>
      <c r="E129" s="28" t="n">
        <v>5</v>
      </c>
      <c r="F129" s="26" t="s">
        <v>479</v>
      </c>
      <c r="G129" s="29" t="s">
        <v>586</v>
      </c>
      <c r="H129" s="28" t="str">
        <f aca="false">IFERROR(INDEX('الإعدادات واللجنة'!$C$24:$C$32,MATCH(LEFT(A129,3),'الإعدادات واللجنة'!$A$24:$A$32,0)),"")</f>
        <v>د. عبدالله بن محمد البركاتي</v>
      </c>
      <c r="I129" s="30"/>
      <c r="J129" s="30"/>
      <c r="K129" s="28" t="str">
        <f aca="false">IF(OR(I129="",I129="متوفر ومكتمل"),"",IF(OR(D129="★",I129="غير متوفر"),"عالية","متوسطة"))</f>
        <v/>
      </c>
      <c r="L129" s="31"/>
      <c r="M129" s="30"/>
      <c r="N129" s="31"/>
      <c r="O129" s="31"/>
      <c r="P129" s="30"/>
      <c r="Q129" s="31"/>
    </row>
    <row r="130" customFormat="false" ht="22.35" hidden="false" customHeight="false" outlineLevel="0" collapsed="false">
      <c r="A130" s="45" t="s">
        <v>480</v>
      </c>
      <c r="B130" s="46" t="s">
        <v>155</v>
      </c>
      <c r="C130" s="47" t="s">
        <v>481</v>
      </c>
      <c r="D130" s="48"/>
      <c r="E130" s="38" t="n">
        <v>1</v>
      </c>
      <c r="F130" s="47" t="s">
        <v>482</v>
      </c>
      <c r="G130" s="37" t="s">
        <v>586</v>
      </c>
      <c r="H130" s="38" t="str">
        <f aca="false">IFERROR(INDEX('الإعدادات واللجنة'!$C$24:$C$32,MATCH(LEFT(A130,3),'الإعدادات واللجنة'!$A$24:$A$32,0)),"")</f>
        <v>د. عبدالله بن محمد البركاتي</v>
      </c>
      <c r="I130" s="39"/>
      <c r="J130" s="39"/>
      <c r="K130" s="38" t="str">
        <f aca="false">IF(OR(I130="",I130="متوفر ومكتمل"),"",IF(OR(D130="★",I130="غير متوفر"),"عالية","متوسطة"))</f>
        <v/>
      </c>
      <c r="L130" s="40"/>
      <c r="M130" s="39"/>
      <c r="N130" s="40"/>
      <c r="O130" s="40"/>
      <c r="P130" s="39"/>
      <c r="Q130" s="40"/>
    </row>
    <row r="131" customFormat="false" ht="22.35" hidden="false" customHeight="false" outlineLevel="0" collapsed="false">
      <c r="A131" s="28" t="s">
        <v>480</v>
      </c>
      <c r="B131" s="25" t="s">
        <v>155</v>
      </c>
      <c r="C131" s="26"/>
      <c r="D131" s="27"/>
      <c r="E131" s="28" t="n">
        <v>2</v>
      </c>
      <c r="F131" s="26" t="s">
        <v>483</v>
      </c>
      <c r="G131" s="29" t="s">
        <v>586</v>
      </c>
      <c r="H131" s="28" t="str">
        <f aca="false">IFERROR(INDEX('الإعدادات واللجنة'!$C$24:$C$32,MATCH(LEFT(A131,3),'الإعدادات واللجنة'!$A$24:$A$32,0)),"")</f>
        <v>د. عبدالله بن محمد البركاتي</v>
      </c>
      <c r="I131" s="30"/>
      <c r="J131" s="30"/>
      <c r="K131" s="28" t="str">
        <f aca="false">IF(OR(I131="",I131="متوفر ومكتمل"),"",IF(OR(D131="★",I131="غير متوفر"),"عالية","متوسطة"))</f>
        <v/>
      </c>
      <c r="L131" s="31"/>
      <c r="M131" s="30"/>
      <c r="N131" s="31"/>
      <c r="O131" s="31"/>
      <c r="P131" s="30"/>
      <c r="Q131" s="31"/>
    </row>
    <row r="132" customFormat="false" ht="22.35" hidden="false" customHeight="false" outlineLevel="0" collapsed="false">
      <c r="A132" s="28" t="s">
        <v>480</v>
      </c>
      <c r="B132" s="25" t="s">
        <v>155</v>
      </c>
      <c r="C132" s="26"/>
      <c r="D132" s="27"/>
      <c r="E132" s="28" t="n">
        <v>3</v>
      </c>
      <c r="F132" s="26" t="s">
        <v>484</v>
      </c>
      <c r="G132" s="29" t="s">
        <v>586</v>
      </c>
      <c r="H132" s="28" t="str">
        <f aca="false">IFERROR(INDEX('الإعدادات واللجنة'!$C$24:$C$32,MATCH(LEFT(A132,3),'الإعدادات واللجنة'!$A$24:$A$32,0)),"")</f>
        <v>د. عبدالله بن محمد البركاتي</v>
      </c>
      <c r="I132" s="30"/>
      <c r="J132" s="30"/>
      <c r="K132" s="28" t="str">
        <f aca="false">IF(OR(I132="",I132="متوفر ومكتمل"),"",IF(OR(D132="★",I132="غير متوفر"),"عالية","متوسطة"))</f>
        <v/>
      </c>
      <c r="L132" s="31"/>
      <c r="M132" s="30"/>
      <c r="N132" s="31"/>
      <c r="O132" s="31"/>
      <c r="P132" s="30"/>
      <c r="Q132" s="31"/>
    </row>
    <row r="133" customFormat="false" ht="22.35" hidden="false" customHeight="false" outlineLevel="0" collapsed="false">
      <c r="A133" s="32" t="s">
        <v>485</v>
      </c>
      <c r="B133" s="33" t="s">
        <v>155</v>
      </c>
      <c r="C133" s="34" t="s">
        <v>486</v>
      </c>
      <c r="D133" s="35" t="s">
        <v>296</v>
      </c>
      <c r="E133" s="36" t="n">
        <v>1</v>
      </c>
      <c r="F133" s="34" t="s">
        <v>487</v>
      </c>
      <c r="G133" s="37" t="s">
        <v>586</v>
      </c>
      <c r="H133" s="38" t="str">
        <f aca="false">IFERROR(INDEX('الإعدادات واللجنة'!$C$24:$C$32,MATCH(LEFT(A133,3),'الإعدادات واللجنة'!$A$24:$A$32,0)),"")</f>
        <v>د. عبدالله بن محمد البركاتي</v>
      </c>
      <c r="I133" s="39"/>
      <c r="J133" s="39"/>
      <c r="K133" s="38" t="str">
        <f aca="false">IF(OR(I133="",I133="متوفر ومكتمل"),"",IF(OR(D133="★",I133="غير متوفر"),"عالية","متوسطة"))</f>
        <v/>
      </c>
      <c r="L133" s="40"/>
      <c r="M133" s="39"/>
      <c r="N133" s="40"/>
      <c r="O133" s="40"/>
      <c r="P133" s="39"/>
      <c r="Q133" s="40"/>
    </row>
    <row r="134" customFormat="false" ht="22.35" hidden="false" customHeight="false" outlineLevel="0" collapsed="false">
      <c r="A134" s="41" t="s">
        <v>485</v>
      </c>
      <c r="B134" s="42" t="s">
        <v>155</v>
      </c>
      <c r="C134" s="43"/>
      <c r="D134" s="44" t="s">
        <v>296</v>
      </c>
      <c r="E134" s="41" t="n">
        <v>2</v>
      </c>
      <c r="F134" s="43" t="s">
        <v>488</v>
      </c>
      <c r="G134" s="29" t="s">
        <v>586</v>
      </c>
      <c r="H134" s="28" t="str">
        <f aca="false">IFERROR(INDEX('الإعدادات واللجنة'!$C$24:$C$32,MATCH(LEFT(A134,3),'الإعدادات واللجنة'!$A$24:$A$32,0)),"")</f>
        <v>د. عبدالله بن محمد البركاتي</v>
      </c>
      <c r="I134" s="30"/>
      <c r="J134" s="30"/>
      <c r="K134" s="28" t="str">
        <f aca="false">IF(OR(I134="",I134="متوفر ومكتمل"),"",IF(OR(D134="★",I134="غير متوفر"),"عالية","متوسطة"))</f>
        <v/>
      </c>
      <c r="L134" s="31"/>
      <c r="M134" s="30"/>
      <c r="N134" s="31"/>
      <c r="O134" s="31"/>
      <c r="P134" s="30"/>
      <c r="Q134" s="31"/>
    </row>
    <row r="135" customFormat="false" ht="22.35" hidden="false" customHeight="false" outlineLevel="0" collapsed="false">
      <c r="A135" s="41" t="s">
        <v>485</v>
      </c>
      <c r="B135" s="42" t="s">
        <v>155</v>
      </c>
      <c r="C135" s="43"/>
      <c r="D135" s="44" t="s">
        <v>296</v>
      </c>
      <c r="E135" s="41" t="n">
        <v>3</v>
      </c>
      <c r="F135" s="43" t="s">
        <v>489</v>
      </c>
      <c r="G135" s="29" t="s">
        <v>586</v>
      </c>
      <c r="H135" s="28" t="str">
        <f aca="false">IFERROR(INDEX('الإعدادات واللجنة'!$C$24:$C$32,MATCH(LEFT(A135,3),'الإعدادات واللجنة'!$A$24:$A$32,0)),"")</f>
        <v>د. عبدالله بن محمد البركاتي</v>
      </c>
      <c r="I135" s="30"/>
      <c r="J135" s="30"/>
      <c r="K135" s="28" t="str">
        <f aca="false">IF(OR(I135="",I135="متوفر ومكتمل"),"",IF(OR(D135="★",I135="غير متوفر"),"عالية","متوسطة"))</f>
        <v/>
      </c>
      <c r="L135" s="31"/>
      <c r="M135" s="30"/>
      <c r="N135" s="31"/>
      <c r="O135" s="31"/>
      <c r="P135" s="30"/>
      <c r="Q135" s="31"/>
    </row>
    <row r="136" customFormat="false" ht="22.35" hidden="false" customHeight="false" outlineLevel="0" collapsed="false">
      <c r="A136" s="41" t="s">
        <v>485</v>
      </c>
      <c r="B136" s="42" t="s">
        <v>155</v>
      </c>
      <c r="C136" s="43"/>
      <c r="D136" s="44" t="s">
        <v>296</v>
      </c>
      <c r="E136" s="41" t="n">
        <v>4</v>
      </c>
      <c r="F136" s="43" t="s">
        <v>490</v>
      </c>
      <c r="G136" s="29" t="s">
        <v>586</v>
      </c>
      <c r="H136" s="28" t="str">
        <f aca="false">IFERROR(INDEX('الإعدادات واللجنة'!$C$24:$C$32,MATCH(LEFT(A136,3),'الإعدادات واللجنة'!$A$24:$A$32,0)),"")</f>
        <v>د. عبدالله بن محمد البركاتي</v>
      </c>
      <c r="I136" s="30"/>
      <c r="J136" s="30"/>
      <c r="K136" s="28" t="str">
        <f aca="false">IF(OR(I136="",I136="متوفر ومكتمل"),"",IF(OR(D136="★",I136="غير متوفر"),"عالية","متوسطة"))</f>
        <v/>
      </c>
      <c r="L136" s="31"/>
      <c r="M136" s="30"/>
      <c r="N136" s="31"/>
      <c r="O136" s="31"/>
      <c r="P136" s="30"/>
      <c r="Q136" s="31"/>
    </row>
    <row r="137" customFormat="false" ht="22.35" hidden="false" customHeight="false" outlineLevel="0" collapsed="false">
      <c r="A137" s="41" t="s">
        <v>485</v>
      </c>
      <c r="B137" s="42" t="s">
        <v>155</v>
      </c>
      <c r="C137" s="43"/>
      <c r="D137" s="44" t="s">
        <v>296</v>
      </c>
      <c r="E137" s="41" t="n">
        <v>5</v>
      </c>
      <c r="F137" s="43" t="s">
        <v>491</v>
      </c>
      <c r="G137" s="29" t="s">
        <v>586</v>
      </c>
      <c r="H137" s="28" t="str">
        <f aca="false">IFERROR(INDEX('الإعدادات واللجنة'!$C$24:$C$32,MATCH(LEFT(A137,3),'الإعدادات واللجنة'!$A$24:$A$32,0)),"")</f>
        <v>د. عبدالله بن محمد البركاتي</v>
      </c>
      <c r="I137" s="30"/>
      <c r="J137" s="30"/>
      <c r="K137" s="28" t="str">
        <f aca="false">IF(OR(I137="",I137="متوفر ومكتمل"),"",IF(OR(D137="★",I137="غير متوفر"),"عالية","متوسطة"))</f>
        <v/>
      </c>
      <c r="L137" s="31"/>
      <c r="M137" s="30"/>
      <c r="N137" s="31"/>
      <c r="O137" s="31"/>
      <c r="P137" s="30"/>
      <c r="Q137" s="31"/>
    </row>
    <row r="138" customFormat="false" ht="22.35" hidden="false" customHeight="false" outlineLevel="0" collapsed="false">
      <c r="A138" s="41" t="s">
        <v>485</v>
      </c>
      <c r="B138" s="42" t="s">
        <v>155</v>
      </c>
      <c r="C138" s="43"/>
      <c r="D138" s="44" t="s">
        <v>296</v>
      </c>
      <c r="E138" s="41" t="n">
        <v>6</v>
      </c>
      <c r="F138" s="43" t="s">
        <v>492</v>
      </c>
      <c r="G138" s="29" t="s">
        <v>586</v>
      </c>
      <c r="H138" s="28" t="str">
        <f aca="false">IFERROR(INDEX('الإعدادات واللجنة'!$C$24:$C$32,MATCH(LEFT(A138,3),'الإعدادات واللجنة'!$A$24:$A$32,0)),"")</f>
        <v>د. عبدالله بن محمد البركاتي</v>
      </c>
      <c r="I138" s="30"/>
      <c r="J138" s="30"/>
      <c r="K138" s="28" t="str">
        <f aca="false">IF(OR(I138="",I138="متوفر ومكتمل"),"",IF(OR(D138="★",I138="غير متوفر"),"عالية","متوسطة"))</f>
        <v/>
      </c>
      <c r="L138" s="31"/>
      <c r="M138" s="30"/>
      <c r="N138" s="31"/>
      <c r="O138" s="31"/>
      <c r="P138" s="30"/>
      <c r="Q138" s="31"/>
    </row>
    <row r="139" customFormat="false" ht="22.35" hidden="false" customHeight="false" outlineLevel="0" collapsed="false">
      <c r="A139" s="41" t="s">
        <v>485</v>
      </c>
      <c r="B139" s="42" t="s">
        <v>155</v>
      </c>
      <c r="C139" s="43"/>
      <c r="D139" s="44" t="s">
        <v>296</v>
      </c>
      <c r="E139" s="41" t="n">
        <v>7</v>
      </c>
      <c r="F139" s="43" t="s">
        <v>493</v>
      </c>
      <c r="G139" s="29" t="s">
        <v>586</v>
      </c>
      <c r="H139" s="28" t="str">
        <f aca="false">IFERROR(INDEX('الإعدادات واللجنة'!$C$24:$C$32,MATCH(LEFT(A139,3),'الإعدادات واللجنة'!$A$24:$A$32,0)),"")</f>
        <v>د. عبدالله بن محمد البركاتي</v>
      </c>
      <c r="I139" s="30"/>
      <c r="J139" s="30"/>
      <c r="K139" s="28" t="str">
        <f aca="false">IF(OR(I139="",I139="متوفر ومكتمل"),"",IF(OR(D139="★",I139="غير متوفر"),"عالية","متوسطة"))</f>
        <v/>
      </c>
      <c r="L139" s="31"/>
      <c r="M139" s="30"/>
      <c r="N139" s="31"/>
      <c r="O139" s="31"/>
      <c r="P139" s="30"/>
      <c r="Q139" s="31"/>
    </row>
    <row r="140" customFormat="false" ht="32.8" hidden="false" customHeight="false" outlineLevel="0" collapsed="false">
      <c r="A140" s="45" t="s">
        <v>494</v>
      </c>
      <c r="B140" s="46" t="s">
        <v>155</v>
      </c>
      <c r="C140" s="47" t="s">
        <v>495</v>
      </c>
      <c r="D140" s="48"/>
      <c r="E140" s="38" t="n">
        <v>1</v>
      </c>
      <c r="F140" s="47" t="s">
        <v>496</v>
      </c>
      <c r="G140" s="37" t="s">
        <v>586</v>
      </c>
      <c r="H140" s="38" t="str">
        <f aca="false">IFERROR(INDEX('الإعدادات واللجنة'!$C$24:$C$32,MATCH(LEFT(A140,3),'الإعدادات واللجنة'!$A$24:$A$32,0)),"")</f>
        <v>د. عبدالله بن محمد البركاتي</v>
      </c>
      <c r="I140" s="39"/>
      <c r="J140" s="39"/>
      <c r="K140" s="38" t="str">
        <f aca="false">IF(OR(I140="",I140="متوفر ومكتمل"),"",IF(OR(D140="★",I140="غير متوفر"),"عالية","متوسطة"))</f>
        <v/>
      </c>
      <c r="L140" s="40"/>
      <c r="M140" s="39"/>
      <c r="N140" s="40"/>
      <c r="O140" s="40"/>
      <c r="P140" s="39"/>
      <c r="Q140" s="40"/>
    </row>
    <row r="141" customFormat="false" ht="22.35" hidden="false" customHeight="false" outlineLevel="0" collapsed="false">
      <c r="A141" s="28" t="s">
        <v>494</v>
      </c>
      <c r="B141" s="25" t="s">
        <v>155</v>
      </c>
      <c r="C141" s="26"/>
      <c r="D141" s="27"/>
      <c r="E141" s="28" t="n">
        <v>2</v>
      </c>
      <c r="F141" s="26" t="s">
        <v>497</v>
      </c>
      <c r="G141" s="29" t="s">
        <v>586</v>
      </c>
      <c r="H141" s="28" t="str">
        <f aca="false">IFERROR(INDEX('الإعدادات واللجنة'!$C$24:$C$32,MATCH(LEFT(A141,3),'الإعدادات واللجنة'!$A$24:$A$32,0)),"")</f>
        <v>د. عبدالله بن محمد البركاتي</v>
      </c>
      <c r="I141" s="30"/>
      <c r="J141" s="30"/>
      <c r="K141" s="28" t="str">
        <f aca="false">IF(OR(I141="",I141="متوفر ومكتمل"),"",IF(OR(D141="★",I141="غير متوفر"),"عالية","متوسطة"))</f>
        <v/>
      </c>
      <c r="L141" s="31"/>
      <c r="M141" s="30"/>
      <c r="N141" s="31"/>
      <c r="O141" s="31"/>
      <c r="P141" s="30"/>
      <c r="Q141" s="31"/>
    </row>
    <row r="142" customFormat="false" ht="22.35" hidden="false" customHeight="false" outlineLevel="0" collapsed="false">
      <c r="A142" s="28" t="s">
        <v>494</v>
      </c>
      <c r="B142" s="25" t="s">
        <v>155</v>
      </c>
      <c r="C142" s="26"/>
      <c r="D142" s="27"/>
      <c r="E142" s="28" t="n">
        <v>3</v>
      </c>
      <c r="F142" s="26" t="s">
        <v>498</v>
      </c>
      <c r="G142" s="29" t="s">
        <v>586</v>
      </c>
      <c r="H142" s="28" t="str">
        <f aca="false">IFERROR(INDEX('الإعدادات واللجنة'!$C$24:$C$32,MATCH(LEFT(A142,3),'الإعدادات واللجنة'!$A$24:$A$32,0)),"")</f>
        <v>د. عبدالله بن محمد البركاتي</v>
      </c>
      <c r="I142" s="30"/>
      <c r="J142" s="30"/>
      <c r="K142" s="28" t="str">
        <f aca="false">IF(OR(I142="",I142="متوفر ومكتمل"),"",IF(OR(D142="★",I142="غير متوفر"),"عالية","متوسطة"))</f>
        <v/>
      </c>
      <c r="L142" s="31"/>
      <c r="M142" s="30"/>
      <c r="N142" s="31"/>
      <c r="O142" s="31"/>
      <c r="P142" s="30"/>
      <c r="Q142" s="31"/>
    </row>
    <row r="143" customFormat="false" ht="22.35" hidden="false" customHeight="false" outlineLevel="0" collapsed="false">
      <c r="A143" s="28" t="s">
        <v>494</v>
      </c>
      <c r="B143" s="25" t="s">
        <v>155</v>
      </c>
      <c r="C143" s="26"/>
      <c r="D143" s="27"/>
      <c r="E143" s="28" t="n">
        <v>4</v>
      </c>
      <c r="F143" s="26" t="s">
        <v>499</v>
      </c>
      <c r="G143" s="29" t="s">
        <v>586</v>
      </c>
      <c r="H143" s="28" t="str">
        <f aca="false">IFERROR(INDEX('الإعدادات واللجنة'!$C$24:$C$32,MATCH(LEFT(A143,3),'الإعدادات واللجنة'!$A$24:$A$32,0)),"")</f>
        <v>د. عبدالله بن محمد البركاتي</v>
      </c>
      <c r="I143" s="30"/>
      <c r="J143" s="30"/>
      <c r="K143" s="28" t="str">
        <f aca="false">IF(OR(I143="",I143="متوفر ومكتمل"),"",IF(OR(D143="★",I143="غير متوفر"),"عالية","متوسطة"))</f>
        <v/>
      </c>
      <c r="L143" s="31"/>
      <c r="M143" s="30"/>
      <c r="N143" s="31"/>
      <c r="O143" s="31"/>
      <c r="P143" s="30"/>
      <c r="Q143" s="31"/>
    </row>
    <row r="144" customFormat="false" ht="32.8" hidden="false" customHeight="false" outlineLevel="0" collapsed="false">
      <c r="A144" s="45" t="s">
        <v>500</v>
      </c>
      <c r="B144" s="46" t="s">
        <v>155</v>
      </c>
      <c r="C144" s="47" t="s">
        <v>507</v>
      </c>
      <c r="D144" s="48"/>
      <c r="E144" s="38" t="n">
        <v>1</v>
      </c>
      <c r="F144" s="47" t="s">
        <v>508</v>
      </c>
      <c r="G144" s="37" t="s">
        <v>586</v>
      </c>
      <c r="H144" s="38" t="str">
        <f aca="false">IFERROR(INDEX('الإعدادات واللجنة'!$C$24:$C$32,MATCH(LEFT(A144,3),'الإعدادات واللجنة'!$A$24:$A$32,0)),"")</f>
        <v>د. عبدالله بن محمد البركاتي</v>
      </c>
      <c r="I144" s="39"/>
      <c r="J144" s="39"/>
      <c r="K144" s="38" t="str">
        <f aca="false">IF(OR(I144="",I144="متوفر ومكتمل"),"",IF(OR(D144="★",I144="غير متوفر"),"عالية","متوسطة"))</f>
        <v/>
      </c>
      <c r="L144" s="40"/>
      <c r="M144" s="39"/>
      <c r="N144" s="40"/>
      <c r="O144" s="40"/>
      <c r="P144" s="39"/>
      <c r="Q144" s="40"/>
    </row>
    <row r="145" customFormat="false" ht="22.35" hidden="false" customHeight="false" outlineLevel="0" collapsed="false">
      <c r="A145" s="28" t="s">
        <v>500</v>
      </c>
      <c r="B145" s="25" t="s">
        <v>155</v>
      </c>
      <c r="C145" s="26"/>
      <c r="D145" s="27"/>
      <c r="E145" s="28" t="n">
        <v>2</v>
      </c>
      <c r="F145" s="26" t="s">
        <v>509</v>
      </c>
      <c r="G145" s="29" t="s">
        <v>586</v>
      </c>
      <c r="H145" s="28" t="str">
        <f aca="false">IFERROR(INDEX('الإعدادات واللجنة'!$C$24:$C$32,MATCH(LEFT(A145,3),'الإعدادات واللجنة'!$A$24:$A$32,0)),"")</f>
        <v>د. عبدالله بن محمد البركاتي</v>
      </c>
      <c r="I145" s="30"/>
      <c r="J145" s="30"/>
      <c r="K145" s="28" t="str">
        <f aca="false">IF(OR(I145="",I145="متوفر ومكتمل"),"",IF(OR(D145="★",I145="غير متوفر"),"عالية","متوسطة"))</f>
        <v/>
      </c>
      <c r="L145" s="31"/>
      <c r="M145" s="30"/>
      <c r="N145" s="31"/>
      <c r="O145" s="31"/>
      <c r="P145" s="30"/>
      <c r="Q145" s="31"/>
    </row>
    <row r="146" customFormat="false" ht="22.35" hidden="false" customHeight="false" outlineLevel="0" collapsed="false">
      <c r="A146" s="28" t="s">
        <v>500</v>
      </c>
      <c r="B146" s="25" t="s">
        <v>155</v>
      </c>
      <c r="C146" s="26"/>
      <c r="D146" s="27"/>
      <c r="E146" s="28" t="n">
        <v>3</v>
      </c>
      <c r="F146" s="26" t="s">
        <v>510</v>
      </c>
      <c r="G146" s="29" t="s">
        <v>586</v>
      </c>
      <c r="H146" s="28" t="str">
        <f aca="false">IFERROR(INDEX('الإعدادات واللجنة'!$C$24:$C$32,MATCH(LEFT(A146,3),'الإعدادات واللجنة'!$A$24:$A$32,0)),"")</f>
        <v>د. عبدالله بن محمد البركاتي</v>
      </c>
      <c r="I146" s="30"/>
      <c r="J146" s="30"/>
      <c r="K146" s="28" t="str">
        <f aca="false">IF(OR(I146="",I146="متوفر ومكتمل"),"",IF(OR(D146="★",I146="غير متوفر"),"عالية","متوسطة"))</f>
        <v/>
      </c>
      <c r="L146" s="31"/>
      <c r="M146" s="30"/>
      <c r="N146" s="31"/>
      <c r="O146" s="31"/>
      <c r="P146" s="30"/>
      <c r="Q146" s="31"/>
    </row>
    <row r="147" customFormat="false" ht="22.35" hidden="false" customHeight="false" outlineLevel="0" collapsed="false">
      <c r="A147" s="28" t="s">
        <v>500</v>
      </c>
      <c r="B147" s="25" t="s">
        <v>155</v>
      </c>
      <c r="C147" s="26"/>
      <c r="D147" s="27"/>
      <c r="E147" s="28" t="n">
        <v>4</v>
      </c>
      <c r="F147" s="26" t="s">
        <v>511</v>
      </c>
      <c r="G147" s="29" t="s">
        <v>586</v>
      </c>
      <c r="H147" s="28" t="str">
        <f aca="false">IFERROR(INDEX('الإعدادات واللجنة'!$C$24:$C$32,MATCH(LEFT(A147,3),'الإعدادات واللجنة'!$A$24:$A$32,0)),"")</f>
        <v>د. عبدالله بن محمد البركاتي</v>
      </c>
      <c r="I147" s="30"/>
      <c r="J147" s="30"/>
      <c r="K147" s="28" t="str">
        <f aca="false">IF(OR(I147="",I147="متوفر ومكتمل"),"",IF(OR(D147="★",I147="غير متوفر"),"عالية","متوسطة"))</f>
        <v/>
      </c>
      <c r="L147" s="31"/>
      <c r="M147" s="30"/>
      <c r="N147" s="31"/>
      <c r="O147" s="31"/>
      <c r="P147" s="30"/>
      <c r="Q147" s="31"/>
    </row>
    <row r="148" customFormat="false" ht="22.35" hidden="false" customHeight="false" outlineLevel="0" collapsed="false">
      <c r="A148" s="28" t="s">
        <v>500</v>
      </c>
      <c r="B148" s="25" t="s">
        <v>155</v>
      </c>
      <c r="C148" s="26"/>
      <c r="D148" s="27"/>
      <c r="E148" s="28" t="n">
        <v>5</v>
      </c>
      <c r="F148" s="26" t="s">
        <v>512</v>
      </c>
      <c r="G148" s="29" t="s">
        <v>586</v>
      </c>
      <c r="H148" s="28" t="str">
        <f aca="false">IFERROR(INDEX('الإعدادات واللجنة'!$C$24:$C$32,MATCH(LEFT(A148,3),'الإعدادات واللجنة'!$A$24:$A$32,0)),"")</f>
        <v>د. عبدالله بن محمد البركاتي</v>
      </c>
      <c r="I148" s="30"/>
      <c r="J148" s="30"/>
      <c r="K148" s="28" t="str">
        <f aca="false">IF(OR(I148="",I148="متوفر ومكتمل"),"",IF(OR(D148="★",I148="غير متوفر"),"عالية","متوسطة"))</f>
        <v/>
      </c>
      <c r="L148" s="31"/>
      <c r="M148" s="30"/>
      <c r="N148" s="31"/>
      <c r="O148" s="31"/>
      <c r="P148" s="30"/>
      <c r="Q148" s="31"/>
    </row>
    <row r="149" customFormat="false" ht="22.35" hidden="false" customHeight="false" outlineLevel="0" collapsed="false">
      <c r="A149" s="28" t="s">
        <v>500</v>
      </c>
      <c r="B149" s="25" t="s">
        <v>155</v>
      </c>
      <c r="C149" s="26"/>
      <c r="D149" s="27"/>
      <c r="E149" s="28" t="n">
        <v>6</v>
      </c>
      <c r="F149" s="26" t="s">
        <v>513</v>
      </c>
      <c r="G149" s="29" t="s">
        <v>586</v>
      </c>
      <c r="H149" s="28" t="str">
        <f aca="false">IFERROR(INDEX('الإعدادات واللجنة'!$C$24:$C$32,MATCH(LEFT(A149,3),'الإعدادات واللجنة'!$A$24:$A$32,0)),"")</f>
        <v>د. عبدالله بن محمد البركاتي</v>
      </c>
      <c r="I149" s="30"/>
      <c r="J149" s="30"/>
      <c r="K149" s="28" t="str">
        <f aca="false">IF(OR(I149="",I149="متوفر ومكتمل"),"",IF(OR(D149="★",I149="غير متوفر"),"عالية","متوسطة"))</f>
        <v/>
      </c>
      <c r="L149" s="31"/>
      <c r="M149" s="30"/>
      <c r="N149" s="31"/>
      <c r="O149" s="31"/>
      <c r="P149" s="30"/>
      <c r="Q149" s="31"/>
    </row>
    <row r="150" customFormat="false" ht="22.35" hidden="false" customHeight="false" outlineLevel="0" collapsed="false">
      <c r="A150" s="32" t="s">
        <v>506</v>
      </c>
      <c r="B150" s="33" t="s">
        <v>155</v>
      </c>
      <c r="C150" s="34" t="s">
        <v>515</v>
      </c>
      <c r="D150" s="35" t="s">
        <v>296</v>
      </c>
      <c r="E150" s="36" t="n">
        <v>1</v>
      </c>
      <c r="F150" s="34" t="s">
        <v>516</v>
      </c>
      <c r="G150" s="37" t="s">
        <v>586</v>
      </c>
      <c r="H150" s="38" t="str">
        <f aca="false">IFERROR(INDEX('الإعدادات واللجنة'!$C$24:$C$32,MATCH(LEFT(A150,3),'الإعدادات واللجنة'!$A$24:$A$32,0)),"")</f>
        <v>د. عبدالله بن محمد البركاتي</v>
      </c>
      <c r="I150" s="39"/>
      <c r="J150" s="39"/>
      <c r="K150" s="38" t="str">
        <f aca="false">IF(OR(I150="",I150="متوفر ومكتمل"),"",IF(OR(D150="★",I150="غير متوفر"),"عالية","متوسطة"))</f>
        <v/>
      </c>
      <c r="L150" s="40"/>
      <c r="M150" s="39"/>
      <c r="N150" s="40"/>
      <c r="O150" s="40"/>
      <c r="P150" s="39"/>
      <c r="Q150" s="40"/>
    </row>
    <row r="151" customFormat="false" ht="22.35" hidden="false" customHeight="false" outlineLevel="0" collapsed="false">
      <c r="A151" s="41" t="s">
        <v>506</v>
      </c>
      <c r="B151" s="42" t="s">
        <v>155</v>
      </c>
      <c r="C151" s="43"/>
      <c r="D151" s="44" t="s">
        <v>296</v>
      </c>
      <c r="E151" s="41" t="n">
        <v>2</v>
      </c>
      <c r="F151" s="43" t="s">
        <v>517</v>
      </c>
      <c r="G151" s="29" t="s">
        <v>586</v>
      </c>
      <c r="H151" s="28" t="str">
        <f aca="false">IFERROR(INDEX('الإعدادات واللجنة'!$C$24:$C$32,MATCH(LEFT(A151,3),'الإعدادات واللجنة'!$A$24:$A$32,0)),"")</f>
        <v>د. عبدالله بن محمد البركاتي</v>
      </c>
      <c r="I151" s="30"/>
      <c r="J151" s="30"/>
      <c r="K151" s="28" t="str">
        <f aca="false">IF(OR(I151="",I151="متوفر ومكتمل"),"",IF(OR(D151="★",I151="غير متوفر"),"عالية","متوسطة"))</f>
        <v/>
      </c>
      <c r="L151" s="31"/>
      <c r="M151" s="30"/>
      <c r="N151" s="31"/>
      <c r="O151" s="31"/>
      <c r="P151" s="30"/>
      <c r="Q151" s="31"/>
    </row>
    <row r="152" customFormat="false" ht="22.35" hidden="false" customHeight="false" outlineLevel="0" collapsed="false">
      <c r="A152" s="41" t="s">
        <v>506</v>
      </c>
      <c r="B152" s="42" t="s">
        <v>155</v>
      </c>
      <c r="C152" s="43"/>
      <c r="D152" s="44" t="s">
        <v>296</v>
      </c>
      <c r="E152" s="41" t="n">
        <v>3</v>
      </c>
      <c r="F152" s="43" t="s">
        <v>518</v>
      </c>
      <c r="G152" s="29" t="s">
        <v>586</v>
      </c>
      <c r="H152" s="28" t="str">
        <f aca="false">IFERROR(INDEX('الإعدادات واللجنة'!$C$24:$C$32,MATCH(LEFT(A152,3),'الإعدادات واللجنة'!$A$24:$A$32,0)),"")</f>
        <v>د. عبدالله بن محمد البركاتي</v>
      </c>
      <c r="I152" s="30"/>
      <c r="J152" s="30"/>
      <c r="K152" s="28" t="str">
        <f aca="false">IF(OR(I152="",I152="متوفر ومكتمل"),"",IF(OR(D152="★",I152="غير متوفر"),"عالية","متوسطة"))</f>
        <v/>
      </c>
      <c r="L152" s="31"/>
      <c r="M152" s="30"/>
      <c r="N152" s="31"/>
      <c r="O152" s="31"/>
      <c r="P152" s="30"/>
      <c r="Q152" s="31"/>
    </row>
    <row r="153" customFormat="false" ht="22.35" hidden="false" customHeight="false" outlineLevel="0" collapsed="false">
      <c r="A153" s="32" t="s">
        <v>519</v>
      </c>
      <c r="B153" s="33" t="s">
        <v>156</v>
      </c>
      <c r="C153" s="34" t="s">
        <v>520</v>
      </c>
      <c r="D153" s="35" t="s">
        <v>296</v>
      </c>
      <c r="E153" s="36" t="n">
        <v>1</v>
      </c>
      <c r="F153" s="34" t="s">
        <v>521</v>
      </c>
      <c r="G153" s="37" t="s">
        <v>586</v>
      </c>
      <c r="H153" s="38" t="str">
        <f aca="false">IFERROR(INDEX('الإعدادات واللجنة'!$C$24:$C$32,MATCH(LEFT(A153,3),'الإعدادات واللجنة'!$A$24:$A$32,0)),"")</f>
        <v>د. عمر بن محمد موسى</v>
      </c>
      <c r="I153" s="39"/>
      <c r="J153" s="39"/>
      <c r="K153" s="38" t="str">
        <f aca="false">IF(OR(I153="",I153="متوفر ومكتمل"),"",IF(OR(D153="★",I153="غير متوفر"),"عالية","متوسطة"))</f>
        <v/>
      </c>
      <c r="L153" s="40"/>
      <c r="M153" s="39"/>
      <c r="N153" s="40"/>
      <c r="O153" s="40"/>
      <c r="P153" s="39"/>
      <c r="Q153" s="40"/>
    </row>
    <row r="154" customFormat="false" ht="15" hidden="false" customHeight="false" outlineLevel="0" collapsed="false">
      <c r="A154" s="41" t="s">
        <v>519</v>
      </c>
      <c r="B154" s="42" t="s">
        <v>156</v>
      </c>
      <c r="C154" s="43"/>
      <c r="D154" s="44" t="s">
        <v>296</v>
      </c>
      <c r="E154" s="41" t="n">
        <v>2</v>
      </c>
      <c r="F154" s="43" t="s">
        <v>522</v>
      </c>
      <c r="G154" s="29" t="s">
        <v>586</v>
      </c>
      <c r="H154" s="28" t="str">
        <f aca="false">IFERROR(INDEX('الإعدادات واللجنة'!$C$24:$C$32,MATCH(LEFT(A154,3),'الإعدادات واللجنة'!$A$24:$A$32,0)),"")</f>
        <v>د. عمر بن محمد موسى</v>
      </c>
      <c r="I154" s="30"/>
      <c r="J154" s="30"/>
      <c r="K154" s="28" t="str">
        <f aca="false">IF(OR(I154="",I154="متوفر ومكتمل"),"",IF(OR(D154="★",I154="غير متوفر"),"عالية","متوسطة"))</f>
        <v/>
      </c>
      <c r="L154" s="31"/>
      <c r="M154" s="30"/>
      <c r="N154" s="31"/>
      <c r="O154" s="31"/>
      <c r="P154" s="30"/>
      <c r="Q154" s="31"/>
    </row>
    <row r="155" customFormat="false" ht="22.35" hidden="false" customHeight="false" outlineLevel="0" collapsed="false">
      <c r="A155" s="41" t="s">
        <v>519</v>
      </c>
      <c r="B155" s="42" t="s">
        <v>156</v>
      </c>
      <c r="C155" s="43"/>
      <c r="D155" s="44" t="s">
        <v>296</v>
      </c>
      <c r="E155" s="41" t="n">
        <v>3</v>
      </c>
      <c r="F155" s="43" t="s">
        <v>523</v>
      </c>
      <c r="G155" s="29" t="s">
        <v>586</v>
      </c>
      <c r="H155" s="28" t="str">
        <f aca="false">IFERROR(INDEX('الإعدادات واللجنة'!$C$24:$C$32,MATCH(LEFT(A155,3),'الإعدادات واللجنة'!$A$24:$A$32,0)),"")</f>
        <v>د. عمر بن محمد موسى</v>
      </c>
      <c r="I155" s="30"/>
      <c r="J155" s="30"/>
      <c r="K155" s="28" t="str">
        <f aca="false">IF(OR(I155="",I155="متوفر ومكتمل"),"",IF(OR(D155="★",I155="غير متوفر"),"عالية","متوسطة"))</f>
        <v/>
      </c>
      <c r="L155" s="31"/>
      <c r="M155" s="30"/>
      <c r="N155" s="31"/>
      <c r="O155" s="31"/>
      <c r="P155" s="30"/>
      <c r="Q155" s="31"/>
    </row>
    <row r="156" customFormat="false" ht="22.35" hidden="false" customHeight="false" outlineLevel="0" collapsed="false">
      <c r="A156" s="41" t="s">
        <v>519</v>
      </c>
      <c r="B156" s="42" t="s">
        <v>156</v>
      </c>
      <c r="C156" s="43"/>
      <c r="D156" s="44" t="s">
        <v>296</v>
      </c>
      <c r="E156" s="41" t="n">
        <v>4</v>
      </c>
      <c r="F156" s="43" t="s">
        <v>524</v>
      </c>
      <c r="G156" s="29" t="s">
        <v>586</v>
      </c>
      <c r="H156" s="28" t="str">
        <f aca="false">IFERROR(INDEX('الإعدادات واللجنة'!$C$24:$C$32,MATCH(LEFT(A156,3),'الإعدادات واللجنة'!$A$24:$A$32,0)),"")</f>
        <v>د. عمر بن محمد موسى</v>
      </c>
      <c r="I156" s="30"/>
      <c r="J156" s="30"/>
      <c r="K156" s="28" t="str">
        <f aca="false">IF(OR(I156="",I156="متوفر ومكتمل"),"",IF(OR(D156="★",I156="غير متوفر"),"عالية","متوسطة"))</f>
        <v/>
      </c>
      <c r="L156" s="31"/>
      <c r="M156" s="30"/>
      <c r="N156" s="31"/>
      <c r="O156" s="31"/>
      <c r="P156" s="30"/>
      <c r="Q156" s="31"/>
    </row>
    <row r="157" customFormat="false" ht="22.35" hidden="false" customHeight="false" outlineLevel="0" collapsed="false">
      <c r="A157" s="45" t="s">
        <v>525</v>
      </c>
      <c r="B157" s="46" t="s">
        <v>156</v>
      </c>
      <c r="C157" s="47" t="s">
        <v>526</v>
      </c>
      <c r="D157" s="48"/>
      <c r="E157" s="38" t="n">
        <v>1</v>
      </c>
      <c r="F157" s="47" t="s">
        <v>527</v>
      </c>
      <c r="G157" s="37" t="s">
        <v>586</v>
      </c>
      <c r="H157" s="38" t="str">
        <f aca="false">IFERROR(INDEX('الإعدادات واللجنة'!$C$24:$C$32,MATCH(LEFT(A157,3),'الإعدادات واللجنة'!$A$24:$A$32,0)),"")</f>
        <v>د. عمر بن محمد موسى</v>
      </c>
      <c r="I157" s="39"/>
      <c r="J157" s="39"/>
      <c r="K157" s="38" t="str">
        <f aca="false">IF(OR(I157="",I157="متوفر ومكتمل"),"",IF(OR(D157="★",I157="غير متوفر"),"عالية","متوسطة"))</f>
        <v/>
      </c>
      <c r="L157" s="40"/>
      <c r="M157" s="39"/>
      <c r="N157" s="40"/>
      <c r="O157" s="40"/>
      <c r="P157" s="39"/>
      <c r="Q157" s="40"/>
    </row>
    <row r="158" customFormat="false" ht="22.35" hidden="false" customHeight="false" outlineLevel="0" collapsed="false">
      <c r="A158" s="28" t="s">
        <v>525</v>
      </c>
      <c r="B158" s="25" t="s">
        <v>156</v>
      </c>
      <c r="C158" s="26"/>
      <c r="D158" s="27"/>
      <c r="E158" s="28" t="n">
        <v>2</v>
      </c>
      <c r="F158" s="26" t="s">
        <v>528</v>
      </c>
      <c r="G158" s="29" t="s">
        <v>586</v>
      </c>
      <c r="H158" s="28" t="str">
        <f aca="false">IFERROR(INDEX('الإعدادات واللجنة'!$C$24:$C$32,MATCH(LEFT(A158,3),'الإعدادات واللجنة'!$A$24:$A$32,0)),"")</f>
        <v>د. عمر بن محمد موسى</v>
      </c>
      <c r="I158" s="30"/>
      <c r="J158" s="30"/>
      <c r="K158" s="28" t="str">
        <f aca="false">IF(OR(I158="",I158="متوفر ومكتمل"),"",IF(OR(D158="★",I158="غير متوفر"),"عالية","متوسطة"))</f>
        <v/>
      </c>
      <c r="L158" s="31"/>
      <c r="M158" s="30"/>
      <c r="N158" s="31"/>
      <c r="O158" s="31"/>
      <c r="P158" s="30"/>
      <c r="Q158" s="31"/>
    </row>
    <row r="159" customFormat="false" ht="32.8" hidden="false" customHeight="false" outlineLevel="0" collapsed="false">
      <c r="A159" s="45" t="s">
        <v>529</v>
      </c>
      <c r="B159" s="46" t="s">
        <v>156</v>
      </c>
      <c r="C159" s="47" t="s">
        <v>530</v>
      </c>
      <c r="D159" s="48"/>
      <c r="E159" s="38" t="n">
        <v>1</v>
      </c>
      <c r="F159" s="47" t="s">
        <v>531</v>
      </c>
      <c r="G159" s="37" t="s">
        <v>586</v>
      </c>
      <c r="H159" s="38" t="str">
        <f aca="false">IFERROR(INDEX('الإعدادات واللجنة'!$C$24:$C$32,MATCH(LEFT(A159,3),'الإعدادات واللجنة'!$A$24:$A$32,0)),"")</f>
        <v>د. عمر بن محمد موسى</v>
      </c>
      <c r="I159" s="39"/>
      <c r="J159" s="39"/>
      <c r="K159" s="38" t="str">
        <f aca="false">IF(OR(I159="",I159="متوفر ومكتمل"),"",IF(OR(D159="★",I159="غير متوفر"),"عالية","متوسطة"))</f>
        <v/>
      </c>
      <c r="L159" s="40"/>
      <c r="M159" s="39"/>
      <c r="N159" s="40"/>
      <c r="O159" s="40"/>
      <c r="P159" s="39"/>
      <c r="Q159" s="40"/>
    </row>
    <row r="160" customFormat="false" ht="22.35" hidden="false" customHeight="false" outlineLevel="0" collapsed="false">
      <c r="A160" s="28" t="s">
        <v>529</v>
      </c>
      <c r="B160" s="25" t="s">
        <v>156</v>
      </c>
      <c r="C160" s="26"/>
      <c r="D160" s="27"/>
      <c r="E160" s="28" t="n">
        <v>2</v>
      </c>
      <c r="F160" s="26" t="s">
        <v>532</v>
      </c>
      <c r="G160" s="29" t="s">
        <v>586</v>
      </c>
      <c r="H160" s="28" t="str">
        <f aca="false">IFERROR(INDEX('الإعدادات واللجنة'!$C$24:$C$32,MATCH(LEFT(A160,3),'الإعدادات واللجنة'!$A$24:$A$32,0)),"")</f>
        <v>د. عمر بن محمد موسى</v>
      </c>
      <c r="I160" s="30"/>
      <c r="J160" s="30"/>
      <c r="K160" s="28" t="str">
        <f aca="false">IF(OR(I160="",I160="متوفر ومكتمل"),"",IF(OR(D160="★",I160="غير متوفر"),"عالية","متوسطة"))</f>
        <v/>
      </c>
      <c r="L160" s="31"/>
      <c r="M160" s="30"/>
      <c r="N160" s="31"/>
      <c r="O160" s="31"/>
      <c r="P160" s="30"/>
      <c r="Q160" s="31"/>
    </row>
    <row r="161" customFormat="false" ht="22.35" hidden="false" customHeight="false" outlineLevel="0" collapsed="false">
      <c r="A161" s="28" t="s">
        <v>529</v>
      </c>
      <c r="B161" s="25" t="s">
        <v>156</v>
      </c>
      <c r="C161" s="26"/>
      <c r="D161" s="27"/>
      <c r="E161" s="28" t="n">
        <v>3</v>
      </c>
      <c r="F161" s="26" t="s">
        <v>533</v>
      </c>
      <c r="G161" s="29" t="s">
        <v>586</v>
      </c>
      <c r="H161" s="28" t="str">
        <f aca="false">IFERROR(INDEX('الإعدادات واللجنة'!$C$24:$C$32,MATCH(LEFT(A161,3),'الإعدادات واللجنة'!$A$24:$A$32,0)),"")</f>
        <v>د. عمر بن محمد موسى</v>
      </c>
      <c r="I161" s="30"/>
      <c r="J161" s="30"/>
      <c r="K161" s="28" t="str">
        <f aca="false">IF(OR(I161="",I161="متوفر ومكتمل"),"",IF(OR(D161="★",I161="غير متوفر"),"عالية","متوسطة"))</f>
        <v/>
      </c>
      <c r="L161" s="31"/>
      <c r="M161" s="30"/>
      <c r="N161" s="31"/>
      <c r="O161" s="31"/>
      <c r="P161" s="30"/>
      <c r="Q161" s="31"/>
    </row>
    <row r="162" customFormat="false" ht="22.35" hidden="false" customHeight="false" outlineLevel="0" collapsed="false">
      <c r="A162" s="28" t="s">
        <v>529</v>
      </c>
      <c r="B162" s="25" t="s">
        <v>156</v>
      </c>
      <c r="C162" s="26"/>
      <c r="D162" s="27"/>
      <c r="E162" s="28" t="n">
        <v>4</v>
      </c>
      <c r="F162" s="26" t="s">
        <v>534</v>
      </c>
      <c r="G162" s="29" t="s">
        <v>586</v>
      </c>
      <c r="H162" s="28" t="str">
        <f aca="false">IFERROR(INDEX('الإعدادات واللجنة'!$C$24:$C$32,MATCH(LEFT(A162,3),'الإعدادات واللجنة'!$A$24:$A$32,0)),"")</f>
        <v>د. عمر بن محمد موسى</v>
      </c>
      <c r="I162" s="30"/>
      <c r="J162" s="30"/>
      <c r="K162" s="28" t="str">
        <f aca="false">IF(OR(I162="",I162="متوفر ومكتمل"),"",IF(OR(D162="★",I162="غير متوفر"),"عالية","متوسطة"))</f>
        <v/>
      </c>
      <c r="L162" s="31"/>
      <c r="M162" s="30"/>
      <c r="N162" s="31"/>
      <c r="O162" s="31"/>
      <c r="P162" s="30"/>
      <c r="Q162" s="31"/>
    </row>
    <row r="163" customFormat="false" ht="15" hidden="false" customHeight="false" outlineLevel="0" collapsed="false">
      <c r="A163" s="28" t="s">
        <v>529</v>
      </c>
      <c r="B163" s="25" t="s">
        <v>156</v>
      </c>
      <c r="C163" s="26"/>
      <c r="D163" s="27"/>
      <c r="E163" s="28" t="n">
        <v>5</v>
      </c>
      <c r="F163" s="26" t="s">
        <v>535</v>
      </c>
      <c r="G163" s="29" t="s">
        <v>586</v>
      </c>
      <c r="H163" s="28" t="str">
        <f aca="false">IFERROR(INDEX('الإعدادات واللجنة'!$C$24:$C$32,MATCH(LEFT(A163,3),'الإعدادات واللجنة'!$A$24:$A$32,0)),"")</f>
        <v>د. عمر بن محمد موسى</v>
      </c>
      <c r="I163" s="30"/>
      <c r="J163" s="30"/>
      <c r="K163" s="28" t="str">
        <f aca="false">IF(OR(I163="",I163="متوفر ومكتمل"),"",IF(OR(D163="★",I163="غير متوفر"),"عالية","متوسطة"))</f>
        <v/>
      </c>
      <c r="L163" s="31"/>
      <c r="M163" s="30"/>
      <c r="N163" s="31"/>
      <c r="O163" s="31"/>
      <c r="P163" s="30"/>
      <c r="Q163" s="31"/>
    </row>
    <row r="164" customFormat="false" ht="15" hidden="false" customHeight="false" outlineLevel="0" collapsed="false">
      <c r="A164" s="28" t="s">
        <v>529</v>
      </c>
      <c r="B164" s="25" t="s">
        <v>156</v>
      </c>
      <c r="C164" s="26"/>
      <c r="D164" s="27"/>
      <c r="E164" s="28" t="n">
        <v>6</v>
      </c>
      <c r="F164" s="26" t="s">
        <v>536</v>
      </c>
      <c r="G164" s="29" t="s">
        <v>586</v>
      </c>
      <c r="H164" s="28" t="str">
        <f aca="false">IFERROR(INDEX('الإعدادات واللجنة'!$C$24:$C$32,MATCH(LEFT(A164,3),'الإعدادات واللجنة'!$A$24:$A$32,0)),"")</f>
        <v>د. عمر بن محمد موسى</v>
      </c>
      <c r="I164" s="30"/>
      <c r="J164" s="30"/>
      <c r="K164" s="28" t="str">
        <f aca="false">IF(OR(I164="",I164="متوفر ومكتمل"),"",IF(OR(D164="★",I164="غير متوفر"),"عالية","متوسطة"))</f>
        <v/>
      </c>
      <c r="L164" s="31"/>
      <c r="M164" s="30"/>
      <c r="N164" s="31"/>
      <c r="O164" s="31"/>
      <c r="P164" s="30"/>
      <c r="Q164" s="31"/>
    </row>
    <row r="165" customFormat="false" ht="22.35" hidden="false" customHeight="false" outlineLevel="0" collapsed="false">
      <c r="A165" s="28" t="s">
        <v>529</v>
      </c>
      <c r="B165" s="25" t="s">
        <v>156</v>
      </c>
      <c r="C165" s="26"/>
      <c r="D165" s="27"/>
      <c r="E165" s="28" t="n">
        <v>7</v>
      </c>
      <c r="F165" s="26" t="s">
        <v>537</v>
      </c>
      <c r="G165" s="29" t="s">
        <v>586</v>
      </c>
      <c r="H165" s="28" t="str">
        <f aca="false">IFERROR(INDEX('الإعدادات واللجنة'!$C$24:$C$32,MATCH(LEFT(A165,3),'الإعدادات واللجنة'!$A$24:$A$32,0)),"")</f>
        <v>د. عمر بن محمد موسى</v>
      </c>
      <c r="I165" s="30"/>
      <c r="J165" s="30"/>
      <c r="K165" s="28" t="str">
        <f aca="false">IF(OR(I165="",I165="متوفر ومكتمل"),"",IF(OR(D165="★",I165="غير متوفر"),"عالية","متوسطة"))</f>
        <v/>
      </c>
      <c r="L165" s="31"/>
      <c r="M165" s="30"/>
      <c r="N165" s="31"/>
      <c r="O165" s="31"/>
      <c r="P165" s="30"/>
      <c r="Q165" s="31"/>
    </row>
    <row r="166" customFormat="false" ht="22.35" hidden="false" customHeight="false" outlineLevel="0" collapsed="false">
      <c r="A166" s="45" t="s">
        <v>538</v>
      </c>
      <c r="B166" s="46" t="s">
        <v>156</v>
      </c>
      <c r="C166" s="47" t="s">
        <v>539</v>
      </c>
      <c r="D166" s="48"/>
      <c r="E166" s="38" t="n">
        <v>1</v>
      </c>
      <c r="F166" s="47" t="s">
        <v>540</v>
      </c>
      <c r="G166" s="37" t="s">
        <v>586</v>
      </c>
      <c r="H166" s="38" t="str">
        <f aca="false">IFERROR(INDEX('الإعدادات واللجنة'!$C$24:$C$32,MATCH(LEFT(A166,3),'الإعدادات واللجنة'!$A$24:$A$32,0)),"")</f>
        <v>د. عمر بن محمد موسى</v>
      </c>
      <c r="I166" s="39"/>
      <c r="J166" s="39"/>
      <c r="K166" s="38" t="str">
        <f aca="false">IF(OR(I166="",I166="متوفر ومكتمل"),"",IF(OR(D166="★",I166="غير متوفر"),"عالية","متوسطة"))</f>
        <v/>
      </c>
      <c r="L166" s="40"/>
      <c r="M166" s="39"/>
      <c r="N166" s="40"/>
      <c r="O166" s="40"/>
      <c r="P166" s="39"/>
      <c r="Q166" s="40"/>
    </row>
    <row r="167" customFormat="false" ht="15" hidden="false" customHeight="false" outlineLevel="0" collapsed="false">
      <c r="A167" s="28" t="s">
        <v>538</v>
      </c>
      <c r="B167" s="25" t="s">
        <v>156</v>
      </c>
      <c r="C167" s="26"/>
      <c r="D167" s="27"/>
      <c r="E167" s="28" t="n">
        <v>2</v>
      </c>
      <c r="F167" s="26" t="s">
        <v>541</v>
      </c>
      <c r="G167" s="29" t="s">
        <v>586</v>
      </c>
      <c r="H167" s="28" t="str">
        <f aca="false">IFERROR(INDEX('الإعدادات واللجنة'!$C$24:$C$32,MATCH(LEFT(A167,3),'الإعدادات واللجنة'!$A$24:$A$32,0)),"")</f>
        <v>د. عمر بن محمد موسى</v>
      </c>
      <c r="I167" s="30"/>
      <c r="J167" s="30"/>
      <c r="K167" s="28" t="str">
        <f aca="false">IF(OR(I167="",I167="متوفر ومكتمل"),"",IF(OR(D167="★",I167="غير متوفر"),"عالية","متوسطة"))</f>
        <v/>
      </c>
      <c r="L167" s="31"/>
      <c r="M167" s="30"/>
      <c r="N167" s="31"/>
      <c r="O167" s="31"/>
      <c r="P167" s="30"/>
      <c r="Q167" s="31"/>
    </row>
    <row r="168" customFormat="false" ht="22.35" hidden="false" customHeight="false" outlineLevel="0" collapsed="false">
      <c r="A168" s="28" t="s">
        <v>538</v>
      </c>
      <c r="B168" s="25" t="s">
        <v>156</v>
      </c>
      <c r="C168" s="26"/>
      <c r="D168" s="27"/>
      <c r="E168" s="28" t="n">
        <v>3</v>
      </c>
      <c r="F168" s="26" t="s">
        <v>542</v>
      </c>
      <c r="G168" s="29" t="s">
        <v>586</v>
      </c>
      <c r="H168" s="28" t="str">
        <f aca="false">IFERROR(INDEX('الإعدادات واللجنة'!$C$24:$C$32,MATCH(LEFT(A168,3),'الإعدادات واللجنة'!$A$24:$A$32,0)),"")</f>
        <v>د. عمر بن محمد موسى</v>
      </c>
      <c r="I168" s="30"/>
      <c r="J168" s="30"/>
      <c r="K168" s="28" t="str">
        <f aca="false">IF(OR(I168="",I168="متوفر ومكتمل"),"",IF(OR(D168="★",I168="غير متوفر"),"عالية","متوسطة"))</f>
        <v/>
      </c>
      <c r="L168" s="31"/>
      <c r="M168" s="30"/>
      <c r="N168" s="31"/>
      <c r="O168" s="31"/>
      <c r="P168" s="30"/>
      <c r="Q168" s="31"/>
    </row>
    <row r="169" customFormat="false" ht="22.35" hidden="false" customHeight="false" outlineLevel="0" collapsed="false">
      <c r="A169" s="45" t="s">
        <v>543</v>
      </c>
      <c r="B169" s="46" t="s">
        <v>156</v>
      </c>
      <c r="C169" s="47" t="s">
        <v>544</v>
      </c>
      <c r="D169" s="48"/>
      <c r="E169" s="38" t="n">
        <v>1</v>
      </c>
      <c r="F169" s="47" t="s">
        <v>545</v>
      </c>
      <c r="G169" s="37" t="s">
        <v>586</v>
      </c>
      <c r="H169" s="38" t="str">
        <f aca="false">IFERROR(INDEX('الإعدادات واللجنة'!$C$24:$C$32,MATCH(LEFT(A169,3),'الإعدادات واللجنة'!$A$24:$A$32,0)),"")</f>
        <v>د. عمر بن محمد موسى</v>
      </c>
      <c r="I169" s="39"/>
      <c r="J169" s="39"/>
      <c r="K169" s="38" t="str">
        <f aca="false">IF(OR(I169="",I169="متوفر ومكتمل"),"",IF(OR(D169="★",I169="غير متوفر"),"عالية","متوسطة"))</f>
        <v/>
      </c>
      <c r="L169" s="40"/>
      <c r="M169" s="39"/>
      <c r="N169" s="40"/>
      <c r="O169" s="40"/>
      <c r="P169" s="39"/>
      <c r="Q169" s="40"/>
    </row>
    <row r="170" customFormat="false" ht="15" hidden="false" customHeight="false" outlineLevel="0" collapsed="false">
      <c r="A170" s="28" t="s">
        <v>543</v>
      </c>
      <c r="B170" s="25" t="s">
        <v>156</v>
      </c>
      <c r="C170" s="26"/>
      <c r="D170" s="27"/>
      <c r="E170" s="28" t="n">
        <v>2</v>
      </c>
      <c r="F170" s="26" t="s">
        <v>546</v>
      </c>
      <c r="G170" s="29" t="s">
        <v>586</v>
      </c>
      <c r="H170" s="28" t="str">
        <f aca="false">IFERROR(INDEX('الإعدادات واللجنة'!$C$24:$C$32,MATCH(LEFT(A170,3),'الإعدادات واللجنة'!$A$24:$A$32,0)),"")</f>
        <v>د. عمر بن محمد موسى</v>
      </c>
      <c r="I170" s="30"/>
      <c r="J170" s="30"/>
      <c r="K170" s="28" t="str">
        <f aca="false">IF(OR(I170="",I170="متوفر ومكتمل"),"",IF(OR(D170="★",I170="غير متوفر"),"عالية","متوسطة"))</f>
        <v/>
      </c>
      <c r="L170" s="31"/>
      <c r="M170" s="30"/>
      <c r="N170" s="31"/>
      <c r="O170" s="31"/>
      <c r="P170" s="30"/>
      <c r="Q170" s="31"/>
    </row>
    <row r="171" customFormat="false" ht="22.35" hidden="false" customHeight="false" outlineLevel="0" collapsed="false">
      <c r="A171" s="28" t="s">
        <v>543</v>
      </c>
      <c r="B171" s="25" t="s">
        <v>156</v>
      </c>
      <c r="C171" s="26"/>
      <c r="D171" s="27"/>
      <c r="E171" s="28" t="n">
        <v>3</v>
      </c>
      <c r="F171" s="26" t="s">
        <v>547</v>
      </c>
      <c r="G171" s="29" t="s">
        <v>586</v>
      </c>
      <c r="H171" s="28" t="str">
        <f aca="false">IFERROR(INDEX('الإعدادات واللجنة'!$C$24:$C$32,MATCH(LEFT(A171,3),'الإعدادات واللجنة'!$A$24:$A$32,0)),"")</f>
        <v>د. عمر بن محمد موسى</v>
      </c>
      <c r="I171" s="30"/>
      <c r="J171" s="30"/>
      <c r="K171" s="28" t="str">
        <f aca="false">IF(OR(I171="",I171="متوفر ومكتمل"),"",IF(OR(D171="★",I171="غير متوفر"),"عالية","متوسطة"))</f>
        <v/>
      </c>
      <c r="L171" s="31"/>
      <c r="M171" s="30"/>
      <c r="N171" s="31"/>
      <c r="O171" s="31"/>
      <c r="P171" s="30"/>
      <c r="Q171" s="31"/>
    </row>
    <row r="172" customFormat="false" ht="22.35" hidden="false" customHeight="false" outlineLevel="0" collapsed="false">
      <c r="A172" s="28" t="s">
        <v>543</v>
      </c>
      <c r="B172" s="25" t="s">
        <v>156</v>
      </c>
      <c r="C172" s="26"/>
      <c r="D172" s="27"/>
      <c r="E172" s="28" t="n">
        <v>4</v>
      </c>
      <c r="F172" s="26" t="s">
        <v>548</v>
      </c>
      <c r="G172" s="29" t="s">
        <v>586</v>
      </c>
      <c r="H172" s="28" t="str">
        <f aca="false">IFERROR(INDEX('الإعدادات واللجنة'!$C$24:$C$32,MATCH(LEFT(A172,3),'الإعدادات واللجنة'!$A$24:$A$32,0)),"")</f>
        <v>د. عمر بن محمد موسى</v>
      </c>
      <c r="I172" s="30"/>
      <c r="J172" s="30"/>
      <c r="K172" s="28" t="str">
        <f aca="false">IF(OR(I172="",I172="متوفر ومكتمل"),"",IF(OR(D172="★",I172="غير متوفر"),"عالية","متوسطة"))</f>
        <v/>
      </c>
      <c r="L172" s="31"/>
      <c r="M172" s="30"/>
      <c r="N172" s="31"/>
      <c r="O172" s="31"/>
      <c r="P172" s="30"/>
      <c r="Q172" s="31"/>
    </row>
    <row r="173" customFormat="false" ht="15" hidden="false" customHeight="false" outlineLevel="0" collapsed="false">
      <c r="A173" s="28" t="s">
        <v>543</v>
      </c>
      <c r="B173" s="25" t="s">
        <v>156</v>
      </c>
      <c r="C173" s="26"/>
      <c r="D173" s="27"/>
      <c r="E173" s="28" t="n">
        <v>5</v>
      </c>
      <c r="F173" s="26" t="s">
        <v>549</v>
      </c>
      <c r="G173" s="29" t="s">
        <v>586</v>
      </c>
      <c r="H173" s="28" t="str">
        <f aca="false">IFERROR(INDEX('الإعدادات واللجنة'!$C$24:$C$32,MATCH(LEFT(A173,3),'الإعدادات واللجنة'!$A$24:$A$32,0)),"")</f>
        <v>د. عمر بن محمد موسى</v>
      </c>
      <c r="I173" s="30"/>
      <c r="J173" s="30"/>
      <c r="K173" s="28" t="str">
        <f aca="false">IF(OR(I173="",I173="متوفر ومكتمل"),"",IF(OR(D173="★",I173="غير متوفر"),"عالية","متوسطة"))</f>
        <v/>
      </c>
      <c r="L173" s="31"/>
      <c r="M173" s="30"/>
      <c r="N173" s="31"/>
      <c r="O173" s="31"/>
      <c r="P173" s="30"/>
      <c r="Q173" s="31"/>
    </row>
    <row r="174" customFormat="false" ht="22.35" hidden="false" customHeight="false" outlineLevel="0" collapsed="false">
      <c r="A174" s="45" t="s">
        <v>550</v>
      </c>
      <c r="B174" s="46" t="s">
        <v>156</v>
      </c>
      <c r="C174" s="47" t="s">
        <v>551</v>
      </c>
      <c r="D174" s="48"/>
      <c r="E174" s="38" t="n">
        <v>1</v>
      </c>
      <c r="F174" s="47" t="s">
        <v>552</v>
      </c>
      <c r="G174" s="37" t="s">
        <v>586</v>
      </c>
      <c r="H174" s="38" t="str">
        <f aca="false">IFERROR(INDEX('الإعدادات واللجنة'!$C$24:$C$32,MATCH(LEFT(A174,3),'الإعدادات واللجنة'!$A$24:$A$32,0)),"")</f>
        <v>د. عمر بن محمد موسى</v>
      </c>
      <c r="I174" s="39"/>
      <c r="J174" s="39"/>
      <c r="K174" s="38" t="str">
        <f aca="false">IF(OR(I174="",I174="متوفر ومكتمل"),"",IF(OR(D174="★",I174="غير متوفر"),"عالية","متوسطة"))</f>
        <v/>
      </c>
      <c r="L174" s="40"/>
      <c r="M174" s="39"/>
      <c r="N174" s="40"/>
      <c r="O174" s="40"/>
      <c r="P174" s="39"/>
      <c r="Q174" s="40"/>
    </row>
    <row r="175" customFormat="false" ht="15" hidden="false" customHeight="false" outlineLevel="0" collapsed="false">
      <c r="A175" s="28" t="s">
        <v>550</v>
      </c>
      <c r="B175" s="25" t="s">
        <v>156</v>
      </c>
      <c r="C175" s="26"/>
      <c r="D175" s="27"/>
      <c r="E175" s="28" t="n">
        <v>2</v>
      </c>
      <c r="F175" s="26" t="s">
        <v>553</v>
      </c>
      <c r="G175" s="29" t="s">
        <v>586</v>
      </c>
      <c r="H175" s="28" t="str">
        <f aca="false">IFERROR(INDEX('الإعدادات واللجنة'!$C$24:$C$32,MATCH(LEFT(A175,3),'الإعدادات واللجنة'!$A$24:$A$32,0)),"")</f>
        <v>د. عمر بن محمد موسى</v>
      </c>
      <c r="I175" s="30"/>
      <c r="J175" s="30"/>
      <c r="K175" s="28" t="str">
        <f aca="false">IF(OR(I175="",I175="متوفر ومكتمل"),"",IF(OR(D175="★",I175="غير متوفر"),"عالية","متوسطة"))</f>
        <v/>
      </c>
      <c r="L175" s="31"/>
      <c r="M175" s="30"/>
      <c r="N175" s="31"/>
      <c r="O175" s="31"/>
      <c r="P175" s="30"/>
      <c r="Q175" s="31"/>
    </row>
    <row r="176" customFormat="false" ht="15" hidden="false" customHeight="false" outlineLevel="0" collapsed="false">
      <c r="A176" s="28" t="s">
        <v>550</v>
      </c>
      <c r="B176" s="25" t="s">
        <v>156</v>
      </c>
      <c r="C176" s="26"/>
      <c r="D176" s="27"/>
      <c r="E176" s="28" t="n">
        <v>3</v>
      </c>
      <c r="F176" s="26" t="s">
        <v>554</v>
      </c>
      <c r="G176" s="29" t="s">
        <v>586</v>
      </c>
      <c r="H176" s="28" t="str">
        <f aca="false">IFERROR(INDEX('الإعدادات واللجنة'!$C$24:$C$32,MATCH(LEFT(A176,3),'الإعدادات واللجنة'!$A$24:$A$32,0)),"")</f>
        <v>د. عمر بن محمد موسى</v>
      </c>
      <c r="I176" s="30"/>
      <c r="J176" s="30"/>
      <c r="K176" s="28" t="str">
        <f aca="false">IF(OR(I176="",I176="متوفر ومكتمل"),"",IF(OR(D176="★",I176="غير متوفر"),"عالية","متوسطة"))</f>
        <v/>
      </c>
      <c r="L176" s="31"/>
      <c r="M176" s="30"/>
      <c r="N176" s="31"/>
      <c r="O176" s="31"/>
      <c r="P176" s="30"/>
      <c r="Q176" s="31"/>
    </row>
    <row r="177" customFormat="false" ht="43.25" hidden="false" customHeight="false" outlineLevel="0" collapsed="false">
      <c r="A177" s="28" t="s">
        <v>550</v>
      </c>
      <c r="B177" s="25" t="s">
        <v>156</v>
      </c>
      <c r="C177" s="26"/>
      <c r="D177" s="27"/>
      <c r="E177" s="28" t="n">
        <v>4</v>
      </c>
      <c r="F177" s="26" t="s">
        <v>555</v>
      </c>
      <c r="G177" s="29" t="s">
        <v>586</v>
      </c>
      <c r="H177" s="28" t="str">
        <f aca="false">IFERROR(INDEX('الإعدادات واللجنة'!$C$24:$C$32,MATCH(LEFT(A177,3),'الإعدادات واللجنة'!$A$24:$A$32,0)),"")</f>
        <v>د. عمر بن محمد موسى</v>
      </c>
      <c r="I177" s="30"/>
      <c r="J177" s="30"/>
      <c r="K177" s="28" t="str">
        <f aca="false">IF(OR(I177="",I177="متوفر ومكتمل"),"",IF(OR(D177="★",I177="غير متوفر"),"عالية","متوسطة"))</f>
        <v/>
      </c>
      <c r="L177" s="31"/>
      <c r="M177" s="30"/>
      <c r="N177" s="31"/>
      <c r="O177" s="31"/>
      <c r="P177" s="30"/>
      <c r="Q177" s="31"/>
    </row>
    <row r="178" customFormat="false" ht="15" hidden="false" customHeight="false" outlineLevel="0" collapsed="false">
      <c r="A178" s="28" t="s">
        <v>550</v>
      </c>
      <c r="B178" s="25" t="s">
        <v>156</v>
      </c>
      <c r="C178" s="26"/>
      <c r="D178" s="27"/>
      <c r="E178" s="28" t="n">
        <v>5</v>
      </c>
      <c r="F178" s="26" t="s">
        <v>556</v>
      </c>
      <c r="G178" s="29" t="s">
        <v>586</v>
      </c>
      <c r="H178" s="28" t="str">
        <f aca="false">IFERROR(INDEX('الإعدادات واللجنة'!$C$24:$C$32,MATCH(LEFT(A178,3),'الإعدادات واللجنة'!$A$24:$A$32,0)),"")</f>
        <v>د. عمر بن محمد موسى</v>
      </c>
      <c r="I178" s="30"/>
      <c r="J178" s="30"/>
      <c r="K178" s="28" t="str">
        <f aca="false">IF(OR(I178="",I178="متوفر ومكتمل"),"",IF(OR(D178="★",I178="غير متوفر"),"عالية","متوسطة"))</f>
        <v/>
      </c>
      <c r="L178" s="31"/>
      <c r="M178" s="30"/>
      <c r="N178" s="31"/>
      <c r="O178" s="31"/>
      <c r="P178" s="30"/>
      <c r="Q178" s="31"/>
    </row>
    <row r="179" customFormat="false" ht="22.35" hidden="false" customHeight="false" outlineLevel="0" collapsed="false">
      <c r="A179" s="45" t="s">
        <v>557</v>
      </c>
      <c r="B179" s="46" t="s">
        <v>157</v>
      </c>
      <c r="C179" s="47" t="s">
        <v>558</v>
      </c>
      <c r="D179" s="48"/>
      <c r="E179" s="38" t="n">
        <v>1</v>
      </c>
      <c r="F179" s="47" t="s">
        <v>559</v>
      </c>
      <c r="G179" s="37" t="s">
        <v>586</v>
      </c>
      <c r="H179" s="38" t="str">
        <f aca="false">IFERROR(INDEX('الإعدادات واللجنة'!$C$24:$C$32,MATCH(LEFT(A179,3),'الإعدادات واللجنة'!$A$24:$A$32,0)),"")</f>
        <v>د. حسن بن سعد القحطاني</v>
      </c>
      <c r="I179" s="39"/>
      <c r="J179" s="39"/>
      <c r="K179" s="38" t="str">
        <f aca="false">IF(OR(I179="",I179="متوفر ومكتمل"),"",IF(OR(D179="★",I179="غير متوفر"),"عالية","متوسطة"))</f>
        <v/>
      </c>
      <c r="L179" s="40"/>
      <c r="M179" s="39"/>
      <c r="N179" s="40"/>
      <c r="O179" s="40"/>
      <c r="P179" s="39"/>
      <c r="Q179" s="40"/>
    </row>
    <row r="180" customFormat="false" ht="19.4" hidden="false" customHeight="false" outlineLevel="0" collapsed="false">
      <c r="A180" s="28" t="s">
        <v>557</v>
      </c>
      <c r="B180" s="25" t="s">
        <v>157</v>
      </c>
      <c r="C180" s="26"/>
      <c r="D180" s="27"/>
      <c r="E180" s="28" t="n">
        <v>2</v>
      </c>
      <c r="F180" s="26" t="s">
        <v>560</v>
      </c>
      <c r="G180" s="29" t="s">
        <v>586</v>
      </c>
      <c r="H180" s="28" t="str">
        <f aca="false">IFERROR(INDEX('الإعدادات واللجنة'!$C$24:$C$32,MATCH(LEFT(A180,3),'الإعدادات واللجنة'!$A$24:$A$32,0)),"")</f>
        <v>د. حسن بن سعد القحطاني</v>
      </c>
      <c r="I180" s="30"/>
      <c r="J180" s="30"/>
      <c r="K180" s="28" t="str">
        <f aca="false">IF(OR(I180="",I180="متوفر ومكتمل"),"",IF(OR(D180="★",I180="غير متوفر"),"عالية","متوسطة"))</f>
        <v/>
      </c>
      <c r="L180" s="31"/>
      <c r="M180" s="30"/>
      <c r="N180" s="31"/>
      <c r="O180" s="31"/>
      <c r="P180" s="30"/>
      <c r="Q180" s="31"/>
    </row>
    <row r="181" customFormat="false" ht="22.35" hidden="false" customHeight="false" outlineLevel="0" collapsed="false">
      <c r="A181" s="28" t="s">
        <v>557</v>
      </c>
      <c r="B181" s="25" t="s">
        <v>157</v>
      </c>
      <c r="C181" s="26"/>
      <c r="D181" s="27"/>
      <c r="E181" s="28" t="n">
        <v>3</v>
      </c>
      <c r="F181" s="26" t="s">
        <v>561</v>
      </c>
      <c r="G181" s="29" t="s">
        <v>586</v>
      </c>
      <c r="H181" s="28" t="str">
        <f aca="false">IFERROR(INDEX('الإعدادات واللجنة'!$C$24:$C$32,MATCH(LEFT(A181,3),'الإعدادات واللجنة'!$A$24:$A$32,0)),"")</f>
        <v>د. حسن بن سعد القحطاني</v>
      </c>
      <c r="I181" s="30"/>
      <c r="J181" s="30"/>
      <c r="K181" s="28" t="str">
        <f aca="false">IF(OR(I181="",I181="متوفر ومكتمل"),"",IF(OR(D181="★",I181="غير متوفر"),"عالية","متوسطة"))</f>
        <v/>
      </c>
      <c r="L181" s="31"/>
      <c r="M181" s="30"/>
      <c r="N181" s="31"/>
      <c r="O181" s="31"/>
      <c r="P181" s="30"/>
      <c r="Q181" s="31"/>
    </row>
    <row r="182" customFormat="false" ht="32.8" hidden="false" customHeight="false" outlineLevel="0" collapsed="false">
      <c r="A182" s="45" t="s">
        <v>562</v>
      </c>
      <c r="B182" s="46" t="s">
        <v>157</v>
      </c>
      <c r="C182" s="47" t="s">
        <v>563</v>
      </c>
      <c r="D182" s="48"/>
      <c r="E182" s="38" t="n">
        <v>1</v>
      </c>
      <c r="F182" s="47" t="s">
        <v>564</v>
      </c>
      <c r="G182" s="37" t="s">
        <v>586</v>
      </c>
      <c r="H182" s="38" t="str">
        <f aca="false">IFERROR(INDEX('الإعدادات واللجنة'!$C$24:$C$32,MATCH(LEFT(A182,3),'الإعدادات واللجنة'!$A$24:$A$32,0)),"")</f>
        <v>د. حسن بن سعد القحطاني</v>
      </c>
      <c r="I182" s="39"/>
      <c r="J182" s="39"/>
      <c r="K182" s="38" t="str">
        <f aca="false">IF(OR(I182="",I182="متوفر ومكتمل"),"",IF(OR(D182="★",I182="غير متوفر"),"عالية","متوسطة"))</f>
        <v/>
      </c>
      <c r="L182" s="40"/>
      <c r="M182" s="39"/>
      <c r="N182" s="40"/>
      <c r="O182" s="40"/>
      <c r="P182" s="39"/>
      <c r="Q182" s="40"/>
    </row>
    <row r="183" customFormat="false" ht="22.35" hidden="false" customHeight="false" outlineLevel="0" collapsed="false">
      <c r="A183" s="28" t="s">
        <v>562</v>
      </c>
      <c r="B183" s="25" t="s">
        <v>157</v>
      </c>
      <c r="C183" s="26"/>
      <c r="D183" s="27"/>
      <c r="E183" s="28" t="n">
        <v>2</v>
      </c>
      <c r="F183" s="26" t="s">
        <v>565</v>
      </c>
      <c r="G183" s="29" t="s">
        <v>586</v>
      </c>
      <c r="H183" s="28" t="str">
        <f aca="false">IFERROR(INDEX('الإعدادات واللجنة'!$C$24:$C$32,MATCH(LEFT(A183,3),'الإعدادات واللجنة'!$A$24:$A$32,0)),"")</f>
        <v>د. حسن بن سعد القحطاني</v>
      </c>
      <c r="I183" s="30"/>
      <c r="J183" s="30"/>
      <c r="K183" s="28" t="str">
        <f aca="false">IF(OR(I183="",I183="متوفر ومكتمل"),"",IF(OR(D183="★",I183="غير متوفر"),"عالية","متوسطة"))</f>
        <v/>
      </c>
      <c r="L183" s="31"/>
      <c r="M183" s="30"/>
      <c r="N183" s="31"/>
      <c r="O183" s="31"/>
      <c r="P183" s="30"/>
      <c r="Q183" s="31"/>
    </row>
    <row r="184" customFormat="false" ht="22.35" hidden="false" customHeight="false" outlineLevel="0" collapsed="false">
      <c r="A184" s="28" t="s">
        <v>562</v>
      </c>
      <c r="B184" s="25" t="s">
        <v>157</v>
      </c>
      <c r="C184" s="26"/>
      <c r="D184" s="27"/>
      <c r="E184" s="28" t="n">
        <v>3</v>
      </c>
      <c r="F184" s="26" t="s">
        <v>566</v>
      </c>
      <c r="G184" s="29" t="s">
        <v>586</v>
      </c>
      <c r="H184" s="28" t="str">
        <f aca="false">IFERROR(INDEX('الإعدادات واللجنة'!$C$24:$C$32,MATCH(LEFT(A184,3),'الإعدادات واللجنة'!$A$24:$A$32,0)),"")</f>
        <v>د. حسن بن سعد القحطاني</v>
      </c>
      <c r="I184" s="30"/>
      <c r="J184" s="30"/>
      <c r="K184" s="28" t="str">
        <f aca="false">IF(OR(I184="",I184="متوفر ومكتمل"),"",IF(OR(D184="★",I184="غير متوفر"),"عالية","متوسطة"))</f>
        <v/>
      </c>
      <c r="L184" s="31"/>
      <c r="M184" s="30"/>
      <c r="N184" s="31"/>
      <c r="O184" s="31"/>
      <c r="P184" s="30"/>
      <c r="Q184" s="31"/>
    </row>
    <row r="185" customFormat="false" ht="32.8" hidden="false" customHeight="false" outlineLevel="0" collapsed="false">
      <c r="A185" s="32" t="s">
        <v>567</v>
      </c>
      <c r="B185" s="33" t="s">
        <v>157</v>
      </c>
      <c r="C185" s="34" t="s">
        <v>568</v>
      </c>
      <c r="D185" s="35" t="s">
        <v>296</v>
      </c>
      <c r="E185" s="36" t="n">
        <v>1</v>
      </c>
      <c r="F185" s="34" t="s">
        <v>569</v>
      </c>
      <c r="G185" s="37" t="s">
        <v>586</v>
      </c>
      <c r="H185" s="38" t="str">
        <f aca="false">IFERROR(INDEX('الإعدادات واللجنة'!$C$24:$C$32,MATCH(LEFT(A185,3),'الإعدادات واللجنة'!$A$24:$A$32,0)),"")</f>
        <v>د. حسن بن سعد القحطاني</v>
      </c>
      <c r="I185" s="39"/>
      <c r="J185" s="39"/>
      <c r="K185" s="38" t="str">
        <f aca="false">IF(OR(I185="",I185="متوفر ومكتمل"),"",IF(OR(D185="★",I185="غير متوفر"),"عالية","متوسطة"))</f>
        <v/>
      </c>
      <c r="L185" s="40"/>
      <c r="M185" s="39"/>
      <c r="N185" s="40"/>
      <c r="O185" s="40"/>
      <c r="P185" s="39"/>
      <c r="Q185" s="40"/>
    </row>
    <row r="186" customFormat="false" ht="22.35" hidden="false" customHeight="false" outlineLevel="0" collapsed="false">
      <c r="A186" s="41" t="s">
        <v>567</v>
      </c>
      <c r="B186" s="42" t="s">
        <v>157</v>
      </c>
      <c r="C186" s="43"/>
      <c r="D186" s="44" t="s">
        <v>296</v>
      </c>
      <c r="E186" s="41" t="n">
        <v>2</v>
      </c>
      <c r="F186" s="43" t="s">
        <v>570</v>
      </c>
      <c r="G186" s="29" t="s">
        <v>586</v>
      </c>
      <c r="H186" s="28" t="str">
        <f aca="false">IFERROR(INDEX('الإعدادات واللجنة'!$C$24:$C$32,MATCH(LEFT(A186,3),'الإعدادات واللجنة'!$A$24:$A$32,0)),"")</f>
        <v>د. حسن بن سعد القحطاني</v>
      </c>
      <c r="I186" s="30"/>
      <c r="J186" s="30"/>
      <c r="K186" s="28" t="str">
        <f aca="false">IF(OR(I186="",I186="متوفر ومكتمل"),"",IF(OR(D186="★",I186="غير متوفر"),"عالية","متوسطة"))</f>
        <v/>
      </c>
      <c r="L186" s="31"/>
      <c r="M186" s="30"/>
      <c r="N186" s="31"/>
      <c r="O186" s="31"/>
      <c r="P186" s="30"/>
      <c r="Q186" s="31"/>
    </row>
    <row r="187" customFormat="false" ht="22.35" hidden="false" customHeight="false" outlineLevel="0" collapsed="false">
      <c r="A187" s="41" t="s">
        <v>567</v>
      </c>
      <c r="B187" s="42" t="s">
        <v>157</v>
      </c>
      <c r="C187" s="43"/>
      <c r="D187" s="44" t="s">
        <v>296</v>
      </c>
      <c r="E187" s="41" t="n">
        <v>3</v>
      </c>
      <c r="F187" s="43" t="s">
        <v>571</v>
      </c>
      <c r="G187" s="29" t="s">
        <v>586</v>
      </c>
      <c r="H187" s="28" t="str">
        <f aca="false">IFERROR(INDEX('الإعدادات واللجنة'!$C$24:$C$32,MATCH(LEFT(A187,3),'الإعدادات واللجنة'!$A$24:$A$32,0)),"")</f>
        <v>د. حسن بن سعد القحطاني</v>
      </c>
      <c r="I187" s="30"/>
      <c r="J187" s="30"/>
      <c r="K187" s="28" t="str">
        <f aca="false">IF(OR(I187="",I187="متوفر ومكتمل"),"",IF(OR(D187="★",I187="غير متوفر"),"عالية","متوسطة"))</f>
        <v/>
      </c>
      <c r="L187" s="31"/>
      <c r="M187" s="30"/>
      <c r="N187" s="31"/>
      <c r="O187" s="31"/>
      <c r="P187" s="30"/>
      <c r="Q187" s="31"/>
    </row>
    <row r="188" customFormat="false" ht="19.4" hidden="false" customHeight="false" outlineLevel="0" collapsed="false">
      <c r="A188" s="41" t="s">
        <v>567</v>
      </c>
      <c r="B188" s="42" t="s">
        <v>157</v>
      </c>
      <c r="C188" s="43"/>
      <c r="D188" s="44" t="s">
        <v>296</v>
      </c>
      <c r="E188" s="41" t="n">
        <v>4</v>
      </c>
      <c r="F188" s="43" t="s">
        <v>572</v>
      </c>
      <c r="G188" s="29" t="s">
        <v>586</v>
      </c>
      <c r="H188" s="28" t="str">
        <f aca="false">IFERROR(INDEX('الإعدادات واللجنة'!$C$24:$C$32,MATCH(LEFT(A188,3),'الإعدادات واللجنة'!$A$24:$A$32,0)),"")</f>
        <v>د. حسن بن سعد القحطاني</v>
      </c>
      <c r="I188" s="30"/>
      <c r="J188" s="30"/>
      <c r="K188" s="28" t="str">
        <f aca="false">IF(OR(I188="",I188="متوفر ومكتمل"),"",IF(OR(D188="★",I188="غير متوفر"),"عالية","متوسطة"))</f>
        <v/>
      </c>
      <c r="L188" s="31"/>
      <c r="M188" s="30"/>
      <c r="N188" s="31"/>
      <c r="O188" s="31"/>
      <c r="P188" s="30"/>
      <c r="Q188" s="31"/>
    </row>
    <row r="189" customFormat="false" ht="19.4" hidden="false" customHeight="false" outlineLevel="0" collapsed="false">
      <c r="A189" s="41" t="s">
        <v>567</v>
      </c>
      <c r="B189" s="42" t="s">
        <v>157</v>
      </c>
      <c r="C189" s="43"/>
      <c r="D189" s="44" t="s">
        <v>296</v>
      </c>
      <c r="E189" s="41" t="n">
        <v>5</v>
      </c>
      <c r="F189" s="43" t="s">
        <v>573</v>
      </c>
      <c r="G189" s="29" t="s">
        <v>586</v>
      </c>
      <c r="H189" s="28" t="str">
        <f aca="false">IFERROR(INDEX('الإعدادات واللجنة'!$C$24:$C$32,MATCH(LEFT(A189,3),'الإعدادات واللجنة'!$A$24:$A$32,0)),"")</f>
        <v>د. حسن بن سعد القحطاني</v>
      </c>
      <c r="I189" s="30"/>
      <c r="J189" s="30"/>
      <c r="K189" s="28" t="str">
        <f aca="false">IF(OR(I189="",I189="متوفر ومكتمل"),"",IF(OR(D189="★",I189="غير متوفر"),"عالية","متوسطة"))</f>
        <v/>
      </c>
      <c r="L189" s="31"/>
      <c r="M189" s="30"/>
      <c r="N189" s="31"/>
      <c r="O189" s="31"/>
      <c r="P189" s="30"/>
      <c r="Q189" s="31"/>
    </row>
    <row r="190" customFormat="false" ht="19.4" hidden="false" customHeight="false" outlineLevel="0" collapsed="false">
      <c r="A190" s="41" t="s">
        <v>567</v>
      </c>
      <c r="B190" s="42" t="s">
        <v>157</v>
      </c>
      <c r="C190" s="43"/>
      <c r="D190" s="44" t="s">
        <v>296</v>
      </c>
      <c r="E190" s="41" t="n">
        <v>6</v>
      </c>
      <c r="F190" s="43" t="s">
        <v>574</v>
      </c>
      <c r="G190" s="29" t="s">
        <v>586</v>
      </c>
      <c r="H190" s="28" t="str">
        <f aca="false">IFERROR(INDEX('الإعدادات واللجنة'!$C$24:$C$32,MATCH(LEFT(A190,3),'الإعدادات واللجنة'!$A$24:$A$32,0)),"")</f>
        <v>د. حسن بن سعد القحطاني</v>
      </c>
      <c r="I190" s="30"/>
      <c r="J190" s="30"/>
      <c r="K190" s="28" t="str">
        <f aca="false">IF(OR(I190="",I190="متوفر ومكتمل"),"",IF(OR(D190="★",I190="غير متوفر"),"عالية","متوسطة"))</f>
        <v/>
      </c>
      <c r="L190" s="31"/>
      <c r="M190" s="30"/>
      <c r="N190" s="31"/>
      <c r="O190" s="31"/>
      <c r="P190" s="30"/>
      <c r="Q190" s="31"/>
    </row>
    <row r="191" customFormat="false" ht="22.35" hidden="false" customHeight="false" outlineLevel="0" collapsed="false">
      <c r="A191" s="45" t="s">
        <v>575</v>
      </c>
      <c r="B191" s="46" t="s">
        <v>157</v>
      </c>
      <c r="C191" s="47" t="s">
        <v>576</v>
      </c>
      <c r="D191" s="48"/>
      <c r="E191" s="38" t="n">
        <v>1</v>
      </c>
      <c r="F191" s="47" t="s">
        <v>577</v>
      </c>
      <c r="G191" s="37" t="s">
        <v>586</v>
      </c>
      <c r="H191" s="38" t="str">
        <f aca="false">IFERROR(INDEX('الإعدادات واللجنة'!$C$24:$C$32,MATCH(LEFT(A191,3),'الإعدادات واللجنة'!$A$24:$A$32,0)),"")</f>
        <v>د. حسن بن سعد القحطاني</v>
      </c>
      <c r="I191" s="39"/>
      <c r="J191" s="39"/>
      <c r="K191" s="38" t="str">
        <f aca="false">IF(OR(I191="",I191="متوفر ومكتمل"),"",IF(OR(D191="★",I191="غير متوفر"),"عالية","متوسطة"))</f>
        <v/>
      </c>
      <c r="L191" s="40"/>
      <c r="M191" s="39"/>
      <c r="N191" s="40"/>
      <c r="O191" s="40"/>
      <c r="P191" s="39"/>
      <c r="Q191" s="40"/>
    </row>
    <row r="192" customFormat="false" ht="22.35" hidden="false" customHeight="false" outlineLevel="0" collapsed="false">
      <c r="A192" s="28" t="s">
        <v>575</v>
      </c>
      <c r="B192" s="25" t="s">
        <v>157</v>
      </c>
      <c r="C192" s="26"/>
      <c r="D192" s="27"/>
      <c r="E192" s="28" t="n">
        <v>2</v>
      </c>
      <c r="F192" s="26" t="s">
        <v>578</v>
      </c>
      <c r="G192" s="29" t="s">
        <v>586</v>
      </c>
      <c r="H192" s="28" t="str">
        <f aca="false">IFERROR(INDEX('الإعدادات واللجنة'!$C$24:$C$32,MATCH(LEFT(A192,3),'الإعدادات واللجنة'!$A$24:$A$32,0)),"")</f>
        <v>د. حسن بن سعد القحطاني</v>
      </c>
      <c r="I192" s="30"/>
      <c r="J192" s="30"/>
      <c r="K192" s="28" t="str">
        <f aca="false">IF(OR(I192="",I192="متوفر ومكتمل"),"",IF(OR(D192="★",I192="غير متوفر"),"عالية","متوسطة"))</f>
        <v/>
      </c>
      <c r="L192" s="31"/>
      <c r="M192" s="30"/>
      <c r="N192" s="31"/>
      <c r="O192" s="31"/>
      <c r="P192" s="30"/>
      <c r="Q192" s="31"/>
    </row>
    <row r="193" customFormat="false" ht="19.4" hidden="false" customHeight="false" outlineLevel="0" collapsed="false">
      <c r="A193" s="28" t="s">
        <v>575</v>
      </c>
      <c r="B193" s="25" t="s">
        <v>157</v>
      </c>
      <c r="C193" s="26"/>
      <c r="D193" s="27"/>
      <c r="E193" s="28" t="n">
        <v>3</v>
      </c>
      <c r="F193" s="26" t="s">
        <v>579</v>
      </c>
      <c r="G193" s="29" t="s">
        <v>586</v>
      </c>
      <c r="H193" s="28" t="str">
        <f aca="false">IFERROR(INDEX('الإعدادات واللجنة'!$C$24:$C$32,MATCH(LEFT(A193,3),'الإعدادات واللجنة'!$A$24:$A$32,0)),"")</f>
        <v>د. حسن بن سعد القحطاني</v>
      </c>
      <c r="I193" s="30"/>
      <c r="J193" s="30"/>
      <c r="K193" s="28" t="str">
        <f aca="false">IF(OR(I193="",I193="متوفر ومكتمل"),"",IF(OR(D193="★",I193="غير متوفر"),"عالية","متوسطة"))</f>
        <v/>
      </c>
      <c r="L193" s="31"/>
      <c r="M193" s="30"/>
      <c r="N193" s="31"/>
      <c r="O193" s="31"/>
      <c r="P193" s="30"/>
      <c r="Q193" s="31"/>
    </row>
    <row r="194" customFormat="false" ht="19.4" hidden="false" customHeight="false" outlineLevel="0" collapsed="false">
      <c r="A194" s="28" t="s">
        <v>575</v>
      </c>
      <c r="B194" s="25" t="s">
        <v>157</v>
      </c>
      <c r="C194" s="26"/>
      <c r="D194" s="27"/>
      <c r="E194" s="28" t="n">
        <v>4</v>
      </c>
      <c r="F194" s="26" t="s">
        <v>580</v>
      </c>
      <c r="G194" s="29" t="s">
        <v>586</v>
      </c>
      <c r="H194" s="28" t="str">
        <f aca="false">IFERROR(INDEX('الإعدادات واللجنة'!$C$24:$C$32,MATCH(LEFT(A194,3),'الإعدادات واللجنة'!$A$24:$A$32,0)),"")</f>
        <v>د. حسن بن سعد القحطاني</v>
      </c>
      <c r="I194" s="30"/>
      <c r="J194" s="30"/>
      <c r="K194" s="28" t="str">
        <f aca="false">IF(OR(I194="",I194="متوفر ومكتمل"),"",IF(OR(D194="★",I194="غير متوفر"),"عالية","متوسطة"))</f>
        <v/>
      </c>
      <c r="L194" s="31"/>
      <c r="M194" s="30"/>
      <c r="N194" s="31"/>
      <c r="O194" s="31"/>
      <c r="P194" s="30"/>
      <c r="Q194" s="31"/>
    </row>
    <row r="195" customFormat="false" ht="22.35" hidden="false" customHeight="false" outlineLevel="0" collapsed="false">
      <c r="A195" s="28" t="s">
        <v>575</v>
      </c>
      <c r="B195" s="25" t="s">
        <v>157</v>
      </c>
      <c r="C195" s="26"/>
      <c r="D195" s="27"/>
      <c r="E195" s="28" t="n">
        <v>5</v>
      </c>
      <c r="F195" s="26" t="s">
        <v>581</v>
      </c>
      <c r="G195" s="29" t="s">
        <v>586</v>
      </c>
      <c r="H195" s="28" t="str">
        <f aca="false">IFERROR(INDEX('الإعدادات واللجنة'!$C$24:$C$32,MATCH(LEFT(A195,3),'الإعدادات واللجنة'!$A$24:$A$32,0)),"")</f>
        <v>د. حسن بن سعد القحطاني</v>
      </c>
      <c r="I195" s="30"/>
      <c r="J195" s="30"/>
      <c r="K195" s="28" t="str">
        <f aca="false">IF(OR(I195="",I195="متوفر ومكتمل"),"",IF(OR(D195="★",I195="غير متوفر"),"عالية","متوسطة"))</f>
        <v/>
      </c>
      <c r="L195" s="31"/>
      <c r="M195" s="30"/>
      <c r="N195" s="31"/>
      <c r="O195" s="31"/>
      <c r="P195" s="30"/>
      <c r="Q195" s="31"/>
    </row>
    <row r="196" customFormat="false" ht="22.35" hidden="false" customHeight="false" outlineLevel="0" collapsed="false">
      <c r="A196" s="45" t="s">
        <v>582</v>
      </c>
      <c r="B196" s="46" t="s">
        <v>157</v>
      </c>
      <c r="C196" s="47" t="s">
        <v>583</v>
      </c>
      <c r="D196" s="48"/>
      <c r="E196" s="38" t="n">
        <v>1</v>
      </c>
      <c r="F196" s="47" t="s">
        <v>584</v>
      </c>
      <c r="G196" s="37" t="s">
        <v>586</v>
      </c>
      <c r="H196" s="38" t="str">
        <f aca="false">IFERROR(INDEX('الإعدادات واللجنة'!$C$24:$C$32,MATCH(LEFT(A196,3),'الإعدادات واللجنة'!$A$24:$A$32,0)),"")</f>
        <v>د. حسن بن سعد القحطاني</v>
      </c>
      <c r="I196" s="39"/>
      <c r="J196" s="39"/>
      <c r="K196" s="38" t="str">
        <f aca="false">IF(OR(I196="",I196="متوفر ومكتمل"),"",IF(OR(D196="★",I196="غير متوفر"),"عالية","متوسطة"))</f>
        <v/>
      </c>
      <c r="L196" s="40"/>
      <c r="M196" s="39"/>
      <c r="N196" s="40"/>
      <c r="O196" s="40"/>
      <c r="P196" s="39"/>
      <c r="Q196" s="40"/>
    </row>
    <row r="197" customFormat="false" ht="22.35" hidden="false" customHeight="false" outlineLevel="0" collapsed="false">
      <c r="A197" s="28" t="s">
        <v>582</v>
      </c>
      <c r="B197" s="25" t="s">
        <v>157</v>
      </c>
      <c r="C197" s="26"/>
      <c r="D197" s="27"/>
      <c r="E197" s="28" t="n">
        <v>2</v>
      </c>
      <c r="F197" s="26" t="s">
        <v>585</v>
      </c>
      <c r="G197" s="29" t="s">
        <v>586</v>
      </c>
      <c r="H197" s="28" t="str">
        <f aca="false">IFERROR(INDEX('الإعدادات واللجنة'!$C$24:$C$32,MATCH(LEFT(A197,3),'الإعدادات واللجنة'!$A$24:$A$32,0)),"")</f>
        <v>د. حسن بن سعد القحطاني</v>
      </c>
      <c r="I197" s="30"/>
      <c r="J197" s="30"/>
      <c r="K197" s="28" t="str">
        <f aca="false">IF(OR(I197="",I197="متوفر ومكتمل"),"",IF(OR(D197="★",I197="غير متوفر"),"عالية","متوسطة"))</f>
        <v/>
      </c>
      <c r="L197" s="31"/>
      <c r="M197" s="30"/>
      <c r="N197" s="31"/>
      <c r="O197" s="31"/>
      <c r="P197" s="30"/>
      <c r="Q197" s="31"/>
    </row>
    <row r="198" customFormat="false" ht="32.8" hidden="false" customHeight="false" outlineLevel="0" collapsed="false">
      <c r="A198" s="32" t="s">
        <v>589</v>
      </c>
      <c r="B198" s="33" t="s">
        <v>160</v>
      </c>
      <c r="C198" s="34" t="s">
        <v>590</v>
      </c>
      <c r="D198" s="35" t="s">
        <v>296</v>
      </c>
      <c r="E198" s="36" t="n">
        <v>1</v>
      </c>
      <c r="F198" s="34" t="s">
        <v>591</v>
      </c>
      <c r="G198" s="49" t="s">
        <v>592</v>
      </c>
      <c r="H198" s="38" t="str">
        <f aca="false">IFERROR(INDEX('الإعدادات واللجنة'!$C$24:$C$32,MATCH(LEFT(A198,3),'الإعدادات واللجنة'!$A$24:$A$32,0)),"")</f>
        <v>د. عمر بن محمد موسى</v>
      </c>
      <c r="I198" s="39"/>
      <c r="J198" s="39"/>
      <c r="K198" s="38" t="str">
        <f aca="false">IF(OR(I198="",I198="متوفر ومكتمل"),"",IF(OR(D198="★",I198="غير متوفر"),"عالية","متوسطة"))</f>
        <v/>
      </c>
      <c r="L198" s="40"/>
      <c r="M198" s="39"/>
      <c r="N198" s="40"/>
      <c r="O198" s="40"/>
      <c r="P198" s="39"/>
      <c r="Q198" s="40"/>
    </row>
    <row r="199" customFormat="false" ht="22.35" hidden="false" customHeight="false" outlineLevel="0" collapsed="false">
      <c r="A199" s="41" t="s">
        <v>589</v>
      </c>
      <c r="B199" s="42" t="s">
        <v>160</v>
      </c>
      <c r="C199" s="43"/>
      <c r="D199" s="44" t="s">
        <v>296</v>
      </c>
      <c r="E199" s="41" t="n">
        <v>2</v>
      </c>
      <c r="F199" s="43" t="s">
        <v>593</v>
      </c>
      <c r="G199" s="50" t="s">
        <v>592</v>
      </c>
      <c r="H199" s="28" t="str">
        <f aca="false">IFERROR(INDEX('الإعدادات واللجنة'!$C$24:$C$32,MATCH(LEFT(A199,3),'الإعدادات واللجنة'!$A$24:$A$32,0)),"")</f>
        <v>د. عمر بن محمد موسى</v>
      </c>
      <c r="I199" s="30"/>
      <c r="J199" s="30"/>
      <c r="K199" s="28" t="str">
        <f aca="false">IF(OR(I199="",I199="متوفر ومكتمل"),"",IF(OR(D199="★",I199="غير متوفر"),"عالية","متوسطة"))</f>
        <v/>
      </c>
      <c r="L199" s="31"/>
      <c r="M199" s="30"/>
      <c r="N199" s="31"/>
      <c r="O199" s="31"/>
      <c r="P199" s="30"/>
      <c r="Q199" s="31"/>
    </row>
    <row r="200" customFormat="false" ht="19.4" hidden="false" customHeight="false" outlineLevel="0" collapsed="false">
      <c r="A200" s="41" t="s">
        <v>589</v>
      </c>
      <c r="B200" s="42" t="s">
        <v>160</v>
      </c>
      <c r="C200" s="43"/>
      <c r="D200" s="44" t="s">
        <v>296</v>
      </c>
      <c r="E200" s="41" t="n">
        <v>3</v>
      </c>
      <c r="F200" s="43" t="s">
        <v>594</v>
      </c>
      <c r="G200" s="50" t="s">
        <v>592</v>
      </c>
      <c r="H200" s="28" t="str">
        <f aca="false">IFERROR(INDEX('الإعدادات واللجنة'!$C$24:$C$32,MATCH(LEFT(A200,3),'الإعدادات واللجنة'!$A$24:$A$32,0)),"")</f>
        <v>د. عمر بن محمد موسى</v>
      </c>
      <c r="I200" s="30"/>
      <c r="J200" s="30"/>
      <c r="K200" s="28" t="str">
        <f aca="false">IF(OR(I200="",I200="متوفر ومكتمل"),"",IF(OR(D200="★",I200="غير متوفر"),"عالية","متوسطة"))</f>
        <v/>
      </c>
      <c r="L200" s="31"/>
      <c r="M200" s="30"/>
      <c r="N200" s="31"/>
      <c r="O200" s="31"/>
      <c r="P200" s="30"/>
      <c r="Q200" s="31"/>
    </row>
    <row r="201" customFormat="false" ht="22.35" hidden="false" customHeight="false" outlineLevel="0" collapsed="false">
      <c r="A201" s="45" t="s">
        <v>595</v>
      </c>
      <c r="B201" s="46" t="s">
        <v>160</v>
      </c>
      <c r="C201" s="47" t="s">
        <v>596</v>
      </c>
      <c r="D201" s="48"/>
      <c r="E201" s="38" t="n">
        <v>1</v>
      </c>
      <c r="F201" s="47" t="s">
        <v>597</v>
      </c>
      <c r="G201" s="49" t="s">
        <v>592</v>
      </c>
      <c r="H201" s="38" t="str">
        <f aca="false">IFERROR(INDEX('الإعدادات واللجنة'!$C$24:$C$32,MATCH(LEFT(A201,3),'الإعدادات واللجنة'!$A$24:$A$32,0)),"")</f>
        <v>د. عمر بن محمد موسى</v>
      </c>
      <c r="I201" s="39"/>
      <c r="J201" s="39"/>
      <c r="K201" s="38" t="str">
        <f aca="false">IF(OR(I201="",I201="متوفر ومكتمل"),"",IF(OR(D201="★",I201="غير متوفر"),"عالية","متوسطة"))</f>
        <v/>
      </c>
      <c r="L201" s="40"/>
      <c r="M201" s="39"/>
      <c r="N201" s="40"/>
      <c r="O201" s="40"/>
      <c r="P201" s="39"/>
      <c r="Q201" s="40"/>
    </row>
    <row r="202" customFormat="false" ht="19.4" hidden="false" customHeight="false" outlineLevel="0" collapsed="false">
      <c r="A202" s="28" t="s">
        <v>595</v>
      </c>
      <c r="B202" s="25" t="s">
        <v>160</v>
      </c>
      <c r="C202" s="26"/>
      <c r="D202" s="27"/>
      <c r="E202" s="28" t="n">
        <v>2</v>
      </c>
      <c r="F202" s="26" t="s">
        <v>598</v>
      </c>
      <c r="G202" s="50" t="s">
        <v>592</v>
      </c>
      <c r="H202" s="28" t="str">
        <f aca="false">IFERROR(INDEX('الإعدادات واللجنة'!$C$24:$C$32,MATCH(LEFT(A202,3),'الإعدادات واللجنة'!$A$24:$A$32,0)),"")</f>
        <v>د. عمر بن محمد موسى</v>
      </c>
      <c r="I202" s="30"/>
      <c r="J202" s="30"/>
      <c r="K202" s="28" t="str">
        <f aca="false">IF(OR(I202="",I202="متوفر ومكتمل"),"",IF(OR(D202="★",I202="غير متوفر"),"عالية","متوسطة"))</f>
        <v/>
      </c>
      <c r="L202" s="31"/>
      <c r="M202" s="30"/>
      <c r="N202" s="31"/>
      <c r="O202" s="31"/>
      <c r="P202" s="30"/>
      <c r="Q202" s="31"/>
    </row>
    <row r="203" customFormat="false" ht="19.4" hidden="false" customHeight="false" outlineLevel="0" collapsed="false">
      <c r="A203" s="28" t="s">
        <v>595</v>
      </c>
      <c r="B203" s="25" t="s">
        <v>160</v>
      </c>
      <c r="C203" s="26"/>
      <c r="D203" s="27"/>
      <c r="E203" s="28" t="n">
        <v>3</v>
      </c>
      <c r="F203" s="26" t="s">
        <v>599</v>
      </c>
      <c r="G203" s="50" t="s">
        <v>592</v>
      </c>
      <c r="H203" s="28" t="str">
        <f aca="false">IFERROR(INDEX('الإعدادات واللجنة'!$C$24:$C$32,MATCH(LEFT(A203,3),'الإعدادات واللجنة'!$A$24:$A$32,0)),"")</f>
        <v>د. عمر بن محمد موسى</v>
      </c>
      <c r="I203" s="30"/>
      <c r="J203" s="30"/>
      <c r="K203" s="28" t="str">
        <f aca="false">IF(OR(I203="",I203="متوفر ومكتمل"),"",IF(OR(D203="★",I203="غير متوفر"),"عالية","متوسطة"))</f>
        <v/>
      </c>
      <c r="L203" s="31"/>
      <c r="M203" s="30"/>
      <c r="N203" s="31"/>
      <c r="O203" s="31"/>
      <c r="P203" s="30"/>
      <c r="Q203" s="31"/>
    </row>
    <row r="204" customFormat="false" ht="22.35" hidden="false" customHeight="false" outlineLevel="0" collapsed="false">
      <c r="A204" s="45" t="s">
        <v>600</v>
      </c>
      <c r="B204" s="46" t="s">
        <v>160</v>
      </c>
      <c r="C204" s="47" t="s">
        <v>601</v>
      </c>
      <c r="D204" s="48"/>
      <c r="E204" s="38" t="n">
        <v>1</v>
      </c>
      <c r="F204" s="47" t="s">
        <v>602</v>
      </c>
      <c r="G204" s="49" t="s">
        <v>592</v>
      </c>
      <c r="H204" s="38" t="str">
        <f aca="false">IFERROR(INDEX('الإعدادات واللجنة'!$C$24:$C$32,MATCH(LEFT(A204,3),'الإعدادات واللجنة'!$A$24:$A$32,0)),"")</f>
        <v>د. عمر بن محمد موسى</v>
      </c>
      <c r="I204" s="39"/>
      <c r="J204" s="39"/>
      <c r="K204" s="38" t="str">
        <f aca="false">IF(OR(I204="",I204="متوفر ومكتمل"),"",IF(OR(D204="★",I204="غير متوفر"),"عالية","متوسطة"))</f>
        <v/>
      </c>
      <c r="L204" s="40"/>
      <c r="M204" s="39"/>
      <c r="N204" s="40"/>
      <c r="O204" s="40"/>
      <c r="P204" s="39"/>
      <c r="Q204" s="40"/>
    </row>
    <row r="205" customFormat="false" ht="19.4" hidden="false" customHeight="false" outlineLevel="0" collapsed="false">
      <c r="A205" s="28" t="s">
        <v>600</v>
      </c>
      <c r="B205" s="25" t="s">
        <v>160</v>
      </c>
      <c r="C205" s="26"/>
      <c r="D205" s="27"/>
      <c r="E205" s="28" t="n">
        <v>2</v>
      </c>
      <c r="F205" s="26" t="s">
        <v>603</v>
      </c>
      <c r="G205" s="50" t="s">
        <v>592</v>
      </c>
      <c r="H205" s="28" t="str">
        <f aca="false">IFERROR(INDEX('الإعدادات واللجنة'!$C$24:$C$32,MATCH(LEFT(A205,3),'الإعدادات واللجنة'!$A$24:$A$32,0)),"")</f>
        <v>د. عمر بن محمد موسى</v>
      </c>
      <c r="I205" s="30"/>
      <c r="J205" s="30"/>
      <c r="K205" s="28" t="str">
        <f aca="false">IF(OR(I205="",I205="متوفر ومكتمل"),"",IF(OR(D205="★",I205="غير متوفر"),"عالية","متوسطة"))</f>
        <v/>
      </c>
      <c r="L205" s="31"/>
      <c r="M205" s="30"/>
      <c r="N205" s="31"/>
      <c r="O205" s="31"/>
      <c r="P205" s="30"/>
      <c r="Q205" s="31"/>
    </row>
    <row r="206" customFormat="false" ht="19.4" hidden="false" customHeight="false" outlineLevel="0" collapsed="false">
      <c r="A206" s="28" t="s">
        <v>600</v>
      </c>
      <c r="B206" s="25" t="s">
        <v>160</v>
      </c>
      <c r="C206" s="26"/>
      <c r="D206" s="27"/>
      <c r="E206" s="28" t="n">
        <v>3</v>
      </c>
      <c r="F206" s="26" t="s">
        <v>604</v>
      </c>
      <c r="G206" s="50" t="s">
        <v>592</v>
      </c>
      <c r="H206" s="28" t="str">
        <f aca="false">IFERROR(INDEX('الإعدادات واللجنة'!$C$24:$C$32,MATCH(LEFT(A206,3),'الإعدادات واللجنة'!$A$24:$A$32,0)),"")</f>
        <v>د. عمر بن محمد موسى</v>
      </c>
      <c r="I206" s="30"/>
      <c r="J206" s="30"/>
      <c r="K206" s="28" t="str">
        <f aca="false">IF(OR(I206="",I206="متوفر ومكتمل"),"",IF(OR(D206="★",I206="غير متوفر"),"عالية","متوسطة"))</f>
        <v/>
      </c>
      <c r="L206" s="31"/>
      <c r="M206" s="30"/>
      <c r="N206" s="31"/>
      <c r="O206" s="31"/>
      <c r="P206" s="30"/>
      <c r="Q206" s="31"/>
    </row>
    <row r="207" customFormat="false" ht="32.8" hidden="false" customHeight="false" outlineLevel="0" collapsed="false">
      <c r="A207" s="45" t="s">
        <v>605</v>
      </c>
      <c r="B207" s="46" t="s">
        <v>160</v>
      </c>
      <c r="C207" s="47" t="s">
        <v>606</v>
      </c>
      <c r="D207" s="48"/>
      <c r="E207" s="38" t="n">
        <v>1</v>
      </c>
      <c r="F207" s="47" t="s">
        <v>607</v>
      </c>
      <c r="G207" s="49" t="s">
        <v>592</v>
      </c>
      <c r="H207" s="38" t="str">
        <f aca="false">IFERROR(INDEX('الإعدادات واللجنة'!$C$24:$C$32,MATCH(LEFT(A207,3),'الإعدادات واللجنة'!$A$24:$A$32,0)),"")</f>
        <v>د. عمر بن محمد موسى</v>
      </c>
      <c r="I207" s="39"/>
      <c r="J207" s="39"/>
      <c r="K207" s="38" t="str">
        <f aca="false">IF(OR(I207="",I207="متوفر ومكتمل"),"",IF(OR(D207="★",I207="غير متوفر"),"عالية","متوسطة"))</f>
        <v/>
      </c>
      <c r="L207" s="40"/>
      <c r="M207" s="39"/>
      <c r="N207" s="40"/>
      <c r="O207" s="40"/>
      <c r="P207" s="39"/>
      <c r="Q207" s="40"/>
    </row>
    <row r="208" customFormat="false" ht="19.4" hidden="false" customHeight="false" outlineLevel="0" collapsed="false">
      <c r="A208" s="28" t="s">
        <v>605</v>
      </c>
      <c r="B208" s="25" t="s">
        <v>160</v>
      </c>
      <c r="C208" s="26"/>
      <c r="D208" s="27"/>
      <c r="E208" s="28" t="n">
        <v>2</v>
      </c>
      <c r="F208" s="26" t="s">
        <v>608</v>
      </c>
      <c r="G208" s="50" t="s">
        <v>592</v>
      </c>
      <c r="H208" s="28" t="str">
        <f aca="false">IFERROR(INDEX('الإعدادات واللجنة'!$C$24:$C$32,MATCH(LEFT(A208,3),'الإعدادات واللجنة'!$A$24:$A$32,0)),"")</f>
        <v>د. عمر بن محمد موسى</v>
      </c>
      <c r="I208" s="30"/>
      <c r="J208" s="30"/>
      <c r="K208" s="28" t="str">
        <f aca="false">IF(OR(I208="",I208="متوفر ومكتمل"),"",IF(OR(D208="★",I208="غير متوفر"),"عالية","متوسطة"))</f>
        <v/>
      </c>
      <c r="L208" s="31"/>
      <c r="M208" s="30"/>
      <c r="N208" s="31"/>
      <c r="O208" s="31"/>
      <c r="P208" s="30"/>
      <c r="Q208" s="31"/>
    </row>
    <row r="209" customFormat="false" ht="19.4" hidden="false" customHeight="false" outlineLevel="0" collapsed="false">
      <c r="A209" s="28" t="s">
        <v>605</v>
      </c>
      <c r="B209" s="25" t="s">
        <v>160</v>
      </c>
      <c r="C209" s="26"/>
      <c r="D209" s="27"/>
      <c r="E209" s="28" t="n">
        <v>3</v>
      </c>
      <c r="F209" s="26" t="s">
        <v>609</v>
      </c>
      <c r="G209" s="50" t="s">
        <v>592</v>
      </c>
      <c r="H209" s="28" t="str">
        <f aca="false">IFERROR(INDEX('الإعدادات واللجنة'!$C$24:$C$32,MATCH(LEFT(A209,3),'الإعدادات واللجنة'!$A$24:$A$32,0)),"")</f>
        <v>د. عمر بن محمد موسى</v>
      </c>
      <c r="I209" s="30"/>
      <c r="J209" s="30"/>
      <c r="K209" s="28" t="str">
        <f aca="false">IF(OR(I209="",I209="متوفر ومكتمل"),"",IF(OR(D209="★",I209="غير متوفر"),"عالية","متوسطة"))</f>
        <v/>
      </c>
      <c r="L209" s="31"/>
      <c r="M209" s="30"/>
      <c r="N209" s="31"/>
      <c r="O209" s="31"/>
      <c r="P209" s="30"/>
      <c r="Q209" s="31"/>
    </row>
    <row r="210" customFormat="false" ht="22.35" hidden="false" customHeight="false" outlineLevel="0" collapsed="false">
      <c r="A210" s="45" t="s">
        <v>610</v>
      </c>
      <c r="B210" s="46" t="s">
        <v>160</v>
      </c>
      <c r="C210" s="47" t="s">
        <v>611</v>
      </c>
      <c r="D210" s="48"/>
      <c r="E210" s="38" t="n">
        <v>1</v>
      </c>
      <c r="F210" s="47" t="s">
        <v>612</v>
      </c>
      <c r="G210" s="49" t="s">
        <v>592</v>
      </c>
      <c r="H210" s="38" t="str">
        <f aca="false">IFERROR(INDEX('الإعدادات واللجنة'!$C$24:$C$32,MATCH(LEFT(A210,3),'الإعدادات واللجنة'!$A$24:$A$32,0)),"")</f>
        <v>د. عمر بن محمد موسى</v>
      </c>
      <c r="I210" s="39"/>
      <c r="J210" s="39"/>
      <c r="K210" s="38" t="str">
        <f aca="false">IF(OR(I210="",I210="متوفر ومكتمل"),"",IF(OR(D210="★",I210="غير متوفر"),"عالية","متوسطة"))</f>
        <v/>
      </c>
      <c r="L210" s="40"/>
      <c r="M210" s="39"/>
      <c r="N210" s="40"/>
      <c r="O210" s="40"/>
      <c r="P210" s="39"/>
      <c r="Q210" s="40"/>
    </row>
    <row r="211" customFormat="false" ht="19.4" hidden="false" customHeight="false" outlineLevel="0" collapsed="false">
      <c r="A211" s="28" t="s">
        <v>610</v>
      </c>
      <c r="B211" s="25" t="s">
        <v>160</v>
      </c>
      <c r="C211" s="26"/>
      <c r="D211" s="27"/>
      <c r="E211" s="28" t="n">
        <v>2</v>
      </c>
      <c r="F211" s="26" t="s">
        <v>613</v>
      </c>
      <c r="G211" s="50" t="s">
        <v>592</v>
      </c>
      <c r="H211" s="28" t="str">
        <f aca="false">IFERROR(INDEX('الإعدادات واللجنة'!$C$24:$C$32,MATCH(LEFT(A211,3),'الإعدادات واللجنة'!$A$24:$A$32,0)),"")</f>
        <v>د. عمر بن محمد موسى</v>
      </c>
      <c r="I211" s="30"/>
      <c r="J211" s="30"/>
      <c r="K211" s="28" t="str">
        <f aca="false">IF(OR(I211="",I211="متوفر ومكتمل"),"",IF(OR(D211="★",I211="غير متوفر"),"عالية","متوسطة"))</f>
        <v/>
      </c>
      <c r="L211" s="31"/>
      <c r="M211" s="30"/>
      <c r="N211" s="31"/>
      <c r="O211" s="31"/>
      <c r="P211" s="30"/>
      <c r="Q211" s="31"/>
    </row>
    <row r="212" customFormat="false" ht="19.4" hidden="false" customHeight="false" outlineLevel="0" collapsed="false">
      <c r="A212" s="28" t="s">
        <v>610</v>
      </c>
      <c r="B212" s="25" t="s">
        <v>160</v>
      </c>
      <c r="C212" s="26"/>
      <c r="D212" s="27"/>
      <c r="E212" s="28" t="n">
        <v>3</v>
      </c>
      <c r="F212" s="26" t="s">
        <v>614</v>
      </c>
      <c r="G212" s="50" t="s">
        <v>592</v>
      </c>
      <c r="H212" s="28" t="str">
        <f aca="false">IFERROR(INDEX('الإعدادات واللجنة'!$C$24:$C$32,MATCH(LEFT(A212,3),'الإعدادات واللجنة'!$A$24:$A$32,0)),"")</f>
        <v>د. عمر بن محمد موسى</v>
      </c>
      <c r="I212" s="30"/>
      <c r="J212" s="30"/>
      <c r="K212" s="28" t="str">
        <f aca="false">IF(OR(I212="",I212="متوفر ومكتمل"),"",IF(OR(D212="★",I212="غير متوفر"),"عالية","متوسطة"))</f>
        <v/>
      </c>
      <c r="L212" s="31"/>
      <c r="M212" s="30"/>
      <c r="N212" s="31"/>
      <c r="O212" s="31"/>
      <c r="P212" s="30"/>
      <c r="Q212" s="31"/>
    </row>
    <row r="213" customFormat="false" ht="22.35" hidden="false" customHeight="false" outlineLevel="0" collapsed="false">
      <c r="A213" s="45" t="s">
        <v>615</v>
      </c>
      <c r="B213" s="46" t="s">
        <v>160</v>
      </c>
      <c r="C213" s="47" t="s">
        <v>616</v>
      </c>
      <c r="D213" s="48"/>
      <c r="E213" s="38" t="n">
        <v>1</v>
      </c>
      <c r="F213" s="47" t="s">
        <v>617</v>
      </c>
      <c r="G213" s="49" t="s">
        <v>592</v>
      </c>
      <c r="H213" s="38" t="str">
        <f aca="false">IFERROR(INDEX('الإعدادات واللجنة'!$C$24:$C$32,MATCH(LEFT(A213,3),'الإعدادات واللجنة'!$A$24:$A$32,0)),"")</f>
        <v>د. عمر بن محمد موسى</v>
      </c>
      <c r="I213" s="39"/>
      <c r="J213" s="39"/>
      <c r="K213" s="38" t="str">
        <f aca="false">IF(OR(I213="",I213="متوفر ومكتمل"),"",IF(OR(D213="★",I213="غير متوفر"),"عالية","متوسطة"))</f>
        <v/>
      </c>
      <c r="L213" s="40"/>
      <c r="M213" s="39"/>
      <c r="N213" s="40"/>
      <c r="O213" s="40"/>
      <c r="P213" s="39"/>
      <c r="Q213" s="40"/>
    </row>
    <row r="214" customFormat="false" ht="19.4" hidden="false" customHeight="false" outlineLevel="0" collapsed="false">
      <c r="A214" s="28" t="s">
        <v>615</v>
      </c>
      <c r="B214" s="25" t="s">
        <v>160</v>
      </c>
      <c r="C214" s="26"/>
      <c r="D214" s="27"/>
      <c r="E214" s="28" t="n">
        <v>2</v>
      </c>
      <c r="F214" s="26" t="s">
        <v>618</v>
      </c>
      <c r="G214" s="50" t="s">
        <v>592</v>
      </c>
      <c r="H214" s="28" t="str">
        <f aca="false">IFERROR(INDEX('الإعدادات واللجنة'!$C$24:$C$32,MATCH(LEFT(A214,3),'الإعدادات واللجنة'!$A$24:$A$32,0)),"")</f>
        <v>د. عمر بن محمد موسى</v>
      </c>
      <c r="I214" s="30"/>
      <c r="J214" s="30"/>
      <c r="K214" s="28" t="str">
        <f aca="false">IF(OR(I214="",I214="متوفر ومكتمل"),"",IF(OR(D214="★",I214="غير متوفر"),"عالية","متوسطة"))</f>
        <v/>
      </c>
      <c r="L214" s="31"/>
      <c r="M214" s="30"/>
      <c r="N214" s="31"/>
      <c r="O214" s="31"/>
      <c r="P214" s="30"/>
      <c r="Q214" s="31"/>
    </row>
    <row r="215" customFormat="false" ht="19.4" hidden="false" customHeight="false" outlineLevel="0" collapsed="false">
      <c r="A215" s="28" t="s">
        <v>615</v>
      </c>
      <c r="B215" s="25" t="s">
        <v>160</v>
      </c>
      <c r="C215" s="26"/>
      <c r="D215" s="27"/>
      <c r="E215" s="28" t="n">
        <v>3</v>
      </c>
      <c r="F215" s="26" t="s">
        <v>619</v>
      </c>
      <c r="G215" s="50" t="s">
        <v>592</v>
      </c>
      <c r="H215" s="28" t="str">
        <f aca="false">IFERROR(INDEX('الإعدادات واللجنة'!$C$24:$C$32,MATCH(LEFT(A215,3),'الإعدادات واللجنة'!$A$24:$A$32,0)),"")</f>
        <v>د. عمر بن محمد موسى</v>
      </c>
      <c r="I215" s="30"/>
      <c r="J215" s="30"/>
      <c r="K215" s="28" t="str">
        <f aca="false">IF(OR(I215="",I215="متوفر ومكتمل"),"",IF(OR(D215="★",I215="غير متوفر"),"عالية","متوسطة"))</f>
        <v/>
      </c>
      <c r="L215" s="31"/>
      <c r="M215" s="30"/>
      <c r="N215" s="31"/>
      <c r="O215" s="31"/>
      <c r="P215" s="30"/>
      <c r="Q215" s="31"/>
    </row>
    <row r="216" customFormat="false" ht="22.35" hidden="false" customHeight="false" outlineLevel="0" collapsed="false">
      <c r="A216" s="45" t="s">
        <v>620</v>
      </c>
      <c r="B216" s="46" t="s">
        <v>160</v>
      </c>
      <c r="C216" s="47" t="s">
        <v>621</v>
      </c>
      <c r="D216" s="48"/>
      <c r="E216" s="38" t="n">
        <v>1</v>
      </c>
      <c r="F216" s="47" t="s">
        <v>622</v>
      </c>
      <c r="G216" s="49" t="s">
        <v>592</v>
      </c>
      <c r="H216" s="38" t="str">
        <f aca="false">IFERROR(INDEX('الإعدادات واللجنة'!$C$24:$C$32,MATCH(LEFT(A216,3),'الإعدادات واللجنة'!$A$24:$A$32,0)),"")</f>
        <v>د. عمر بن محمد موسى</v>
      </c>
      <c r="I216" s="39"/>
      <c r="J216" s="39"/>
      <c r="K216" s="38" t="str">
        <f aca="false">IF(OR(I216="",I216="متوفر ومكتمل"),"",IF(OR(D216="★",I216="غير متوفر"),"عالية","متوسطة"))</f>
        <v/>
      </c>
      <c r="L216" s="40"/>
      <c r="M216" s="39"/>
      <c r="N216" s="40"/>
      <c r="O216" s="40"/>
      <c r="P216" s="39"/>
      <c r="Q216" s="40"/>
    </row>
    <row r="217" customFormat="false" ht="19.4" hidden="false" customHeight="false" outlineLevel="0" collapsed="false">
      <c r="A217" s="28" t="s">
        <v>620</v>
      </c>
      <c r="B217" s="25" t="s">
        <v>160</v>
      </c>
      <c r="C217" s="26"/>
      <c r="D217" s="27"/>
      <c r="E217" s="28" t="n">
        <v>2</v>
      </c>
      <c r="F217" s="26" t="s">
        <v>623</v>
      </c>
      <c r="G217" s="50" t="s">
        <v>592</v>
      </c>
      <c r="H217" s="28" t="str">
        <f aca="false">IFERROR(INDEX('الإعدادات واللجنة'!$C$24:$C$32,MATCH(LEFT(A217,3),'الإعدادات واللجنة'!$A$24:$A$32,0)),"")</f>
        <v>د. عمر بن محمد موسى</v>
      </c>
      <c r="I217" s="30"/>
      <c r="J217" s="30"/>
      <c r="K217" s="28" t="str">
        <f aca="false">IF(OR(I217="",I217="متوفر ومكتمل"),"",IF(OR(D217="★",I217="غير متوفر"),"عالية","متوسطة"))</f>
        <v/>
      </c>
      <c r="L217" s="31"/>
      <c r="M217" s="30"/>
      <c r="N217" s="31"/>
      <c r="O217" s="31"/>
      <c r="P217" s="30"/>
      <c r="Q217" s="31"/>
    </row>
    <row r="218" customFormat="false" ht="19.4" hidden="false" customHeight="false" outlineLevel="0" collapsed="false">
      <c r="A218" s="28" t="s">
        <v>620</v>
      </c>
      <c r="B218" s="25" t="s">
        <v>160</v>
      </c>
      <c r="C218" s="26"/>
      <c r="D218" s="27"/>
      <c r="E218" s="28" t="n">
        <v>3</v>
      </c>
      <c r="F218" s="26" t="s">
        <v>624</v>
      </c>
      <c r="G218" s="50" t="s">
        <v>592</v>
      </c>
      <c r="H218" s="28" t="str">
        <f aca="false">IFERROR(INDEX('الإعدادات واللجنة'!$C$24:$C$32,MATCH(LEFT(A218,3),'الإعدادات واللجنة'!$A$24:$A$32,0)),"")</f>
        <v>د. عمر بن محمد موسى</v>
      </c>
      <c r="I218" s="30"/>
      <c r="J218" s="30"/>
      <c r="K218" s="28" t="str">
        <f aca="false">IF(OR(I218="",I218="متوفر ومكتمل"),"",IF(OR(D218="★",I218="غير متوفر"),"عالية","متوسطة"))</f>
        <v/>
      </c>
      <c r="L218" s="31"/>
      <c r="M218" s="30"/>
      <c r="N218" s="31"/>
      <c r="O218" s="31"/>
      <c r="P218" s="30"/>
      <c r="Q218" s="31"/>
    </row>
    <row r="219" customFormat="false" ht="22.35" hidden="false" customHeight="false" outlineLevel="0" collapsed="false">
      <c r="A219" s="45" t="s">
        <v>625</v>
      </c>
      <c r="B219" s="46" t="s">
        <v>160</v>
      </c>
      <c r="C219" s="47" t="s">
        <v>626</v>
      </c>
      <c r="D219" s="48"/>
      <c r="E219" s="38" t="n">
        <v>1</v>
      </c>
      <c r="F219" s="47" t="s">
        <v>627</v>
      </c>
      <c r="G219" s="49" t="s">
        <v>592</v>
      </c>
      <c r="H219" s="38" t="str">
        <f aca="false">IFERROR(INDEX('الإعدادات واللجنة'!$C$24:$C$32,MATCH(LEFT(A219,3),'الإعدادات واللجنة'!$A$24:$A$32,0)),"")</f>
        <v>د. عمر بن محمد موسى</v>
      </c>
      <c r="I219" s="39"/>
      <c r="J219" s="39"/>
      <c r="K219" s="38" t="str">
        <f aca="false">IF(OR(I219="",I219="متوفر ومكتمل"),"",IF(OR(D219="★",I219="غير متوفر"),"عالية","متوسطة"))</f>
        <v/>
      </c>
      <c r="L219" s="40"/>
      <c r="M219" s="39"/>
      <c r="N219" s="40"/>
      <c r="O219" s="40"/>
      <c r="P219" s="39"/>
      <c r="Q219" s="40"/>
    </row>
    <row r="220" customFormat="false" ht="19.4" hidden="false" customHeight="false" outlineLevel="0" collapsed="false">
      <c r="A220" s="28" t="s">
        <v>625</v>
      </c>
      <c r="B220" s="25" t="s">
        <v>160</v>
      </c>
      <c r="C220" s="26"/>
      <c r="D220" s="27"/>
      <c r="E220" s="28" t="n">
        <v>2</v>
      </c>
      <c r="F220" s="26" t="s">
        <v>628</v>
      </c>
      <c r="G220" s="50" t="s">
        <v>592</v>
      </c>
      <c r="H220" s="28" t="str">
        <f aca="false">IFERROR(INDEX('الإعدادات واللجنة'!$C$24:$C$32,MATCH(LEFT(A220,3),'الإعدادات واللجنة'!$A$24:$A$32,0)),"")</f>
        <v>د. عمر بن محمد موسى</v>
      </c>
      <c r="I220" s="30"/>
      <c r="J220" s="30"/>
      <c r="K220" s="28" t="str">
        <f aca="false">IF(OR(I220="",I220="متوفر ومكتمل"),"",IF(OR(D220="★",I220="غير متوفر"),"عالية","متوسطة"))</f>
        <v/>
      </c>
      <c r="L220" s="31"/>
      <c r="M220" s="30"/>
      <c r="N220" s="31"/>
      <c r="O220" s="31"/>
      <c r="P220" s="30"/>
      <c r="Q220" s="31"/>
    </row>
    <row r="221" customFormat="false" ht="19.4" hidden="false" customHeight="false" outlineLevel="0" collapsed="false">
      <c r="A221" s="28" t="s">
        <v>625</v>
      </c>
      <c r="B221" s="25" t="s">
        <v>160</v>
      </c>
      <c r="C221" s="26"/>
      <c r="D221" s="27"/>
      <c r="E221" s="28" t="n">
        <v>3</v>
      </c>
      <c r="F221" s="26" t="s">
        <v>629</v>
      </c>
      <c r="G221" s="50" t="s">
        <v>592</v>
      </c>
      <c r="H221" s="28" t="str">
        <f aca="false">IFERROR(INDEX('الإعدادات واللجنة'!$C$24:$C$32,MATCH(LEFT(A221,3),'الإعدادات واللجنة'!$A$24:$A$32,0)),"")</f>
        <v>د. عمر بن محمد موسى</v>
      </c>
      <c r="I221" s="30"/>
      <c r="J221" s="30"/>
      <c r="K221" s="28" t="str">
        <f aca="false">IF(OR(I221="",I221="متوفر ومكتمل"),"",IF(OR(D221="★",I221="غير متوفر"),"عالية","متوسطة"))</f>
        <v/>
      </c>
      <c r="L221" s="31"/>
      <c r="M221" s="30"/>
      <c r="N221" s="31"/>
      <c r="O221" s="31"/>
      <c r="P221" s="30"/>
      <c r="Q221" s="31"/>
    </row>
    <row r="222" customFormat="false" ht="22.35" hidden="false" customHeight="false" outlineLevel="0" collapsed="false">
      <c r="A222" s="45" t="s">
        <v>630</v>
      </c>
      <c r="B222" s="46" t="s">
        <v>160</v>
      </c>
      <c r="C222" s="47" t="s">
        <v>631</v>
      </c>
      <c r="D222" s="48"/>
      <c r="E222" s="38" t="n">
        <v>1</v>
      </c>
      <c r="F222" s="47" t="s">
        <v>632</v>
      </c>
      <c r="G222" s="49" t="s">
        <v>592</v>
      </c>
      <c r="H222" s="38" t="str">
        <f aca="false">IFERROR(INDEX('الإعدادات واللجنة'!$C$24:$C$32,MATCH(LEFT(A222,3),'الإعدادات واللجنة'!$A$24:$A$32,0)),"")</f>
        <v>د. عمر بن محمد موسى</v>
      </c>
      <c r="I222" s="39"/>
      <c r="J222" s="39"/>
      <c r="K222" s="38" t="str">
        <f aca="false">IF(OR(I222="",I222="متوفر ومكتمل"),"",IF(OR(D222="★",I222="غير متوفر"),"عالية","متوسطة"))</f>
        <v/>
      </c>
      <c r="L222" s="40"/>
      <c r="M222" s="39"/>
      <c r="N222" s="40"/>
      <c r="O222" s="40"/>
      <c r="P222" s="39"/>
      <c r="Q222" s="40"/>
    </row>
    <row r="223" customFormat="false" ht="19.4" hidden="false" customHeight="false" outlineLevel="0" collapsed="false">
      <c r="A223" s="28" t="s">
        <v>630</v>
      </c>
      <c r="B223" s="25" t="s">
        <v>160</v>
      </c>
      <c r="C223" s="26"/>
      <c r="D223" s="27"/>
      <c r="E223" s="28" t="n">
        <v>2</v>
      </c>
      <c r="F223" s="26" t="s">
        <v>633</v>
      </c>
      <c r="G223" s="50" t="s">
        <v>592</v>
      </c>
      <c r="H223" s="28" t="str">
        <f aca="false">IFERROR(INDEX('الإعدادات واللجنة'!$C$24:$C$32,MATCH(LEFT(A223,3),'الإعدادات واللجنة'!$A$24:$A$32,0)),"")</f>
        <v>د. عمر بن محمد موسى</v>
      </c>
      <c r="I223" s="30"/>
      <c r="J223" s="30"/>
      <c r="K223" s="28" t="str">
        <f aca="false">IF(OR(I223="",I223="متوفر ومكتمل"),"",IF(OR(D223="★",I223="غير متوفر"),"عالية","متوسطة"))</f>
        <v/>
      </c>
      <c r="L223" s="31"/>
      <c r="M223" s="30"/>
      <c r="N223" s="31"/>
      <c r="O223" s="31"/>
      <c r="P223" s="30"/>
      <c r="Q223" s="31"/>
    </row>
    <row r="224" customFormat="false" ht="19.4" hidden="false" customHeight="false" outlineLevel="0" collapsed="false">
      <c r="A224" s="28" t="s">
        <v>630</v>
      </c>
      <c r="B224" s="25" t="s">
        <v>160</v>
      </c>
      <c r="C224" s="26"/>
      <c r="D224" s="27"/>
      <c r="E224" s="28" t="n">
        <v>3</v>
      </c>
      <c r="F224" s="26" t="s">
        <v>634</v>
      </c>
      <c r="G224" s="50" t="s">
        <v>592</v>
      </c>
      <c r="H224" s="28" t="str">
        <f aca="false">IFERROR(INDEX('الإعدادات واللجنة'!$C$24:$C$32,MATCH(LEFT(A224,3),'الإعدادات واللجنة'!$A$24:$A$32,0)),"")</f>
        <v>د. عمر بن محمد موسى</v>
      </c>
      <c r="I224" s="30"/>
      <c r="J224" s="30"/>
      <c r="K224" s="28" t="str">
        <f aca="false">IF(OR(I224="",I224="متوفر ومكتمل"),"",IF(OR(D224="★",I224="غير متوفر"),"عالية","متوسطة"))</f>
        <v/>
      </c>
      <c r="L224" s="31"/>
      <c r="M224" s="30"/>
      <c r="N224" s="31"/>
      <c r="O224" s="31"/>
      <c r="P224" s="30"/>
      <c r="Q224" s="31"/>
    </row>
    <row r="225" customFormat="false" ht="22.35" hidden="false" customHeight="false" outlineLevel="0" collapsed="false">
      <c r="A225" s="45" t="s">
        <v>635</v>
      </c>
      <c r="B225" s="46" t="s">
        <v>160</v>
      </c>
      <c r="C225" s="47" t="s">
        <v>636</v>
      </c>
      <c r="D225" s="48"/>
      <c r="E225" s="38" t="n">
        <v>1</v>
      </c>
      <c r="F225" s="47" t="s">
        <v>637</v>
      </c>
      <c r="G225" s="49" t="s">
        <v>592</v>
      </c>
      <c r="H225" s="38" t="str">
        <f aca="false">IFERROR(INDEX('الإعدادات واللجنة'!$C$24:$C$32,MATCH(LEFT(A225,3),'الإعدادات واللجنة'!$A$24:$A$32,0)),"")</f>
        <v>د. عمر بن محمد موسى</v>
      </c>
      <c r="I225" s="39"/>
      <c r="J225" s="39"/>
      <c r="K225" s="38" t="str">
        <f aca="false">IF(OR(I225="",I225="متوفر ومكتمل"),"",IF(OR(D225="★",I225="غير متوفر"),"عالية","متوسطة"))</f>
        <v/>
      </c>
      <c r="L225" s="40"/>
      <c r="M225" s="39"/>
      <c r="N225" s="40"/>
      <c r="O225" s="40"/>
      <c r="P225" s="39"/>
      <c r="Q225" s="40"/>
    </row>
    <row r="226" customFormat="false" ht="19.4" hidden="false" customHeight="false" outlineLevel="0" collapsed="false">
      <c r="A226" s="28" t="s">
        <v>635</v>
      </c>
      <c r="B226" s="25" t="s">
        <v>160</v>
      </c>
      <c r="C226" s="26"/>
      <c r="D226" s="27"/>
      <c r="E226" s="28" t="n">
        <v>2</v>
      </c>
      <c r="F226" s="26" t="s">
        <v>638</v>
      </c>
      <c r="G226" s="50" t="s">
        <v>592</v>
      </c>
      <c r="H226" s="28" t="str">
        <f aca="false">IFERROR(INDEX('الإعدادات واللجنة'!$C$24:$C$32,MATCH(LEFT(A226,3),'الإعدادات واللجنة'!$A$24:$A$32,0)),"")</f>
        <v>د. عمر بن محمد موسى</v>
      </c>
      <c r="I226" s="30"/>
      <c r="J226" s="30"/>
      <c r="K226" s="28" t="str">
        <f aca="false">IF(OR(I226="",I226="متوفر ومكتمل"),"",IF(OR(D226="★",I226="غير متوفر"),"عالية","متوسطة"))</f>
        <v/>
      </c>
      <c r="L226" s="31"/>
      <c r="M226" s="30"/>
      <c r="N226" s="31"/>
      <c r="O226" s="31"/>
      <c r="P226" s="30"/>
      <c r="Q226" s="31"/>
    </row>
    <row r="227" customFormat="false" ht="19.4" hidden="false" customHeight="false" outlineLevel="0" collapsed="false">
      <c r="A227" s="28" t="s">
        <v>635</v>
      </c>
      <c r="B227" s="25" t="s">
        <v>160</v>
      </c>
      <c r="C227" s="26"/>
      <c r="D227" s="27"/>
      <c r="E227" s="28" t="n">
        <v>3</v>
      </c>
      <c r="F227" s="26" t="s">
        <v>639</v>
      </c>
      <c r="G227" s="50" t="s">
        <v>592</v>
      </c>
      <c r="H227" s="28" t="str">
        <f aca="false">IFERROR(INDEX('الإعدادات واللجنة'!$C$24:$C$32,MATCH(LEFT(A227,3),'الإعدادات واللجنة'!$A$24:$A$32,0)),"")</f>
        <v>د. عمر بن محمد موسى</v>
      </c>
      <c r="I227" s="30"/>
      <c r="J227" s="30"/>
      <c r="K227" s="28" t="str">
        <f aca="false">IF(OR(I227="",I227="متوفر ومكتمل"),"",IF(OR(D227="★",I227="غير متوفر"),"عالية","متوسطة"))</f>
        <v/>
      </c>
      <c r="L227" s="31"/>
      <c r="M227" s="30"/>
      <c r="N227" s="31"/>
      <c r="O227" s="31"/>
      <c r="P227" s="30"/>
      <c r="Q227" s="31"/>
    </row>
    <row r="228" customFormat="false" ht="22.35" hidden="false" customHeight="false" outlineLevel="0" collapsed="false">
      <c r="A228" s="32" t="s">
        <v>640</v>
      </c>
      <c r="B228" s="33" t="s">
        <v>160</v>
      </c>
      <c r="C228" s="34" t="s">
        <v>641</v>
      </c>
      <c r="D228" s="35" t="s">
        <v>296</v>
      </c>
      <c r="E228" s="36" t="n">
        <v>1</v>
      </c>
      <c r="F228" s="34" t="s">
        <v>642</v>
      </c>
      <c r="G228" s="49" t="s">
        <v>592</v>
      </c>
      <c r="H228" s="38" t="str">
        <f aca="false">IFERROR(INDEX('الإعدادات واللجنة'!$C$24:$C$32,MATCH(LEFT(A228,3),'الإعدادات واللجنة'!$A$24:$A$32,0)),"")</f>
        <v>د. عمر بن محمد موسى</v>
      </c>
      <c r="I228" s="39"/>
      <c r="J228" s="39"/>
      <c r="K228" s="38" t="str">
        <f aca="false">IF(OR(I228="",I228="متوفر ومكتمل"),"",IF(OR(D228="★",I228="غير متوفر"),"عالية","متوسطة"))</f>
        <v/>
      </c>
      <c r="L228" s="40"/>
      <c r="M228" s="39"/>
      <c r="N228" s="40"/>
      <c r="O228" s="40"/>
      <c r="P228" s="39"/>
      <c r="Q228" s="40"/>
    </row>
    <row r="229" customFormat="false" ht="19.4" hidden="false" customHeight="false" outlineLevel="0" collapsed="false">
      <c r="A229" s="41" t="s">
        <v>640</v>
      </c>
      <c r="B229" s="42" t="s">
        <v>160</v>
      </c>
      <c r="C229" s="43"/>
      <c r="D229" s="44" t="s">
        <v>296</v>
      </c>
      <c r="E229" s="41" t="n">
        <v>2</v>
      </c>
      <c r="F229" s="43" t="s">
        <v>643</v>
      </c>
      <c r="G229" s="50" t="s">
        <v>592</v>
      </c>
      <c r="H229" s="28" t="str">
        <f aca="false">IFERROR(INDEX('الإعدادات واللجنة'!$C$24:$C$32,MATCH(LEFT(A229,3),'الإعدادات واللجنة'!$A$24:$A$32,0)),"")</f>
        <v>د. عمر بن محمد موسى</v>
      </c>
      <c r="I229" s="30"/>
      <c r="J229" s="30"/>
      <c r="K229" s="28" t="str">
        <f aca="false">IF(OR(I229="",I229="متوفر ومكتمل"),"",IF(OR(D229="★",I229="غير متوفر"),"عالية","متوسطة"))</f>
        <v/>
      </c>
      <c r="L229" s="31"/>
      <c r="M229" s="30"/>
      <c r="N229" s="31"/>
      <c r="O229" s="31"/>
      <c r="P229" s="30"/>
      <c r="Q229" s="31"/>
    </row>
    <row r="230" customFormat="false" ht="19.4" hidden="false" customHeight="false" outlineLevel="0" collapsed="false">
      <c r="A230" s="41" t="s">
        <v>640</v>
      </c>
      <c r="B230" s="42" t="s">
        <v>160</v>
      </c>
      <c r="C230" s="43"/>
      <c r="D230" s="44" t="s">
        <v>296</v>
      </c>
      <c r="E230" s="41" t="n">
        <v>3</v>
      </c>
      <c r="F230" s="43" t="s">
        <v>644</v>
      </c>
      <c r="G230" s="50" t="s">
        <v>592</v>
      </c>
      <c r="H230" s="28" t="str">
        <f aca="false">IFERROR(INDEX('الإعدادات واللجنة'!$C$24:$C$32,MATCH(LEFT(A230,3),'الإعدادات واللجنة'!$A$24:$A$32,0)),"")</f>
        <v>د. عمر بن محمد موسى</v>
      </c>
      <c r="I230" s="30"/>
      <c r="J230" s="30"/>
      <c r="K230" s="28" t="str">
        <f aca="false">IF(OR(I230="",I230="متوفر ومكتمل"),"",IF(OR(D230="★",I230="غير متوفر"),"عالية","متوسطة"))</f>
        <v/>
      </c>
      <c r="L230" s="31"/>
      <c r="M230" s="30"/>
      <c r="N230" s="31"/>
      <c r="O230" s="31"/>
      <c r="P230" s="30"/>
      <c r="Q230" s="31"/>
    </row>
  </sheetData>
  <autoFilter ref="A4:Q230"/>
  <mergeCells count="2">
    <mergeCell ref="A1:H1"/>
    <mergeCell ref="A2:Q2"/>
  </mergeCells>
  <conditionalFormatting sqref="I5:I230">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30">
    <cfRule type="cellIs" priority="5" operator="equal" aboveAverage="0" equalAverage="0" bottom="0" percent="0" rank="0" text="" dxfId="13">
      <formula>"عالية"</formula>
    </cfRule>
  </conditionalFormatting>
  <conditionalFormatting sqref="P5:P230">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30" type="list">
      <formula1>"متوفر ومكتمل,متوفر ويحتاج تحسين,غير متوفر"</formula1>
      <formula2>0</formula2>
    </dataValidation>
    <dataValidation allowBlank="true" errorStyle="stop" operator="between" showDropDown="false" showErrorMessage="false" showInputMessage="false" sqref="J5:J230"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30"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30"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2026-10-20T12:19:24Z</dcterms:created>
  <dc:creator>openpyxl</dc:creator>
  <dc:description/>
  <dc:language>en-US</dc:language>
  <cp:lastModifiedBy/>
  <dcterms:modified xsi:type="dcterms:W3CDTF">2026-10-20T12:19:25Z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