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خطة العمل" sheetId="1" state="visible" r:id="rId3"/>
    <sheet name="الإعدادات واللجنة" sheetId="2" state="visible" r:id="rId4"/>
    <sheet name="لوحة المتابعة" sheetId="3" state="visible" r:id="rId5"/>
    <sheet name="معايير جودة الدليل" sheetId="4" state="visible" r:id="rId6"/>
    <sheet name="فحص-البرنامج1" sheetId="5" state="visible" r:id="rId7"/>
    <sheet name="فحص-البرنامج2" sheetId="6" state="visible" r:id="rId8"/>
    <sheet name="ملخص المعايير" sheetId="7" state="visible" r:id="rId9"/>
    <sheet name="سجل الفجوات" sheetId="8" state="visible" r:id="rId10"/>
  </sheets>
  <definedNames>
    <definedName function="false" hidden="true" localSheetId="7" name="_xlnm._FilterDatabase" vbProcedure="false">'سجل الفجوات'!$A$4:$P$124</definedName>
    <definedName function="false" hidden="true" localSheetId="4" name="_xlnm._FilterDatabase" vbProcedure="false">'فحص-البرنامج1'!$A$4:$W$208</definedName>
    <definedName function="false" hidden="true" localSheetId="5" name="_xlnm._FilterDatabase" vbProcedure="false">'فحص-البرنامج2'!$A$4:$W$208</definedName>
    <definedName function="false" hidden="true" localSheetId="6" name="_xlnm._FilterDatabase" vbProcedure="false">'ملخص المعايير'!$A$4:$P$52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6" authorId="0">
      <text>
        <r>
          <rPr>
            <sz val="10"/>
            <rFont val="FreeSans"/>
            <family val="2"/>
          </rPr>
          <t xml:space="preserve">افتراض: الأحد </t>
        </r>
        <r>
          <rPr>
            <sz val="10"/>
            <rFont val="Arial"/>
            <family val="2"/>
          </rPr>
          <t xml:space="preserve">25 أكتوبر 2026 (بداية أسبوع العمل التالي). عدّله حسب قرار اللجنة؛ كل تواريخ خطة العمل تُحسب منه.</t>
        </r>
      </text>
    </comment>
  </commentList>
</comments>
</file>

<file path=xl/sharedStrings.xml><?xml version="1.0" encoding="utf-8"?>
<sst xmlns="http://schemas.openxmlformats.org/spreadsheetml/2006/main" count="2767" uniqueCount="556">
  <si>
    <t xml:space="preserve">خطة عمل لجنة الاعتماد البرامجي – المرحلة الأولى: التحقق من الأدلة وجودتها وتحديد الفجوات</t>
  </si>
  <si>
    <t xml:space="preserve">المدة: 8 أسابيع | تبدأ من التاريخ المحدد في ورقة الإعدادات | التواريخ تُحسب تلقائياً (الأحد – الخميس)</t>
  </si>
  <si>
    <t xml:space="preserve">م</t>
  </si>
  <si>
    <t xml:space="preserve">المرحلة</t>
  </si>
  <si>
    <t xml:space="preserve">المهمة</t>
  </si>
  <si>
    <t xml:space="preserve">المسؤول</t>
  </si>
  <si>
    <t xml:space="preserve">المخرج / الدليل على الإنجاز</t>
  </si>
  <si>
    <t xml:space="preserve">أسبوع البدء</t>
  </si>
  <si>
    <t xml:space="preserve">المدة (أسابيع)</t>
  </si>
  <si>
    <t xml:space="preserve">تاريخ البدء</t>
  </si>
  <si>
    <t xml:space="preserve">تاريخ الانتهاء</t>
  </si>
  <si>
    <t xml:space="preserve">الحالة</t>
  </si>
  <si>
    <t xml:space="preserve">ملاحظات</t>
  </si>
  <si>
    <t xml:space="preserve">أ1</t>
  </si>
  <si>
    <t xml:space="preserve">أ2</t>
  </si>
  <si>
    <t xml:space="preserve">أ3</t>
  </si>
  <si>
    <t xml:space="preserve">أ4</t>
  </si>
  <si>
    <t xml:space="preserve">أ5</t>
  </si>
  <si>
    <t xml:space="preserve">أ6</t>
  </si>
  <si>
    <t xml:space="preserve">أ7</t>
  </si>
  <si>
    <t xml:space="preserve">أ8</t>
  </si>
  <si>
    <t xml:space="preserve">0. التهيئة والتأسيس</t>
  </si>
  <si>
    <t xml:space="preserve">إصدار قرار تشكيل اللجنة، واعتماد خطة العمل وتوزيع المحاور على الأعضاء</t>
  </si>
  <si>
    <t xml:space="preserve">قرار تشكيل + خطة عمل معتمدة</t>
  </si>
  <si>
    <t xml:space="preserve">لم تبدأ</t>
  </si>
  <si>
    <t xml:space="preserve">اجتماع الانطلاق وورشة تعريفية بمعايير الاعتماد البرامجي (هيئة تقويم التعليم والتدريب 2024) والدليل الاسترشادي وأدوات الفحص</t>
  </si>
  <si>
    <t xml:space="preserve">محضر الاجتماع + العرض التعريفي</t>
  </si>
  <si>
    <t xml:space="preserve">جلسة معايرة: تقييم 3–5 أدلة نموذجية جماعياً بمعايير الجودة الخمسة لتوحيد الحكم بين الأعضاء</t>
  </si>
  <si>
    <t xml:space="preserve">أدلة نموذجية مُقيّمة + محضر المعايرة</t>
  </si>
  <si>
    <t xml:space="preserve">إنشاء مستودع الأدلة الإلكتروني (البرنامج ← المجال ← رمز المعيار) واعتماد قاعدة تسمية موحدة وصلاحيات الوصول</t>
  </si>
  <si>
    <t xml:space="preserve">مستودع جاهز + دليل التسمية</t>
  </si>
  <si>
    <t xml:space="preserve">حصر الوثائق المرجعية لكل برنامج: توصيف البرنامج والمقررات، التقارير السنوية وتقارير المقررات، مؤشرات الأداء، نتائج الاستبانات، الخطط الاستراتيجية والتشغيلية، تقارير قياس نواتج التعلم</t>
  </si>
  <si>
    <t xml:space="preserve">قائمة الوثائق المرجعية مرفوعة في المستودع</t>
  </si>
  <si>
    <t xml:space="preserve">1. حصر وجمع الأدلة</t>
  </si>
  <si>
    <t xml:space="preserve">جمع الأدلة لكل معيار وفق توزيع المحاور، ورفعها للمستودع، وتعبئة "حالة التوفر" في ورقتي الفحص</t>
  </si>
  <si>
    <t xml:space="preserve">أعضاء الفحص (حسب التوزيع)</t>
  </si>
  <si>
    <t xml:space="preserve">عمود حالة التوفر مكتمل 100%</t>
  </si>
  <si>
    <t xml:space="preserve">مخاطبة الجهات المساندة لطلب الأدلة المؤسسية (عمادة الجودة، القبول والتسجيل، شؤون الطلاب، الموارد البشرية، المكتبة، تقنية المعلومات، الأمن والسلامة، جهات التدريب الميداني)</t>
  </si>
  <si>
    <t xml:space="preserve">خطابات مرسلة + سجل متابعة الردود</t>
  </si>
  <si>
    <t xml:space="preserve">تحديد الأدلة المشتركة بين البرنامجين (على مستوى الكلية/الجامعة) لتوحيدها وتجنب الازدواجية</t>
  </si>
  <si>
    <t xml:space="preserve">قائمة الأدلة المشتركة</t>
  </si>
  <si>
    <t xml:space="preserve">2. تقييم جودة الأدلة</t>
  </si>
  <si>
    <t xml:space="preserve">تطبيق معايير الجودة الخمسة على كل دليل متوفر (الأعمدة J–N) وتوثيق الملاحظات</t>
  </si>
  <si>
    <t xml:space="preserve">درجة الجودة محسوبة لجميع الأدلة</t>
  </si>
  <si>
    <t xml:space="preserve">المراجعة المتقاطعة: يراجع عضو كل برنامج أدلة زميله في البرنامج الآخر</t>
  </si>
  <si>
    <t xml:space="preserve">المراجعون المتقاطعون</t>
  </si>
  <si>
    <t xml:space="preserve">عمود نتيجة المراجعة مكتمل</t>
  </si>
  <si>
    <t xml:space="preserve">مراجعة رئيس اللجنة لأدلة المعايير الأساسية الـ15 في البرنامجين</t>
  </si>
  <si>
    <t xml:space="preserve">اعتماد نتائج المعايير الأساسية</t>
  </si>
  <si>
    <t xml:space="preserve">3. تحليل الفجوات</t>
  </si>
  <si>
    <t xml:space="preserve">تسجيل الفجوات في "سجل الفجوات" وتحديد نوعها ونطاقها وأولويتها</t>
  </si>
  <si>
    <t xml:space="preserve">سجل فجوات مكتمل</t>
  </si>
  <si>
    <t xml:space="preserve">ورشة تحليل الفجوات: الأسباب الجذرية، وفصل الفجوات المشتركة (حل واحد للبرنامجين) عن الخاصة والمؤسسية</t>
  </si>
  <si>
    <t xml:space="preserve">جميع الأعضاء</t>
  </si>
  <si>
    <t xml:space="preserve">محضر الورشة + تصنيف نهائي للفجوات</t>
  </si>
  <si>
    <t xml:space="preserve">اقتراح الإجراءات التصحيحية والمسؤولين والتواريخ المستهدفة لكل فجوة</t>
  </si>
  <si>
    <t xml:space="preserve">أعمدة الإجراء والمسؤول والتاريخ مكتملة</t>
  </si>
  <si>
    <t xml:space="preserve">4. التقرير والاعتماد</t>
  </si>
  <si>
    <t xml:space="preserve">إعداد تقرير المرحلة الأولى لكل برنامج: الجاهزية حسب المجال، حالة المعايير الأساسية، أبرز الفجوات، خطة المعالجة</t>
  </si>
  <si>
    <t xml:space="preserve">تقريران (برنامج لكل تقرير)</t>
  </si>
  <si>
    <t xml:space="preserve">عرض النتائج على مجلس القسم/الكلية واعتماد خطة المعالجة وإطلاق المرحلة الثانية (معالجة الفجوات وإعداد الدراسة الذاتية)</t>
  </si>
  <si>
    <t xml:space="preserve">قرار مجلس باعتماد خطة المعالجة</t>
  </si>
  <si>
    <t xml:space="preserve">مستمر</t>
  </si>
  <si>
    <t xml:space="preserve">اجتماع متابعة أسبوعي (45–60 دقيقة): مراجعة لوحة المتابعة، العوائق، وقرارات الأسبوع</t>
  </si>
  <si>
    <t xml:space="preserve">محاضر أسبوعية</t>
  </si>
  <si>
    <t xml:space="preserve">مبادئ العمل:</t>
  </si>
  <si>
    <t xml:space="preserve">• المرجعية: معايير الاعتماد البرامجي – هيئة تقويم التعليم والتدريب 2024، والدليل الاسترشادي المرفق (الإصدار الثاني 2025).</t>
  </si>
  <si>
    <t xml:space="preserve">• "الدليل غير الموجود في المستودع غير موجود": لا يُعتمد أي دليل لم يُرفع ويُربط برمزه في ورقة الفحص.</t>
  </si>
  <si>
    <t xml:space="preserve">• التركيز أولاً على المعايير الأساسية الـ15، لأن عدم استيفاء أي منها يؤثر مباشرة في قرار الاعتماد.</t>
  </si>
  <si>
    <t xml:space="preserve">• الفصل بين "غياب الدليل" و"ضعف جودته": كثير من الفجوات تكون في التطبيق وإغلاق الحلقة لا في وجود السياسة.</t>
  </si>
  <si>
    <t xml:space="preserve">• الفجوات المشتركة بين البرنامجين تُعالج مرة واحدة على مستوى الكلية لتوفير الجهد.</t>
  </si>
  <si>
    <t xml:space="preserve">• مؤشرات نجاح المرحلة: فحص 100% من الأدلة (408 دليلاً للبرنامجين)، ومراجعة متقاطعة لكل المحاور، وسجل فجوات معتمد بخطة معالجة.</t>
  </si>
  <si>
    <t xml:space="preserve">إعدادات المشروع وتشكيل لجنة الاعتماد البرامجي</t>
  </si>
  <si>
    <t xml:space="preserve">الخلايا المظللة باللون الأصفر الفاتح خلايا إدخال – عدّلها وستتحدث بقية الأوراق تلقائياً</t>
  </si>
  <si>
    <t xml:space="preserve">اسم البرنامج الأول</t>
  </si>
  <si>
    <t xml:space="preserve">بكالوريوس ... (البرنامج الأول)</t>
  </si>
  <si>
    <t xml:space="preserve">اسم البرنامج الثاني</t>
  </si>
  <si>
    <t xml:space="preserve">بكالوريوس ... (البرنامج الثاني)</t>
  </si>
  <si>
    <t xml:space="preserve">تاريخ بدء المرحلة الأولى</t>
  </si>
  <si>
    <t xml:space="preserve">الفترة الزمنية للأدلة</t>
  </si>
  <si>
    <t xml:space="preserve">آخر عامين أكاديميين مكتملين (يُتحقق منها مقابل اشتراطات الهيئة)</t>
  </si>
  <si>
    <t xml:space="preserve">أعضاء اللجنة (8 أعضاء)</t>
  </si>
  <si>
    <t xml:space="preserve">اسم العضو</t>
  </si>
  <si>
    <t xml:space="preserve">الدور في اللجنة</t>
  </si>
  <si>
    <t xml:space="preserve">البرنامج</t>
  </si>
  <si>
    <t xml:space="preserve">المهام الرئيسة</t>
  </si>
  <si>
    <t xml:space="preserve">عدد الأدلة المكلّف بفحصها</t>
  </si>
  <si>
    <t xml:space="preserve">عدد الأدلة المكلّف بمراجعتها تقاطعياً</t>
  </si>
  <si>
    <t xml:space="preserve">عضو 1</t>
  </si>
  <si>
    <t xml:space="preserve">رئيس اللجنة (منسق الاعتماد)</t>
  </si>
  <si>
    <t xml:space="preserve">البرنامجان</t>
  </si>
  <si>
    <t xml:space="preserve">قيادة اللجنة واعتماد المخرجات، المتابعة الأسبوعية، فحص محور جودة التدريس وتقييم الطالب (2-3) في البرنامجين، مراجعة المعايير الأساسية الـ15، والتواصل مع عمادة الجودة والإدارة العليا</t>
  </si>
  <si>
    <t xml:space="preserve">عضو 2</t>
  </si>
  <si>
    <t xml:space="preserve">أمين اللجنة (مسؤول إدارة الأدلة)</t>
  </si>
  <si>
    <t xml:space="preserve">إنشاء وإدارة مستودع الأدلة وقاعدة التسمية، تحديث لوحة المتابعة، المحاضر، حصر الأدلة المشتركة، وفحص مجال مصادر التعلم والمرافق والتجهيزات (5) في البرنامجين</t>
  </si>
  <si>
    <t xml:space="preserve">عضو 3</t>
  </si>
  <si>
    <t xml:space="preserve">عضو – فريق إدارة البرنامج وضمان الجودة</t>
  </si>
  <si>
    <t xml:space="preserve">البرنامج الأول</t>
  </si>
  <si>
    <t xml:space="preserve">فحص أدلة المجال الأول (1-1، 1-2) للبرنامج الأول، ومراجعة أدلة المجال نفسه للبرنامج الثاني تقاطعياً</t>
  </si>
  <si>
    <t xml:space="preserve">عضو 4</t>
  </si>
  <si>
    <t xml:space="preserve">البرنامج الثاني</t>
  </si>
  <si>
    <t xml:space="preserve">فحص أدلة المجال الأول (1-1، 1-2) للبرنامج الثاني، ومراجعة أدلة المجال نفسه للبرنامج الأول تقاطعياً</t>
  </si>
  <si>
    <t xml:space="preserve">عضو 5</t>
  </si>
  <si>
    <t xml:space="preserve">عضو – فريق نواتج التعلم والمنهج</t>
  </si>
  <si>
    <t xml:space="preserve">فحص أدلة محوري نواتج التعلم (2-1) والمنهج الدراسي (2-2) للبرنامج الأول، ومراجعة أدلة البرنامج الثاني ومحور 2-3 تقاطعياً</t>
  </si>
  <si>
    <t xml:space="preserve">عضو 6</t>
  </si>
  <si>
    <t xml:space="preserve">فحص أدلة محوري نواتج التعلم (2-1) والمنهج الدراسي (2-2) للبرنامج الثاني، ومراجعة أدلة البرنامج الأول ومحور 2-3 تقاطعياً</t>
  </si>
  <si>
    <t xml:space="preserve">عضو 7</t>
  </si>
  <si>
    <t xml:space="preserve">عضو – فريق الطالب وهيئة التدريس</t>
  </si>
  <si>
    <t xml:space="preserve">فحص أدلة مجالي الطالب (3) وهيئة التدريس (4) للبرنامج الأول، ومراجعة أدلة البرنامج الثاني تقاطعياً</t>
  </si>
  <si>
    <t xml:space="preserve">عضو 8</t>
  </si>
  <si>
    <t xml:space="preserve">فحص أدلة مجالي الطالب (3) وهيئة التدريس (4) للبرنامج الثاني، ومراجعة أدلة البرنامج الأول تقاطعياً</t>
  </si>
  <si>
    <t xml:space="preserve">توزيع المحاور على الأعضاء (يُستخدم تلقائياً في أوراق الفحص)</t>
  </si>
  <si>
    <t xml:space="preserve">المحور</t>
  </si>
  <si>
    <t xml:space="preserve">عدد المعايير</t>
  </si>
  <si>
    <t xml:space="preserve">عدد الأدلة</t>
  </si>
  <si>
    <t xml:space="preserve">مسؤول الفحص – البرنامج الأول</t>
  </si>
  <si>
    <t xml:space="preserve">مسؤول الفحص – البرنامج الثاني</t>
  </si>
  <si>
    <t xml:space="preserve">المراجع المتقاطع – البرنامج الأول</t>
  </si>
  <si>
    <t xml:space="preserve">المراجع المتقاطع – البرنامج الثاني</t>
  </si>
  <si>
    <t xml:space="preserve">1-1 إدارة البرنامج</t>
  </si>
  <si>
    <t xml:space="preserve">2-1 ضمان جودة البرنامج</t>
  </si>
  <si>
    <t xml:space="preserve">1-2 نواتج التعلم</t>
  </si>
  <si>
    <t xml:space="preserve">2-2 المنهج الدراسي</t>
  </si>
  <si>
    <t xml:space="preserve">3-2 جودة التدريس وتقييم الطالب</t>
  </si>
  <si>
    <t xml:space="preserve">3 معايير الطالب</t>
  </si>
  <si>
    <t xml:space="preserve">4 معايير هيئة التدريس</t>
  </si>
  <si>
    <t xml:space="preserve">5 معايير مصادر التعلم والمرافق والتجهيزات</t>
  </si>
  <si>
    <t xml:space="preserve">ملاحظات:</t>
  </si>
  <si>
    <t xml:space="preserve">• يفحص كل عضو أدلة برنامجه، ثم يراجعها زميله من البرنامج الآخر (مراجعة متقاطعة) لضمان الموضوعية وتوحيد الحكم بين البرنامجين.</t>
  </si>
  <si>
    <t xml:space="preserve">• يراجع رئيس اللجنة جميع أدلة المعايير الأساسية الـ15 (المظللة بالأصفر) في البرنامجين قبل اعتماد نتائج الفحص.</t>
  </si>
  <si>
    <t xml:space="preserve">• يمكن تعديل الأسماء في عمود "مسؤول الفحص" أو "المراجع" باختيار عضو آخر – تأكد من مطابقة الاسم لجدول الأعضاء أعلاه.</t>
  </si>
  <si>
    <t xml:space="preserve">لوحة متابعة المرحلة الأولى: التحقق من الأدلة وتحليل الفجوات</t>
  </si>
  <si>
    <t xml:space="preserve">تتحدث تلقائياً مع تعبئة ورقتي الفحص</t>
  </si>
  <si>
    <t xml:space="preserve">البند</t>
  </si>
  <si>
    <t xml:space="preserve">أدلة مفحوصة</t>
  </si>
  <si>
    <t xml:space="preserve">نسبة إنجاز الفحص</t>
  </si>
  <si>
    <t xml:space="preserve">متوفر</t>
  </si>
  <si>
    <t xml:space="preserve">متوفر جزئياً</t>
  </si>
  <si>
    <t xml:space="preserve">غير متوفر</t>
  </si>
  <si>
    <t xml:space="preserve">نسبة الجاهزية</t>
  </si>
  <si>
    <t xml:space="preserve">عدد الفجوات</t>
  </si>
  <si>
    <t xml:space="preserve">فجوات عالية الأولوية</t>
  </si>
  <si>
    <t xml:space="preserve">1. إدارة البرنامج وضمان جودته</t>
  </si>
  <si>
    <t xml:space="preserve">2. التعليم والتعلم</t>
  </si>
  <si>
    <t xml:space="preserve">3. الطالب</t>
  </si>
  <si>
    <t xml:space="preserve">4. هيئة التدريس</t>
  </si>
  <si>
    <t xml:space="preserve">5. مصادر التعلم والمرافق والتجهيزات</t>
  </si>
  <si>
    <t xml:space="preserve">المعايير الأساسية (15 معياراً)</t>
  </si>
  <si>
    <t xml:space="preserve">الإجمالي</t>
  </si>
  <si>
    <t xml:space="preserve">نسبة الجاهزية = مجموع درجات الجودة ÷ (5 × عدد الأدلة). الأدلة غير المفحوصة تُحتسب صفراً حتى يتم فحصها.</t>
  </si>
  <si>
    <t xml:space="preserve">معايير الحكم على جودة الدليل وتصنيف الفجوات</t>
  </si>
  <si>
    <t xml:space="preserve">تُطبق على كل دليل في ورقتي الفحص – اقرأها قبل البدء ونفّذ جلسة معايرة جماعية</t>
  </si>
  <si>
    <t xml:space="preserve">معيار الجودة</t>
  </si>
  <si>
    <t xml:space="preserve">العمود في ورقة الفحص</t>
  </si>
  <si>
    <t xml:space="preserve">السؤال الذي يجيب عنه المراجع</t>
  </si>
  <si>
    <t xml:space="preserve">أمثلة على ما يُقبل / ما لا يُقبل</t>
  </si>
  <si>
    <t xml:space="preserve">معتمد رسمياً</t>
  </si>
  <si>
    <t xml:space="preserve">J</t>
  </si>
  <si>
    <t xml:space="preserve">هل الدليل صادر أو معتمد من الجهة المختصة (مجلس القسم/الكلية/الجامعة) ويحمل رقم قرار أو محضر وتاريخاً؟</t>
  </si>
  <si>
    <t xml:space="preserve">يُقبل: محضر مجلس قسم بتاريخ ورقم. لا يُقبل: مسودة أو ملف Word بلا اعتماد.</t>
  </si>
  <si>
    <t xml:space="preserve">محدَّث</t>
  </si>
  <si>
    <t xml:space="preserve">K</t>
  </si>
  <si>
    <t xml:space="preserve">هل يعود الدليل للفترة الزمنية المحددة للأدلة ويعكس الوضع الحالي للبرنامج؟</t>
  </si>
  <si>
    <t xml:space="preserve">يُقبل: تقرير البرنامج السنوي لآخر عام مكتمل. لا يُقبل: توصيف برنامج قديم لم يُحدّث بعد تعديل الخطة.</t>
  </si>
  <si>
    <t xml:space="preserve">يغطي متطلبات المعيار</t>
  </si>
  <si>
    <t xml:space="preserve">L</t>
  </si>
  <si>
    <t xml:space="preserve">هل يجيب الدليل عن جميع عناصر نص المعيار، وهل هو خاص بالبرنامج لا عاماً للمؤسسة فقط؟</t>
  </si>
  <si>
    <t xml:space="preserve">يُقبل: مصفوفة اتساق تخص البرنامج نفسه. لا يُقبل: رسالة الجامعة فقط دون ربطها برسالة البرنامج.</t>
  </si>
  <si>
    <t xml:space="preserve">دليل تطبيق فعلي</t>
  </si>
  <si>
    <t xml:space="preserve">M</t>
  </si>
  <si>
    <t xml:space="preserve">هل يثبت الدليل التنفيذ الفعلي (محاضر، تقارير، نماذج مُعبأة، إحصاءات) لا مجرد سياسة أو إجراء مكتوب؟</t>
  </si>
  <si>
    <t xml:space="preserve">يُقبل: سياسة النزاهة + نماذج حالات طُبّقت. لا يُقبل: سياسة منشورة فقط دون أي أثر تطبيقي.</t>
  </si>
  <si>
    <t xml:space="preserve">نتائج وتحسين (إغلاق الحلقة)</t>
  </si>
  <si>
    <t xml:space="preserve">N</t>
  </si>
  <si>
    <t xml:space="preserve">هل يتضمن تحليلاً للنتائج أو قياساً، وإجراءات تحسين اتُخذت بناءً عليها وتمت متابعتها؟</t>
  </si>
  <si>
    <t xml:space="preserve">يُقبل: نتائج استبانة + تحليل + إجراء تحسين موثق. لا يُقبل: نتائج استبانة خام دون تحليل أو قرار.</t>
  </si>
  <si>
    <t xml:space="preserve">درجة الجودة</t>
  </si>
  <si>
    <t xml:space="preserve">التصنيف</t>
  </si>
  <si>
    <t xml:space="preserve">المعنى</t>
  </si>
  <si>
    <t xml:space="preserve">هل يُعد فجوة؟</t>
  </si>
  <si>
    <t xml:space="preserve">الأولوية المحسوبة تلقائياً</t>
  </si>
  <si>
    <t xml:space="preserve">0</t>
  </si>
  <si>
    <t xml:space="preserve">غير موجود</t>
  </si>
  <si>
    <t xml:space="preserve">حالة التوفر = غير متوفر</t>
  </si>
  <si>
    <t xml:space="preserve">نعم</t>
  </si>
  <si>
    <t xml:space="preserve">عالية</t>
  </si>
  <si>
    <t xml:space="preserve">1 – 2</t>
  </si>
  <si>
    <t xml:space="preserve">ضعيف</t>
  </si>
  <si>
    <t xml:space="preserve">الدليل موجود لكن يفتقد معظم معايير الجودة</t>
  </si>
  <si>
    <t xml:space="preserve">متوسطة (عالية إذا كان المعيار أساسياً)</t>
  </si>
  <si>
    <t xml:space="preserve">3 – 4</t>
  </si>
  <si>
    <t xml:space="preserve">مقبول</t>
  </si>
  <si>
    <t xml:space="preserve">الدليل موجود وينقصه عنصر أو عنصران (غالباً التطبيق أو إغلاق الحلقة)</t>
  </si>
  <si>
    <t xml:space="preserve">نعم – فجوة تحسين</t>
  </si>
  <si>
    <t xml:space="preserve">منخفضة (عالية إذا كان المعيار أساسياً)</t>
  </si>
  <si>
    <t xml:space="preserve">5</t>
  </si>
  <si>
    <t xml:space="preserve">مكتمل</t>
  </si>
  <si>
    <t xml:space="preserve">يستوفي المعايير الخمسة وحالة التوفر = متوفر</t>
  </si>
  <si>
    <t xml:space="preserve">لا</t>
  </si>
  <si>
    <t xml:space="preserve">—</t>
  </si>
  <si>
    <t xml:space="preserve">خطوة</t>
  </si>
  <si>
    <t xml:space="preserve">تعليمات التعبئة</t>
  </si>
  <si>
    <t xml:space="preserve">اختر "حالة التوفر" لكل دليل من القائمة: متوفر / متوفر جزئياً / غير متوفر.</t>
  </si>
  <si>
    <t xml:space="preserve">إذا كان الدليل متوفراً كلياً أو جزئياً، أجب بـ (نعم/لا) عن معايير الجودة الخمسة في الأعمدة J–N.</t>
  </si>
  <si>
    <t xml:space="preserve">تُحسب درجة الجودة (0–5) والتصنيف وعلامة الفجوة والأولوية تلقائياً – لا تكتب في الأعمدة O–R.</t>
  </si>
  <si>
    <t xml:space="preserve">ضع رابط الدليل أو مساره في المستودع في العمود S، ودوّن ملاحظاتك في العمود T.</t>
  </si>
  <si>
    <t xml:space="preserve">بعد المراجعة المتقاطعة يحدد المراجع "تمت/تحتاج تعديل" في العمود V ويكتب ملاحظاته في W.</t>
  </si>
  <si>
    <t xml:space="preserve">لكل دليل عليه علامة فجوة = نعم، أضف سطراً في "سجل الفجوات" يوضح نوع الفجوة والإجراء التصحيحي.</t>
  </si>
  <si>
    <t xml:space="preserve">الأدلة المقترحة في الدليل الاسترشادي استرشادية: إذا وُجد دليل بديل يحقق المعيار سجّله في الملاحظات.</t>
  </si>
  <si>
    <t xml:space="preserve">مثال تعبئة (للتوضيح فقط – غير محسوب في النتائج)</t>
  </si>
  <si>
    <t xml:space="preserve">الرمز</t>
  </si>
  <si>
    <t xml:space="preserve">1-1-1</t>
  </si>
  <si>
    <t xml:space="preserve">الدليل المقترح</t>
  </si>
  <si>
    <t xml:space="preserve">مصفوفة اتساق رسالة وأهداف البرنامج مع رسالة وأهداف الجامعة والكلية.</t>
  </si>
  <si>
    <t xml:space="preserve">حالة التوفر</t>
  </si>
  <si>
    <t xml:space="preserve">معتمد / محدث / يغطي / تطبيق / تحسين</t>
  </si>
  <si>
    <t xml:space="preserve">نعم / لا / نعم / نعم / لا</t>
  </si>
  <si>
    <t xml:space="preserve">درجة الجودة → التصنيف</t>
  </si>
  <si>
    <t xml:space="preserve">3 → مقبول</t>
  </si>
  <si>
    <t xml:space="preserve">فجوة؟ → الأولوية</t>
  </si>
  <si>
    <t xml:space="preserve">نعم → منخفضة</t>
  </si>
  <si>
    <t xml:space="preserve">رابط الدليل</t>
  </si>
  <si>
    <t xml:space="preserve">Evidence/P1/D1/1-1-1/01_مصفوفة_الاتساق.pdf</t>
  </si>
  <si>
    <t xml:space="preserve">ملاحظات المراجع</t>
  </si>
  <si>
    <t xml:space="preserve">المصفوفة مُعدة عام 1444هـ ولم تُحدّث بعد تعديل رسالة الكلية؛ تحتاج تحديثاً واعتماداً من مجلس القسم.</t>
  </si>
  <si>
    <t xml:space="preserve">أعمدة الإدخال (أصفر فاتح): I–N و S–T و V–W  |  الأعمدة O–R محسوبة تلقائياً  |  الصفوف المظللة بالأصفر = معايير أساسية</t>
  </si>
  <si>
    <t xml:space="preserve">المجال</t>
  </si>
  <si>
    <t xml:space="preserve">نص المعيار</t>
  </si>
  <si>
    <t xml:space="preserve">أساسي</t>
  </si>
  <si>
    <t xml:space="preserve">الدليل / الشاهد المقترح</t>
  </si>
  <si>
    <t xml:space="preserve">مسؤول الفحص</t>
  </si>
  <si>
    <t xml:space="preserve">معتمد</t>
  </si>
  <si>
    <t xml:space="preserve">يغطي المعيار</t>
  </si>
  <si>
    <t xml:space="preserve">دليل تطبيق</t>
  </si>
  <si>
    <t xml:space="preserve">نتائج وتحسين</t>
  </si>
  <si>
    <t xml:space="preserve">درجة الجودة (0-5)</t>
  </si>
  <si>
    <t xml:space="preserve">فجوة؟</t>
  </si>
  <si>
    <t xml:space="preserve">الأولوية</t>
  </si>
  <si>
    <t xml:space="preserve">رابط / مسار الدليل</t>
  </si>
  <si>
    <t xml:space="preserve">ملاحظات مسؤول الفحص</t>
  </si>
  <si>
    <t xml:space="preserve">المراجع المتقاطع</t>
  </si>
  <si>
    <t xml:space="preserve">نتيجة المراجعة</t>
  </si>
  <si>
    <t xml:space="preserve">تتسق رسالة البرنامج وأهدافه مع رسالة المؤسسة/الكلية وتوجّه جميع عملياته وأنشطته.</t>
  </si>
  <si>
    <t xml:space="preserve">إعلان رسالة وأهداف البرنامج على الموقع الإلكتروني للبرنامج.</t>
  </si>
  <si>
    <t xml:space="preserve">الخطة التشغيلية للبرنامج وتقاريرها وتشمل البحث العلمي وخدمة المجتمع.</t>
  </si>
  <si>
    <t xml:space="preserve">تقرير استطلاع رأي المستفيدين حول وضوح ونشر الرسالة والأهداف.</t>
  </si>
  <si>
    <t xml:space="preserve">2-1-1</t>
  </si>
  <si>
    <t xml:space="preserve">يتوفر لدى البرنامج العدد الكافي من الكوادر المؤهلة للقيام بالمهام الإدارية والمهنية والفنية، ولهم مهام وصلاحيات محددة. (معيار أساسي *)</t>
  </si>
  <si>
    <t xml:space="preserve">قاعدة بيانات محدثة لأعضاء هيئة التدريس بالبرنامج والإداريين والفنيين.</t>
  </si>
  <si>
    <t xml:space="preserve">السير الذاتية لأعضاء هيئة التدريس، وقيادات البرنامج، والإداريين، والفنيين.</t>
  </si>
  <si>
    <t xml:space="preserve">نماذج من تشكيلات اللجان بالبرنامج محددة المهام.</t>
  </si>
  <si>
    <t xml:space="preserve">معايير اختيار القيادات الأكاديمية والإدارية.</t>
  </si>
  <si>
    <t xml:space="preserve">استبانة تقييم القيادات الأكاديمية والإدارية بالبرنامج.</t>
  </si>
  <si>
    <t xml:space="preserve">3-1-1</t>
  </si>
  <si>
    <t xml:space="preserve">يتوفر للبرنامج منظومة تحفيزية وبيئة أكاديمية داعمة.</t>
  </si>
  <si>
    <t xml:space="preserve">دليل جوائز التميز بالكلية/الجامعة.</t>
  </si>
  <si>
    <t xml:space="preserve">نماذج من شهادات (تميز/تقدير) منسوبي البرنامج والإداريين والفنيين.</t>
  </si>
  <si>
    <t xml:space="preserve">قائمة بالمرافق والتجهيزات التعليمية والبحثية للبرنامج.</t>
  </si>
  <si>
    <t xml:space="preserve">قائمة بالمرافق والتجهيزات الخاصة بالأنشطة اللاصفية بالبرنامج.</t>
  </si>
  <si>
    <t xml:space="preserve">تقييمات أعضاء هيئة التدريس والإداريين والفنيين والطلاب للمناخ التنظيمي والبيئة الأكاديمية.</t>
  </si>
  <si>
    <t xml:space="preserve">4-1-1</t>
  </si>
  <si>
    <t xml:space="preserve">يتم القياس المستمر لمؤشرات أداء البرنامج الرئيسة، وتُتخذ الإجراءات اللازمة للتحسين.</t>
  </si>
  <si>
    <t xml:space="preserve">تقرير مؤشرات الأداء الرئيسة للبرنامج.</t>
  </si>
  <si>
    <t xml:space="preserve">تقرير إنجاز الخطة التشغيلية للبرنامج مع خطة التحسين.</t>
  </si>
  <si>
    <t xml:space="preserve">5-1-1</t>
  </si>
  <si>
    <t xml:space="preserve">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</si>
  <si>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 xml:space="preserve">لوحة/دليل موضح فيه السياسات والحقوق والواجبات وتكون معلنة.</t>
  </si>
  <si>
    <t xml:space="preserve">استطلاع رأي أعضاء هيئة التدريس والطلبة عن تطبيق إدارة البرنامج لآليات النزاهة والعدالة والمساواة.</t>
  </si>
  <si>
    <t xml:space="preserve">الشواهد على مدى تكافؤ الإمكانيات المادية والبشرية بين شطري الطالب والطالبات.</t>
  </si>
  <si>
    <t xml:space="preserve">تشكيل اللجان والمجالس العاملة بالقسم بما يتضمن إشراك الجنسين والفروع (إن وجدت)، وكذا تمويل الأبحاث والمشاريع وحضور المؤتمرات.</t>
  </si>
  <si>
    <t xml:space="preserve">6-1-1</t>
  </si>
  <si>
    <t xml:space="preserve">تستفيد إدارة البرنامج من آراء المختصين والخبراء في تشكيل لجنة استشارية متنوعة الأعضاء وموضحة المهام، وتخصص البرنامج في تقييم وتطوير وتحسين أدائه.</t>
  </si>
  <si>
    <t xml:space="preserve">قرار تشكيل اللجنة الاستشارية للبرنامج المتنوعة الأعضاء والموضح مهامها.</t>
  </si>
  <si>
    <t xml:space="preserve">نماذج من محاضر اللجنة الاستشارية للبرنامج متضمنة التوصيات وخطط تفعيلها.</t>
  </si>
  <si>
    <t xml:space="preserve">تقرير استطلاع رأي جهات التوظيف حول الخريجين وتوصيات وخطط التحسين.</t>
  </si>
  <si>
    <t xml:space="preserve">محاضر مجلس القسم متضمنة مناقشة توصيات اللجنة الاستشارية واستطلاع رأي جهات التوظيف وأي مقترحات تطوير من خبراء التخصص.</t>
  </si>
  <si>
    <t xml:space="preserve">7-1-1</t>
  </si>
  <si>
    <t xml:space="preserve">تتيح إدارة البرنامج معلومات موثوقة ومحدّثة تُبرز إنجازات البرنامج بما يتناسب مع احتياجات المستفيدين.</t>
  </si>
  <si>
    <t xml:space="preserve">الدليل التعريفي للبرنامج.</t>
  </si>
  <si>
    <t xml:space="preserve">الموقع الإلكتروني للبرنامج متضمناً توصيف البرنامج والمقررات الدراسية وأنشطته وإنجازاته محدّثاً.</t>
  </si>
  <si>
    <t xml:space="preserve">أنشطة لجنة خدمة المجتمع للتعريف بالبرنامج وإمكاناته والخدمات التي يقدمها للمجتمع.</t>
  </si>
  <si>
    <t xml:space="preserve">نماذج من إعلانات ولقاءات التعريف بالبرنامج مع المستفيدين.</t>
  </si>
  <si>
    <t xml:space="preserve">نتائج استطلاع رأي المستفيدين حول إتاحة المعلومات الخاصة بالبرنامج.</t>
  </si>
  <si>
    <t xml:space="preserve">8-1-1</t>
  </si>
  <si>
    <t xml:space="preserve">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 (معيار أساسي *)</t>
  </si>
  <si>
    <t xml:space="preserve">السياسات والإجراءات الموثقة التي يطبقها البرنامج بشأن عمليات الاقتباس والملكية الفكرية للطلبة وأعضاء هيئة التدريس.</t>
  </si>
  <si>
    <t xml:space="preserve">دليل الإطار الأخلاقي للطلبة ومنسوبي الجامعة.</t>
  </si>
  <si>
    <t xml:space="preserve">دليل أخلاقيات البحث العلمي.</t>
  </si>
  <si>
    <t xml:space="preserve">قائمة بالدورات التدريبية المتعلقة بقيم الأمانة العلمية وحقوق الملكية الفكرية وقواعد الممارسات الأخلاقية.</t>
  </si>
  <si>
    <t xml:space="preserve">نماذج من تعميمات رئيس القسم على ضرورة الالتزام بقيم الأمانة العلمية وحقوق الملكية الفكرية.</t>
  </si>
  <si>
    <t xml:space="preserve">عينات من تقارير فحص الاستلال العلمي لأعمال الطلبة.</t>
  </si>
  <si>
    <t xml:space="preserve">9-1-1</t>
  </si>
  <si>
    <t xml:space="preserve">تتبنى إدارة البرنامج آلية واضحة وإجراءات معتمدة من قِبل المؤسسة/الكلية للشكاوى والتظلم والقضايا التأديبية.</t>
  </si>
  <si>
    <t xml:space="preserve">سياسات وآليات الشكاوى والتظلم المعتمدة سواء للطالب أو أعضاء هيئة التدريس.</t>
  </si>
  <si>
    <t xml:space="preserve">نماذج من محاضر الرفع بالشكاوى والتظلمات وقرارات الرد عليها.</t>
  </si>
  <si>
    <t xml:space="preserve">نماذج من قرارات لجان التأديب.</t>
  </si>
  <si>
    <t xml:space="preserve">استطلاعات رأي المستفيدين حول عدالة التعامل مع الشكاوى والتظلمات.</t>
  </si>
  <si>
    <t xml:space="preserve">1-2-1</t>
  </si>
  <si>
    <t xml:space="preserve">تتبنى إدارة البرنامج نظاماً إدارياً كاملاً ومعلناً لضمان الجودة، ينسجم مع نظام الجودة المؤسسي.</t>
  </si>
  <si>
    <t xml:space="preserve">دليل ضمان الجودة بالبرنامج.</t>
  </si>
  <si>
    <t xml:space="preserve">دليل ضمان الجودة بالجامعة.</t>
  </si>
  <si>
    <t xml:space="preserve">الهيكل التنظيمي الموثق والمعلن للبرنامج متضمناً اللجان العاملة به.</t>
  </si>
  <si>
    <t xml:space="preserve">قرارات تشكيل لجان الجودة بالبرنامج.</t>
  </si>
  <si>
    <t xml:space="preserve">2-2-1</t>
  </si>
  <si>
    <t xml:space="preserve">يقوم البرنامج بتحليل مؤشرات الأداء الرئيسة وبيانات التقويم سنوياً، ويُستفاد منها في عمليات التخطيط والتطوير واتخاذ القرارات. (معيار أساسي *)</t>
  </si>
  <si>
    <t xml:space="preserve">تقارير قياس مؤشرات الأداء الرئيسة وتشمل المقارنات المرجعية.</t>
  </si>
  <si>
    <t xml:space="preserve">مناقشة تقارير قياس مؤشرات الأداء في مجلس القسم والخطط التحسينية والقرارات المبنية عليها.</t>
  </si>
  <si>
    <t xml:space="preserve">معايير البرنامج/المؤسسة لاختيار جهات المقارنة المرجعية.</t>
  </si>
  <si>
    <t xml:space="preserve">3-2-1</t>
  </si>
  <si>
    <t xml:space="preserve">يُجري البرنامج تقويماً دورياً شاملاً ووفق خطة للتحسين ويتابع تنفيذها.</t>
  </si>
  <si>
    <t xml:space="preserve">سياسات إجراء التقويم الدوري الشامل للبرنامج.</t>
  </si>
  <si>
    <t xml:space="preserve">تشكيلات لجان تنفيذ عمليات التقويم الدوري الشامل للبرنامج.</t>
  </si>
  <si>
    <t xml:space="preserve">تقارير التقويم الدوري الشامل للبرنامج مع الخطط التحسينية.</t>
  </si>
  <si>
    <t xml:space="preserve">مناقشة نتائج عملية التقويم الشامل في مجلس القسم.</t>
  </si>
  <si>
    <t xml:space="preserve">تقرير الدراسة الذاتية السابقة (إن وجد).</t>
  </si>
  <si>
    <t xml:space="preserve">تقارير متابعة الخطط التحسينية للبرنامج.</t>
  </si>
  <si>
    <t xml:space="preserve">1-1-2</t>
  </si>
  <si>
    <t xml:space="preserve">تُحدَّد نواتج تعلم البرنامج المستهدفة وتتواءم مع خصائص الخريجين على المستوى المؤسسي، ويتم اعتمادها من مجلس القسم والكلية ومراجعتها دورياً.</t>
  </si>
  <si>
    <t xml:space="preserve">توصيف البرنامج (يشمل نواتج تعلم البرنامج) معتمد من مجلس القسم والكلية.</t>
  </si>
  <si>
    <t xml:space="preserve">الدليل الإجرائي لصياغة وقياس نواتج التعلم على مستوى البرنامج / المؤسسة.</t>
  </si>
  <si>
    <t xml:space="preserve">مصفوفة الاتساق بين نواتج تعلم البرنامج والمعايير الأكاديمية التخصصية (الاختبارات المعيارية – جاهزية أو ما يكافئها).</t>
  </si>
  <si>
    <t xml:space="preserve">مصفوفة الاتساق بين نواتج تعلم البرنامج ورسالته.</t>
  </si>
  <si>
    <t xml:space="preserve">مصفوفة الاتساق بين نواتج تعلم البرنامج وخصائص خريجي الجامعة.</t>
  </si>
  <si>
    <t xml:space="preserve">استطلاعات رأي الطلاب والخريجين وجهات التوظيف حول مدى وضوح نواتج التعلم.</t>
  </si>
  <si>
    <t xml:space="preserve">تقارير اللجان المعنية التي تفيد مراجعة نواتج التعلم.</t>
  </si>
  <si>
    <t xml:space="preserve">عينة من وسائل إعلان نواتج التعلم مثل الموقع الإلكتروني للبرنامج وكتيب البرنامج.</t>
  </si>
  <si>
    <t xml:space="preserve">سياسات إجراء التقويم الدوري الشامل للبرنامج (وتشمل السياسات والإجراءات المعتمدة للمراجعة الدورية لنواتج تعلم البرنامج).</t>
  </si>
  <si>
    <t xml:space="preserve">تقرير توافق نواتج تعلم البرنامج مع الإطار الوطني للمؤهلات (نموذج الاتساق مع الإطار الوطني للمؤهلات).</t>
  </si>
  <si>
    <t xml:space="preserve">2-1-2</t>
  </si>
  <si>
    <t xml:space="preserve">تتوافق نواتج التعلم مع متطلبات الإطار الوطني للمؤهلات والمعايير التخصصية ومتطلبات سوق العمل. (معيار أساسي *)</t>
  </si>
  <si>
    <t xml:space="preserve">مصفوفة الاتساق بين نواتج تعلم البرنامج والمعايير التخصصية.</t>
  </si>
  <si>
    <t xml:space="preserve">تقارير استطلاعات رأي جهات التوظيف حول توافق نواتج التعلم مع متطلبات سوق العمل.</t>
  </si>
  <si>
    <t xml:space="preserve">نماذج من محاضر لجان ومجلس القسم لمناقشة توافق خصائص الخريجين ونواتج التعلم مع متطلبات سوق العمل.</t>
  </si>
  <si>
    <t xml:space="preserve">3-1-2</t>
  </si>
  <si>
    <t xml:space="preserve">يحدد البرنامج نواتج تعلم للمسارات المختلفة (إن وجدت).</t>
  </si>
  <si>
    <t xml:space="preserve">توصيف البرنامج (يشمل نواتج تعلم المسارات المختلفة بالبرنامج إن وجدت) معتمد من مجلس القسم والكلية.</t>
  </si>
  <si>
    <t xml:space="preserve">مصفوفة الاتساق بين نواتج التعلم المحددة بالمسارات المختلفة (إن وجدت) وخصائص خريجي الجامعة.</t>
  </si>
  <si>
    <t xml:space="preserve">استطلاعات الرأي المتعلقة بإشراك المستفيدين في تحديد نواتج التعلم في المسارات المختلفة.</t>
  </si>
  <si>
    <t xml:space="preserve">تقرير استطلاعات الرأي حول رضا المستفيدين عن مدى وضوح نواتج التعلم في المسارات المحددة بالبرنامج.</t>
  </si>
  <si>
    <t xml:space="preserve">4-1-2</t>
  </si>
  <si>
    <t xml:space="preserve">يطبق البرنامج آليات وأدوات مناسبة لقياس نواتج التعلم والتحقق من استيفائها وفق مستويات أداء وخطط تقييم محددة. (معيار أساسي *)</t>
  </si>
  <si>
    <t xml:space="preserve">خطة قياس نواتج تعلم البرنامج.</t>
  </si>
  <si>
    <t xml:space="preserve">تقرير البرنامج لآخر عامين موضحاً به تقييم نواتج التعلم وخطط التحسين المرتبطة بتقييم نواتج التعلم.</t>
  </si>
  <si>
    <t xml:space="preserve">تقارير قياس نواتج تعلم البرنامج والخطة التحسينية.</t>
  </si>
  <si>
    <t xml:space="preserve">5-1-2</t>
  </si>
  <si>
    <t xml:space="preserve">يتبنى البرنامج استراتيجيات واضحة ومعتمدة للتعليم والتعلم والتقييم تحقق فلسفته التعليمية وتكفل تحقيق نواتج التعلم في البرنامج.</t>
  </si>
  <si>
    <t xml:space="preserve">توصيف البرنامج (يشمل استراتيجيات التعليم والتعلم وطرق تقويم نواتج التعلم للبرنامج) معتمد من مجلس القسم والكلية.</t>
  </si>
  <si>
    <t xml:space="preserve">نماذج من تقارير المقررات والبرنامج تظهر الخطط التطويرية بها والمبنية على نتائج تقييم تحقق نواتج التعلم.</t>
  </si>
  <si>
    <t xml:space="preserve">الدورات التدريبية المقدمة لأعضاء هيئة التدريس حول استراتيجيات التدريس وأساليب التقويم.</t>
  </si>
  <si>
    <t xml:space="preserve">استطلاع رأي الطلاب حول استراتيجيات التعليم والتعلم وأساليب التقييم.</t>
  </si>
  <si>
    <t xml:space="preserve">1-2-2</t>
  </si>
  <si>
    <t xml:space="preserve">يراعي المنهج الدراسي تحقيق أهداف البرنامج ونواتجه التعليمية والتطورات العلمية والتقنية والمهنية في مجال التخصص، ويُراجع بصورة دورية. (معيار أساسي *)</t>
  </si>
  <si>
    <t xml:space="preserve">الدليل الإجرائي لاستحداث وتطوير البرامج والخطط الدراسية.</t>
  </si>
  <si>
    <t xml:space="preserve">توصيف البرنامج (يشمل مصفوفة الربط بين كل من نواتج تعلم البرنامج والمقررات) معتمد من مجلس القسم والكلية.</t>
  </si>
  <si>
    <t xml:space="preserve">توصيفات المقررات موضحاً بها أحدث الكتب والمراجع المقررة في مجال التخصص.</t>
  </si>
  <si>
    <t xml:space="preserve">محاضر اجتماع اللجنة الاستشارية واللجان المعنية ومجلس القسم التي ناقشت تطوير الخطة الدراسية.</t>
  </si>
  <si>
    <t xml:space="preserve">استطلاعات رأي الخريجين وأرباب العمل حول مواكبة نواتج تعلم البرنامج للتطورات العلمية والتقنية والمهنية.</t>
  </si>
  <si>
    <t xml:space="preserve">نماذج من محاضر مراجعة توصيف البرنامج وتوصيف المقررات متضمنة التطورات التي تم إقرارها.</t>
  </si>
  <si>
    <t xml:space="preserve">2-2-2</t>
  </si>
  <si>
    <t xml:space="preserve">تحقق الخطة الدراسية التوازن بين المتطلبات العامة ومتطلبات التخصص، وبين الجوانب النظرية والتطبيقية، كما تراعي التتابع والتكامل بين المقررات الدراسية. (معيار أساسي *)</t>
  </si>
  <si>
    <t xml:space="preserve">مصفوفة التوازن بين المتطلبات العامة (الكلية) ومتطلبات التخصص في الخطة الدراسية للبرنامج.</t>
  </si>
  <si>
    <t xml:space="preserve">مصفوفة التوازن بين الجوانب النظرية والتطبيقية في الخطة الدراسية للبرنامج وفق المقارنة المرجعية الخارجية.</t>
  </si>
  <si>
    <t xml:space="preserve">تقييم مراجع مستقل حول التوازن والتتابع والتكامل في الخطة الدراسية للبرنامج.</t>
  </si>
  <si>
    <t xml:space="preserve">3-2-2</t>
  </si>
  <si>
    <t xml:space="preserve">يراعى في بناء الخطة الدراسية للبرنامج تحديد متطلبات نقاط الخروج (إن وجدت) طبقاً للممارسات العالمية والبرامج المناظرة.</t>
  </si>
  <si>
    <t xml:space="preserve">تقرير مختصر معتمد يوضح نسب التوازن بين الجوانب النظرية والتطبيقية في خطة البرنامج.</t>
  </si>
  <si>
    <t xml:space="preserve">دليل البرنامج موضحاً به مسارات البرنامج ونقاط التخرج.</t>
  </si>
  <si>
    <t xml:space="preserve">المقارنات المرجعية التي تم الاستناد عليها في بناء نقاط الخروج.</t>
  </si>
  <si>
    <t xml:space="preserve">توصيف البرنامج موضحاً به نقاط الخروج (إن وجدت).</t>
  </si>
  <si>
    <t xml:space="preserve">4-2-2</t>
  </si>
  <si>
    <t xml:space="preserve">ترتبط نواتج التعلم بالمقررات بنواتج التعلم بالبرنامج (مصفوفة توزيع نواتج تعلم البرنامج على المقررات).</t>
  </si>
  <si>
    <t xml:space="preserve">توصيف الخبرة الميدانية (إن وجد).</t>
  </si>
  <si>
    <t xml:space="preserve">دليل التدريب الميداني/التعاوني (إن وجد).</t>
  </si>
  <si>
    <t xml:space="preserve">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</si>
  <si>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 xml:space="preserve">5-2-2</t>
  </si>
  <si>
    <t xml:space="preserve">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</si>
  <si>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 xml:space="preserve">نماذج من محاضر اللجان الاستشارية التي ناقشت توافق ومناسبة استراتيجيات التعليم والتعلم وطرق التقييم.</t>
  </si>
  <si>
    <t xml:space="preserve">تقرير استطلاع رأي الطلبة والخريجين حول استراتيجيات التعليم والتعلم وطرق التقييم.</t>
  </si>
  <si>
    <t xml:space="preserve">6-2-2</t>
  </si>
  <si>
    <t xml:space="preserve">يتحقق البرنامج من فاعلية التدريب الميداني وجودة الإشراف عليه، ويتابع البرنامج قدرته على تحقيق المخرجات الموكلة إليه بآليات محددة.</t>
  </si>
  <si>
    <t xml:space="preserve">نماذج من توزيع الطالب وهيئة التدريس على التدريب الميداني.</t>
  </si>
  <si>
    <t xml:space="preserve">نماذج من تقارير التدريب الميداني.</t>
  </si>
  <si>
    <t xml:space="preserve">استطلاعات وتقارير رضا الطلاب وهيئة التدريس عن أنشطة التدريب الميداني.</t>
  </si>
  <si>
    <t xml:space="preserve">7-2-2</t>
  </si>
  <si>
    <t xml:space="preserve">يتأكد البرنامج من تطبيق موحد للخطة الدراسية وتوصيف البرنامج والمقررات التي تُقدم في أكثر من موقع (أقسام الطلاب والطالبات وفي الفروع المختلفة). (معيار أساسي *)</t>
  </si>
  <si>
    <t xml:space="preserve">أدلة تثبت التطبيق الموحد (مثل التعميمات والتقارير) في الشطرين والفروع للخطة الدراسية وتوصيف البرنامج والمقررات والاختبارات.</t>
  </si>
  <si>
    <t xml:space="preserve">نماذج من تقارير المقررات والبرنامج موضحاً بها توحيد الخطة بين البنين والبنات والفروع المختلفة.</t>
  </si>
  <si>
    <t xml:space="preserve">1-3-2</t>
  </si>
  <si>
    <t xml:space="preserve">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 (معيار أساسي *)</t>
  </si>
  <si>
    <t xml:space="preserve">التعاميم الواردة من إدارة البرنامج بضرورة الالتزام باستراتيجيات التعليم والتعلم وطرق التقييم الواردة في توصيفات البرنامج والمقررات.</t>
  </si>
  <si>
    <t xml:space="preserve">نماذج من ملف المقرر.</t>
  </si>
  <si>
    <t xml:space="preserve">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</si>
  <si>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 xml:space="preserve">تقارير الزيارات المتبادلة بين أعضاء هيئة التدريس حول الالتزام باستراتيجيات التعليم والتعلم وطرق التقييم.</t>
  </si>
  <si>
    <t xml:space="preserve">قائمة دورات تدريب أعضاء هيئة التدريس على استراتيجيات التعليم والتعلم وطرق التقييم واستخدام التقنيات في التعليم.</t>
  </si>
  <si>
    <t xml:space="preserve">2-3-2</t>
  </si>
  <si>
    <t xml:space="preserve">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</si>
  <si>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 xml:space="preserve">قائمة حضور أعضاء هيئة التدريس بالبرنامج للدورات التدريبية، ونماذج من شهادات الحضور.</t>
  </si>
  <si>
    <t xml:space="preserve">تقييم رضا أعضاء هيئة التدريس عن الدورات التدريبية المقدمة لهم.</t>
  </si>
  <si>
    <t xml:space="preserve">تقرير عمادة التعليم الإلكتروني للبرنامج حول تفعيل تقنيات التعليم في التدريس.</t>
  </si>
  <si>
    <t xml:space="preserve">مناقشة مجلس القسم لتقرير عمادة التعليم الإلكتروني للبرنامج حول تفعيل تقنيات التعليم في التدريس.</t>
  </si>
  <si>
    <t xml:space="preserve">3-3-2</t>
  </si>
  <si>
    <t xml:space="preserve">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</si>
  <si>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 xml:space="preserve">نماذج من إعلان توصيف المقررات الدراسية للطلبة إلكترونياً.</t>
  </si>
  <si>
    <t xml:space="preserve">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</si>
  <si>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 xml:space="preserve">عينات من التغذية الراجعة المقدمة للطلبة.</t>
  </si>
  <si>
    <t xml:space="preserve">4-3-2</t>
  </si>
  <si>
    <t xml:space="preserve">يتبنى البرنامج آليات لدعم وتحفيز التميز في التدريس وتشجيع الإبداع والابتكار لدى هيئة التدريس.</t>
  </si>
  <si>
    <t xml:space="preserve">جوائز التميز على مستوى البرنامج/المؤسسة حول التميز في التدريس والإبداع والابتكار.</t>
  </si>
  <si>
    <t xml:space="preserve">نماذج من التقييم الدوري لأداء أعضاء هيئة التدريس (ويشمل مجالات التدريس والبحث العلمي وخدمة المجتمع).</t>
  </si>
  <si>
    <t xml:space="preserve">تقرير استطلاعات رأي أعضاء هيئة التدريس حول رضاهم عن الدعم والتحفيز للتميز والإبداع والابتكار المقدم لهم.</t>
  </si>
  <si>
    <t xml:space="preserve">5-3-2</t>
  </si>
  <si>
    <t xml:space="preserve">يتبنى البرنامج إجراءات واضحة ومعلنة للتحقق من جودة طرق التقييم ومصداقيتها والتأكد من مستوى تحصيل الطالب.</t>
  </si>
  <si>
    <t xml:space="preserve">خطة قياس نواتج تعلم البرنامج وتقاريرها.</t>
  </si>
  <si>
    <t xml:space="preserve">نماذج من تحليل نتائج الاختبارات لبعض المقررات في البرنامج.</t>
  </si>
  <si>
    <t xml:space="preserve">تقييمات الطالب والخريجين لأساليب التقويم والاختبارات في البرنامج.</t>
  </si>
  <si>
    <t xml:space="preserve">نماذج من مواصفات إعداد الورقة الاختبارية، وطرق التصحيح.</t>
  </si>
  <si>
    <t xml:space="preserve">نماذج لكراسات إجابة موقع عليها مقيّم آخر.</t>
  </si>
  <si>
    <t xml:space="preserve">6-3-2</t>
  </si>
  <si>
    <t xml:space="preserve">تُستخدم إجراءات فعّالة لضبط النزاهة الأكاديمية على مستوى البرنامج للتحقق من أن الأعمال والواجبات التي يقدمها الطالب هي من إنتاجهم. (معيار أساسي *)</t>
  </si>
  <si>
    <t xml:space="preserve">دليل الطالب موضحاً به ميثاق الأخلاقيات ومعايير الاقتباس.</t>
  </si>
  <si>
    <t xml:space="preserve">النظام الإلكتروني المستخدم في كشف الاستلال العلمي.</t>
  </si>
  <si>
    <t xml:space="preserve">الدورات التدريبية المقدمة والمتعلقة بتعريف الطلبة وأعضاء هيئة التدريس حول استخدام برامج الاستلال العلمي.</t>
  </si>
  <si>
    <t xml:space="preserve">نماذج من لقاءات التهيئة للطلاب الجدد متضمناً توعية الطالب بمقتضيات النزاهة الأكاديمية.</t>
  </si>
  <si>
    <t xml:space="preserve">نماذج من تقارير الاستلال العلمي في الأعمال والواجبات التي يقدمها الطلبة.</t>
  </si>
  <si>
    <t xml:space="preserve">1-0-3</t>
  </si>
  <si>
    <t xml:space="preserve">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</si>
  <si>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 xml:space="preserve">شروط القبول محددة ومعتمدة في توصيف البرنامج، ومتضمنة في دليل البرنامج.</t>
  </si>
  <si>
    <t xml:space="preserve">شروط القبول معلنة على الموقع الإلكتروني للبرنامج.</t>
  </si>
  <si>
    <t xml:space="preserve">شروط الانتقال إلى البرنامج (التحويل) معلنة ومحددة في دليل البرنامج.</t>
  </si>
  <si>
    <t xml:space="preserve">نماذج معادلة الدراسة السابقة / آلية المعادلة لاستقبال الطلاب المحولين.</t>
  </si>
  <si>
    <t xml:space="preserve">نماذج من قرارات مجلس القسم بقبول أو رفض انتقال طلبة إلى البرنامج.</t>
  </si>
  <si>
    <t xml:space="preserve">2-0-3</t>
  </si>
  <si>
    <t xml:space="preserve">يوفر البرنامج المعلومات الأساسية للطالب مثل: متطلبات الدراسة، الخدمات، والتكاليف المالية (إن وجدت)، بوسائل متنوعة.</t>
  </si>
  <si>
    <t xml:space="preserve">دليل الطالب للخدمات الإلكترونية.</t>
  </si>
  <si>
    <t xml:space="preserve">دليل الطالب أو البرنامج متضمناً متطلبات الدراسة، الخدمات، والتكاليف المالية (إن وجدت).</t>
  </si>
  <si>
    <t xml:space="preserve">الموقع الإلكتروني للبرنامج.</t>
  </si>
  <si>
    <t xml:space="preserve">3-0-3</t>
  </si>
  <si>
    <t xml:space="preserve">يتوفر لطالب البرنامج خدمات فعالة للإرشاد والتوجيه الأكاديمي والمهني والنفسي والاجتماعي، من خلال كوادر مؤهلة وكافية. (معيار أساسي *)</t>
  </si>
  <si>
    <t xml:space="preserve">قرار إنشاء لجنة أو وحدة الإرشاد الأكاديمي بالبرنامج أو الكلية.</t>
  </si>
  <si>
    <t xml:space="preserve">دليل الإرشاد والتوجيه الأكاديمي والمهني والنفسي والاجتماعي للطالب.</t>
  </si>
  <si>
    <t xml:space="preserve">السير الذاتية للعاملين بوحدة الإرشاد الأكاديمي.</t>
  </si>
  <si>
    <t xml:space="preserve">نماذج من البرامج التوجيهية لاستقبال الطلاب الجدد على مستوى البرنامج/الكلية.</t>
  </si>
  <si>
    <t xml:space="preserve">الخدمات المقدمة من جهة تقديم الإرشاد المهني للطالب (مثل الدورات المقدمة من وحدة التدريب أو وحدة الخريجين الخاصة بالجانب المهني).</t>
  </si>
  <si>
    <t xml:space="preserve">الخدمات المقدمة من جهة تقديم الإرشاد والدعم النفسي والاجتماعي للطالب (وحدة الإرشاد والتوجيه في الكلية والجامعة).</t>
  </si>
  <si>
    <t xml:space="preserve">استطلاعات الرأي الشاملة التحليل للطلبة والخريجين عن رضاهم حول جودة الإرشاد المقدم إليهم من البرنامج.</t>
  </si>
  <si>
    <t xml:space="preserve">4-0-3</t>
  </si>
  <si>
    <t xml:space="preserve">تُطبَّق آلية ملائمة للتعرف على الطلاب الموهوبين والمبدعين والمتفوقين والمتعثرين في البرنامج، وتتوفر برامج مناسبة لرعاية وتحفيز ودعم كل فئة منهم.</t>
  </si>
  <si>
    <t xml:space="preserve">الإجراءات الموثقة في البرنامج/المؤسسة للكشف عن الطلاب الموهوبين.</t>
  </si>
  <si>
    <t xml:space="preserve">قائمة بالخدمات والبرامج المقدمة من الجهة المسؤولة عن رعاية الطلبة الموهوبين والمبدعين في البرنامج/المؤسسة.</t>
  </si>
  <si>
    <t xml:space="preserve">آليات دعم الطلبة المتفوقين والمتعثرين بالبرنامج.</t>
  </si>
  <si>
    <t xml:space="preserve">آليات الإعلان عن الأنشطة اللاصفية وتحفيز الطلبة على المشاركة فيها.</t>
  </si>
  <si>
    <t xml:space="preserve">5-0-3</t>
  </si>
  <si>
    <t xml:space="preserve">تتوفر لطالب البرنامج أنشطة لا صفية في العديد من المجالات لتنمية قدراتهم ومهاراتهم، ويتخذ البرنامج الإجراءات المناسبة لدعم وتحفيز مشاركتهم.</t>
  </si>
  <si>
    <t xml:space="preserve">آليات الإعلان عن الأنشطة اللاصفية وتحفيز الطلاب على المشاركة فيها.</t>
  </si>
  <si>
    <t xml:space="preserve">بيان بالخدمات اللاصفية المقدمة للطالب.</t>
  </si>
  <si>
    <t xml:space="preserve">تقرير رضا الطلبة عن الأنشطة اللاصفية المقدمة لهم من قبل البرنامج.</t>
  </si>
  <si>
    <t xml:space="preserve">خطة البرنامج فيما يتعلق بالأنشطة اللاصفية وعلاقتها بنواتج تعلم البرنامج وبتنمية قدرات ومهارات الطالب.</t>
  </si>
  <si>
    <t xml:space="preserve">6-0-3</t>
  </si>
  <si>
    <t xml:space="preserve">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</si>
  <si>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 xml:space="preserve">قرار إنشاء وحدة/لجنة تعنى بالخريجين بالبرنامج/المؤسسة وأهدافها ومهامها.</t>
  </si>
  <si>
    <t xml:space="preserve">آليات التواصل مع خريجي البرنامج، وقاعدة البيانات الموثقة الخاصة بالخريجين.</t>
  </si>
  <si>
    <t xml:space="preserve">قائمة بالخدمات التي يقدمها البرنامج لخريجيه.</t>
  </si>
  <si>
    <t xml:space="preserve">تقرير موثق حول مشاركة الخريجين في فعاليات البرنامج مثل محاضر الاجتماعات أو اللجنة الاستشارية للبرنامج أو يوم المهنة.</t>
  </si>
  <si>
    <t xml:space="preserve">تقرير استطلاع رأي الخريجين حول البرنامج.</t>
  </si>
  <si>
    <t xml:space="preserve">قرار تشكيل اللجنة الاستشارية للبرنامج متضمناً في التشكيل خريجي البرنامج ضمن أعضاء اللجنة.</t>
  </si>
  <si>
    <t xml:space="preserve">7-0-3</t>
  </si>
  <si>
    <t xml:space="preserve">تُطبَّق آلية فعالة لتقويم كفاية وجودة الخدمات المقدمة للطالب وقياس رضاهم عنها، والاستفادة من النتائج في التحسين. (معيار أساسي *)</t>
  </si>
  <si>
    <t xml:space="preserve">قرار تشكيل المجلس الطلابي ومهامه.</t>
  </si>
  <si>
    <t xml:space="preserve">تقرير استطلاعات رأي الطلبة حول جودة الخدمات المقدمة لهم.</t>
  </si>
  <si>
    <t xml:space="preserve">التقرير السنوي للبرنامج متضمناً خطط التحسين والتطوير بناءً على نتائج استطلاعات رأي الطلبة.</t>
  </si>
  <si>
    <t xml:space="preserve">1-0-4</t>
  </si>
  <si>
    <t xml:space="preserve">يتوافر في البرنامج العدد الكافي من أعضاء هيئة التدريس، في جميع المواقع التي يقدم فيها البرنامج، وتُطبَّق آليات مناسبة للتحقق منها. (معيار أساسي *)</t>
  </si>
  <si>
    <t xml:space="preserve">قائمة مفصلة لأعضاء هيئة التدريس في كل موقع يقدم فيه البرنامج مثل: (شطري الطالب والطالبات والفروع إن وجدت).</t>
  </si>
  <si>
    <t xml:space="preserve">نسبة أعضاء هيئة التدريس إلى الطلبة/في كل موقع.</t>
  </si>
  <si>
    <t xml:space="preserve">التقرير السنوي للبرنامج متضمناً مناقشة مؤشر نسبة عدد الطالب إلى عدد أعضاء هيئة التدريس.</t>
  </si>
  <si>
    <t xml:space="preserve">الخطة المستقبلية لتحديد الاحتياجات من أعضاء هيئة التدريس والمقدمة من قِبل البرنامج.</t>
  </si>
  <si>
    <t xml:space="preserve">2-0-4</t>
  </si>
  <si>
    <t xml:space="preserve">تضم هيئة التدريس أو المتعاونين في البرامج المهنية من ذوي الخبرة والمهارة العالية في مجال البرنامج.</t>
  </si>
  <si>
    <t xml:space="preserve">السير الذاتية لأعضاء هيئة التدريس أو المتعاونين من ذوي الخبرة في مجال البرنامج.</t>
  </si>
  <si>
    <t xml:space="preserve">محضر مجلس القسم الخاص بمناقشة احتياجات البرنامج المستقبلية من أعضاء هيئة التدريس المهنيين.</t>
  </si>
  <si>
    <t xml:space="preserve">3-0-4</t>
  </si>
  <si>
    <t xml:space="preserve">يشارك أعضاء هيئة التدريس في الأنشطة الأكاديمية والبحثية والإنتاج العلمي بكفاءة وانتظام، وتُعد مشاركتهم في هذه الأنشطة أحد محكات تقييمهم.</t>
  </si>
  <si>
    <t xml:space="preserve">نماذج من مشاركات أعضاء هيئة التدريس في فعاليات البرنامج الأكاديمية مثل: ورش العمل، والمؤتمرات العلمية، والندوات.</t>
  </si>
  <si>
    <t xml:space="preserve">نماذج من مشاركة أعضاء هيئة التدريس بالبرنامج (مثل القرارات والشهادات وصور المشاركة) في اللجان على مستوى البرنامج والكلية والجامعة.</t>
  </si>
  <si>
    <t xml:space="preserve">نماذج من مشاركة أعضاء هيئة التدريس بالبرنامج في الإشراف العلمي على الرسائل والمشاريع البحثية.</t>
  </si>
  <si>
    <t xml:space="preserve">أمثلة من تحكيم المقترحات البحثية والمقالات العلمية من قبل أعضاء هيئة التدريس في البرنامج.</t>
  </si>
  <si>
    <t xml:space="preserve">قاعدة بيانات الإنتاج البحثي لأعضاء هيئة التدريس في البرنامج.</t>
  </si>
  <si>
    <t xml:space="preserve">تقرير مؤشرات الأداء المتعلقة بمجالات البحث العلمي.</t>
  </si>
  <si>
    <t xml:space="preserve">نموذج ملف تقييم أداء أعضاء هيئة التدريس الذي يتضمن أنشطة بحثية وأكاديمية للأعضاء.</t>
  </si>
  <si>
    <t xml:space="preserve">4-0-4</t>
  </si>
  <si>
    <t xml:space="preserve">تشارك هيئة التدريس في أنشطة الشراكة المجتمعية، وتُعد مشاركتهم في هذه الأنشطة أحد محكات تقييمهم.</t>
  </si>
  <si>
    <t xml:space="preserve">قائمة بمشاركات أعضاء هيئة التدريس في فعاليات خدمة المجتمع.</t>
  </si>
  <si>
    <t xml:space="preserve">تقرير الشراكة المجتمعية للبرنامج.</t>
  </si>
  <si>
    <t xml:space="preserve">نموذج ملف تقييم أداء أعضاء هيئة التدريس الذي يتضمن أنشطة خدمة المجتمع للأعضاء.</t>
  </si>
  <si>
    <t xml:space="preserve">5-0-4</t>
  </si>
  <si>
    <t xml:space="preserve">يتلقى أعضاء هيئة التدريس برامج في التطوير المهني والأكاديمي، وفق خطة تلبي احتياجاتهم وتسهم في تطوير أدائهم.</t>
  </si>
  <si>
    <t xml:space="preserve">تقرير تحديد الاحتياجات التدريبية لأعضاء هيئة التدريس بالبرنامج.</t>
  </si>
  <si>
    <t xml:space="preserve">خطة التطوير المهني لأعضاء هيئة التدريس بالبرنامج.</t>
  </si>
  <si>
    <t xml:space="preserve">قائمة بالدورات التدريبية المقدمة لأعضاء هيئة التدريس، ونماذج من شهادات الحضور.</t>
  </si>
  <si>
    <t xml:space="preserve">تقرير استطلاعات رأي أعضاء هيئة التدريس عن برامج التدريب وأنشطة التطوير المهني.</t>
  </si>
  <si>
    <t xml:space="preserve">تقرير قياس أثر الدورات التدريبية المقدمة.</t>
  </si>
  <si>
    <t xml:space="preserve">6-0-4</t>
  </si>
  <si>
    <t xml:space="preserve">يُقيَّم أداء هيئة التدريس بانتظام وفق معايير محددة ومعلنة، وتُقدَّم التغذية الراجعة لهم، ويُستفاد من النتائج في تحسين الأداء.</t>
  </si>
  <si>
    <t xml:space="preserve">نموذج تقييم أداء أعضاء هيئة التدريس السنوي.</t>
  </si>
  <si>
    <t xml:space="preserve">تقرير تقييم الطلبة للمقرر.</t>
  </si>
  <si>
    <t xml:space="preserve">نماذج من التغذية الراجعة المقدمة عن أداء أعضاء التدريس.</t>
  </si>
  <si>
    <t xml:space="preserve">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</si>
  <si>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 xml:space="preserve">خطة تحسين أداء أعضاء هيئة التدريس في ضوء عمليات التقييم.</t>
  </si>
  <si>
    <t xml:space="preserve">1-0-5</t>
  </si>
  <si>
    <t xml:space="preserve">يتحقق البرنامج من كفاية ومناسبة مصادر التعلم والخدمات المقدمة بما يتناسب مع احتياجاته وأعداد الطالب، ويتم تحديثها بصورة دورية.</t>
  </si>
  <si>
    <t xml:space="preserve">قائمة بالكتب المقررة والمراجع مع عدد النسخ المتوفرة بالمكتبة.</t>
  </si>
  <si>
    <t xml:space="preserve">رابط المكتبة الرقمية السعودية.</t>
  </si>
  <si>
    <t xml:space="preserve">تقرير تقييم الطلبة وأعضاء هيئة التدريس عن كفاية ومناسبة مصادر التعلم والخدمات المقدمة.</t>
  </si>
  <si>
    <t xml:space="preserve">2-0-5</t>
  </si>
  <si>
    <t xml:space="preserve">يتوفر لهيئة التدريس والطالب والموظفين في البرنامج التهيئة والدعم الفني المناسبين للاستخدام الفعال لمصادر ووسائل التعلم.</t>
  </si>
  <si>
    <t xml:space="preserve">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</si>
  <si>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 xml:space="preserve">حصر خدمات الدعم الفني المتوفرة في المكتبة المركزية للطلبة وأعضاء هيئة التدريس في البرنامج.</t>
  </si>
  <si>
    <t xml:space="preserve">تقرير رضا المستفيدين (طلبة، أعضاء هيئة تدريس، موظفين) عن خدمات التدريب والتهيئة حول الاستخدام الفعال لمصادر التعلم.</t>
  </si>
  <si>
    <t xml:space="preserve">3-0-5</t>
  </si>
  <si>
    <t xml:space="preserve">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 (معيار أساسي *)</t>
  </si>
  <si>
    <t xml:space="preserve">دليل إدارة المخاطر بالبرنامج / المؤسسة.</t>
  </si>
  <si>
    <t xml:space="preserve">قائمة بمتطلبات الصحة والسلامة العامة والمهنية في المرافق والتجهيزات، والأنشطة التعليمية والبحثية في البرنامج/الكلية.</t>
  </si>
  <si>
    <t xml:space="preserve">صور توضيحية لمتطلبات الصحة والسلامة العامة والمهنية في المرافق والتجهيزات، والأنشطة التعليمية والبحثية في البرنامج/الكلية.</t>
  </si>
  <si>
    <t xml:space="preserve">نماذج من تقارير مراجعة كفاءة وسائل الصحة، والسلامة العامة، والمهنية.</t>
  </si>
  <si>
    <t xml:space="preserve">عقد الشركة المسؤولة عن التخلص من النفايات الخطرة.</t>
  </si>
  <si>
    <t xml:space="preserve">سجل التخلص الآمن من النفايات الخطرة.</t>
  </si>
  <si>
    <t xml:space="preserve">4-0-5</t>
  </si>
  <si>
    <t xml:space="preserve">يتوفر للبرنامج التقنيات والخدمات والبيئة المناسبة للمقررات التي تُقدَّم إلكترونياً أو عن بُعد وفق المعايير الخاصة بها.</t>
  </si>
  <si>
    <t xml:space="preserve">قائمة بالخدمات التقنية ووسائل الاستخدام التي يقدمها نظام التعلم الإلكتروني للطلبة وأعضاء هيئة التدريس.</t>
  </si>
  <si>
    <t xml:space="preserve">أمثلة من تقارير حضور الطلبة من خلال نظام التعلم الإلكتروني ونماذج من تكليفات الطلبة والمنتديات.</t>
  </si>
  <si>
    <t xml:space="preserve">بيان بالمعامل الإلكترونية بالبرنامج / الكلية.</t>
  </si>
  <si>
    <t xml:space="preserve">الخدمات التي تقدمها المكتبة الرقمية لطلبة البرنامج وأعضاء هيئة التدريس.</t>
  </si>
  <si>
    <t xml:space="preserve">استطلاع رأي الطلبة حول التقنيات والخدمات والبيئة المناسبة للمقررات التي تقدم إلكترونياً أو عن بُعد.</t>
  </si>
  <si>
    <t xml:space="preserve">5-0-5</t>
  </si>
  <si>
    <t xml:space="preserve">يعمل البرنامج على تقويم فاعلية وكفاءة مصادر التعلم والمرافق والتجهيزات بأنواعها، ويُستفاد من ذلك في التحسين.</t>
  </si>
  <si>
    <t xml:space="preserve">تقارير استطلاعات رأي الطلبة وأعضاء هيئة التدريس حول فاعلية وكفاءة مصادر التعلم والمرافق والتجهيزات.</t>
  </si>
  <si>
    <t xml:space="preserve">مناقشة مجلس القسم للتقرير السنوي للبرنامج وخطط التحسين والقرارات المبنية عليها.</t>
  </si>
  <si>
    <t xml:space="preserve">ملخص جاهزية المعايير الـ48 للبرنامجين</t>
  </si>
  <si>
    <t xml:space="preserve">يُحسب تلقائياً من ورقتي الفحص – الجاهزية = مجموع درجات الجودة ÷ (5 × عدد الأدلة)</t>
  </si>
  <si>
    <t xml:space="preserve">متوفر كلياً</t>
  </si>
  <si>
    <t xml:space="preserve">حالة المعيار</t>
  </si>
  <si>
    <t xml:space="preserve">حالة المعيار: جاهز ≥ 80% | جاهز جزئياً 50–79% | فجوة جوهرية &lt; 50% (عتبات داخلية مقترحة للجنة وليست من الهيئة – يمكن تعديلها في المعادلات).</t>
  </si>
  <si>
    <t xml:space="preserve">سجل الفجوات وخطة المعالجة الأولية</t>
  </si>
  <si>
    <t xml:space="preserve">سطر لكل فجوة (أو مجموعة أدلة متشابهة) – صنّف الفجوات المشتركة بين البرنامجين لمعالجتها مرة واحدة على مستوى الكلية</t>
  </si>
  <si>
    <t xml:space="preserve">رمز المعيار</t>
  </si>
  <si>
    <t xml:space="preserve">معيار أساسي؟</t>
  </si>
  <si>
    <t xml:space="preserve">الدليل المرتبط</t>
  </si>
  <si>
    <t xml:space="preserve">نوع الفجوة</t>
  </si>
  <si>
    <t xml:space="preserve">وصف الفجوة</t>
  </si>
  <si>
    <t xml:space="preserve">السبب الجذري</t>
  </si>
  <si>
    <t xml:space="preserve">نطاق الفجوة</t>
  </si>
  <si>
    <t xml:space="preserve">الإجراء التصحيحي المقترح</t>
  </si>
  <si>
    <t xml:space="preserve">الجهة ذات العلاقة</t>
  </si>
  <si>
    <t xml:space="preserve">تاريخ الإنجاز المستهدف</t>
  </si>
  <si>
    <t xml:space="preserve">حالة المعالجة</t>
  </si>
</sst>
</file>

<file path=xl/styles.xml><?xml version="1.0" encoding="utf-8"?>
<styleSheet xmlns="http://schemas.openxmlformats.org/spreadsheetml/2006/main">
  <numFmts count="5">
    <numFmt numFmtId="164" formatCode="General"/>
    <numFmt numFmtId="165" formatCode="yyyy\-mm\-dd"/>
    <numFmt numFmtId="166" formatCode=";;;"/>
    <numFmt numFmtId="167" formatCode="0%"/>
    <numFmt numFmtId="168" formatCode="General"/>
  </numFmts>
  <fonts count="19">
    <font>
      <sz val="11"/>
      <color theme="1"/>
      <name val="Calibri"/>
      <family val="2"/>
      <charset val="1"/>
    </font>
    <font>
      <sz val="10"/>
      <name val="Arial"/>
      <family val="0"/>
    </font>
    <font>
      <sz val="10"/>
      <name val="Arial"/>
      <family val="0"/>
    </font>
    <font>
      <sz val="10"/>
      <name val="Arial"/>
      <family val="0"/>
    </font>
    <font>
      <b val="true"/>
      <sz val="15"/>
      <color rgb="FF1F3864"/>
      <name val="Arial"/>
      <family val="0"/>
      <charset val="1"/>
    </font>
    <font>
      <i val="true"/>
      <sz val="10"/>
      <color rgb="FF595959"/>
      <name val="Arial"/>
      <family val="0"/>
      <charset val="1"/>
    </font>
    <font>
      <b val="true"/>
      <sz val="10"/>
      <color rgb="FFFFFFFF"/>
      <name val="Arial"/>
      <family val="0"/>
      <charset val="1"/>
    </font>
    <font>
      <sz val="10"/>
      <name val="Arial"/>
      <family val="0"/>
      <charset val="1"/>
    </font>
    <font>
      <b val="true"/>
      <sz val="10"/>
      <name val="Arial"/>
      <family val="0"/>
      <charset val="1"/>
    </font>
    <font>
      <b val="true"/>
      <sz val="12"/>
      <color rgb="FF1F3864"/>
      <name val="Arial"/>
      <family val="0"/>
      <charset val="1"/>
    </font>
    <font>
      <sz val="10"/>
      <name val="FreeSans"/>
      <family val="2"/>
    </font>
    <font>
      <sz val="10"/>
      <name val="Arial"/>
      <family val="2"/>
    </font>
    <font>
      <b val="true"/>
      <sz val="12"/>
      <color rgb="FFFFFFFF"/>
      <name val="Arial"/>
      <family val="0"/>
      <charset val="1"/>
    </font>
    <font>
      <i val="true"/>
      <sz val="9"/>
      <name val="Arial"/>
      <family val="0"/>
      <charset val="1"/>
    </font>
    <font>
      <b val="true"/>
      <sz val="10"/>
      <color rgb="FF1F3864"/>
      <name val="Arial"/>
      <family val="0"/>
      <charset val="1"/>
    </font>
    <font>
      <b val="true"/>
      <sz val="14"/>
      <color rgb="FF1F3864"/>
      <name val="Arial"/>
      <family val="0"/>
      <charset val="1"/>
    </font>
    <font>
      <i val="true"/>
      <sz val="9"/>
      <color rgb="FF595959"/>
      <name val="Arial"/>
      <family val="0"/>
      <charset val="1"/>
    </font>
    <font>
      <sz val="9"/>
      <name val="Arial"/>
      <family val="0"/>
      <charset val="1"/>
    </font>
    <font>
      <b val="true"/>
      <sz val="11"/>
      <color rgb="FFFFFFFF"/>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2F2F2"/>
        <bgColor rgb="FFFFF9DB"/>
      </patternFill>
    </fill>
    <fill>
      <patternFill patternType="solid">
        <fgColor rgb="FFFFF9DB"/>
        <bgColor rgb="FFFFF2CC"/>
      </patternFill>
    </fill>
    <fill>
      <patternFill patternType="solid">
        <fgColor rgb="FFD9E2F3"/>
        <bgColor rgb="FFDDEBF7"/>
      </patternFill>
    </fill>
    <fill>
      <patternFill patternType="solid">
        <fgColor rgb="FF2E5395"/>
        <bgColor rgb="FF1F3864"/>
      </patternFill>
    </fill>
    <fill>
      <patternFill patternType="solid">
        <fgColor rgb="FFFFF2CC"/>
        <bgColor rgb="FFFFF9DB"/>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right" vertical="center" textRotation="0" wrapText="true" indent="0" shrinkToFit="false"/>
      <protection locked="true" hidden="false"/>
    </xf>
    <xf numFmtId="164" fontId="7" fillId="0" borderId="1" xfId="0" applyFont="true" applyBorder="true" applyAlignment="true" applyProtection="false">
      <alignment horizontal="right"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right" vertical="center" textRotation="0" wrapText="true" indent="0" shrinkToFit="false"/>
      <protection locked="true" hidden="false"/>
    </xf>
    <xf numFmtId="166" fontId="7" fillId="0"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right" vertical="center" textRotation="0" wrapText="true" indent="0" shrinkToFit="false"/>
      <protection locked="true" hidden="false"/>
    </xf>
    <xf numFmtId="165" fontId="7" fillId="4" borderId="1" xfId="0" applyFont="true" applyBorder="true" applyAlignment="true" applyProtection="false">
      <alignment horizontal="right" vertical="center" textRotation="0" wrapText="true" indent="0" shrinkToFit="false"/>
      <protection locked="true" hidden="false"/>
    </xf>
    <xf numFmtId="164" fontId="9" fillId="0" borderId="0" xfId="0" applyFont="true" applyBorder="true" applyAlignment="true" applyProtection="false">
      <alignment horizontal="right" vertical="bottom" textRotation="0" wrapText="false" indent="0" shrinkToFit="false"/>
      <protection locked="true" hidden="false"/>
    </xf>
    <xf numFmtId="164" fontId="8" fillId="4" borderId="1" xfId="0" applyFont="true" applyBorder="true" applyAlignment="true" applyProtection="false">
      <alignment horizontal="right" vertical="center" textRotation="0" wrapText="true" indent="0" shrinkToFit="false"/>
      <protection locked="true" hidden="false"/>
    </xf>
    <xf numFmtId="164" fontId="8" fillId="0" borderId="1" xfId="0" applyFont="true" applyBorder="true" applyAlignment="true" applyProtection="false">
      <alignment horizontal="right" vertical="center"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8" fontId="7" fillId="5" borderId="1" xfId="0" applyFont="true" applyBorder="true" applyAlignment="true" applyProtection="false">
      <alignment horizontal="center" vertical="center" textRotation="0" wrapText="true" indent="0" shrinkToFit="false"/>
      <protection locked="true" hidden="false"/>
    </xf>
    <xf numFmtId="167" fontId="7" fillId="5"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right" vertical="center" textRotation="0" wrapText="true" indent="0" shrinkToFit="false"/>
      <protection locked="true" hidden="false"/>
    </xf>
    <xf numFmtId="164" fontId="17" fillId="4" borderId="1" xfId="0" applyFont="true" applyBorder="true" applyAlignment="true" applyProtection="false">
      <alignment horizontal="center" vertical="center" textRotation="0" wrapText="true" indent="0" shrinkToFit="false"/>
      <protection locked="true" hidden="false"/>
    </xf>
    <xf numFmtId="164" fontId="17" fillId="4" borderId="1" xfId="0" applyFont="true" applyBorder="true" applyAlignment="true" applyProtection="false">
      <alignment horizontal="right" vertical="center" textRotation="0" wrapText="true" indent="0" shrinkToFit="false"/>
      <protection locked="true" hidden="false"/>
    </xf>
    <xf numFmtId="164" fontId="17" fillId="7" borderId="1" xfId="0" applyFont="true" applyBorder="true" applyAlignment="true" applyProtection="false">
      <alignment horizontal="center" vertical="center" textRotation="0" wrapText="true" indent="0" shrinkToFit="false"/>
      <protection locked="true" hidden="false"/>
    </xf>
    <xf numFmtId="164" fontId="17" fillId="7" borderId="1" xfId="0" applyFont="true" applyBorder="true" applyAlignment="true" applyProtection="false">
      <alignment horizontal="right" vertical="center" textRotation="0" wrapText="true" indent="0" shrinkToFit="false"/>
      <protection locked="true" hidden="false"/>
    </xf>
    <xf numFmtId="164" fontId="18" fillId="6" borderId="0" xfId="0" applyFont="true" applyBorder="true" applyAlignment="true" applyProtection="false">
      <alignment horizontal="center" vertical="center" textRotation="0" wrapText="true" indent="0" shrinkToFit="false"/>
      <protection locked="true" hidden="false"/>
    </xf>
    <xf numFmtId="167" fontId="17" fillId="0" borderId="1" xfId="0" applyFont="true" applyBorder="true" applyAlignment="true" applyProtection="false">
      <alignment horizontal="center" vertical="center" textRotation="0" wrapText="true" indent="0" shrinkToFit="false"/>
      <protection locked="true" hidden="false"/>
    </xf>
    <xf numFmtId="165" fontId="17" fillId="4"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bgColor rgb="FF2E75B6"/>
        </patternFill>
      </fill>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FF9DB"/>
          <bgColor rgb="FF000000"/>
        </patternFill>
      </fill>
    </dxf>
    <dxf>
      <font>
        <color rgb="FF006100"/>
      </font>
      <fill>
        <patternFill>
          <bgColor rgb="FFC6EFCE"/>
        </patternFill>
      </fill>
    </dxf>
    <dxf>
      <fill>
        <patternFill>
          <bgColor rgb="FFDDEBF7"/>
        </patternFill>
      </fill>
    </dxf>
    <dxf>
      <font>
        <color rgb="FF9C5700"/>
      </font>
      <fill>
        <patternFill>
          <bgColor rgb="FFFFEB9C"/>
        </patternFill>
      </fill>
    </dxf>
    <dxf>
      <font>
        <color rgb="FF9C0006"/>
      </font>
      <fill>
        <patternFill>
          <bgColor rgb="FFFFC7CE"/>
        </patternFill>
      </fill>
    </dxf>
    <dxf>
      <font>
        <b val="1"/>
        <color rgb="FF9C0006"/>
      </font>
      <fill>
        <patternFill>
          <bgColor rgb="FFFFC7CE"/>
        </patternFill>
      </fill>
    </dxf>
    <dxf>
      <fill>
        <patternFill>
          <bgColor rgb="FFFFEB9C"/>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F2F2F2"/>
      <rgbColor rgb="FFC6EFCE"/>
      <rgbColor rgb="FFFFEB9C"/>
      <rgbColor rgb="FFFFF2CC"/>
      <rgbColor rgb="FFFF99CC"/>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S29"/>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8"/>
    <col collapsed="false" customWidth="true" hidden="false" outlineLevel="0" max="3" min="3" style="0" width="55"/>
    <col collapsed="false" customWidth="true" hidden="false" outlineLevel="0" max="4" min="4" style="0" width="22"/>
    <col collapsed="false" customWidth="true" hidden="false" outlineLevel="0" max="5" min="5" style="0" width="30"/>
    <col collapsed="false" customWidth="true" hidden="false" outlineLevel="0" max="7" min="6" style="0" width="8"/>
    <col collapsed="false" customWidth="true" hidden="false" outlineLevel="0" max="9" min="8" style="0" width="12"/>
    <col collapsed="false" customWidth="true" hidden="false" outlineLevel="0" max="10" min="10" style="0" width="11"/>
    <col collapsed="false" customWidth="true" hidden="false" outlineLevel="0" max="11" min="11" style="0" width="18"/>
    <col collapsed="false" customWidth="true" hidden="false" outlineLevel="0" max="19" min="12" style="0" width="4.5"/>
  </cols>
  <sheetData>
    <row r="1" customFormat="false" ht="17.9" hidden="false" customHeight="false" outlineLevel="0" collapsed="false">
      <c r="A1" s="1" t="s">
        <v>0</v>
      </c>
      <c r="B1" s="1"/>
      <c r="C1" s="1"/>
      <c r="D1" s="1"/>
      <c r="E1" s="1"/>
      <c r="F1" s="1"/>
      <c r="G1" s="1"/>
      <c r="H1" s="1"/>
      <c r="I1" s="1"/>
      <c r="J1" s="1"/>
      <c r="K1" s="1"/>
      <c r="L1" s="1"/>
      <c r="M1" s="1"/>
      <c r="N1" s="1"/>
      <c r="O1" s="1"/>
      <c r="P1" s="1"/>
      <c r="Q1" s="1"/>
      <c r="R1" s="1"/>
      <c r="S1" s="1"/>
    </row>
    <row r="2" customFormat="false" ht="12.65" hidden="false" customHeight="false" outlineLevel="0" collapsed="false">
      <c r="A2" s="2" t="s">
        <v>1</v>
      </c>
      <c r="B2" s="2"/>
      <c r="C2" s="2"/>
      <c r="D2" s="2"/>
      <c r="E2" s="2"/>
      <c r="F2" s="2"/>
      <c r="G2" s="2"/>
      <c r="H2" s="2"/>
      <c r="I2" s="2"/>
      <c r="J2" s="2"/>
      <c r="K2" s="2"/>
      <c r="L2" s="2"/>
      <c r="M2" s="2"/>
      <c r="N2" s="2"/>
      <c r="O2" s="2"/>
      <c r="P2" s="2"/>
      <c r="Q2" s="2"/>
      <c r="R2" s="2"/>
      <c r="S2" s="2"/>
    </row>
    <row r="4" customFormat="false" ht="31.5" hidden="false" customHeight="true" outlineLevel="0" collapsed="false">
      <c r="A4" s="3" t="s">
        <v>2</v>
      </c>
      <c r="B4" s="3" t="s">
        <v>3</v>
      </c>
      <c r="C4" s="3" t="s">
        <v>4</v>
      </c>
      <c r="D4" s="3" t="s">
        <v>5</v>
      </c>
      <c r="E4" s="3" t="s">
        <v>6</v>
      </c>
      <c r="F4" s="3" t="s">
        <v>7</v>
      </c>
      <c r="G4" s="3" t="s">
        <v>8</v>
      </c>
      <c r="H4" s="3" t="s">
        <v>9</v>
      </c>
      <c r="I4" s="3" t="s">
        <v>10</v>
      </c>
      <c r="J4" s="3" t="s">
        <v>11</v>
      </c>
      <c r="K4" s="3" t="s">
        <v>12</v>
      </c>
      <c r="L4" s="3" t="s">
        <v>13</v>
      </c>
      <c r="M4" s="3" t="s">
        <v>14</v>
      </c>
      <c r="N4" s="3" t="s">
        <v>15</v>
      </c>
      <c r="O4" s="3" t="s">
        <v>16</v>
      </c>
      <c r="P4" s="3" t="s">
        <v>17</v>
      </c>
      <c r="Q4" s="3" t="s">
        <v>18</v>
      </c>
      <c r="R4" s="3" t="s">
        <v>19</v>
      </c>
      <c r="S4" s="3" t="s">
        <v>20</v>
      </c>
    </row>
    <row r="5" customFormat="false" ht="45" hidden="false" customHeight="true" outlineLevel="0" collapsed="false">
      <c r="A5" s="4" t="n">
        <v>1</v>
      </c>
      <c r="B5" s="5" t="s">
        <v>21</v>
      </c>
      <c r="C5" s="6" t="s">
        <v>22</v>
      </c>
      <c r="D5" s="4" t="str">
        <f aca="false">'الإعدادات واللجنة'!$B$11</f>
        <v>عضو 1</v>
      </c>
      <c r="E5" s="6" t="s">
        <v>23</v>
      </c>
      <c r="F5" s="7" t="n">
        <v>1</v>
      </c>
      <c r="G5" s="7" t="n">
        <v>1</v>
      </c>
      <c r="H5" s="8" t="n">
        <f aca="false">'الإعدادات واللجنة'!$B$6+(F5-1)*7</f>
        <v>46320</v>
      </c>
      <c r="I5" s="8" t="n">
        <f aca="false">'الإعدادات واللجنة'!$B$6+(F5-1+G5)*7-3</f>
        <v>46324</v>
      </c>
      <c r="J5" s="7" t="s">
        <v>24</v>
      </c>
      <c r="K5" s="9"/>
      <c r="L5" s="10" t="n">
        <f aca="false">IF(AND(1&gt;=$F5,1&lt;$F5+$G5),1,"")</f>
        <v>1</v>
      </c>
      <c r="M5" s="10" t="str">
        <f aca="false">IF(AND(2&gt;=$F5,2&lt;$F5+$G5),1,"")</f>
        <v/>
      </c>
      <c r="N5" s="10" t="str">
        <f aca="false">IF(AND(3&gt;=$F5,3&lt;$F5+$G5),1,"")</f>
        <v/>
      </c>
      <c r="O5" s="10" t="str">
        <f aca="false">IF(AND(4&gt;=$F5,4&lt;$F5+$G5),1,"")</f>
        <v/>
      </c>
      <c r="P5" s="10" t="str">
        <f aca="false">IF(AND(5&gt;=$F5,5&lt;$F5+$G5),1,"")</f>
        <v/>
      </c>
      <c r="Q5" s="10" t="str">
        <f aca="false">IF(AND(6&gt;=$F5,6&lt;$F5+$G5),1,"")</f>
        <v/>
      </c>
      <c r="R5" s="10" t="str">
        <f aca="false">IF(AND(7&gt;=$F5,7&lt;$F5+$G5),1,"")</f>
        <v/>
      </c>
      <c r="S5" s="10" t="str">
        <f aca="false">IF(AND(8&gt;=$F5,8&lt;$F5+$G5),1,"")</f>
        <v/>
      </c>
    </row>
    <row r="6" customFormat="false" ht="45" hidden="false" customHeight="true" outlineLevel="0" collapsed="false">
      <c r="A6" s="4" t="n">
        <v>2</v>
      </c>
      <c r="B6" s="5" t="s">
        <v>21</v>
      </c>
      <c r="C6" s="6" t="s">
        <v>25</v>
      </c>
      <c r="D6" s="4" t="str">
        <f aca="false">'الإعدادات واللجنة'!$B$11</f>
        <v>عضو 1</v>
      </c>
      <c r="E6" s="6" t="s">
        <v>26</v>
      </c>
      <c r="F6" s="7" t="n">
        <v>1</v>
      </c>
      <c r="G6" s="7" t="n">
        <v>1</v>
      </c>
      <c r="H6" s="8" t="n">
        <f aca="false">'الإعدادات واللجنة'!$B$6+(F6-1)*7</f>
        <v>46320</v>
      </c>
      <c r="I6" s="8" t="n">
        <f aca="false">'الإعدادات واللجنة'!$B$6+(F6-1+G6)*7-3</f>
        <v>46324</v>
      </c>
      <c r="J6" s="7" t="s">
        <v>24</v>
      </c>
      <c r="K6" s="9"/>
      <c r="L6" s="10" t="n">
        <f aca="false">IF(AND(1&gt;=$F6,1&lt;$F6+$G6),1,"")</f>
        <v>1</v>
      </c>
      <c r="M6" s="10" t="str">
        <f aca="false">IF(AND(2&gt;=$F6,2&lt;$F6+$G6),1,"")</f>
        <v/>
      </c>
      <c r="N6" s="10" t="str">
        <f aca="false">IF(AND(3&gt;=$F6,3&lt;$F6+$G6),1,"")</f>
        <v/>
      </c>
      <c r="O6" s="10" t="str">
        <f aca="false">IF(AND(4&gt;=$F6,4&lt;$F6+$G6),1,"")</f>
        <v/>
      </c>
      <c r="P6" s="10" t="str">
        <f aca="false">IF(AND(5&gt;=$F6,5&lt;$F6+$G6),1,"")</f>
        <v/>
      </c>
      <c r="Q6" s="10" t="str">
        <f aca="false">IF(AND(6&gt;=$F6,6&lt;$F6+$G6),1,"")</f>
        <v/>
      </c>
      <c r="R6" s="10" t="str">
        <f aca="false">IF(AND(7&gt;=$F6,7&lt;$F6+$G6),1,"")</f>
        <v/>
      </c>
      <c r="S6" s="10" t="str">
        <f aca="false">IF(AND(8&gt;=$F6,8&lt;$F6+$G6),1,"")</f>
        <v/>
      </c>
    </row>
    <row r="7" customFormat="false" ht="45" hidden="false" customHeight="true" outlineLevel="0" collapsed="false">
      <c r="A7" s="4" t="n">
        <v>3</v>
      </c>
      <c r="B7" s="5" t="s">
        <v>21</v>
      </c>
      <c r="C7" s="6" t="s">
        <v>27</v>
      </c>
      <c r="D7" s="4" t="str">
        <f aca="false">'الإعدادات واللجنة'!$B$11&amp;" و "&amp;'الإعدادات واللجنة'!$B$12</f>
        <v>عضو 1 و عضو 2</v>
      </c>
      <c r="E7" s="6" t="s">
        <v>28</v>
      </c>
      <c r="F7" s="7" t="n">
        <v>1</v>
      </c>
      <c r="G7" s="7" t="n">
        <v>1</v>
      </c>
      <c r="H7" s="8" t="n">
        <f aca="false">'الإعدادات واللجنة'!$B$6+(F7-1)*7</f>
        <v>46320</v>
      </c>
      <c r="I7" s="8" t="n">
        <f aca="false">'الإعدادات واللجنة'!$B$6+(F7-1+G7)*7-3</f>
        <v>46324</v>
      </c>
      <c r="J7" s="7" t="s">
        <v>24</v>
      </c>
      <c r="K7" s="9"/>
      <c r="L7" s="10" t="n">
        <f aca="false">IF(AND(1&gt;=$F7,1&lt;$F7+$G7),1,"")</f>
        <v>1</v>
      </c>
      <c r="M7" s="10" t="str">
        <f aca="false">IF(AND(2&gt;=$F7,2&lt;$F7+$G7),1,"")</f>
        <v/>
      </c>
      <c r="N7" s="10" t="str">
        <f aca="false">IF(AND(3&gt;=$F7,3&lt;$F7+$G7),1,"")</f>
        <v/>
      </c>
      <c r="O7" s="10" t="str">
        <f aca="false">IF(AND(4&gt;=$F7,4&lt;$F7+$G7),1,"")</f>
        <v/>
      </c>
      <c r="P7" s="10" t="str">
        <f aca="false">IF(AND(5&gt;=$F7,5&lt;$F7+$G7),1,"")</f>
        <v/>
      </c>
      <c r="Q7" s="10" t="str">
        <f aca="false">IF(AND(6&gt;=$F7,6&lt;$F7+$G7),1,"")</f>
        <v/>
      </c>
      <c r="R7" s="10" t="str">
        <f aca="false">IF(AND(7&gt;=$F7,7&lt;$F7+$G7),1,"")</f>
        <v/>
      </c>
      <c r="S7" s="10" t="str">
        <f aca="false">IF(AND(8&gt;=$F7,8&lt;$F7+$G7),1,"")</f>
        <v/>
      </c>
    </row>
    <row r="8" customFormat="false" ht="45" hidden="false" customHeight="true" outlineLevel="0" collapsed="false">
      <c r="A8" s="4" t="n">
        <v>4</v>
      </c>
      <c r="B8" s="5" t="s">
        <v>21</v>
      </c>
      <c r="C8" s="6" t="s">
        <v>29</v>
      </c>
      <c r="D8" s="4" t="str">
        <f aca="false">'الإعدادات واللجنة'!$B$12</f>
        <v>عضو 2</v>
      </c>
      <c r="E8" s="6" t="s">
        <v>30</v>
      </c>
      <c r="F8" s="7" t="n">
        <v>1</v>
      </c>
      <c r="G8" s="7" t="n">
        <v>1</v>
      </c>
      <c r="H8" s="8" t="n">
        <f aca="false">'الإعدادات واللجنة'!$B$6+(F8-1)*7</f>
        <v>46320</v>
      </c>
      <c r="I8" s="8" t="n">
        <f aca="false">'الإعدادات واللجنة'!$B$6+(F8-1+G8)*7-3</f>
        <v>46324</v>
      </c>
      <c r="J8" s="7" t="s">
        <v>24</v>
      </c>
      <c r="K8" s="9"/>
      <c r="L8" s="10" t="n">
        <f aca="false">IF(AND(1&gt;=$F8,1&lt;$F8+$G8),1,"")</f>
        <v>1</v>
      </c>
      <c r="M8" s="10" t="str">
        <f aca="false">IF(AND(2&gt;=$F8,2&lt;$F8+$G8),1,"")</f>
        <v/>
      </c>
      <c r="N8" s="10" t="str">
        <f aca="false">IF(AND(3&gt;=$F8,3&lt;$F8+$G8),1,"")</f>
        <v/>
      </c>
      <c r="O8" s="10" t="str">
        <f aca="false">IF(AND(4&gt;=$F8,4&lt;$F8+$G8),1,"")</f>
        <v/>
      </c>
      <c r="P8" s="10" t="str">
        <f aca="false">IF(AND(5&gt;=$F8,5&lt;$F8+$G8),1,"")</f>
        <v/>
      </c>
      <c r="Q8" s="10" t="str">
        <f aca="false">IF(AND(6&gt;=$F8,6&lt;$F8+$G8),1,"")</f>
        <v/>
      </c>
      <c r="R8" s="10" t="str">
        <f aca="false">IF(AND(7&gt;=$F8,7&lt;$F8+$G8),1,"")</f>
        <v/>
      </c>
      <c r="S8" s="10" t="str">
        <f aca="false">IF(AND(8&gt;=$F8,8&lt;$F8+$G8),1,"")</f>
        <v/>
      </c>
    </row>
    <row r="9" customFormat="false" ht="45" hidden="false" customHeight="true" outlineLevel="0" collapsed="false">
      <c r="A9" s="4" t="n">
        <v>5</v>
      </c>
      <c r="B9" s="5" t="s">
        <v>21</v>
      </c>
      <c r="C9" s="6" t="s">
        <v>31</v>
      </c>
      <c r="D9" s="4" t="str">
        <f aca="false">'الإعدادات واللجنة'!$B$12&amp;" + جميع الأعضاء"</f>
        <v>عضو 2 + جميع الأعضاء</v>
      </c>
      <c r="E9" s="6" t="s">
        <v>32</v>
      </c>
      <c r="F9" s="7" t="n">
        <v>1</v>
      </c>
      <c r="G9" s="7" t="n">
        <v>2</v>
      </c>
      <c r="H9" s="8" t="n">
        <f aca="false">'الإعدادات واللجنة'!$B$6+(F9-1)*7</f>
        <v>46320</v>
      </c>
      <c r="I9" s="8" t="n">
        <f aca="false">'الإعدادات واللجنة'!$B$6+(F9-1+G9)*7-3</f>
        <v>46331</v>
      </c>
      <c r="J9" s="7" t="s">
        <v>24</v>
      </c>
      <c r="K9" s="9"/>
      <c r="L9" s="10" t="n">
        <f aca="false">IF(AND(1&gt;=$F9,1&lt;$F9+$G9),1,"")</f>
        <v>1</v>
      </c>
      <c r="M9" s="10" t="n">
        <f aca="false">IF(AND(2&gt;=$F9,2&lt;$F9+$G9),1,"")</f>
        <v>1</v>
      </c>
      <c r="N9" s="10" t="str">
        <f aca="false">IF(AND(3&gt;=$F9,3&lt;$F9+$G9),1,"")</f>
        <v/>
      </c>
      <c r="O9" s="10" t="str">
        <f aca="false">IF(AND(4&gt;=$F9,4&lt;$F9+$G9),1,"")</f>
        <v/>
      </c>
      <c r="P9" s="10" t="str">
        <f aca="false">IF(AND(5&gt;=$F9,5&lt;$F9+$G9),1,"")</f>
        <v/>
      </c>
      <c r="Q9" s="10" t="str">
        <f aca="false">IF(AND(6&gt;=$F9,6&lt;$F9+$G9),1,"")</f>
        <v/>
      </c>
      <c r="R9" s="10" t="str">
        <f aca="false">IF(AND(7&gt;=$F9,7&lt;$F9+$G9),1,"")</f>
        <v/>
      </c>
      <c r="S9" s="10" t="str">
        <f aca="false">IF(AND(8&gt;=$F9,8&lt;$F9+$G9),1,"")</f>
        <v/>
      </c>
    </row>
    <row r="10" customFormat="false" ht="45" hidden="false" customHeight="true" outlineLevel="0" collapsed="false">
      <c r="A10" s="4" t="n">
        <v>6</v>
      </c>
      <c r="B10" s="5" t="s">
        <v>33</v>
      </c>
      <c r="C10" s="6" t="s">
        <v>34</v>
      </c>
      <c r="D10" s="4" t="s">
        <v>35</v>
      </c>
      <c r="E10" s="6" t="s">
        <v>36</v>
      </c>
      <c r="F10" s="7" t="n">
        <v>2</v>
      </c>
      <c r="G10" s="7" t="n">
        <v>3</v>
      </c>
      <c r="H10" s="8" t="n">
        <f aca="false">'الإعدادات واللجنة'!$B$6+(F10-1)*7</f>
        <v>46327</v>
      </c>
      <c r="I10" s="8" t="n">
        <f aca="false">'الإعدادات واللجنة'!$B$6+(F10-1+G10)*7-3</f>
        <v>46345</v>
      </c>
      <c r="J10" s="7" t="s">
        <v>24</v>
      </c>
      <c r="K10" s="9"/>
      <c r="L10" s="10" t="str">
        <f aca="false">IF(AND(1&gt;=$F10,1&lt;$F10+$G10),1,"")</f>
        <v/>
      </c>
      <c r="M10" s="10" t="n">
        <f aca="false">IF(AND(2&gt;=$F10,2&lt;$F10+$G10),1,"")</f>
        <v>1</v>
      </c>
      <c r="N10" s="10" t="n">
        <f aca="false">IF(AND(3&gt;=$F10,3&lt;$F10+$G10),1,"")</f>
        <v>1</v>
      </c>
      <c r="O10" s="10" t="n">
        <f aca="false">IF(AND(4&gt;=$F10,4&lt;$F10+$G10),1,"")</f>
        <v>1</v>
      </c>
      <c r="P10" s="10" t="str">
        <f aca="false">IF(AND(5&gt;=$F10,5&lt;$F10+$G10),1,"")</f>
        <v/>
      </c>
      <c r="Q10" s="10" t="str">
        <f aca="false">IF(AND(6&gt;=$F10,6&lt;$F10+$G10),1,"")</f>
        <v/>
      </c>
      <c r="R10" s="10" t="str">
        <f aca="false">IF(AND(7&gt;=$F10,7&lt;$F10+$G10),1,"")</f>
        <v/>
      </c>
      <c r="S10" s="10" t="str">
        <f aca="false">IF(AND(8&gt;=$F10,8&lt;$F10+$G10),1,"")</f>
        <v/>
      </c>
    </row>
    <row r="11" customFormat="false" ht="45" hidden="false" customHeight="true" outlineLevel="0" collapsed="false">
      <c r="A11" s="4" t="n">
        <v>7</v>
      </c>
      <c r="B11" s="5" t="s">
        <v>33</v>
      </c>
      <c r="C11" s="6" t="s">
        <v>37</v>
      </c>
      <c r="D11" s="4" t="str">
        <f aca="false">'الإعدادات واللجنة'!$B$11&amp;" و "&amp;'الإعدادات واللجنة'!$B$12</f>
        <v>عضو 1 و عضو 2</v>
      </c>
      <c r="E11" s="6" t="s">
        <v>38</v>
      </c>
      <c r="F11" s="7" t="n">
        <v>2</v>
      </c>
      <c r="G11" s="7" t="n">
        <v>2</v>
      </c>
      <c r="H11" s="8" t="n">
        <f aca="false">'الإعدادات واللجنة'!$B$6+(F11-1)*7</f>
        <v>46327</v>
      </c>
      <c r="I11" s="8" t="n">
        <f aca="false">'الإعدادات واللجنة'!$B$6+(F11-1+G11)*7-3</f>
        <v>46338</v>
      </c>
      <c r="J11" s="7" t="s">
        <v>24</v>
      </c>
      <c r="K11" s="9"/>
      <c r="L11" s="10" t="str">
        <f aca="false">IF(AND(1&gt;=$F11,1&lt;$F11+$G11),1,"")</f>
        <v/>
      </c>
      <c r="M11" s="10" t="n">
        <f aca="false">IF(AND(2&gt;=$F11,2&lt;$F11+$G11),1,"")</f>
        <v>1</v>
      </c>
      <c r="N11" s="10" t="n">
        <f aca="false">IF(AND(3&gt;=$F11,3&lt;$F11+$G11),1,"")</f>
        <v>1</v>
      </c>
      <c r="O11" s="10" t="str">
        <f aca="false">IF(AND(4&gt;=$F11,4&lt;$F11+$G11),1,"")</f>
        <v/>
      </c>
      <c r="P11" s="10" t="str">
        <f aca="false">IF(AND(5&gt;=$F11,5&lt;$F11+$G11),1,"")</f>
        <v/>
      </c>
      <c r="Q11" s="10" t="str">
        <f aca="false">IF(AND(6&gt;=$F11,6&lt;$F11+$G11),1,"")</f>
        <v/>
      </c>
      <c r="R11" s="10" t="str">
        <f aca="false">IF(AND(7&gt;=$F11,7&lt;$F11+$G11),1,"")</f>
        <v/>
      </c>
      <c r="S11" s="10" t="str">
        <f aca="false">IF(AND(8&gt;=$F11,8&lt;$F11+$G11),1,"")</f>
        <v/>
      </c>
    </row>
    <row r="12" customFormat="false" ht="45" hidden="false" customHeight="true" outlineLevel="0" collapsed="false">
      <c r="A12" s="4" t="n">
        <v>8</v>
      </c>
      <c r="B12" s="5" t="s">
        <v>33</v>
      </c>
      <c r="C12" s="6" t="s">
        <v>39</v>
      </c>
      <c r="D12" s="4" t="str">
        <f aca="false">'الإعدادات واللجنة'!$B$12</f>
        <v>عضو 2</v>
      </c>
      <c r="E12" s="6" t="s">
        <v>40</v>
      </c>
      <c r="F12" s="7" t="n">
        <v>3</v>
      </c>
      <c r="G12" s="7" t="n">
        <v>1</v>
      </c>
      <c r="H12" s="8" t="n">
        <f aca="false">'الإعدادات واللجنة'!$B$6+(F12-1)*7</f>
        <v>46334</v>
      </c>
      <c r="I12" s="8" t="n">
        <f aca="false">'الإعدادات واللجنة'!$B$6+(F12-1+G12)*7-3</f>
        <v>46338</v>
      </c>
      <c r="J12" s="7" t="s">
        <v>24</v>
      </c>
      <c r="K12" s="9"/>
      <c r="L12" s="10" t="str">
        <f aca="false">IF(AND(1&gt;=$F12,1&lt;$F12+$G12),1,"")</f>
        <v/>
      </c>
      <c r="M12" s="10" t="str">
        <f aca="false">IF(AND(2&gt;=$F12,2&lt;$F12+$G12),1,"")</f>
        <v/>
      </c>
      <c r="N12" s="10" t="n">
        <f aca="false">IF(AND(3&gt;=$F12,3&lt;$F12+$G12),1,"")</f>
        <v>1</v>
      </c>
      <c r="O12" s="10" t="str">
        <f aca="false">IF(AND(4&gt;=$F12,4&lt;$F12+$G12),1,"")</f>
        <v/>
      </c>
      <c r="P12" s="10" t="str">
        <f aca="false">IF(AND(5&gt;=$F12,5&lt;$F12+$G12),1,"")</f>
        <v/>
      </c>
      <c r="Q12" s="10" t="str">
        <f aca="false">IF(AND(6&gt;=$F12,6&lt;$F12+$G12),1,"")</f>
        <v/>
      </c>
      <c r="R12" s="10" t="str">
        <f aca="false">IF(AND(7&gt;=$F12,7&lt;$F12+$G12),1,"")</f>
        <v/>
      </c>
      <c r="S12" s="10" t="str">
        <f aca="false">IF(AND(8&gt;=$F12,8&lt;$F12+$G12),1,"")</f>
        <v/>
      </c>
    </row>
    <row r="13" customFormat="false" ht="45" hidden="false" customHeight="true" outlineLevel="0" collapsed="false">
      <c r="A13" s="4" t="n">
        <v>9</v>
      </c>
      <c r="B13" s="5" t="s">
        <v>41</v>
      </c>
      <c r="C13" s="6" t="s">
        <v>42</v>
      </c>
      <c r="D13" s="4" t="s">
        <v>35</v>
      </c>
      <c r="E13" s="6" t="s">
        <v>43</v>
      </c>
      <c r="F13" s="7" t="n">
        <v>4</v>
      </c>
      <c r="G13" s="7" t="n">
        <v>2</v>
      </c>
      <c r="H13" s="8" t="n">
        <f aca="false">'الإعدادات واللجنة'!$B$6+(F13-1)*7</f>
        <v>46341</v>
      </c>
      <c r="I13" s="8" t="n">
        <f aca="false">'الإعدادات واللجنة'!$B$6+(F13-1+G13)*7-3</f>
        <v>46352</v>
      </c>
      <c r="J13" s="7" t="s">
        <v>24</v>
      </c>
      <c r="K13" s="9"/>
      <c r="L13" s="10" t="str">
        <f aca="false">IF(AND(1&gt;=$F13,1&lt;$F13+$G13),1,"")</f>
        <v/>
      </c>
      <c r="M13" s="10" t="str">
        <f aca="false">IF(AND(2&gt;=$F13,2&lt;$F13+$G13),1,"")</f>
        <v/>
      </c>
      <c r="N13" s="10" t="str">
        <f aca="false">IF(AND(3&gt;=$F13,3&lt;$F13+$G13),1,"")</f>
        <v/>
      </c>
      <c r="O13" s="10" t="n">
        <f aca="false">IF(AND(4&gt;=$F13,4&lt;$F13+$G13),1,"")</f>
        <v>1</v>
      </c>
      <c r="P13" s="10" t="n">
        <f aca="false">IF(AND(5&gt;=$F13,5&lt;$F13+$G13),1,"")</f>
        <v>1</v>
      </c>
      <c r="Q13" s="10" t="str">
        <f aca="false">IF(AND(6&gt;=$F13,6&lt;$F13+$G13),1,"")</f>
        <v/>
      </c>
      <c r="R13" s="10" t="str">
        <f aca="false">IF(AND(7&gt;=$F13,7&lt;$F13+$G13),1,"")</f>
        <v/>
      </c>
      <c r="S13" s="10" t="str">
        <f aca="false">IF(AND(8&gt;=$F13,8&lt;$F13+$G13),1,"")</f>
        <v/>
      </c>
    </row>
    <row r="14" customFormat="false" ht="45" hidden="false" customHeight="true" outlineLevel="0" collapsed="false">
      <c r="A14" s="4" t="n">
        <v>10</v>
      </c>
      <c r="B14" s="5" t="s">
        <v>41</v>
      </c>
      <c r="C14" s="6" t="s">
        <v>44</v>
      </c>
      <c r="D14" s="4" t="s">
        <v>45</v>
      </c>
      <c r="E14" s="6" t="s">
        <v>46</v>
      </c>
      <c r="F14" s="7" t="n">
        <v>5</v>
      </c>
      <c r="G14" s="7" t="n">
        <v>2</v>
      </c>
      <c r="H14" s="8" t="n">
        <f aca="false">'الإعدادات واللجنة'!$B$6+(F14-1)*7</f>
        <v>46348</v>
      </c>
      <c r="I14" s="8" t="n">
        <f aca="false">'الإعدادات واللجنة'!$B$6+(F14-1+G14)*7-3</f>
        <v>46359</v>
      </c>
      <c r="J14" s="7" t="s">
        <v>24</v>
      </c>
      <c r="K14" s="9"/>
      <c r="L14" s="10" t="str">
        <f aca="false">IF(AND(1&gt;=$F14,1&lt;$F14+$G14),1,"")</f>
        <v/>
      </c>
      <c r="M14" s="10" t="str">
        <f aca="false">IF(AND(2&gt;=$F14,2&lt;$F14+$G14),1,"")</f>
        <v/>
      </c>
      <c r="N14" s="10" t="str">
        <f aca="false">IF(AND(3&gt;=$F14,3&lt;$F14+$G14),1,"")</f>
        <v/>
      </c>
      <c r="O14" s="10" t="str">
        <f aca="false">IF(AND(4&gt;=$F14,4&lt;$F14+$G14),1,"")</f>
        <v/>
      </c>
      <c r="P14" s="10" t="n">
        <f aca="false">IF(AND(5&gt;=$F14,5&lt;$F14+$G14),1,"")</f>
        <v>1</v>
      </c>
      <c r="Q14" s="10" t="n">
        <f aca="false">IF(AND(6&gt;=$F14,6&lt;$F14+$G14),1,"")</f>
        <v>1</v>
      </c>
      <c r="R14" s="10" t="str">
        <f aca="false">IF(AND(7&gt;=$F14,7&lt;$F14+$G14),1,"")</f>
        <v/>
      </c>
      <c r="S14" s="10" t="str">
        <f aca="false">IF(AND(8&gt;=$F14,8&lt;$F14+$G14),1,"")</f>
        <v/>
      </c>
    </row>
    <row r="15" customFormat="false" ht="45" hidden="false" customHeight="true" outlineLevel="0" collapsed="false">
      <c r="A15" s="4" t="n">
        <v>11</v>
      </c>
      <c r="B15" s="5" t="s">
        <v>41</v>
      </c>
      <c r="C15" s="6" t="s">
        <v>47</v>
      </c>
      <c r="D15" s="4" t="str">
        <f aca="false">'الإعدادات واللجنة'!$B$11</f>
        <v>عضو 1</v>
      </c>
      <c r="E15" s="6" t="s">
        <v>48</v>
      </c>
      <c r="F15" s="7" t="n">
        <v>6</v>
      </c>
      <c r="G15" s="7" t="n">
        <v>1</v>
      </c>
      <c r="H15" s="8" t="n">
        <f aca="false">'الإعدادات واللجنة'!$B$6+(F15-1)*7</f>
        <v>46355</v>
      </c>
      <c r="I15" s="8" t="n">
        <f aca="false">'الإعدادات واللجنة'!$B$6+(F15-1+G15)*7-3</f>
        <v>46359</v>
      </c>
      <c r="J15" s="7" t="s">
        <v>24</v>
      </c>
      <c r="K15" s="9"/>
      <c r="L15" s="10" t="str">
        <f aca="false">IF(AND(1&gt;=$F15,1&lt;$F15+$G15),1,"")</f>
        <v/>
      </c>
      <c r="M15" s="10" t="str">
        <f aca="false">IF(AND(2&gt;=$F15,2&lt;$F15+$G15),1,"")</f>
        <v/>
      </c>
      <c r="N15" s="10" t="str">
        <f aca="false">IF(AND(3&gt;=$F15,3&lt;$F15+$G15),1,"")</f>
        <v/>
      </c>
      <c r="O15" s="10" t="str">
        <f aca="false">IF(AND(4&gt;=$F15,4&lt;$F15+$G15),1,"")</f>
        <v/>
      </c>
      <c r="P15" s="10" t="str">
        <f aca="false">IF(AND(5&gt;=$F15,5&lt;$F15+$G15),1,"")</f>
        <v/>
      </c>
      <c r="Q15" s="10" t="n">
        <f aca="false">IF(AND(6&gt;=$F15,6&lt;$F15+$G15),1,"")</f>
        <v>1</v>
      </c>
      <c r="R15" s="10" t="str">
        <f aca="false">IF(AND(7&gt;=$F15,7&lt;$F15+$G15),1,"")</f>
        <v/>
      </c>
      <c r="S15" s="10" t="str">
        <f aca="false">IF(AND(8&gt;=$F15,8&lt;$F15+$G15),1,"")</f>
        <v/>
      </c>
    </row>
    <row r="16" customFormat="false" ht="45" hidden="false" customHeight="true" outlineLevel="0" collapsed="false">
      <c r="A16" s="4" t="n">
        <v>12</v>
      </c>
      <c r="B16" s="5" t="s">
        <v>49</v>
      </c>
      <c r="C16" s="6" t="s">
        <v>50</v>
      </c>
      <c r="D16" s="4" t="s">
        <v>35</v>
      </c>
      <c r="E16" s="6" t="s">
        <v>51</v>
      </c>
      <c r="F16" s="7" t="n">
        <v>6</v>
      </c>
      <c r="G16" s="7" t="n">
        <v>1</v>
      </c>
      <c r="H16" s="8" t="n">
        <f aca="false">'الإعدادات واللجنة'!$B$6+(F16-1)*7</f>
        <v>46355</v>
      </c>
      <c r="I16" s="8" t="n">
        <f aca="false">'الإعدادات واللجنة'!$B$6+(F16-1+G16)*7-3</f>
        <v>46359</v>
      </c>
      <c r="J16" s="7" t="s">
        <v>24</v>
      </c>
      <c r="K16" s="9"/>
      <c r="L16" s="10" t="str">
        <f aca="false">IF(AND(1&gt;=$F16,1&lt;$F16+$G16),1,"")</f>
        <v/>
      </c>
      <c r="M16" s="10" t="str">
        <f aca="false">IF(AND(2&gt;=$F16,2&lt;$F16+$G16),1,"")</f>
        <v/>
      </c>
      <c r="N16" s="10" t="str">
        <f aca="false">IF(AND(3&gt;=$F16,3&lt;$F16+$G16),1,"")</f>
        <v/>
      </c>
      <c r="O16" s="10" t="str">
        <f aca="false">IF(AND(4&gt;=$F16,4&lt;$F16+$G16),1,"")</f>
        <v/>
      </c>
      <c r="P16" s="10" t="str">
        <f aca="false">IF(AND(5&gt;=$F16,5&lt;$F16+$G16),1,"")</f>
        <v/>
      </c>
      <c r="Q16" s="10" t="n">
        <f aca="false">IF(AND(6&gt;=$F16,6&lt;$F16+$G16),1,"")</f>
        <v>1</v>
      </c>
      <c r="R16" s="10" t="str">
        <f aca="false">IF(AND(7&gt;=$F16,7&lt;$F16+$G16),1,"")</f>
        <v/>
      </c>
      <c r="S16" s="10" t="str">
        <f aca="false">IF(AND(8&gt;=$F16,8&lt;$F16+$G16),1,"")</f>
        <v/>
      </c>
    </row>
    <row r="17" customFormat="false" ht="45" hidden="false" customHeight="true" outlineLevel="0" collapsed="false">
      <c r="A17" s="4" t="n">
        <v>13</v>
      </c>
      <c r="B17" s="5" t="s">
        <v>49</v>
      </c>
      <c r="C17" s="6" t="s">
        <v>52</v>
      </c>
      <c r="D17" s="4" t="s">
        <v>53</v>
      </c>
      <c r="E17" s="6" t="s">
        <v>54</v>
      </c>
      <c r="F17" s="7" t="n">
        <v>7</v>
      </c>
      <c r="G17" s="7" t="n">
        <v>1</v>
      </c>
      <c r="H17" s="8" t="n">
        <f aca="false">'الإعدادات واللجنة'!$B$6+(F17-1)*7</f>
        <v>46362</v>
      </c>
      <c r="I17" s="8" t="n">
        <f aca="false">'الإعدادات واللجنة'!$B$6+(F17-1+G17)*7-3</f>
        <v>46366</v>
      </c>
      <c r="J17" s="7" t="s">
        <v>24</v>
      </c>
      <c r="K17" s="9"/>
      <c r="L17" s="10" t="str">
        <f aca="false">IF(AND(1&gt;=$F17,1&lt;$F17+$G17),1,"")</f>
        <v/>
      </c>
      <c r="M17" s="10" t="str">
        <f aca="false">IF(AND(2&gt;=$F17,2&lt;$F17+$G17),1,"")</f>
        <v/>
      </c>
      <c r="N17" s="10" t="str">
        <f aca="false">IF(AND(3&gt;=$F17,3&lt;$F17+$G17),1,"")</f>
        <v/>
      </c>
      <c r="O17" s="10" t="str">
        <f aca="false">IF(AND(4&gt;=$F17,4&lt;$F17+$G17),1,"")</f>
        <v/>
      </c>
      <c r="P17" s="10" t="str">
        <f aca="false">IF(AND(5&gt;=$F17,5&lt;$F17+$G17),1,"")</f>
        <v/>
      </c>
      <c r="Q17" s="10" t="str">
        <f aca="false">IF(AND(6&gt;=$F17,6&lt;$F17+$G17),1,"")</f>
        <v/>
      </c>
      <c r="R17" s="10" t="n">
        <f aca="false">IF(AND(7&gt;=$F17,7&lt;$F17+$G17),1,"")</f>
        <v>1</v>
      </c>
      <c r="S17" s="10" t="str">
        <f aca="false">IF(AND(8&gt;=$F17,8&lt;$F17+$G17),1,"")</f>
        <v/>
      </c>
    </row>
    <row r="18" customFormat="false" ht="45" hidden="false" customHeight="true" outlineLevel="0" collapsed="false">
      <c r="A18" s="4" t="n">
        <v>14</v>
      </c>
      <c r="B18" s="5" t="s">
        <v>49</v>
      </c>
      <c r="C18" s="6" t="s">
        <v>55</v>
      </c>
      <c r="D18" s="4" t="s">
        <v>35</v>
      </c>
      <c r="E18" s="6" t="s">
        <v>56</v>
      </c>
      <c r="F18" s="7" t="n">
        <v>7</v>
      </c>
      <c r="G18" s="7" t="n">
        <v>1</v>
      </c>
      <c r="H18" s="8" t="n">
        <f aca="false">'الإعدادات واللجنة'!$B$6+(F18-1)*7</f>
        <v>46362</v>
      </c>
      <c r="I18" s="8" t="n">
        <f aca="false">'الإعدادات واللجنة'!$B$6+(F18-1+G18)*7-3</f>
        <v>46366</v>
      </c>
      <c r="J18" s="7" t="s">
        <v>24</v>
      </c>
      <c r="K18" s="9"/>
      <c r="L18" s="10" t="str">
        <f aca="false">IF(AND(1&gt;=$F18,1&lt;$F18+$G18),1,"")</f>
        <v/>
      </c>
      <c r="M18" s="10" t="str">
        <f aca="false">IF(AND(2&gt;=$F18,2&lt;$F18+$G18),1,"")</f>
        <v/>
      </c>
      <c r="N18" s="10" t="str">
        <f aca="false">IF(AND(3&gt;=$F18,3&lt;$F18+$G18),1,"")</f>
        <v/>
      </c>
      <c r="O18" s="10" t="str">
        <f aca="false">IF(AND(4&gt;=$F18,4&lt;$F18+$G18),1,"")</f>
        <v/>
      </c>
      <c r="P18" s="10" t="str">
        <f aca="false">IF(AND(5&gt;=$F18,5&lt;$F18+$G18),1,"")</f>
        <v/>
      </c>
      <c r="Q18" s="10" t="str">
        <f aca="false">IF(AND(6&gt;=$F18,6&lt;$F18+$G18),1,"")</f>
        <v/>
      </c>
      <c r="R18" s="10" t="n">
        <f aca="false">IF(AND(7&gt;=$F18,7&lt;$F18+$G18),1,"")</f>
        <v>1</v>
      </c>
      <c r="S18" s="10" t="str">
        <f aca="false">IF(AND(8&gt;=$F18,8&lt;$F18+$G18),1,"")</f>
        <v/>
      </c>
    </row>
    <row r="19" customFormat="false" ht="45" hidden="false" customHeight="true" outlineLevel="0" collapsed="false">
      <c r="A19" s="4" t="n">
        <v>15</v>
      </c>
      <c r="B19" s="5" t="s">
        <v>57</v>
      </c>
      <c r="C19" s="6" t="s">
        <v>58</v>
      </c>
      <c r="D19" s="4" t="str">
        <f aca="false">'الإعدادات واللجنة'!$B$11&amp;" و "&amp;'الإعدادات واللجنة'!$B$12</f>
        <v>عضو 1 و عضو 2</v>
      </c>
      <c r="E19" s="6" t="s">
        <v>59</v>
      </c>
      <c r="F19" s="7" t="n">
        <v>8</v>
      </c>
      <c r="G19" s="7" t="n">
        <v>1</v>
      </c>
      <c r="H19" s="8" t="n">
        <f aca="false">'الإعدادات واللجنة'!$B$6+(F19-1)*7</f>
        <v>46369</v>
      </c>
      <c r="I19" s="8" t="n">
        <f aca="false">'الإعدادات واللجنة'!$B$6+(F19-1+G19)*7-3</f>
        <v>46373</v>
      </c>
      <c r="J19" s="7" t="s">
        <v>24</v>
      </c>
      <c r="K19" s="9"/>
      <c r="L19" s="10" t="str">
        <f aca="false">IF(AND(1&gt;=$F19,1&lt;$F19+$G19),1,"")</f>
        <v/>
      </c>
      <c r="M19" s="10" t="str">
        <f aca="false">IF(AND(2&gt;=$F19,2&lt;$F19+$G19),1,"")</f>
        <v/>
      </c>
      <c r="N19" s="10" t="str">
        <f aca="false">IF(AND(3&gt;=$F19,3&lt;$F19+$G19),1,"")</f>
        <v/>
      </c>
      <c r="O19" s="10" t="str">
        <f aca="false">IF(AND(4&gt;=$F19,4&lt;$F19+$G19),1,"")</f>
        <v/>
      </c>
      <c r="P19" s="10" t="str">
        <f aca="false">IF(AND(5&gt;=$F19,5&lt;$F19+$G19),1,"")</f>
        <v/>
      </c>
      <c r="Q19" s="10" t="str">
        <f aca="false">IF(AND(6&gt;=$F19,6&lt;$F19+$G19),1,"")</f>
        <v/>
      </c>
      <c r="R19" s="10" t="str">
        <f aca="false">IF(AND(7&gt;=$F19,7&lt;$F19+$G19),1,"")</f>
        <v/>
      </c>
      <c r="S19" s="10" t="n">
        <f aca="false">IF(AND(8&gt;=$F19,8&lt;$F19+$G19),1,"")</f>
        <v>1</v>
      </c>
    </row>
    <row r="20" customFormat="false" ht="45" hidden="false" customHeight="true" outlineLevel="0" collapsed="false">
      <c r="A20" s="4" t="n">
        <v>16</v>
      </c>
      <c r="B20" s="5" t="s">
        <v>57</v>
      </c>
      <c r="C20" s="6" t="s">
        <v>60</v>
      </c>
      <c r="D20" s="4" t="str">
        <f aca="false">'الإعدادات واللجنة'!$B$11</f>
        <v>عضو 1</v>
      </c>
      <c r="E20" s="6" t="s">
        <v>61</v>
      </c>
      <c r="F20" s="7" t="n">
        <v>8</v>
      </c>
      <c r="G20" s="7" t="n">
        <v>1</v>
      </c>
      <c r="H20" s="8" t="n">
        <f aca="false">'الإعدادات واللجنة'!$B$6+(F20-1)*7</f>
        <v>46369</v>
      </c>
      <c r="I20" s="8" t="n">
        <f aca="false">'الإعدادات واللجنة'!$B$6+(F20-1+G20)*7-3</f>
        <v>46373</v>
      </c>
      <c r="J20" s="7" t="s">
        <v>24</v>
      </c>
      <c r="K20" s="9"/>
      <c r="L20" s="10" t="str">
        <f aca="false">IF(AND(1&gt;=$F20,1&lt;$F20+$G20),1,"")</f>
        <v/>
      </c>
      <c r="M20" s="10" t="str">
        <f aca="false">IF(AND(2&gt;=$F20,2&lt;$F20+$G20),1,"")</f>
        <v/>
      </c>
      <c r="N20" s="10" t="str">
        <f aca="false">IF(AND(3&gt;=$F20,3&lt;$F20+$G20),1,"")</f>
        <v/>
      </c>
      <c r="O20" s="10" t="str">
        <f aca="false">IF(AND(4&gt;=$F20,4&lt;$F20+$G20),1,"")</f>
        <v/>
      </c>
      <c r="P20" s="10" t="str">
        <f aca="false">IF(AND(5&gt;=$F20,5&lt;$F20+$G20),1,"")</f>
        <v/>
      </c>
      <c r="Q20" s="10" t="str">
        <f aca="false">IF(AND(6&gt;=$F20,6&lt;$F20+$G20),1,"")</f>
        <v/>
      </c>
      <c r="R20" s="10" t="str">
        <f aca="false">IF(AND(7&gt;=$F20,7&lt;$F20+$G20),1,"")</f>
        <v/>
      </c>
      <c r="S20" s="10" t="n">
        <f aca="false">IF(AND(8&gt;=$F20,8&lt;$F20+$G20),1,"")</f>
        <v>1</v>
      </c>
    </row>
    <row r="21" customFormat="false" ht="45" hidden="false" customHeight="true" outlineLevel="0" collapsed="false">
      <c r="A21" s="4" t="n">
        <v>17</v>
      </c>
      <c r="B21" s="5" t="s">
        <v>62</v>
      </c>
      <c r="C21" s="6" t="s">
        <v>63</v>
      </c>
      <c r="D21" s="4" t="str">
        <f aca="false">'الإعدادات واللجنة'!$B$11</f>
        <v>عضو 1</v>
      </c>
      <c r="E21" s="6" t="s">
        <v>64</v>
      </c>
      <c r="F21" s="7" t="n">
        <v>1</v>
      </c>
      <c r="G21" s="7" t="n">
        <v>8</v>
      </c>
      <c r="H21" s="8" t="n">
        <f aca="false">'الإعدادات واللجنة'!$B$6+(F21-1)*7</f>
        <v>46320</v>
      </c>
      <c r="I21" s="8" t="n">
        <f aca="false">'الإعدادات واللجنة'!$B$6+(F21-1+G21)*7-3</f>
        <v>46373</v>
      </c>
      <c r="J21" s="7" t="s">
        <v>24</v>
      </c>
      <c r="K21" s="9"/>
      <c r="L21" s="10" t="n">
        <f aca="false">IF(AND(1&gt;=$F21,1&lt;$F21+$G21),1,"")</f>
        <v>1</v>
      </c>
      <c r="M21" s="10" t="n">
        <f aca="false">IF(AND(2&gt;=$F21,2&lt;$F21+$G21),1,"")</f>
        <v>1</v>
      </c>
      <c r="N21" s="10" t="n">
        <f aca="false">IF(AND(3&gt;=$F21,3&lt;$F21+$G21),1,"")</f>
        <v>1</v>
      </c>
      <c r="O21" s="10" t="n">
        <f aca="false">IF(AND(4&gt;=$F21,4&lt;$F21+$G21),1,"")</f>
        <v>1</v>
      </c>
      <c r="P21" s="10" t="n">
        <f aca="false">IF(AND(5&gt;=$F21,5&lt;$F21+$G21),1,"")</f>
        <v>1</v>
      </c>
      <c r="Q21" s="10" t="n">
        <f aca="false">IF(AND(6&gt;=$F21,6&lt;$F21+$G21),1,"")</f>
        <v>1</v>
      </c>
      <c r="R21" s="10" t="n">
        <f aca="false">IF(AND(7&gt;=$F21,7&lt;$F21+$G21),1,"")</f>
        <v>1</v>
      </c>
      <c r="S21" s="10" t="n">
        <f aca="false">IF(AND(8&gt;=$F21,8&lt;$F21+$G21),1,"")</f>
        <v>1</v>
      </c>
    </row>
    <row r="23" customFormat="false" ht="15" hidden="false" customHeight="false" outlineLevel="0" collapsed="false">
      <c r="B23" s="11" t="s">
        <v>65</v>
      </c>
      <c r="C23" s="11"/>
      <c r="D23" s="11"/>
      <c r="E23" s="11"/>
      <c r="F23" s="11"/>
      <c r="G23" s="11"/>
      <c r="H23" s="11"/>
      <c r="I23" s="11"/>
      <c r="J23" s="11"/>
      <c r="K23" s="11"/>
    </row>
    <row r="24" customFormat="false" ht="15" hidden="false" customHeight="false" outlineLevel="0" collapsed="false">
      <c r="B24" s="12" t="s">
        <v>66</v>
      </c>
      <c r="C24" s="12"/>
      <c r="D24" s="12"/>
      <c r="E24" s="12"/>
      <c r="F24" s="12"/>
      <c r="G24" s="12"/>
      <c r="H24" s="12"/>
      <c r="I24" s="12"/>
      <c r="J24" s="12"/>
      <c r="K24" s="12"/>
    </row>
    <row r="25" customFormat="false" ht="15" hidden="false" customHeight="false" outlineLevel="0" collapsed="false">
      <c r="B25" s="12" t="s">
        <v>67</v>
      </c>
      <c r="C25" s="12"/>
      <c r="D25" s="12"/>
      <c r="E25" s="12"/>
      <c r="F25" s="12"/>
      <c r="G25" s="12"/>
      <c r="H25" s="12"/>
      <c r="I25" s="12"/>
      <c r="J25" s="12"/>
      <c r="K25" s="12"/>
    </row>
    <row r="26" customFormat="false" ht="15" hidden="false" customHeight="false" outlineLevel="0" collapsed="false">
      <c r="B26" s="12" t="s">
        <v>68</v>
      </c>
      <c r="C26" s="12"/>
      <c r="D26" s="12"/>
      <c r="E26" s="12"/>
      <c r="F26" s="12"/>
      <c r="G26" s="12"/>
      <c r="H26" s="12"/>
      <c r="I26" s="12"/>
      <c r="J26" s="12"/>
      <c r="K26" s="12"/>
    </row>
    <row r="27" customFormat="false" ht="15" hidden="false" customHeight="false" outlineLevel="0" collapsed="false">
      <c r="B27" s="12" t="s">
        <v>69</v>
      </c>
      <c r="C27" s="12"/>
      <c r="D27" s="12"/>
      <c r="E27" s="12"/>
      <c r="F27" s="12"/>
      <c r="G27" s="12"/>
      <c r="H27" s="12"/>
      <c r="I27" s="12"/>
      <c r="J27" s="12"/>
      <c r="K27" s="12"/>
    </row>
    <row r="28" customFormat="false" ht="15" hidden="false" customHeight="false" outlineLevel="0" collapsed="false">
      <c r="B28" s="12" t="s">
        <v>70</v>
      </c>
      <c r="C28" s="12"/>
      <c r="D28" s="12"/>
      <c r="E28" s="12"/>
      <c r="F28" s="12"/>
      <c r="G28" s="12"/>
      <c r="H28" s="12"/>
      <c r="I28" s="12"/>
      <c r="J28" s="12"/>
      <c r="K28" s="12"/>
    </row>
    <row r="29" customFormat="false" ht="15" hidden="false" customHeight="false" outlineLevel="0" collapsed="false">
      <c r="B29" s="12" t="s">
        <v>71</v>
      </c>
      <c r="C29" s="12"/>
      <c r="D29" s="12"/>
      <c r="E29" s="12"/>
      <c r="F29" s="12"/>
      <c r="G29" s="12"/>
      <c r="H29" s="12"/>
      <c r="I29" s="12"/>
      <c r="J29" s="12"/>
      <c r="K29" s="12"/>
    </row>
  </sheetData>
  <mergeCells count="9">
    <mergeCell ref="A1:S1"/>
    <mergeCell ref="A2:S2"/>
    <mergeCell ref="B23:K23"/>
    <mergeCell ref="B24:K24"/>
    <mergeCell ref="B25:K25"/>
    <mergeCell ref="B26:K26"/>
    <mergeCell ref="B27:K27"/>
    <mergeCell ref="B28:K28"/>
    <mergeCell ref="B29:K29"/>
  </mergeCells>
  <conditionalFormatting sqref="L5:S21">
    <cfRule type="expression" priority="2" aboveAverage="0" equalAverage="0" bottom="0" percent="0" rank="0" text="" dxfId="0">
      <formula>L5=1</formula>
    </cfRule>
  </conditionalFormatting>
  <conditionalFormatting sqref="J5:J21">
    <cfRule type="cellIs" priority="3" operator="equal" aboveAverage="0" equalAverage="0" bottom="0" percent="0" rank="0" text="" dxfId="1">
      <formula>"مكتملة"</formula>
    </cfRule>
    <cfRule type="cellIs" priority="4" operator="equal" aboveAverage="0" equalAverage="0" bottom="0" percent="0" rank="0" text="" dxfId="2">
      <formula>"متأخرة"</formula>
    </cfRule>
  </conditionalFormatting>
  <dataValidations count="1">
    <dataValidation allowBlank="true" errorStyle="stop" operator="between" showDropDown="false" showErrorMessage="false" showInputMessage="false" sqref="J5:J21" type="list">
      <formula1>"لم تبدأ,قيد التنفيذ,مكتملة,متأخرة"</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H3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6"/>
    <col collapsed="false" customWidth="true" hidden="false" outlineLevel="0" max="3" min="3" style="0" width="34"/>
    <col collapsed="false" customWidth="true" hidden="false" outlineLevel="0" max="4" min="4" style="0" width="16"/>
    <col collapsed="false" customWidth="true" hidden="false" outlineLevel="0" max="5" min="5" style="0" width="70"/>
    <col collapsed="false" customWidth="true" hidden="false" outlineLevel="0" max="6" min="6" style="0" width="18"/>
    <col collapsed="false" customWidth="true" hidden="false" outlineLevel="0" max="8" min="7" style="0" width="22"/>
  </cols>
  <sheetData>
    <row r="1" customFormat="false" ht="18.55" hidden="false" customHeight="false" outlineLevel="0" collapsed="false">
      <c r="A1" s="1" t="s">
        <v>72</v>
      </c>
      <c r="B1" s="1"/>
      <c r="C1" s="1"/>
      <c r="D1" s="1"/>
      <c r="E1" s="1"/>
      <c r="F1" s="1"/>
      <c r="G1" s="1"/>
    </row>
    <row r="2" customFormat="false" ht="15" hidden="false" customHeight="false" outlineLevel="0" collapsed="false">
      <c r="A2" s="2" t="s">
        <v>73</v>
      </c>
      <c r="B2" s="2"/>
      <c r="C2" s="2"/>
      <c r="D2" s="2"/>
      <c r="E2" s="2"/>
      <c r="F2" s="2"/>
      <c r="G2" s="2"/>
    </row>
    <row r="4" customFormat="false" ht="15" hidden="false" customHeight="false" outlineLevel="0" collapsed="false">
      <c r="A4" s="13" t="s">
        <v>74</v>
      </c>
      <c r="B4" s="9" t="s">
        <v>75</v>
      </c>
    </row>
    <row r="5" customFormat="false" ht="15" hidden="false" customHeight="false" outlineLevel="0" collapsed="false">
      <c r="A5" s="13" t="s">
        <v>76</v>
      </c>
      <c r="B5" s="9" t="s">
        <v>77</v>
      </c>
    </row>
    <row r="6" customFormat="false" ht="15" hidden="false" customHeight="false" outlineLevel="0" collapsed="false">
      <c r="A6" s="13" t="s">
        <v>78</v>
      </c>
      <c r="B6" s="14" t="n">
        <v>46320</v>
      </c>
    </row>
    <row r="7" customFormat="false" ht="23.85" hidden="false" customHeight="false" outlineLevel="0" collapsed="false">
      <c r="A7" s="13" t="s">
        <v>79</v>
      </c>
      <c r="B7" s="9" t="s">
        <v>80</v>
      </c>
    </row>
    <row r="9" customFormat="false" ht="15" hidden="false" customHeight="false" outlineLevel="0" collapsed="false">
      <c r="A9" s="15" t="s">
        <v>81</v>
      </c>
    </row>
    <row r="10" customFormat="false" ht="23.85" hidden="false" customHeight="false" outlineLevel="0" collapsed="false">
      <c r="A10" s="3" t="s">
        <v>2</v>
      </c>
      <c r="B10" s="3" t="s">
        <v>82</v>
      </c>
      <c r="C10" s="3" t="s">
        <v>83</v>
      </c>
      <c r="D10" s="3" t="s">
        <v>84</v>
      </c>
      <c r="E10" s="3" t="s">
        <v>85</v>
      </c>
      <c r="F10" s="3" t="s">
        <v>86</v>
      </c>
      <c r="G10" s="3" t="s">
        <v>87</v>
      </c>
    </row>
    <row r="11" customFormat="false" ht="48" hidden="false" customHeight="true" outlineLevel="0" collapsed="false">
      <c r="A11" s="4" t="n">
        <v>1</v>
      </c>
      <c r="B11" s="16" t="s">
        <v>88</v>
      </c>
      <c r="C11" s="6" t="s">
        <v>89</v>
      </c>
      <c r="D11" s="4" t="s">
        <v>90</v>
      </c>
      <c r="E11" s="6" t="s">
        <v>91</v>
      </c>
      <c r="F11" s="4" t="n">
        <f aca="false">COUNTIF('فحص-البرنامج1'!$H:$H,B11)+COUNTIF('فحص-البرنامج2'!$H:$H,B11)</f>
        <v>50</v>
      </c>
      <c r="G11" s="4" t="n">
        <f aca="false">COUNTIF('فحص-البرنامج1'!$U:$U,B11)+COUNTIF('فحص-البرنامج2'!$U:$U,B11)</f>
        <v>38</v>
      </c>
    </row>
    <row r="12" customFormat="false" ht="48" hidden="false" customHeight="true" outlineLevel="0" collapsed="false">
      <c r="A12" s="4" t="n">
        <v>2</v>
      </c>
      <c r="B12" s="16" t="s">
        <v>92</v>
      </c>
      <c r="C12" s="6" t="s">
        <v>93</v>
      </c>
      <c r="D12" s="4" t="s">
        <v>90</v>
      </c>
      <c r="E12" s="6" t="s">
        <v>94</v>
      </c>
      <c r="F12" s="4" t="n">
        <f aca="false">COUNTIF('فحص-البرنامج1'!$H:$H,B12)+COUNTIF('فحص-البرنامج2'!$H:$H,B12)</f>
        <v>38</v>
      </c>
      <c r="G12" s="4" t="n">
        <f aca="false">COUNTIF('فحص-البرنامج1'!$U:$U,B12)+COUNTIF('فحص-البرنامج2'!$U:$U,B12)</f>
        <v>0</v>
      </c>
    </row>
    <row r="13" customFormat="false" ht="48" hidden="false" customHeight="true" outlineLevel="0" collapsed="false">
      <c r="A13" s="4" t="n">
        <v>3</v>
      </c>
      <c r="B13" s="16" t="s">
        <v>95</v>
      </c>
      <c r="C13" s="6" t="s">
        <v>96</v>
      </c>
      <c r="D13" s="4" t="s">
        <v>97</v>
      </c>
      <c r="E13" s="6" t="s">
        <v>98</v>
      </c>
      <c r="F13" s="4" t="n">
        <f aca="false">COUNTIF('فحص-البرنامج1'!$H:$H,B13)+COUNTIF('فحص-البرنامج2'!$H:$H,B13)</f>
        <v>52</v>
      </c>
      <c r="G13" s="4" t="n">
        <f aca="false">COUNTIF('فحص-البرنامج1'!$U:$U,B13)+COUNTIF('فحص-البرنامج2'!$U:$U,B13)</f>
        <v>52</v>
      </c>
    </row>
    <row r="14" customFormat="false" ht="48" hidden="false" customHeight="true" outlineLevel="0" collapsed="false">
      <c r="A14" s="4" t="n">
        <v>4</v>
      </c>
      <c r="B14" s="16" t="s">
        <v>99</v>
      </c>
      <c r="C14" s="6" t="s">
        <v>96</v>
      </c>
      <c r="D14" s="4" t="s">
        <v>100</v>
      </c>
      <c r="E14" s="6" t="s">
        <v>101</v>
      </c>
      <c r="F14" s="4" t="n">
        <f aca="false">COUNTIF('فحص-البرنامج1'!$H:$H,B14)+COUNTIF('فحص-البرنامج2'!$H:$H,B14)</f>
        <v>52</v>
      </c>
      <c r="G14" s="4" t="n">
        <f aca="false">COUNTIF('فحص-البرنامج1'!$U:$U,B14)+COUNTIF('فحص-البرنامج2'!$U:$U,B14)</f>
        <v>52</v>
      </c>
    </row>
    <row r="15" customFormat="false" ht="48" hidden="false" customHeight="true" outlineLevel="0" collapsed="false">
      <c r="A15" s="4" t="n">
        <v>5</v>
      </c>
      <c r="B15" s="16" t="s">
        <v>102</v>
      </c>
      <c r="C15" s="6" t="s">
        <v>103</v>
      </c>
      <c r="D15" s="4" t="s">
        <v>97</v>
      </c>
      <c r="E15" s="6" t="s">
        <v>104</v>
      </c>
      <c r="F15" s="4" t="n">
        <f aca="false">COUNTIF('فحص-البرنامج1'!$H:$H,B15)+COUNTIF('فحص-البرنامج2'!$H:$H,B15)</f>
        <v>50</v>
      </c>
      <c r="G15" s="4" t="n">
        <f aca="false">COUNTIF('فحص-البرنامج1'!$U:$U,B15)+COUNTIF('فحص-البرنامج2'!$U:$U,B15)</f>
        <v>75</v>
      </c>
    </row>
    <row r="16" customFormat="false" ht="48" hidden="false" customHeight="true" outlineLevel="0" collapsed="false">
      <c r="A16" s="4" t="n">
        <v>6</v>
      </c>
      <c r="B16" s="16" t="s">
        <v>105</v>
      </c>
      <c r="C16" s="6" t="s">
        <v>103</v>
      </c>
      <c r="D16" s="4" t="s">
        <v>100</v>
      </c>
      <c r="E16" s="6" t="s">
        <v>106</v>
      </c>
      <c r="F16" s="4" t="n">
        <f aca="false">COUNTIF('فحص-البرنامج1'!$H:$H,B16)+COUNTIF('فحص-البرنامج2'!$H:$H,B16)</f>
        <v>50</v>
      </c>
      <c r="G16" s="4" t="n">
        <f aca="false">COUNTIF('فحص-البرنامج1'!$U:$U,B16)+COUNTIF('فحص-البرنامج2'!$U:$U,B16)</f>
        <v>75</v>
      </c>
    </row>
    <row r="17" customFormat="false" ht="48" hidden="false" customHeight="true" outlineLevel="0" collapsed="false">
      <c r="A17" s="4" t="n">
        <v>7</v>
      </c>
      <c r="B17" s="16" t="s">
        <v>107</v>
      </c>
      <c r="C17" s="6" t="s">
        <v>108</v>
      </c>
      <c r="D17" s="4" t="s">
        <v>97</v>
      </c>
      <c r="E17" s="6" t="s">
        <v>109</v>
      </c>
      <c r="F17" s="4" t="n">
        <f aca="false">COUNTIF('فحص-البرنامج1'!$H:$H,B17)+COUNTIF('فحص-البرنامج2'!$H:$H,B17)</f>
        <v>58</v>
      </c>
      <c r="G17" s="4" t="n">
        <f aca="false">COUNTIF('فحص-البرنامج1'!$U:$U,B17)+COUNTIF('فحص-البرنامج2'!$U:$U,B17)</f>
        <v>58</v>
      </c>
    </row>
    <row r="18" customFormat="false" ht="48" hidden="false" customHeight="true" outlineLevel="0" collapsed="false">
      <c r="A18" s="4" t="n">
        <v>8</v>
      </c>
      <c r="B18" s="16" t="s">
        <v>110</v>
      </c>
      <c r="C18" s="6" t="s">
        <v>108</v>
      </c>
      <c r="D18" s="4" t="s">
        <v>100</v>
      </c>
      <c r="E18" s="6" t="s">
        <v>111</v>
      </c>
      <c r="F18" s="4" t="n">
        <f aca="false">COUNTIF('فحص-البرنامج1'!$H:$H,B18)+COUNTIF('فحص-البرنامج2'!$H:$H,B18)</f>
        <v>58</v>
      </c>
      <c r="G18" s="4" t="n">
        <f aca="false">COUNTIF('فحص-البرنامج1'!$U:$U,B18)+COUNTIF('فحص-البرنامج2'!$U:$U,B18)</f>
        <v>58</v>
      </c>
    </row>
    <row r="20" customFormat="false" ht="15" hidden="false" customHeight="false" outlineLevel="0" collapsed="false">
      <c r="A20" s="15" t="s">
        <v>112</v>
      </c>
    </row>
    <row r="21" customFormat="false" ht="23.85" hidden="false" customHeight="false" outlineLevel="0" collapsed="false">
      <c r="A21" s="3" t="s">
        <v>2</v>
      </c>
      <c r="B21" s="3" t="s">
        <v>113</v>
      </c>
      <c r="C21" s="3" t="s">
        <v>114</v>
      </c>
      <c r="D21" s="3" t="s">
        <v>115</v>
      </c>
      <c r="E21" s="3" t="s">
        <v>116</v>
      </c>
      <c r="F21" s="3" t="s">
        <v>117</v>
      </c>
      <c r="G21" s="3" t="s">
        <v>118</v>
      </c>
      <c r="H21" s="3" t="s">
        <v>119</v>
      </c>
    </row>
    <row r="22" customFormat="false" ht="15" hidden="false" customHeight="false" outlineLevel="0" collapsed="false">
      <c r="A22" s="4" t="n">
        <v>1</v>
      </c>
      <c r="B22" s="17" t="s">
        <v>120</v>
      </c>
      <c r="C22" s="4" t="n">
        <f aca="false">COUNTIFS('ملخص المعايير'!$C:$C,B22)</f>
        <v>9</v>
      </c>
      <c r="D22" s="4" t="n">
        <f aca="false">COUNTIF('فحص-البرنامج1'!$C:$C,B22)</f>
        <v>39</v>
      </c>
      <c r="E22" s="7" t="str">
        <f aca="false">$B$13</f>
        <v>عضو 3</v>
      </c>
      <c r="F22" s="7" t="str">
        <f aca="false">$B$14</f>
        <v>عضو 4</v>
      </c>
      <c r="G22" s="7" t="str">
        <f aca="false">$B$14</f>
        <v>عضو 4</v>
      </c>
      <c r="H22" s="7" t="str">
        <f aca="false">$B$13</f>
        <v>عضو 3</v>
      </c>
    </row>
    <row r="23" customFormat="false" ht="15" hidden="false" customHeight="false" outlineLevel="0" collapsed="false">
      <c r="A23" s="4" t="n">
        <v>2</v>
      </c>
      <c r="B23" s="17" t="s">
        <v>121</v>
      </c>
      <c r="C23" s="4" t="n">
        <f aca="false">COUNTIFS('ملخص المعايير'!$C:$C,B23)</f>
        <v>3</v>
      </c>
      <c r="D23" s="4" t="n">
        <f aca="false">COUNTIF('فحص-البرنامج1'!$C:$C,B23)</f>
        <v>13</v>
      </c>
      <c r="E23" s="7" t="str">
        <f aca="false">$B$13</f>
        <v>عضو 3</v>
      </c>
      <c r="F23" s="7" t="str">
        <f aca="false">$B$14</f>
        <v>عضو 4</v>
      </c>
      <c r="G23" s="7" t="str">
        <f aca="false">$B$14</f>
        <v>عضو 4</v>
      </c>
      <c r="H23" s="7" t="str">
        <f aca="false">$B$13</f>
        <v>عضو 3</v>
      </c>
    </row>
    <row r="24" customFormat="false" ht="15" hidden="false" customHeight="false" outlineLevel="0" collapsed="false">
      <c r="A24" s="4" t="n">
        <v>3</v>
      </c>
      <c r="B24" s="17" t="s">
        <v>122</v>
      </c>
      <c r="C24" s="4" t="n">
        <f aca="false">COUNTIFS('ملخص المعايير'!$C:$C,B24)</f>
        <v>5</v>
      </c>
      <c r="D24" s="4" t="n">
        <f aca="false">COUNTIF('فحص-البرنامج1'!$C:$C,B24)</f>
        <v>25</v>
      </c>
      <c r="E24" s="7" t="str">
        <f aca="false">$B$15</f>
        <v>عضو 5</v>
      </c>
      <c r="F24" s="7" t="str">
        <f aca="false">$B$16</f>
        <v>عضو 6</v>
      </c>
      <c r="G24" s="7" t="str">
        <f aca="false">$B$16</f>
        <v>عضو 6</v>
      </c>
      <c r="H24" s="7" t="str">
        <f aca="false">$B$15</f>
        <v>عضو 5</v>
      </c>
    </row>
    <row r="25" customFormat="false" ht="15" hidden="false" customHeight="false" outlineLevel="0" collapsed="false">
      <c r="A25" s="4" t="n">
        <v>4</v>
      </c>
      <c r="B25" s="17" t="s">
        <v>123</v>
      </c>
      <c r="C25" s="4" t="n">
        <f aca="false">COUNTIFS('ملخص المعايير'!$C:$C,B25)</f>
        <v>7</v>
      </c>
      <c r="D25" s="4" t="n">
        <f aca="false">COUNTIF('فحص-البرنامج1'!$C:$C,B25)</f>
        <v>25</v>
      </c>
      <c r="E25" s="7" t="str">
        <f aca="false">$B$15</f>
        <v>عضو 5</v>
      </c>
      <c r="F25" s="7" t="str">
        <f aca="false">$B$16</f>
        <v>عضو 6</v>
      </c>
      <c r="G25" s="7" t="str">
        <f aca="false">$B$16</f>
        <v>عضو 6</v>
      </c>
      <c r="H25" s="7" t="str">
        <f aca="false">$B$15</f>
        <v>عضو 5</v>
      </c>
    </row>
    <row r="26" customFormat="false" ht="15" hidden="false" customHeight="false" outlineLevel="0" collapsed="false">
      <c r="A26" s="4" t="n">
        <v>5</v>
      </c>
      <c r="B26" s="17" t="s">
        <v>124</v>
      </c>
      <c r="C26" s="4" t="n">
        <f aca="false">COUNTIFS('ملخص المعايير'!$C:$C,B26)</f>
        <v>6</v>
      </c>
      <c r="D26" s="4" t="n">
        <f aca="false">COUNTIF('فحص-البرنامج1'!$C:$C,B26)</f>
        <v>25</v>
      </c>
      <c r="E26" s="7" t="str">
        <f aca="false">$B$11</f>
        <v>عضو 1</v>
      </c>
      <c r="F26" s="7" t="str">
        <f aca="false">$B$11</f>
        <v>عضو 1</v>
      </c>
      <c r="G26" s="7" t="str">
        <f aca="false">$B$15</f>
        <v>عضو 5</v>
      </c>
      <c r="H26" s="7" t="str">
        <f aca="false">$B$16</f>
        <v>عضو 6</v>
      </c>
    </row>
    <row r="27" customFormat="false" ht="15" hidden="false" customHeight="false" outlineLevel="0" collapsed="false">
      <c r="A27" s="4" t="n">
        <v>6</v>
      </c>
      <c r="B27" s="17" t="s">
        <v>125</v>
      </c>
      <c r="C27" s="4" t="n">
        <f aca="false">COUNTIFS('ملخص المعايير'!$C:$C,B27)</f>
        <v>7</v>
      </c>
      <c r="D27" s="4" t="n">
        <f aca="false">COUNTIF('فحص-البرنامج1'!$C:$C,B27)</f>
        <v>32</v>
      </c>
      <c r="E27" s="7" t="str">
        <f aca="false">$B$17</f>
        <v>عضو 7</v>
      </c>
      <c r="F27" s="7" t="str">
        <f aca="false">$B$18</f>
        <v>عضو 8</v>
      </c>
      <c r="G27" s="7" t="str">
        <f aca="false">$B$18</f>
        <v>عضو 8</v>
      </c>
      <c r="H27" s="7" t="str">
        <f aca="false">$B$17</f>
        <v>عضو 7</v>
      </c>
    </row>
    <row r="28" customFormat="false" ht="15" hidden="false" customHeight="false" outlineLevel="0" collapsed="false">
      <c r="A28" s="4" t="n">
        <v>7</v>
      </c>
      <c r="B28" s="17" t="s">
        <v>126</v>
      </c>
      <c r="C28" s="4" t="n">
        <f aca="false">COUNTIFS('ملخص المعايير'!$C:$C,B28)</f>
        <v>6</v>
      </c>
      <c r="D28" s="4" t="n">
        <f aca="false">COUNTIF('فحص-البرنامج1'!$C:$C,B28)</f>
        <v>26</v>
      </c>
      <c r="E28" s="7" t="str">
        <f aca="false">$B$17</f>
        <v>عضو 7</v>
      </c>
      <c r="F28" s="7" t="str">
        <f aca="false">$B$18</f>
        <v>عضو 8</v>
      </c>
      <c r="G28" s="7" t="str">
        <f aca="false">$B$18</f>
        <v>عضو 8</v>
      </c>
      <c r="H28" s="7" t="str">
        <f aca="false">$B$17</f>
        <v>عضو 7</v>
      </c>
    </row>
    <row r="29" customFormat="false" ht="15" hidden="false" customHeight="false" outlineLevel="0" collapsed="false">
      <c r="A29" s="4" t="n">
        <v>8</v>
      </c>
      <c r="B29" s="17" t="s">
        <v>127</v>
      </c>
      <c r="C29" s="4" t="n">
        <f aca="false">COUNTIFS('ملخص المعايير'!$C:$C,B29)</f>
        <v>5</v>
      </c>
      <c r="D29" s="4" t="n">
        <f aca="false">COUNTIF('فحص-البرنامج1'!$C:$C,B29)</f>
        <v>19</v>
      </c>
      <c r="E29" s="7" t="str">
        <f aca="false">$B$12</f>
        <v>عضو 2</v>
      </c>
      <c r="F29" s="7" t="str">
        <f aca="false">$B$12</f>
        <v>عضو 2</v>
      </c>
      <c r="G29" s="7" t="str">
        <f aca="false">$B$11</f>
        <v>عضو 1</v>
      </c>
      <c r="H29" s="7" t="str">
        <f aca="false">$B$11</f>
        <v>عضو 1</v>
      </c>
    </row>
    <row r="31" customFormat="false" ht="12.65" hidden="false" customHeight="false" outlineLevel="0" collapsed="false">
      <c r="A31" s="11" t="s">
        <v>128</v>
      </c>
      <c r="B31" s="11"/>
      <c r="C31" s="11"/>
      <c r="D31" s="11"/>
      <c r="E31" s="11"/>
      <c r="F31" s="11"/>
      <c r="G31" s="11"/>
      <c r="H31" s="11"/>
    </row>
    <row r="32" customFormat="false" ht="12.65" hidden="false" customHeight="false" outlineLevel="0" collapsed="false">
      <c r="A32" s="12" t="s">
        <v>129</v>
      </c>
      <c r="B32" s="12"/>
      <c r="C32" s="12"/>
      <c r="D32" s="12"/>
      <c r="E32" s="12"/>
      <c r="F32" s="12"/>
      <c r="G32" s="12"/>
      <c r="H32" s="12"/>
    </row>
    <row r="33" customFormat="false" ht="12.65" hidden="false" customHeight="false" outlineLevel="0" collapsed="false">
      <c r="A33" s="12" t="s">
        <v>130</v>
      </c>
      <c r="B33" s="12"/>
      <c r="C33" s="12"/>
      <c r="D33" s="12"/>
      <c r="E33" s="12"/>
      <c r="F33" s="12"/>
      <c r="G33" s="12"/>
      <c r="H33" s="12"/>
    </row>
    <row r="34" customFormat="false" ht="12.65" hidden="false" customHeight="false" outlineLevel="0" collapsed="false">
      <c r="A34" s="12" t="s">
        <v>131</v>
      </c>
      <c r="B34" s="12"/>
      <c r="C34" s="12"/>
      <c r="D34" s="12"/>
      <c r="E34" s="12"/>
      <c r="F34" s="12"/>
      <c r="G34" s="12"/>
      <c r="H34" s="12"/>
    </row>
  </sheetData>
  <mergeCells count="6">
    <mergeCell ref="A1:G1"/>
    <mergeCell ref="A2:G2"/>
    <mergeCell ref="A31:H31"/>
    <mergeCell ref="A32:H32"/>
    <mergeCell ref="A33:H33"/>
    <mergeCell ref="A34:H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J4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3" min="2" style="0" width="11"/>
    <col collapsed="false" customWidth="true" hidden="false" outlineLevel="0" max="4" min="4" style="0" width="13"/>
    <col collapsed="false" customWidth="true" hidden="false" outlineLevel="0" max="5" min="5" style="0" width="9"/>
    <col collapsed="false" customWidth="true" hidden="false" outlineLevel="0" max="6" min="6" style="0" width="11"/>
    <col collapsed="false" customWidth="true" hidden="false" outlineLevel="0" max="7" min="7" style="0" width="10"/>
    <col collapsed="false" customWidth="true" hidden="false" outlineLevel="0" max="8" min="8" style="0" width="12"/>
    <col collapsed="false" customWidth="true" hidden="false" outlineLevel="0" max="9" min="9" style="0" width="11"/>
    <col collapsed="false" customWidth="true" hidden="false" outlineLevel="0" max="10" min="10" style="0" width="14"/>
  </cols>
  <sheetData>
    <row r="1" customFormat="false" ht="17.9" hidden="false" customHeight="false" outlineLevel="0" collapsed="false">
      <c r="A1" s="1" t="s">
        <v>132</v>
      </c>
      <c r="B1" s="1"/>
      <c r="C1" s="1"/>
      <c r="D1" s="1"/>
      <c r="E1" s="1"/>
      <c r="F1" s="1"/>
      <c r="G1" s="1"/>
      <c r="H1" s="1"/>
      <c r="I1" s="1"/>
      <c r="J1" s="1"/>
    </row>
    <row r="2" customFormat="false" ht="15" hidden="false" customHeight="false" outlineLevel="0" collapsed="false">
      <c r="A2" s="2" t="s">
        <v>133</v>
      </c>
      <c r="B2" s="2"/>
      <c r="C2" s="2"/>
      <c r="D2" s="2"/>
      <c r="E2" s="2"/>
      <c r="F2" s="2"/>
      <c r="G2" s="2"/>
      <c r="H2" s="2"/>
      <c r="I2" s="2"/>
      <c r="J2" s="2"/>
    </row>
    <row r="4" customFormat="false" ht="14.15" hidden="false" customHeight="false" outlineLevel="0" collapsed="false">
      <c r="A4" s="18" t="str">
        <f aca="false">'الإعدادات واللجنة'!$B$4</f>
        <v>بكالوريوس ... (البرنامج الأول)</v>
      </c>
      <c r="B4" s="18"/>
      <c r="C4" s="18"/>
      <c r="D4" s="18"/>
      <c r="E4" s="18"/>
      <c r="F4" s="18"/>
      <c r="G4" s="18"/>
      <c r="H4" s="18"/>
      <c r="I4" s="18"/>
      <c r="J4" s="18"/>
    </row>
    <row r="5" customFormat="false" ht="15" hidden="false" customHeight="false" outlineLevel="0" collapsed="false">
      <c r="A5" s="3" t="s">
        <v>134</v>
      </c>
      <c r="B5" s="3" t="s">
        <v>115</v>
      </c>
      <c r="C5" s="3" t="s">
        <v>135</v>
      </c>
      <c r="D5" s="3" t="s">
        <v>136</v>
      </c>
      <c r="E5" s="3" t="s">
        <v>137</v>
      </c>
      <c r="F5" s="3" t="s">
        <v>138</v>
      </c>
      <c r="G5" s="3" t="s">
        <v>139</v>
      </c>
      <c r="H5" s="3" t="s">
        <v>140</v>
      </c>
      <c r="I5" s="3" t="s">
        <v>141</v>
      </c>
      <c r="J5" s="3" t="s">
        <v>142</v>
      </c>
    </row>
    <row r="6" customFormat="false" ht="15" hidden="false" customHeight="false" outlineLevel="0" collapsed="false">
      <c r="A6" s="17" t="s">
        <v>143</v>
      </c>
      <c r="B6" s="4" t="n">
        <f aca="false">COUNTIFS('فحص-البرنامج1'!$B:$B,"1. إدارة البرنامج وضمان جودته")</f>
        <v>52</v>
      </c>
      <c r="C6" s="4" t="n">
        <f aca="false">COUNTIFS('فحص-البرنامج1'!$B:$B,"1. إدارة البرنامج وضمان جودته",'فحص-البرنامج1'!$I:$I,"&lt;&gt;")</f>
        <v>0</v>
      </c>
      <c r="D6" s="19" t="n">
        <f aca="false">IF(B6=0,0,C6/B6)</f>
        <v>0</v>
      </c>
      <c r="E6" s="4" t="n">
        <f aca="false">COUNTIFS('فحص-البرنامج1'!$B:$B,"1. إدارة البرنامج وضمان جودته",'فحص-البرنامج1'!$I:$I,"متوفر")</f>
        <v>0</v>
      </c>
      <c r="F6" s="4" t="n">
        <f aca="false">COUNTIFS('فحص-البرنامج1'!$B:$B,"1. إدارة البرنامج وضمان جودته",'فحص-البرنامج1'!$I:$I,"متوفر جزئياً")</f>
        <v>0</v>
      </c>
      <c r="G6" s="4" t="n">
        <f aca="false">COUNTIFS('فحص-البرنامج1'!$B:$B,"1. إدارة البرنامج وضمان جودته",'فحص-البرنامج1'!$I:$I,"غير متوفر")</f>
        <v>0</v>
      </c>
      <c r="H6" s="19" t="n">
        <f aca="false">IF(B6=0,0,SUMIFS('فحص-البرنامج1'!$O:$O,'فحص-البرنامج1'!$B:$B,"1. إدارة البرنامج وضمان جودته")/(5*B6))</f>
        <v>0</v>
      </c>
      <c r="I6" s="4" t="n">
        <f aca="false">COUNTIFS('فحص-البرنامج1'!$B:$B,"1. إدارة البرنامج وضمان جودته",'فحص-البرنامج1'!$Q:$Q,"نعم")</f>
        <v>0</v>
      </c>
      <c r="J6" s="4" t="n">
        <f aca="false">COUNTIFS('فحص-البرنامج1'!$B:$B,"1. إدارة البرنامج وضمان جودته",'فحص-البرنامج1'!$R:$R,"عالية")</f>
        <v>0</v>
      </c>
    </row>
    <row r="7" customFormat="false" ht="15" hidden="false" customHeight="false" outlineLevel="0" collapsed="false">
      <c r="A7" s="17" t="s">
        <v>144</v>
      </c>
      <c r="B7" s="4" t="n">
        <f aca="false">COUNTIFS('فحص-البرنامج1'!$B:$B,"2. التعليم والتعلم")</f>
        <v>75</v>
      </c>
      <c r="C7" s="4" t="n">
        <f aca="false">COUNTIFS('فحص-البرنامج1'!$B:$B,"2. التعليم والتعلم",'فحص-البرنامج1'!$I:$I,"&lt;&gt;")</f>
        <v>0</v>
      </c>
      <c r="D7" s="19" t="n">
        <f aca="false">IF(B7=0,0,C7/B7)</f>
        <v>0</v>
      </c>
      <c r="E7" s="4" t="n">
        <f aca="false">COUNTIFS('فحص-البرنامج1'!$B:$B,"2. التعليم والتعلم",'فحص-البرنامج1'!$I:$I,"متوفر")</f>
        <v>0</v>
      </c>
      <c r="F7" s="4" t="n">
        <f aca="false">COUNTIFS('فحص-البرنامج1'!$B:$B,"2. التعليم والتعلم",'فحص-البرنامج1'!$I:$I,"متوفر جزئياً")</f>
        <v>0</v>
      </c>
      <c r="G7" s="4" t="n">
        <f aca="false">COUNTIFS('فحص-البرنامج1'!$B:$B,"2. التعليم والتعلم",'فحص-البرنامج1'!$I:$I,"غير متوفر")</f>
        <v>0</v>
      </c>
      <c r="H7" s="19" t="n">
        <f aca="false">IF(B7=0,0,SUMIFS('فحص-البرنامج1'!$O:$O,'فحص-البرنامج1'!$B:$B,"2. التعليم والتعلم")/(5*B7))</f>
        <v>0</v>
      </c>
      <c r="I7" s="4" t="n">
        <f aca="false">COUNTIFS('فحص-البرنامج1'!$B:$B,"2. التعليم والتعلم",'فحص-البرنامج1'!$Q:$Q,"نعم")</f>
        <v>0</v>
      </c>
      <c r="J7" s="4" t="n">
        <f aca="false">COUNTIFS('فحص-البرنامج1'!$B:$B,"2. التعليم والتعلم",'فحص-البرنامج1'!$R:$R,"عالية")</f>
        <v>0</v>
      </c>
    </row>
    <row r="8" customFormat="false" ht="15" hidden="false" customHeight="false" outlineLevel="0" collapsed="false">
      <c r="A8" s="17" t="s">
        <v>145</v>
      </c>
      <c r="B8" s="4" t="n">
        <f aca="false">COUNTIFS('فحص-البرنامج1'!$B:$B,"3. الطالب")</f>
        <v>32</v>
      </c>
      <c r="C8" s="4" t="n">
        <f aca="false">COUNTIFS('فحص-البرنامج1'!$B:$B,"3. الطالب",'فحص-البرنامج1'!$I:$I,"&lt;&gt;")</f>
        <v>0</v>
      </c>
      <c r="D8" s="19" t="n">
        <f aca="false">IF(B8=0,0,C8/B8)</f>
        <v>0</v>
      </c>
      <c r="E8" s="4" t="n">
        <f aca="false">COUNTIFS('فحص-البرنامج1'!$B:$B,"3. الطالب",'فحص-البرنامج1'!$I:$I,"متوفر")</f>
        <v>0</v>
      </c>
      <c r="F8" s="4" t="n">
        <f aca="false">COUNTIFS('فحص-البرنامج1'!$B:$B,"3. الطالب",'فحص-البرنامج1'!$I:$I,"متوفر جزئياً")</f>
        <v>0</v>
      </c>
      <c r="G8" s="4" t="n">
        <f aca="false">COUNTIFS('فحص-البرنامج1'!$B:$B,"3. الطالب",'فحص-البرنامج1'!$I:$I,"غير متوفر")</f>
        <v>0</v>
      </c>
      <c r="H8" s="19" t="n">
        <f aca="false">IF(B8=0,0,SUMIFS('فحص-البرنامج1'!$O:$O,'فحص-البرنامج1'!$B:$B,"3. الطالب")/(5*B8))</f>
        <v>0</v>
      </c>
      <c r="I8" s="4" t="n">
        <f aca="false">COUNTIFS('فحص-البرنامج1'!$B:$B,"3. الطالب",'فحص-البرنامج1'!$Q:$Q,"نعم")</f>
        <v>0</v>
      </c>
      <c r="J8" s="4" t="n">
        <f aca="false">COUNTIFS('فحص-البرنامج1'!$B:$B,"3. الطالب",'فحص-البرنامج1'!$R:$R,"عالية")</f>
        <v>0</v>
      </c>
    </row>
    <row r="9" customFormat="false" ht="15" hidden="false" customHeight="false" outlineLevel="0" collapsed="false">
      <c r="A9" s="17" t="s">
        <v>146</v>
      </c>
      <c r="B9" s="4" t="n">
        <f aca="false">COUNTIFS('فحص-البرنامج1'!$B:$B,"4. هيئة التدريس")</f>
        <v>26</v>
      </c>
      <c r="C9" s="4" t="n">
        <f aca="false">COUNTIFS('فحص-البرنامج1'!$B:$B,"4. هيئة التدريس",'فحص-البرنامج1'!$I:$I,"&lt;&gt;")</f>
        <v>0</v>
      </c>
      <c r="D9" s="19" t="n">
        <f aca="false">IF(B9=0,0,C9/B9)</f>
        <v>0</v>
      </c>
      <c r="E9" s="4" t="n">
        <f aca="false">COUNTIFS('فحص-البرنامج1'!$B:$B,"4. هيئة التدريس",'فحص-البرنامج1'!$I:$I,"متوفر")</f>
        <v>0</v>
      </c>
      <c r="F9" s="4" t="n">
        <f aca="false">COUNTIFS('فحص-البرنامج1'!$B:$B,"4. هيئة التدريس",'فحص-البرنامج1'!$I:$I,"متوفر جزئياً")</f>
        <v>0</v>
      </c>
      <c r="G9" s="4" t="n">
        <f aca="false">COUNTIFS('فحص-البرنامج1'!$B:$B,"4. هيئة التدريس",'فحص-البرنامج1'!$I:$I,"غير متوفر")</f>
        <v>0</v>
      </c>
      <c r="H9" s="19" t="n">
        <f aca="false">IF(B9=0,0,SUMIFS('فحص-البرنامج1'!$O:$O,'فحص-البرنامج1'!$B:$B,"4. هيئة التدريس")/(5*B9))</f>
        <v>0</v>
      </c>
      <c r="I9" s="4" t="n">
        <f aca="false">COUNTIFS('فحص-البرنامج1'!$B:$B,"4. هيئة التدريس",'فحص-البرنامج1'!$Q:$Q,"نعم")</f>
        <v>0</v>
      </c>
      <c r="J9" s="4" t="n">
        <f aca="false">COUNTIFS('فحص-البرنامج1'!$B:$B,"4. هيئة التدريس",'فحص-البرنامج1'!$R:$R,"عالية")</f>
        <v>0</v>
      </c>
    </row>
    <row r="10" customFormat="false" ht="15" hidden="false" customHeight="false" outlineLevel="0" collapsed="false">
      <c r="A10" s="17" t="s">
        <v>147</v>
      </c>
      <c r="B10" s="4" t="n">
        <f aca="false">COUNTIFS('فحص-البرنامج1'!$B:$B,"5. مصادر التعلم والمرافق والتجهيزات")</f>
        <v>19</v>
      </c>
      <c r="C10" s="4" t="n">
        <f aca="false">COUNTIFS('فحص-البرنامج1'!$B:$B,"5. مصادر التعلم والمرافق والتجهيزات",'فحص-البرنامج1'!$I:$I,"&lt;&gt;")</f>
        <v>0</v>
      </c>
      <c r="D10" s="19" t="n">
        <f aca="false">IF(B10=0,0,C10/B10)</f>
        <v>0</v>
      </c>
      <c r="E10" s="4" t="n">
        <f aca="false">COUNTIFS('فحص-البرنامج1'!$B:$B,"5. مصادر التعلم والمرافق والتجهيزات",'فحص-البرنامج1'!$I:$I,"متوفر")</f>
        <v>0</v>
      </c>
      <c r="F10" s="4" t="n">
        <f aca="false">COUNTIFS('فحص-البرنامج1'!$B:$B,"5. مصادر التعلم والمرافق والتجهيزات",'فحص-البرنامج1'!$I:$I,"متوفر جزئياً")</f>
        <v>0</v>
      </c>
      <c r="G10" s="4" t="n">
        <f aca="false">COUNTIFS('فحص-البرنامج1'!$B:$B,"5. مصادر التعلم والمرافق والتجهيزات",'فحص-البرنامج1'!$I:$I,"غير متوفر")</f>
        <v>0</v>
      </c>
      <c r="H10" s="19" t="n">
        <f aca="false">IF(B10=0,0,SUMIFS('فحص-البرنامج1'!$O:$O,'فحص-البرنامج1'!$B:$B,"5. مصادر التعلم والمرافق والتجهيزات")/(5*B10))</f>
        <v>0</v>
      </c>
      <c r="I10" s="4" t="n">
        <f aca="false">COUNTIFS('فحص-البرنامج1'!$B:$B,"5. مصادر التعلم والمرافق والتجهيزات",'فحص-البرنامج1'!$Q:$Q,"نعم")</f>
        <v>0</v>
      </c>
      <c r="J10" s="4" t="n">
        <f aca="false">COUNTIFS('فحص-البرنامج1'!$B:$B,"5. مصادر التعلم والمرافق والتجهيزات",'فحص-البرنامج1'!$R:$R,"عالية")</f>
        <v>0</v>
      </c>
    </row>
    <row r="11" customFormat="false" ht="15" hidden="false" customHeight="false" outlineLevel="0" collapsed="false">
      <c r="A11" s="17" t="s">
        <v>120</v>
      </c>
      <c r="B11" s="4" t="n">
        <f aca="false">COUNTIFS('فحص-البرنامج1'!$C:$C,"1-1 إدارة البرنامج")</f>
        <v>39</v>
      </c>
      <c r="C11" s="4" t="n">
        <f aca="false">COUNTIFS('فحص-البرنامج1'!$C:$C,"1-1 إدارة البرنامج",'فحص-البرنامج1'!$I:$I,"&lt;&gt;")</f>
        <v>0</v>
      </c>
      <c r="D11" s="19" t="n">
        <f aca="false">IF(B11=0,0,C11/B11)</f>
        <v>0</v>
      </c>
      <c r="E11" s="4" t="n">
        <f aca="false">COUNTIFS('فحص-البرنامج1'!$C:$C,"1-1 إدارة البرنامج",'فحص-البرنامج1'!$I:$I,"متوفر")</f>
        <v>0</v>
      </c>
      <c r="F11" s="4" t="n">
        <f aca="false">COUNTIFS('فحص-البرنامج1'!$C:$C,"1-1 إدارة البرنامج",'فحص-البرنامج1'!$I:$I,"متوفر جزئياً")</f>
        <v>0</v>
      </c>
      <c r="G11" s="4" t="n">
        <f aca="false">COUNTIFS('فحص-البرنامج1'!$C:$C,"1-1 إدارة البرنامج",'فحص-البرنامج1'!$I:$I,"غير متوفر")</f>
        <v>0</v>
      </c>
      <c r="H11" s="19" t="n">
        <f aca="false">IF(B11=0,0,SUMIFS('فحص-البرنامج1'!$O:$O,'فحص-البرنامج1'!$C:$C,"1-1 إدارة البرنامج")/(5*B11))</f>
        <v>0</v>
      </c>
      <c r="I11" s="4" t="n">
        <f aca="false">COUNTIFS('فحص-البرنامج1'!$C:$C,"1-1 إدارة البرنامج",'فحص-البرنامج1'!$Q:$Q,"نعم")</f>
        <v>0</v>
      </c>
      <c r="J11" s="4" t="n">
        <f aca="false">COUNTIFS('فحص-البرنامج1'!$C:$C,"1-1 إدارة البرنامج",'فحص-البرنامج1'!$R:$R,"عالية")</f>
        <v>0</v>
      </c>
    </row>
    <row r="12" customFormat="false" ht="15" hidden="false" customHeight="false" outlineLevel="0" collapsed="false">
      <c r="A12" s="17" t="s">
        <v>121</v>
      </c>
      <c r="B12" s="4" t="n">
        <f aca="false">COUNTIFS('فحص-البرنامج1'!$C:$C,"2-1 ضمان جودة البرنامج")</f>
        <v>13</v>
      </c>
      <c r="C12" s="4" t="n">
        <f aca="false">COUNTIFS('فحص-البرنامج1'!$C:$C,"2-1 ضمان جودة البرنامج",'فحص-البرنامج1'!$I:$I,"&lt;&gt;")</f>
        <v>0</v>
      </c>
      <c r="D12" s="19" t="n">
        <f aca="false">IF(B12=0,0,C12/B12)</f>
        <v>0</v>
      </c>
      <c r="E12" s="4" t="n">
        <f aca="false">COUNTIFS('فحص-البرنامج1'!$C:$C,"2-1 ضمان جودة البرنامج",'فحص-البرنامج1'!$I:$I,"متوفر")</f>
        <v>0</v>
      </c>
      <c r="F12" s="4" t="n">
        <f aca="false">COUNTIFS('فحص-البرنامج1'!$C:$C,"2-1 ضمان جودة البرنامج",'فحص-البرنامج1'!$I:$I,"متوفر جزئياً")</f>
        <v>0</v>
      </c>
      <c r="G12" s="4" t="n">
        <f aca="false">COUNTIFS('فحص-البرنامج1'!$C:$C,"2-1 ضمان جودة البرنامج",'فحص-البرنامج1'!$I:$I,"غير متوفر")</f>
        <v>0</v>
      </c>
      <c r="H12" s="19" t="n">
        <f aca="false">IF(B12=0,0,SUMIFS('فحص-البرنامج1'!$O:$O,'فحص-البرنامج1'!$C:$C,"2-1 ضمان جودة البرنامج")/(5*B12))</f>
        <v>0</v>
      </c>
      <c r="I12" s="4" t="n">
        <f aca="false">COUNTIFS('فحص-البرنامج1'!$C:$C,"2-1 ضمان جودة البرنامج",'فحص-البرنامج1'!$Q:$Q,"نعم")</f>
        <v>0</v>
      </c>
      <c r="J12" s="4" t="n">
        <f aca="false">COUNTIFS('فحص-البرنامج1'!$C:$C,"2-1 ضمان جودة البرنامج",'فحص-البرنامج1'!$R:$R,"عالية")</f>
        <v>0</v>
      </c>
    </row>
    <row r="13" customFormat="false" ht="15" hidden="false" customHeight="false" outlineLevel="0" collapsed="false">
      <c r="A13" s="17" t="s">
        <v>122</v>
      </c>
      <c r="B13" s="4" t="n">
        <f aca="false">COUNTIFS('فحص-البرنامج1'!$C:$C,"1-2 نواتج التعلم")</f>
        <v>25</v>
      </c>
      <c r="C13" s="4" t="n">
        <f aca="false">COUNTIFS('فحص-البرنامج1'!$C:$C,"1-2 نواتج التعلم",'فحص-البرنامج1'!$I:$I,"&lt;&gt;")</f>
        <v>0</v>
      </c>
      <c r="D13" s="19" t="n">
        <f aca="false">IF(B13=0,0,C13/B13)</f>
        <v>0</v>
      </c>
      <c r="E13" s="4" t="n">
        <f aca="false">COUNTIFS('فحص-البرنامج1'!$C:$C,"1-2 نواتج التعلم",'فحص-البرنامج1'!$I:$I,"متوفر")</f>
        <v>0</v>
      </c>
      <c r="F13" s="4" t="n">
        <f aca="false">COUNTIFS('فحص-البرنامج1'!$C:$C,"1-2 نواتج التعلم",'فحص-البرنامج1'!$I:$I,"متوفر جزئياً")</f>
        <v>0</v>
      </c>
      <c r="G13" s="4" t="n">
        <f aca="false">COUNTIFS('فحص-البرنامج1'!$C:$C,"1-2 نواتج التعلم",'فحص-البرنامج1'!$I:$I,"غير متوفر")</f>
        <v>0</v>
      </c>
      <c r="H13" s="19" t="n">
        <f aca="false">IF(B13=0,0,SUMIFS('فحص-البرنامج1'!$O:$O,'فحص-البرنامج1'!$C:$C,"1-2 نواتج التعلم")/(5*B13))</f>
        <v>0</v>
      </c>
      <c r="I13" s="4" t="n">
        <f aca="false">COUNTIFS('فحص-البرنامج1'!$C:$C,"1-2 نواتج التعلم",'فحص-البرنامج1'!$Q:$Q,"نعم")</f>
        <v>0</v>
      </c>
      <c r="J13" s="4" t="n">
        <f aca="false">COUNTIFS('فحص-البرنامج1'!$C:$C,"1-2 نواتج التعلم",'فحص-البرنامج1'!$R:$R,"عالية")</f>
        <v>0</v>
      </c>
    </row>
    <row r="14" customFormat="false" ht="15" hidden="false" customHeight="false" outlineLevel="0" collapsed="false">
      <c r="A14" s="17" t="s">
        <v>123</v>
      </c>
      <c r="B14" s="4" t="n">
        <f aca="false">COUNTIFS('فحص-البرنامج1'!$C:$C,"2-2 المنهج الدراسي")</f>
        <v>25</v>
      </c>
      <c r="C14" s="4" t="n">
        <f aca="false">COUNTIFS('فحص-البرنامج1'!$C:$C,"2-2 المنهج الدراسي",'فحص-البرنامج1'!$I:$I,"&lt;&gt;")</f>
        <v>0</v>
      </c>
      <c r="D14" s="19" t="n">
        <f aca="false">IF(B14=0,0,C14/B14)</f>
        <v>0</v>
      </c>
      <c r="E14" s="4" t="n">
        <f aca="false">COUNTIFS('فحص-البرنامج1'!$C:$C,"2-2 المنهج الدراسي",'فحص-البرنامج1'!$I:$I,"متوفر")</f>
        <v>0</v>
      </c>
      <c r="F14" s="4" t="n">
        <f aca="false">COUNTIFS('فحص-البرنامج1'!$C:$C,"2-2 المنهج الدراسي",'فحص-البرنامج1'!$I:$I,"متوفر جزئياً")</f>
        <v>0</v>
      </c>
      <c r="G14" s="4" t="n">
        <f aca="false">COUNTIFS('فحص-البرنامج1'!$C:$C,"2-2 المنهج الدراسي",'فحص-البرنامج1'!$I:$I,"غير متوفر")</f>
        <v>0</v>
      </c>
      <c r="H14" s="19" t="n">
        <f aca="false">IF(B14=0,0,SUMIFS('فحص-البرنامج1'!$O:$O,'فحص-البرنامج1'!$C:$C,"2-2 المنهج الدراسي")/(5*B14))</f>
        <v>0</v>
      </c>
      <c r="I14" s="4" t="n">
        <f aca="false">COUNTIFS('فحص-البرنامج1'!$C:$C,"2-2 المنهج الدراسي",'فحص-البرنامج1'!$Q:$Q,"نعم")</f>
        <v>0</v>
      </c>
      <c r="J14" s="4" t="n">
        <f aca="false">COUNTIFS('فحص-البرنامج1'!$C:$C,"2-2 المنهج الدراسي",'فحص-البرنامج1'!$R:$R,"عالية")</f>
        <v>0</v>
      </c>
    </row>
    <row r="15" customFormat="false" ht="15" hidden="false" customHeight="false" outlineLevel="0" collapsed="false">
      <c r="A15" s="17" t="s">
        <v>124</v>
      </c>
      <c r="B15" s="4" t="n">
        <f aca="false">COUNTIFS('فحص-البرنامج1'!$C:$C,"3-2 جودة التدريس وتقييم الطالب")</f>
        <v>25</v>
      </c>
      <c r="C15" s="4" t="n">
        <f aca="false">COUNTIFS('فحص-البرنامج1'!$C:$C,"3-2 جودة التدريس وتقييم الطالب",'فحص-البرنامج1'!$I:$I,"&lt;&gt;")</f>
        <v>0</v>
      </c>
      <c r="D15" s="19" t="n">
        <f aca="false">IF(B15=0,0,C15/B15)</f>
        <v>0</v>
      </c>
      <c r="E15" s="4" t="n">
        <f aca="false">COUNTIFS('فحص-البرنامج1'!$C:$C,"3-2 جودة التدريس وتقييم الطالب",'فحص-البرنامج1'!$I:$I,"متوفر")</f>
        <v>0</v>
      </c>
      <c r="F15" s="4" t="n">
        <f aca="false">COUNTIFS('فحص-البرنامج1'!$C:$C,"3-2 جودة التدريس وتقييم الطالب",'فحص-البرنامج1'!$I:$I,"متوفر جزئياً")</f>
        <v>0</v>
      </c>
      <c r="G15" s="4" t="n">
        <f aca="false">COUNTIFS('فحص-البرنامج1'!$C:$C,"3-2 جودة التدريس وتقييم الطالب",'فحص-البرنامج1'!$I:$I,"غير متوفر")</f>
        <v>0</v>
      </c>
      <c r="H15" s="19" t="n">
        <f aca="false">IF(B15=0,0,SUMIFS('فحص-البرنامج1'!$O:$O,'فحص-البرنامج1'!$C:$C,"3-2 جودة التدريس وتقييم الطالب")/(5*B15))</f>
        <v>0</v>
      </c>
      <c r="I15" s="4" t="n">
        <f aca="false">COUNTIFS('فحص-البرنامج1'!$C:$C,"3-2 جودة التدريس وتقييم الطالب",'فحص-البرنامج1'!$Q:$Q,"نعم")</f>
        <v>0</v>
      </c>
      <c r="J15" s="4" t="n">
        <f aca="false">COUNTIFS('فحص-البرنامج1'!$C:$C,"3-2 جودة التدريس وتقييم الطالب",'فحص-البرنامج1'!$R:$R,"عالية")</f>
        <v>0</v>
      </c>
    </row>
    <row r="16" customFormat="false" ht="15" hidden="false" customHeight="false" outlineLevel="0" collapsed="false">
      <c r="A16" s="17" t="s">
        <v>125</v>
      </c>
      <c r="B16" s="4" t="n">
        <f aca="false">COUNTIFS('فحص-البرنامج1'!$C:$C,"3 معايير الطالب")</f>
        <v>32</v>
      </c>
      <c r="C16" s="4" t="n">
        <f aca="false">COUNTIFS('فحص-البرنامج1'!$C:$C,"3 معايير الطالب",'فحص-البرنامج1'!$I:$I,"&lt;&gt;")</f>
        <v>0</v>
      </c>
      <c r="D16" s="19" t="n">
        <f aca="false">IF(B16=0,0,C16/B16)</f>
        <v>0</v>
      </c>
      <c r="E16" s="4" t="n">
        <f aca="false">COUNTIFS('فحص-البرنامج1'!$C:$C,"3 معايير الطالب",'فحص-البرنامج1'!$I:$I,"متوفر")</f>
        <v>0</v>
      </c>
      <c r="F16" s="4" t="n">
        <f aca="false">COUNTIFS('فحص-البرنامج1'!$C:$C,"3 معايير الطالب",'فحص-البرنامج1'!$I:$I,"متوفر جزئياً")</f>
        <v>0</v>
      </c>
      <c r="G16" s="4" t="n">
        <f aca="false">COUNTIFS('فحص-البرنامج1'!$C:$C,"3 معايير الطالب",'فحص-البرنامج1'!$I:$I,"غير متوفر")</f>
        <v>0</v>
      </c>
      <c r="H16" s="19" t="n">
        <f aca="false">IF(B16=0,0,SUMIFS('فحص-البرنامج1'!$O:$O,'فحص-البرنامج1'!$C:$C,"3 معايير الطالب")/(5*B16))</f>
        <v>0</v>
      </c>
      <c r="I16" s="4" t="n">
        <f aca="false">COUNTIFS('فحص-البرنامج1'!$C:$C,"3 معايير الطالب",'فحص-البرنامج1'!$Q:$Q,"نعم")</f>
        <v>0</v>
      </c>
      <c r="J16" s="4" t="n">
        <f aca="false">COUNTIFS('فحص-البرنامج1'!$C:$C,"3 معايير الطالب",'فحص-البرنامج1'!$R:$R,"عالية")</f>
        <v>0</v>
      </c>
    </row>
    <row r="17" customFormat="false" ht="15" hidden="false" customHeight="false" outlineLevel="0" collapsed="false">
      <c r="A17" s="17" t="s">
        <v>126</v>
      </c>
      <c r="B17" s="4" t="n">
        <f aca="false">COUNTIFS('فحص-البرنامج1'!$C:$C,"4 معايير هيئة التدريس")</f>
        <v>26</v>
      </c>
      <c r="C17" s="4" t="n">
        <f aca="false">COUNTIFS('فحص-البرنامج1'!$C:$C,"4 معايير هيئة التدريس",'فحص-البرنامج1'!$I:$I,"&lt;&gt;")</f>
        <v>0</v>
      </c>
      <c r="D17" s="19" t="n">
        <f aca="false">IF(B17=0,0,C17/B17)</f>
        <v>0</v>
      </c>
      <c r="E17" s="4" t="n">
        <f aca="false">COUNTIFS('فحص-البرنامج1'!$C:$C,"4 معايير هيئة التدريس",'فحص-البرنامج1'!$I:$I,"متوفر")</f>
        <v>0</v>
      </c>
      <c r="F17" s="4" t="n">
        <f aca="false">COUNTIFS('فحص-البرنامج1'!$C:$C,"4 معايير هيئة التدريس",'فحص-البرنامج1'!$I:$I,"متوفر جزئياً")</f>
        <v>0</v>
      </c>
      <c r="G17" s="4" t="n">
        <f aca="false">COUNTIFS('فحص-البرنامج1'!$C:$C,"4 معايير هيئة التدريس",'فحص-البرنامج1'!$I:$I,"غير متوفر")</f>
        <v>0</v>
      </c>
      <c r="H17" s="19" t="n">
        <f aca="false">IF(B17=0,0,SUMIFS('فحص-البرنامج1'!$O:$O,'فحص-البرنامج1'!$C:$C,"4 معايير هيئة التدريس")/(5*B17))</f>
        <v>0</v>
      </c>
      <c r="I17" s="4" t="n">
        <f aca="false">COUNTIFS('فحص-البرنامج1'!$C:$C,"4 معايير هيئة التدريس",'فحص-البرنامج1'!$Q:$Q,"نعم")</f>
        <v>0</v>
      </c>
      <c r="J17" s="4" t="n">
        <f aca="false">COUNTIFS('فحص-البرنامج1'!$C:$C,"4 معايير هيئة التدريس",'فحص-البرنامج1'!$R:$R,"عالية")</f>
        <v>0</v>
      </c>
    </row>
    <row r="18" customFormat="false" ht="15" hidden="false" customHeight="false" outlineLevel="0" collapsed="false">
      <c r="A18" s="17" t="s">
        <v>127</v>
      </c>
      <c r="B18" s="4" t="n">
        <f aca="false">COUNTIFS('فحص-البرنامج1'!$C:$C,"5 معايير مصادر التعلم والمرافق والتجهيزات")</f>
        <v>19</v>
      </c>
      <c r="C18" s="4" t="n">
        <f aca="false">COUNTIFS('فحص-البرنامج1'!$C:$C,"5 معايير مصادر التعلم والمرافق والتجهيزات",'فحص-البرنامج1'!$I:$I,"&lt;&gt;")</f>
        <v>0</v>
      </c>
      <c r="D18" s="19" t="n">
        <f aca="false">IF(B18=0,0,C18/B18)</f>
        <v>0</v>
      </c>
      <c r="E18" s="4" t="n">
        <f aca="false">COUNTIFS('فحص-البرنامج1'!$C:$C,"5 معايير مصادر التعلم والمرافق والتجهيزات",'فحص-البرنامج1'!$I:$I,"متوفر")</f>
        <v>0</v>
      </c>
      <c r="F18" s="4" t="n">
        <f aca="false">COUNTIFS('فحص-البرنامج1'!$C:$C,"5 معايير مصادر التعلم والمرافق والتجهيزات",'فحص-البرنامج1'!$I:$I,"متوفر جزئياً")</f>
        <v>0</v>
      </c>
      <c r="G18" s="4" t="n">
        <f aca="false">COUNTIFS('فحص-البرنامج1'!$C:$C,"5 معايير مصادر التعلم والمرافق والتجهيزات",'فحص-البرنامج1'!$I:$I,"غير متوفر")</f>
        <v>0</v>
      </c>
      <c r="H18" s="19" t="n">
        <f aca="false">IF(B18=0,0,SUMIFS('فحص-البرنامج1'!$O:$O,'فحص-البرنامج1'!$C:$C,"5 معايير مصادر التعلم والمرافق والتجهيزات")/(5*B18))</f>
        <v>0</v>
      </c>
      <c r="I18" s="4" t="n">
        <f aca="false">COUNTIFS('فحص-البرنامج1'!$C:$C,"5 معايير مصادر التعلم والمرافق والتجهيزات",'فحص-البرنامج1'!$Q:$Q,"نعم")</f>
        <v>0</v>
      </c>
      <c r="J18" s="4" t="n">
        <f aca="false">COUNTIFS('فحص-البرنامج1'!$C:$C,"5 معايير مصادر التعلم والمرافق والتجهيزات",'فحص-البرنامج1'!$R:$R,"عالية")</f>
        <v>0</v>
      </c>
    </row>
    <row r="19" customFormat="false" ht="15" hidden="false" customHeight="false" outlineLevel="0" collapsed="false">
      <c r="A19" s="13" t="s">
        <v>148</v>
      </c>
      <c r="B19" s="20" t="n">
        <f aca="false">COUNTIFS('فحص-البرنامج1'!$E:$E,"نعم")</f>
        <v>66</v>
      </c>
      <c r="C19" s="20" t="n">
        <f aca="false">COUNTIFS('فحص-البرنامج1'!$E:$E,"نعم",'فحص-البرنامج1'!$I:$I,"&lt;&gt;")</f>
        <v>0</v>
      </c>
      <c r="D19" s="21" t="n">
        <f aca="false">IF(B19=0,0,C19/B19)</f>
        <v>0</v>
      </c>
      <c r="E19" s="20" t="n">
        <f aca="false">COUNTIFS('فحص-البرنامج1'!$E:$E,"نعم",'فحص-البرنامج1'!$I:$I,"متوفر")</f>
        <v>0</v>
      </c>
      <c r="F19" s="20" t="n">
        <f aca="false">COUNTIFS('فحص-البرنامج1'!$E:$E,"نعم",'فحص-البرنامج1'!$I:$I,"متوفر جزئياً")</f>
        <v>0</v>
      </c>
      <c r="G19" s="20" t="n">
        <f aca="false">COUNTIFS('فحص-البرنامج1'!$E:$E,"نعم",'فحص-البرنامج1'!$I:$I,"غير متوفر")</f>
        <v>0</v>
      </c>
      <c r="H19" s="21" t="n">
        <f aca="false">IF(B19=0,0,SUMIFS('فحص-البرنامج1'!$O:$O,'فحص-البرنامج1'!$E:$E,"نعم")/(5*B19))</f>
        <v>0</v>
      </c>
      <c r="I19" s="20" t="n">
        <f aca="false">COUNTIFS('فحص-البرنامج1'!$E:$E,"نعم",'فحص-البرنامج1'!$Q:$Q,"نعم")</f>
        <v>0</v>
      </c>
      <c r="J19" s="20" t="n">
        <f aca="false">COUNTIFS('فحص-البرنامج1'!$E:$E,"نعم",'فحص-البرنامج1'!$R:$R,"عالية")</f>
        <v>0</v>
      </c>
    </row>
    <row r="20" customFormat="false" ht="15" hidden="false" customHeight="false" outlineLevel="0" collapsed="false">
      <c r="A20" s="13" t="s">
        <v>149</v>
      </c>
      <c r="B20" s="20" t="n">
        <f aca="false">COUNTA('فحص-البرنامج1'!$G$5:$G$208)</f>
        <v>204</v>
      </c>
      <c r="C20" s="20" t="n">
        <f aca="false">COUNTA('فحص-البرنامج1'!$I$5:$I$208)</f>
        <v>0</v>
      </c>
      <c r="D20" s="21" t="n">
        <f aca="false">IF(B20=0,0,C20/B20)</f>
        <v>0</v>
      </c>
      <c r="E20" s="20" t="n">
        <f aca="false">COUNTIFS('فحص-البرنامج1'!$I:$I,"متوفر")</f>
        <v>0</v>
      </c>
      <c r="F20" s="20" t="n">
        <f aca="false">COUNTIFS('فحص-البرنامج1'!$I:$I,"متوفر جزئياً")</f>
        <v>0</v>
      </c>
      <c r="G20" s="20" t="n">
        <f aca="false">COUNTIFS('فحص-البرنامج1'!$I:$I,"غير متوفر")</f>
        <v>0</v>
      </c>
      <c r="H20" s="21" t="n">
        <f aca="false">IF(B20=0,0,SUM('فحص-البرنامج1'!$O$5:$O$208)/(5*B20))</f>
        <v>0</v>
      </c>
      <c r="I20" s="20" t="n">
        <f aca="false">COUNTIFS('فحص-البرنامج1'!$Q:$Q,"نعم")</f>
        <v>0</v>
      </c>
      <c r="J20" s="20" t="n">
        <f aca="false">COUNTIFS('فحص-البرنامج1'!$R:$R,"عالية")</f>
        <v>0</v>
      </c>
    </row>
    <row r="22" customFormat="false" ht="14.15" hidden="false" customHeight="false" outlineLevel="0" collapsed="false">
      <c r="A22" s="18" t="str">
        <f aca="false">'الإعدادات واللجنة'!$B$5</f>
        <v>بكالوريوس ... (البرنامج الثاني)</v>
      </c>
      <c r="B22" s="18"/>
      <c r="C22" s="18"/>
      <c r="D22" s="18"/>
      <c r="E22" s="18"/>
      <c r="F22" s="18"/>
      <c r="G22" s="18"/>
      <c r="H22" s="18"/>
      <c r="I22" s="18"/>
      <c r="J22" s="18"/>
    </row>
    <row r="23" customFormat="false" ht="15" hidden="false" customHeight="false" outlineLevel="0" collapsed="false">
      <c r="A23" s="3" t="s">
        <v>134</v>
      </c>
      <c r="B23" s="3" t="s">
        <v>115</v>
      </c>
      <c r="C23" s="3" t="s">
        <v>135</v>
      </c>
      <c r="D23" s="3" t="s">
        <v>136</v>
      </c>
      <c r="E23" s="3" t="s">
        <v>137</v>
      </c>
      <c r="F23" s="3" t="s">
        <v>138</v>
      </c>
      <c r="G23" s="3" t="s">
        <v>139</v>
      </c>
      <c r="H23" s="3" t="s">
        <v>140</v>
      </c>
      <c r="I23" s="3" t="s">
        <v>141</v>
      </c>
      <c r="J23" s="3" t="s">
        <v>142</v>
      </c>
    </row>
    <row r="24" customFormat="false" ht="15" hidden="false" customHeight="false" outlineLevel="0" collapsed="false">
      <c r="A24" s="17" t="s">
        <v>143</v>
      </c>
      <c r="B24" s="4" t="n">
        <f aca="false">COUNTIFS('فحص-البرنامج2'!$B:$B,"1. إدارة البرنامج وضمان جودته")</f>
        <v>52</v>
      </c>
      <c r="C24" s="4" t="n">
        <f aca="false">COUNTIFS('فحص-البرنامج2'!$B:$B,"1. إدارة البرنامج وضمان جودته",'فحص-البرنامج2'!$I:$I,"&lt;&gt;")</f>
        <v>0</v>
      </c>
      <c r="D24" s="19" t="n">
        <f aca="false">IF(B24=0,0,C24/B24)</f>
        <v>0</v>
      </c>
      <c r="E24" s="4" t="n">
        <f aca="false">COUNTIFS('فحص-البرنامج2'!$B:$B,"1. إدارة البرنامج وضمان جودته",'فحص-البرنامج2'!$I:$I,"متوفر")</f>
        <v>0</v>
      </c>
      <c r="F24" s="4" t="n">
        <f aca="false">COUNTIFS('فحص-البرنامج2'!$B:$B,"1. إدارة البرنامج وضمان جودته",'فحص-البرنامج2'!$I:$I,"متوفر جزئياً")</f>
        <v>0</v>
      </c>
      <c r="G24" s="4" t="n">
        <f aca="false">COUNTIFS('فحص-البرنامج2'!$B:$B,"1. إدارة البرنامج وضمان جودته",'فحص-البرنامج2'!$I:$I,"غير متوفر")</f>
        <v>0</v>
      </c>
      <c r="H24" s="19" t="n">
        <f aca="false">IF(B24=0,0,SUMIFS('فحص-البرنامج2'!$O:$O,'فحص-البرنامج2'!$B:$B,"1. إدارة البرنامج وضمان جودته")/(5*B24))</f>
        <v>0</v>
      </c>
      <c r="I24" s="4" t="n">
        <f aca="false">COUNTIFS('فحص-البرنامج2'!$B:$B,"1. إدارة البرنامج وضمان جودته",'فحص-البرنامج2'!$Q:$Q,"نعم")</f>
        <v>0</v>
      </c>
      <c r="J24" s="4" t="n">
        <f aca="false">COUNTIFS('فحص-البرنامج2'!$B:$B,"1. إدارة البرنامج وضمان جودته",'فحص-البرنامج2'!$R:$R,"عالية")</f>
        <v>0</v>
      </c>
    </row>
    <row r="25" customFormat="false" ht="15" hidden="false" customHeight="false" outlineLevel="0" collapsed="false">
      <c r="A25" s="17" t="s">
        <v>144</v>
      </c>
      <c r="B25" s="4" t="n">
        <f aca="false">COUNTIFS('فحص-البرنامج2'!$B:$B,"2. التعليم والتعلم")</f>
        <v>75</v>
      </c>
      <c r="C25" s="4" t="n">
        <f aca="false">COUNTIFS('فحص-البرنامج2'!$B:$B,"2. التعليم والتعلم",'فحص-البرنامج2'!$I:$I,"&lt;&gt;")</f>
        <v>0</v>
      </c>
      <c r="D25" s="19" t="n">
        <f aca="false">IF(B25=0,0,C25/B25)</f>
        <v>0</v>
      </c>
      <c r="E25" s="4" t="n">
        <f aca="false">COUNTIFS('فحص-البرنامج2'!$B:$B,"2. التعليم والتعلم",'فحص-البرنامج2'!$I:$I,"متوفر")</f>
        <v>0</v>
      </c>
      <c r="F25" s="4" t="n">
        <f aca="false">COUNTIFS('فحص-البرنامج2'!$B:$B,"2. التعليم والتعلم",'فحص-البرنامج2'!$I:$I,"متوفر جزئياً")</f>
        <v>0</v>
      </c>
      <c r="G25" s="4" t="n">
        <f aca="false">COUNTIFS('فحص-البرنامج2'!$B:$B,"2. التعليم والتعلم",'فحص-البرنامج2'!$I:$I,"غير متوفر")</f>
        <v>0</v>
      </c>
      <c r="H25" s="19" t="n">
        <f aca="false">IF(B25=0,0,SUMIFS('فحص-البرنامج2'!$O:$O,'فحص-البرنامج2'!$B:$B,"2. التعليم والتعلم")/(5*B25))</f>
        <v>0</v>
      </c>
      <c r="I25" s="4" t="n">
        <f aca="false">COUNTIFS('فحص-البرنامج2'!$B:$B,"2. التعليم والتعلم",'فحص-البرنامج2'!$Q:$Q,"نعم")</f>
        <v>0</v>
      </c>
      <c r="J25" s="4" t="n">
        <f aca="false">COUNTIFS('فحص-البرنامج2'!$B:$B,"2. التعليم والتعلم",'فحص-البرنامج2'!$R:$R,"عالية")</f>
        <v>0</v>
      </c>
    </row>
    <row r="26" customFormat="false" ht="15" hidden="false" customHeight="false" outlineLevel="0" collapsed="false">
      <c r="A26" s="17" t="s">
        <v>145</v>
      </c>
      <c r="B26" s="4" t="n">
        <f aca="false">COUNTIFS('فحص-البرنامج2'!$B:$B,"3. الطالب")</f>
        <v>32</v>
      </c>
      <c r="C26" s="4" t="n">
        <f aca="false">COUNTIFS('فحص-البرنامج2'!$B:$B,"3. الطالب",'فحص-البرنامج2'!$I:$I,"&lt;&gt;")</f>
        <v>0</v>
      </c>
      <c r="D26" s="19" t="n">
        <f aca="false">IF(B26=0,0,C26/B26)</f>
        <v>0</v>
      </c>
      <c r="E26" s="4" t="n">
        <f aca="false">COUNTIFS('فحص-البرنامج2'!$B:$B,"3. الطالب",'فحص-البرنامج2'!$I:$I,"متوفر")</f>
        <v>0</v>
      </c>
      <c r="F26" s="4" t="n">
        <f aca="false">COUNTIFS('فحص-البرنامج2'!$B:$B,"3. الطالب",'فحص-البرنامج2'!$I:$I,"متوفر جزئياً")</f>
        <v>0</v>
      </c>
      <c r="G26" s="4" t="n">
        <f aca="false">COUNTIFS('فحص-البرنامج2'!$B:$B,"3. الطالب",'فحص-البرنامج2'!$I:$I,"غير متوفر")</f>
        <v>0</v>
      </c>
      <c r="H26" s="19" t="n">
        <f aca="false">IF(B26=0,0,SUMIFS('فحص-البرنامج2'!$O:$O,'فحص-البرنامج2'!$B:$B,"3. الطالب")/(5*B26))</f>
        <v>0</v>
      </c>
      <c r="I26" s="4" t="n">
        <f aca="false">COUNTIFS('فحص-البرنامج2'!$B:$B,"3. الطالب",'فحص-البرنامج2'!$Q:$Q,"نعم")</f>
        <v>0</v>
      </c>
      <c r="J26" s="4" t="n">
        <f aca="false">COUNTIFS('فحص-البرنامج2'!$B:$B,"3. الطالب",'فحص-البرنامج2'!$R:$R,"عالية")</f>
        <v>0</v>
      </c>
    </row>
    <row r="27" customFormat="false" ht="15" hidden="false" customHeight="false" outlineLevel="0" collapsed="false">
      <c r="A27" s="17" t="s">
        <v>146</v>
      </c>
      <c r="B27" s="4" t="n">
        <f aca="false">COUNTIFS('فحص-البرنامج2'!$B:$B,"4. هيئة التدريس")</f>
        <v>26</v>
      </c>
      <c r="C27" s="4" t="n">
        <f aca="false">COUNTIFS('فحص-البرنامج2'!$B:$B,"4. هيئة التدريس",'فحص-البرنامج2'!$I:$I,"&lt;&gt;")</f>
        <v>0</v>
      </c>
      <c r="D27" s="19" t="n">
        <f aca="false">IF(B27=0,0,C27/B27)</f>
        <v>0</v>
      </c>
      <c r="E27" s="4" t="n">
        <f aca="false">COUNTIFS('فحص-البرنامج2'!$B:$B,"4. هيئة التدريس",'فحص-البرنامج2'!$I:$I,"متوفر")</f>
        <v>0</v>
      </c>
      <c r="F27" s="4" t="n">
        <f aca="false">COUNTIFS('فحص-البرنامج2'!$B:$B,"4. هيئة التدريس",'فحص-البرنامج2'!$I:$I,"متوفر جزئياً")</f>
        <v>0</v>
      </c>
      <c r="G27" s="4" t="n">
        <f aca="false">COUNTIFS('فحص-البرنامج2'!$B:$B,"4. هيئة التدريس",'فحص-البرنامج2'!$I:$I,"غير متوفر")</f>
        <v>0</v>
      </c>
      <c r="H27" s="19" t="n">
        <f aca="false">IF(B27=0,0,SUMIFS('فحص-البرنامج2'!$O:$O,'فحص-البرنامج2'!$B:$B,"4. هيئة التدريس")/(5*B27))</f>
        <v>0</v>
      </c>
      <c r="I27" s="4" t="n">
        <f aca="false">COUNTIFS('فحص-البرنامج2'!$B:$B,"4. هيئة التدريس",'فحص-البرنامج2'!$Q:$Q,"نعم")</f>
        <v>0</v>
      </c>
      <c r="J27" s="4" t="n">
        <f aca="false">COUNTIFS('فحص-البرنامج2'!$B:$B,"4. هيئة التدريس",'فحص-البرنامج2'!$R:$R,"عالية")</f>
        <v>0</v>
      </c>
    </row>
    <row r="28" customFormat="false" ht="15" hidden="false" customHeight="false" outlineLevel="0" collapsed="false">
      <c r="A28" s="17" t="s">
        <v>147</v>
      </c>
      <c r="B28" s="4" t="n">
        <f aca="false">COUNTIFS('فحص-البرنامج2'!$B:$B,"5. مصادر التعلم والمرافق والتجهيزات")</f>
        <v>19</v>
      </c>
      <c r="C28" s="4" t="n">
        <f aca="false">COUNTIFS('فحص-البرنامج2'!$B:$B,"5. مصادر التعلم والمرافق والتجهيزات",'فحص-البرنامج2'!$I:$I,"&lt;&gt;")</f>
        <v>0</v>
      </c>
      <c r="D28" s="19" t="n">
        <f aca="false">IF(B28=0,0,C28/B28)</f>
        <v>0</v>
      </c>
      <c r="E28" s="4" t="n">
        <f aca="false">COUNTIFS('فحص-البرنامج2'!$B:$B,"5. مصادر التعلم والمرافق والتجهيزات",'فحص-البرنامج2'!$I:$I,"متوفر")</f>
        <v>0</v>
      </c>
      <c r="F28" s="4" t="n">
        <f aca="false">COUNTIFS('فحص-البرنامج2'!$B:$B,"5. مصادر التعلم والمرافق والتجهيزات",'فحص-البرنامج2'!$I:$I,"متوفر جزئياً")</f>
        <v>0</v>
      </c>
      <c r="G28" s="4" t="n">
        <f aca="false">COUNTIFS('فحص-البرنامج2'!$B:$B,"5. مصادر التعلم والمرافق والتجهيزات",'فحص-البرنامج2'!$I:$I,"غير متوفر")</f>
        <v>0</v>
      </c>
      <c r="H28" s="19" t="n">
        <f aca="false">IF(B28=0,0,SUMIFS('فحص-البرنامج2'!$O:$O,'فحص-البرنامج2'!$B:$B,"5. مصادر التعلم والمرافق والتجهيزات")/(5*B28))</f>
        <v>0</v>
      </c>
      <c r="I28" s="4" t="n">
        <f aca="false">COUNTIFS('فحص-البرنامج2'!$B:$B,"5. مصادر التعلم والمرافق والتجهيزات",'فحص-البرنامج2'!$Q:$Q,"نعم")</f>
        <v>0</v>
      </c>
      <c r="J28" s="4" t="n">
        <f aca="false">COUNTIFS('فحص-البرنامج2'!$B:$B,"5. مصادر التعلم والمرافق والتجهيزات",'فحص-البرنامج2'!$R:$R,"عالية")</f>
        <v>0</v>
      </c>
    </row>
    <row r="29" customFormat="false" ht="15" hidden="false" customHeight="false" outlineLevel="0" collapsed="false">
      <c r="A29" s="17" t="s">
        <v>120</v>
      </c>
      <c r="B29" s="4" t="n">
        <f aca="false">COUNTIFS('فحص-البرنامج2'!$C:$C,"1-1 إدارة البرنامج")</f>
        <v>39</v>
      </c>
      <c r="C29" s="4" t="n">
        <f aca="false">COUNTIFS('فحص-البرنامج2'!$C:$C,"1-1 إدارة البرنامج",'فحص-البرنامج2'!$I:$I,"&lt;&gt;")</f>
        <v>0</v>
      </c>
      <c r="D29" s="19" t="n">
        <f aca="false">IF(B29=0,0,C29/B29)</f>
        <v>0</v>
      </c>
      <c r="E29" s="4" t="n">
        <f aca="false">COUNTIFS('فحص-البرنامج2'!$C:$C,"1-1 إدارة البرنامج",'فحص-البرنامج2'!$I:$I,"متوفر")</f>
        <v>0</v>
      </c>
      <c r="F29" s="4" t="n">
        <f aca="false">COUNTIFS('فحص-البرنامج2'!$C:$C,"1-1 إدارة البرنامج",'فحص-البرنامج2'!$I:$I,"متوفر جزئياً")</f>
        <v>0</v>
      </c>
      <c r="G29" s="4" t="n">
        <f aca="false">COUNTIFS('فحص-البرنامج2'!$C:$C,"1-1 إدارة البرنامج",'فحص-البرنامج2'!$I:$I,"غير متوفر")</f>
        <v>0</v>
      </c>
      <c r="H29" s="19" t="n">
        <f aca="false">IF(B29=0,0,SUMIFS('فحص-البرنامج2'!$O:$O,'فحص-البرنامج2'!$C:$C,"1-1 إدارة البرنامج")/(5*B29))</f>
        <v>0</v>
      </c>
      <c r="I29" s="4" t="n">
        <f aca="false">COUNTIFS('فحص-البرنامج2'!$C:$C,"1-1 إدارة البرنامج",'فحص-البرنامج2'!$Q:$Q,"نعم")</f>
        <v>0</v>
      </c>
      <c r="J29" s="4" t="n">
        <f aca="false">COUNTIFS('فحص-البرنامج2'!$C:$C,"1-1 إدارة البرنامج",'فحص-البرنامج2'!$R:$R,"عالية")</f>
        <v>0</v>
      </c>
    </row>
    <row r="30" customFormat="false" ht="15" hidden="false" customHeight="false" outlineLevel="0" collapsed="false">
      <c r="A30" s="17" t="s">
        <v>121</v>
      </c>
      <c r="B30" s="4" t="n">
        <f aca="false">COUNTIFS('فحص-البرنامج2'!$C:$C,"2-1 ضمان جودة البرنامج")</f>
        <v>13</v>
      </c>
      <c r="C30" s="4" t="n">
        <f aca="false">COUNTIFS('فحص-البرنامج2'!$C:$C,"2-1 ضمان جودة البرنامج",'فحص-البرنامج2'!$I:$I,"&lt;&gt;")</f>
        <v>0</v>
      </c>
      <c r="D30" s="19" t="n">
        <f aca="false">IF(B30=0,0,C30/B30)</f>
        <v>0</v>
      </c>
      <c r="E30" s="4" t="n">
        <f aca="false">COUNTIFS('فحص-البرنامج2'!$C:$C,"2-1 ضمان جودة البرنامج",'فحص-البرنامج2'!$I:$I,"متوفر")</f>
        <v>0</v>
      </c>
      <c r="F30" s="4" t="n">
        <f aca="false">COUNTIFS('فحص-البرنامج2'!$C:$C,"2-1 ضمان جودة البرنامج",'فحص-البرنامج2'!$I:$I,"متوفر جزئياً")</f>
        <v>0</v>
      </c>
      <c r="G30" s="4" t="n">
        <f aca="false">COUNTIFS('فحص-البرنامج2'!$C:$C,"2-1 ضمان جودة البرنامج",'فحص-البرنامج2'!$I:$I,"غير متوفر")</f>
        <v>0</v>
      </c>
      <c r="H30" s="19" t="n">
        <f aca="false">IF(B30=0,0,SUMIFS('فحص-البرنامج2'!$O:$O,'فحص-البرنامج2'!$C:$C,"2-1 ضمان جودة البرنامج")/(5*B30))</f>
        <v>0</v>
      </c>
      <c r="I30" s="4" t="n">
        <f aca="false">COUNTIFS('فحص-البرنامج2'!$C:$C,"2-1 ضمان جودة البرنامج",'فحص-البرنامج2'!$Q:$Q,"نعم")</f>
        <v>0</v>
      </c>
      <c r="J30" s="4" t="n">
        <f aca="false">COUNTIFS('فحص-البرنامج2'!$C:$C,"2-1 ضمان جودة البرنامج",'فحص-البرنامج2'!$R:$R,"عالية")</f>
        <v>0</v>
      </c>
    </row>
    <row r="31" customFormat="false" ht="15" hidden="false" customHeight="false" outlineLevel="0" collapsed="false">
      <c r="A31" s="17" t="s">
        <v>122</v>
      </c>
      <c r="B31" s="4" t="n">
        <f aca="false">COUNTIFS('فحص-البرنامج2'!$C:$C,"1-2 نواتج التعلم")</f>
        <v>25</v>
      </c>
      <c r="C31" s="4" t="n">
        <f aca="false">COUNTIFS('فحص-البرنامج2'!$C:$C,"1-2 نواتج التعلم",'فحص-البرنامج2'!$I:$I,"&lt;&gt;")</f>
        <v>0</v>
      </c>
      <c r="D31" s="19" t="n">
        <f aca="false">IF(B31=0,0,C31/B31)</f>
        <v>0</v>
      </c>
      <c r="E31" s="4" t="n">
        <f aca="false">COUNTIFS('فحص-البرنامج2'!$C:$C,"1-2 نواتج التعلم",'فحص-البرنامج2'!$I:$I,"متوفر")</f>
        <v>0</v>
      </c>
      <c r="F31" s="4" t="n">
        <f aca="false">COUNTIFS('فحص-البرنامج2'!$C:$C,"1-2 نواتج التعلم",'فحص-البرنامج2'!$I:$I,"متوفر جزئياً")</f>
        <v>0</v>
      </c>
      <c r="G31" s="4" t="n">
        <f aca="false">COUNTIFS('فحص-البرنامج2'!$C:$C,"1-2 نواتج التعلم",'فحص-البرنامج2'!$I:$I,"غير متوفر")</f>
        <v>0</v>
      </c>
      <c r="H31" s="19" t="n">
        <f aca="false">IF(B31=0,0,SUMIFS('فحص-البرنامج2'!$O:$O,'فحص-البرنامج2'!$C:$C,"1-2 نواتج التعلم")/(5*B31))</f>
        <v>0</v>
      </c>
      <c r="I31" s="4" t="n">
        <f aca="false">COUNTIFS('فحص-البرنامج2'!$C:$C,"1-2 نواتج التعلم",'فحص-البرنامج2'!$Q:$Q,"نعم")</f>
        <v>0</v>
      </c>
      <c r="J31" s="4" t="n">
        <f aca="false">COUNTIFS('فحص-البرنامج2'!$C:$C,"1-2 نواتج التعلم",'فحص-البرنامج2'!$R:$R,"عالية")</f>
        <v>0</v>
      </c>
    </row>
    <row r="32" customFormat="false" ht="15" hidden="false" customHeight="false" outlineLevel="0" collapsed="false">
      <c r="A32" s="17" t="s">
        <v>123</v>
      </c>
      <c r="B32" s="4" t="n">
        <f aca="false">COUNTIFS('فحص-البرنامج2'!$C:$C,"2-2 المنهج الدراسي")</f>
        <v>25</v>
      </c>
      <c r="C32" s="4" t="n">
        <f aca="false">COUNTIFS('فحص-البرنامج2'!$C:$C,"2-2 المنهج الدراسي",'فحص-البرنامج2'!$I:$I,"&lt;&gt;")</f>
        <v>0</v>
      </c>
      <c r="D32" s="19" t="n">
        <f aca="false">IF(B32=0,0,C32/B32)</f>
        <v>0</v>
      </c>
      <c r="E32" s="4" t="n">
        <f aca="false">COUNTIFS('فحص-البرنامج2'!$C:$C,"2-2 المنهج الدراسي",'فحص-البرنامج2'!$I:$I,"متوفر")</f>
        <v>0</v>
      </c>
      <c r="F32" s="4" t="n">
        <f aca="false">COUNTIFS('فحص-البرنامج2'!$C:$C,"2-2 المنهج الدراسي",'فحص-البرنامج2'!$I:$I,"متوفر جزئياً")</f>
        <v>0</v>
      </c>
      <c r="G32" s="4" t="n">
        <f aca="false">COUNTIFS('فحص-البرنامج2'!$C:$C,"2-2 المنهج الدراسي",'فحص-البرنامج2'!$I:$I,"غير متوفر")</f>
        <v>0</v>
      </c>
      <c r="H32" s="19" t="n">
        <f aca="false">IF(B32=0,0,SUMIFS('فحص-البرنامج2'!$O:$O,'فحص-البرنامج2'!$C:$C,"2-2 المنهج الدراسي")/(5*B32))</f>
        <v>0</v>
      </c>
      <c r="I32" s="4" t="n">
        <f aca="false">COUNTIFS('فحص-البرنامج2'!$C:$C,"2-2 المنهج الدراسي",'فحص-البرنامج2'!$Q:$Q,"نعم")</f>
        <v>0</v>
      </c>
      <c r="J32" s="4" t="n">
        <f aca="false">COUNTIFS('فحص-البرنامج2'!$C:$C,"2-2 المنهج الدراسي",'فحص-البرنامج2'!$R:$R,"عالية")</f>
        <v>0</v>
      </c>
    </row>
    <row r="33" customFormat="false" ht="15" hidden="false" customHeight="false" outlineLevel="0" collapsed="false">
      <c r="A33" s="17" t="s">
        <v>124</v>
      </c>
      <c r="B33" s="4" t="n">
        <f aca="false">COUNTIFS('فحص-البرنامج2'!$C:$C,"3-2 جودة التدريس وتقييم الطالب")</f>
        <v>25</v>
      </c>
      <c r="C33" s="4" t="n">
        <f aca="false">COUNTIFS('فحص-البرنامج2'!$C:$C,"3-2 جودة التدريس وتقييم الطالب",'فحص-البرنامج2'!$I:$I,"&lt;&gt;")</f>
        <v>0</v>
      </c>
      <c r="D33" s="19" t="n">
        <f aca="false">IF(B33=0,0,C33/B33)</f>
        <v>0</v>
      </c>
      <c r="E33" s="4" t="n">
        <f aca="false">COUNTIFS('فحص-البرنامج2'!$C:$C,"3-2 جودة التدريس وتقييم الطالب",'فحص-البرنامج2'!$I:$I,"متوفر")</f>
        <v>0</v>
      </c>
      <c r="F33" s="4" t="n">
        <f aca="false">COUNTIFS('فحص-البرنامج2'!$C:$C,"3-2 جودة التدريس وتقييم الطالب",'فحص-البرنامج2'!$I:$I,"متوفر جزئياً")</f>
        <v>0</v>
      </c>
      <c r="G33" s="4" t="n">
        <f aca="false">COUNTIFS('فحص-البرنامج2'!$C:$C,"3-2 جودة التدريس وتقييم الطالب",'فحص-البرنامج2'!$I:$I,"غير متوفر")</f>
        <v>0</v>
      </c>
      <c r="H33" s="19" t="n">
        <f aca="false">IF(B33=0,0,SUMIFS('فحص-البرنامج2'!$O:$O,'فحص-البرنامج2'!$C:$C,"3-2 جودة التدريس وتقييم الطالب")/(5*B33))</f>
        <v>0</v>
      </c>
      <c r="I33" s="4" t="n">
        <f aca="false">COUNTIFS('فحص-البرنامج2'!$C:$C,"3-2 جودة التدريس وتقييم الطالب",'فحص-البرنامج2'!$Q:$Q,"نعم")</f>
        <v>0</v>
      </c>
      <c r="J33" s="4" t="n">
        <f aca="false">COUNTIFS('فحص-البرنامج2'!$C:$C,"3-2 جودة التدريس وتقييم الطالب",'فحص-البرنامج2'!$R:$R,"عالية")</f>
        <v>0</v>
      </c>
    </row>
    <row r="34" customFormat="false" ht="15" hidden="false" customHeight="false" outlineLevel="0" collapsed="false">
      <c r="A34" s="17" t="s">
        <v>125</v>
      </c>
      <c r="B34" s="4" t="n">
        <f aca="false">COUNTIFS('فحص-البرنامج2'!$C:$C,"3 معايير الطالب")</f>
        <v>32</v>
      </c>
      <c r="C34" s="4" t="n">
        <f aca="false">COUNTIFS('فحص-البرنامج2'!$C:$C,"3 معايير الطالب",'فحص-البرنامج2'!$I:$I,"&lt;&gt;")</f>
        <v>0</v>
      </c>
      <c r="D34" s="19" t="n">
        <f aca="false">IF(B34=0,0,C34/B34)</f>
        <v>0</v>
      </c>
      <c r="E34" s="4" t="n">
        <f aca="false">COUNTIFS('فحص-البرنامج2'!$C:$C,"3 معايير الطالب",'فحص-البرنامج2'!$I:$I,"متوفر")</f>
        <v>0</v>
      </c>
      <c r="F34" s="4" t="n">
        <f aca="false">COUNTIFS('فحص-البرنامج2'!$C:$C,"3 معايير الطالب",'فحص-البرنامج2'!$I:$I,"متوفر جزئياً")</f>
        <v>0</v>
      </c>
      <c r="G34" s="4" t="n">
        <f aca="false">COUNTIFS('فحص-البرنامج2'!$C:$C,"3 معايير الطالب",'فحص-البرنامج2'!$I:$I,"غير متوفر")</f>
        <v>0</v>
      </c>
      <c r="H34" s="19" t="n">
        <f aca="false">IF(B34=0,0,SUMIFS('فحص-البرنامج2'!$O:$O,'فحص-البرنامج2'!$C:$C,"3 معايير الطالب")/(5*B34))</f>
        <v>0</v>
      </c>
      <c r="I34" s="4" t="n">
        <f aca="false">COUNTIFS('فحص-البرنامج2'!$C:$C,"3 معايير الطالب",'فحص-البرنامج2'!$Q:$Q,"نعم")</f>
        <v>0</v>
      </c>
      <c r="J34" s="4" t="n">
        <f aca="false">COUNTIFS('فحص-البرنامج2'!$C:$C,"3 معايير الطالب",'فحص-البرنامج2'!$R:$R,"عالية")</f>
        <v>0</v>
      </c>
    </row>
    <row r="35" customFormat="false" ht="15" hidden="false" customHeight="false" outlineLevel="0" collapsed="false">
      <c r="A35" s="17" t="s">
        <v>126</v>
      </c>
      <c r="B35" s="4" t="n">
        <f aca="false">COUNTIFS('فحص-البرنامج2'!$C:$C,"4 معايير هيئة التدريس")</f>
        <v>26</v>
      </c>
      <c r="C35" s="4" t="n">
        <f aca="false">COUNTIFS('فحص-البرنامج2'!$C:$C,"4 معايير هيئة التدريس",'فحص-البرنامج2'!$I:$I,"&lt;&gt;")</f>
        <v>0</v>
      </c>
      <c r="D35" s="19" t="n">
        <f aca="false">IF(B35=0,0,C35/B35)</f>
        <v>0</v>
      </c>
      <c r="E35" s="4" t="n">
        <f aca="false">COUNTIFS('فحص-البرنامج2'!$C:$C,"4 معايير هيئة التدريس",'فحص-البرنامج2'!$I:$I,"متوفر")</f>
        <v>0</v>
      </c>
      <c r="F35" s="4" t="n">
        <f aca="false">COUNTIFS('فحص-البرنامج2'!$C:$C,"4 معايير هيئة التدريس",'فحص-البرنامج2'!$I:$I,"متوفر جزئياً")</f>
        <v>0</v>
      </c>
      <c r="G35" s="4" t="n">
        <f aca="false">COUNTIFS('فحص-البرنامج2'!$C:$C,"4 معايير هيئة التدريس",'فحص-البرنامج2'!$I:$I,"غير متوفر")</f>
        <v>0</v>
      </c>
      <c r="H35" s="19" t="n">
        <f aca="false">IF(B35=0,0,SUMIFS('فحص-البرنامج2'!$O:$O,'فحص-البرنامج2'!$C:$C,"4 معايير هيئة التدريس")/(5*B35))</f>
        <v>0</v>
      </c>
      <c r="I35" s="4" t="n">
        <f aca="false">COUNTIFS('فحص-البرنامج2'!$C:$C,"4 معايير هيئة التدريس",'فحص-البرنامج2'!$Q:$Q,"نعم")</f>
        <v>0</v>
      </c>
      <c r="J35" s="4" t="n">
        <f aca="false">COUNTIFS('فحص-البرنامج2'!$C:$C,"4 معايير هيئة التدريس",'فحص-البرنامج2'!$R:$R,"عالية")</f>
        <v>0</v>
      </c>
    </row>
    <row r="36" customFormat="false" ht="15" hidden="false" customHeight="false" outlineLevel="0" collapsed="false">
      <c r="A36" s="17" t="s">
        <v>127</v>
      </c>
      <c r="B36" s="4" t="n">
        <f aca="false">COUNTIFS('فحص-البرنامج2'!$C:$C,"5 معايير مصادر التعلم والمرافق والتجهيزات")</f>
        <v>19</v>
      </c>
      <c r="C36" s="4" t="n">
        <f aca="false">COUNTIFS('فحص-البرنامج2'!$C:$C,"5 معايير مصادر التعلم والمرافق والتجهيزات",'فحص-البرنامج2'!$I:$I,"&lt;&gt;")</f>
        <v>0</v>
      </c>
      <c r="D36" s="19" t="n">
        <f aca="false">IF(B36=0,0,C36/B36)</f>
        <v>0</v>
      </c>
      <c r="E36" s="4" t="n">
        <f aca="false">COUNTIFS('فحص-البرنامج2'!$C:$C,"5 معايير مصادر التعلم والمرافق والتجهيزات",'فحص-البرنامج2'!$I:$I,"متوفر")</f>
        <v>0</v>
      </c>
      <c r="F36" s="4" t="n">
        <f aca="false">COUNTIFS('فحص-البرنامج2'!$C:$C,"5 معايير مصادر التعلم والمرافق والتجهيزات",'فحص-البرنامج2'!$I:$I,"متوفر جزئياً")</f>
        <v>0</v>
      </c>
      <c r="G36" s="4" t="n">
        <f aca="false">COUNTIFS('فحص-البرنامج2'!$C:$C,"5 معايير مصادر التعلم والمرافق والتجهيزات",'فحص-البرنامج2'!$I:$I,"غير متوفر")</f>
        <v>0</v>
      </c>
      <c r="H36" s="19" t="n">
        <f aca="false">IF(B36=0,0,SUMIFS('فحص-البرنامج2'!$O:$O,'فحص-البرنامج2'!$C:$C,"5 معايير مصادر التعلم والمرافق والتجهيزات")/(5*B36))</f>
        <v>0</v>
      </c>
      <c r="I36" s="4" t="n">
        <f aca="false">COUNTIFS('فحص-البرنامج2'!$C:$C,"5 معايير مصادر التعلم والمرافق والتجهيزات",'فحص-البرنامج2'!$Q:$Q,"نعم")</f>
        <v>0</v>
      </c>
      <c r="J36" s="4" t="n">
        <f aca="false">COUNTIFS('فحص-البرنامج2'!$C:$C,"5 معايير مصادر التعلم والمرافق والتجهيزات",'فحص-البرنامج2'!$R:$R,"عالية")</f>
        <v>0</v>
      </c>
    </row>
    <row r="37" customFormat="false" ht="15" hidden="false" customHeight="false" outlineLevel="0" collapsed="false">
      <c r="A37" s="13" t="s">
        <v>148</v>
      </c>
      <c r="B37" s="20" t="n">
        <f aca="false">COUNTIFS('فحص-البرنامج2'!$E:$E,"نعم")</f>
        <v>66</v>
      </c>
      <c r="C37" s="20" t="n">
        <f aca="false">COUNTIFS('فحص-البرنامج2'!$E:$E,"نعم",'فحص-البرنامج2'!$I:$I,"&lt;&gt;")</f>
        <v>0</v>
      </c>
      <c r="D37" s="21" t="n">
        <f aca="false">IF(B37=0,0,C37/B37)</f>
        <v>0</v>
      </c>
      <c r="E37" s="20" t="n">
        <f aca="false">COUNTIFS('فحص-البرنامج2'!$E:$E,"نعم",'فحص-البرنامج2'!$I:$I,"متوفر")</f>
        <v>0</v>
      </c>
      <c r="F37" s="20" t="n">
        <f aca="false">COUNTIFS('فحص-البرنامج2'!$E:$E,"نعم",'فحص-البرنامج2'!$I:$I,"متوفر جزئياً")</f>
        <v>0</v>
      </c>
      <c r="G37" s="20" t="n">
        <f aca="false">COUNTIFS('فحص-البرنامج2'!$E:$E,"نعم",'فحص-البرنامج2'!$I:$I,"غير متوفر")</f>
        <v>0</v>
      </c>
      <c r="H37" s="21" t="n">
        <f aca="false">IF(B37=0,0,SUMIFS('فحص-البرنامج2'!$O:$O,'فحص-البرنامج2'!$E:$E,"نعم")/(5*B37))</f>
        <v>0</v>
      </c>
      <c r="I37" s="20" t="n">
        <f aca="false">COUNTIFS('فحص-البرنامج2'!$E:$E,"نعم",'فحص-البرنامج2'!$Q:$Q,"نعم")</f>
        <v>0</v>
      </c>
      <c r="J37" s="20" t="n">
        <f aca="false">COUNTIFS('فحص-البرنامج2'!$E:$E,"نعم",'فحص-البرنامج2'!$R:$R,"عالية")</f>
        <v>0</v>
      </c>
    </row>
    <row r="38" customFormat="false" ht="15" hidden="false" customHeight="false" outlineLevel="0" collapsed="false">
      <c r="A38" s="13" t="s">
        <v>149</v>
      </c>
      <c r="B38" s="20" t="n">
        <f aca="false">COUNTA('فحص-البرنامج2'!$G$5:$G$208)</f>
        <v>204</v>
      </c>
      <c r="C38" s="20" t="n">
        <f aca="false">COUNTA('فحص-البرنامج2'!$I$5:$I$208)</f>
        <v>0</v>
      </c>
      <c r="D38" s="21" t="n">
        <f aca="false">IF(B38=0,0,C38/B38)</f>
        <v>0</v>
      </c>
      <c r="E38" s="20" t="n">
        <f aca="false">COUNTIFS('فحص-البرنامج2'!$I:$I,"متوفر")</f>
        <v>0</v>
      </c>
      <c r="F38" s="20" t="n">
        <f aca="false">COUNTIFS('فحص-البرنامج2'!$I:$I,"متوفر جزئياً")</f>
        <v>0</v>
      </c>
      <c r="G38" s="20" t="n">
        <f aca="false">COUNTIFS('فحص-البرنامج2'!$I:$I,"غير متوفر")</f>
        <v>0</v>
      </c>
      <c r="H38" s="21" t="n">
        <f aca="false">IF(B38=0,0,SUM('فحص-البرنامج2'!$O$5:$O$208)/(5*B38))</f>
        <v>0</v>
      </c>
      <c r="I38" s="20" t="n">
        <f aca="false">COUNTIFS('فحص-البرنامج2'!$Q:$Q,"نعم")</f>
        <v>0</v>
      </c>
      <c r="J38" s="20" t="n">
        <f aca="false">COUNTIFS('فحص-البرنامج2'!$R:$R,"عالية")</f>
        <v>0</v>
      </c>
    </row>
    <row r="40" customFormat="false" ht="15" hidden="false" customHeight="false" outlineLevel="0" collapsed="false">
      <c r="A40" s="22" t="s">
        <v>150</v>
      </c>
    </row>
  </sheetData>
  <mergeCells count="4">
    <mergeCell ref="A1:J1"/>
    <mergeCell ref="A2:J2"/>
    <mergeCell ref="A4:J4"/>
    <mergeCell ref="A22:J22"/>
  </mergeCells>
  <conditionalFormatting sqref="D6:D20">
    <cfRule type="dataBar" priority="2">
      <dataBar showValue="1" minLength="10" maxLength="90">
        <cfvo type="num" val="0"/>
        <cfvo type="num" val="1"/>
        <color rgb="FF5B9BD5"/>
      </dataBar>
      <extLst>
        <ext xmlns:x14="http://schemas.microsoft.com/office/spreadsheetml/2009/9/main" uri="{B025F937-C7B1-47D3-B67F-A62EFF666E3E}">
          <x14:id>{3411FFE9-80F8-4866-83C4-DDA32B46E089}</x14:id>
        </ext>
      </extLst>
    </cfRule>
  </conditionalFormatting>
  <conditionalFormatting sqref="H6:H20">
    <cfRule type="dataBar" priority="3">
      <dataBar showValue="1" minLength="10" maxLength="90">
        <cfvo type="num" val="0"/>
        <cfvo type="num" val="1"/>
        <color rgb="FF5B9BD5"/>
      </dataBar>
      <extLst>
        <ext xmlns:x14="http://schemas.microsoft.com/office/spreadsheetml/2009/9/main" uri="{B025F937-C7B1-47D3-B67F-A62EFF666E3E}">
          <x14:id>{365881EA-91ED-48DC-BDFF-82A7BB86653A}</x14:id>
        </ext>
      </extLst>
    </cfRule>
  </conditionalFormatting>
  <conditionalFormatting sqref="D24:D38">
    <cfRule type="dataBar" priority="4">
      <dataBar showValue="1" minLength="10" maxLength="90">
        <cfvo type="num" val="0"/>
        <cfvo type="num" val="1"/>
        <color rgb="FF5B9BD5"/>
      </dataBar>
      <extLst>
        <ext xmlns:x14="http://schemas.microsoft.com/office/spreadsheetml/2009/9/main" uri="{B025F937-C7B1-47D3-B67F-A62EFF666E3E}">
          <x14:id>{8650EE63-CA60-4B78-B25E-A1D87E4E213E}</x14:id>
        </ext>
      </extLst>
    </cfRule>
  </conditionalFormatting>
  <conditionalFormatting sqref="H24:H38">
    <cfRule type="dataBar" priority="5">
      <dataBar showValue="1" minLength="10" maxLength="90">
        <cfvo type="num" val="0"/>
        <cfvo type="num" val="1"/>
        <color rgb="FF5B9BD5"/>
      </dataBar>
      <extLst>
        <ext xmlns:x14="http://schemas.microsoft.com/office/spreadsheetml/2009/9/main" uri="{B025F937-C7B1-47D3-B67F-A62EFF666E3E}">
          <x14:id>{AD83876B-1824-46A6-8DE9-6D26F1B03E23}</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3411FFE9-80F8-4866-83C4-DDA32B46E089}">
            <x14:dataBar minLength="10" maxLength="90" axisPosition="none" gradient="true">
              <x14:cfvo type="num">
                <xm:f>0</xm:f>
              </x14:cfvo>
              <x14:cfvo type="num">
                <xm:f>1</xm:f>
              </x14:cfvo>
              <x14:negativeFillColor rgb="FF5B9BD5"/>
              <x14:axisColor rgb="FF000000"/>
            </x14:dataBar>
          </x14:cfRule>
          <xm:sqref>D6:D20</xm:sqref>
        </x14:conditionalFormatting>
        <x14:conditionalFormatting xmlns:xm="http://schemas.microsoft.com/office/excel/2006/main">
          <x14:cfRule type="dataBar" id="{365881EA-91ED-48DC-BDFF-82A7BB86653A}">
            <x14:dataBar minLength="10" maxLength="90" axisPosition="none" gradient="true">
              <x14:cfvo type="num">
                <xm:f>0</xm:f>
              </x14:cfvo>
              <x14:cfvo type="num">
                <xm:f>1</xm:f>
              </x14:cfvo>
              <x14:negativeFillColor rgb="FF5B9BD5"/>
              <x14:axisColor rgb="FF000000"/>
            </x14:dataBar>
          </x14:cfRule>
          <xm:sqref>H6:H20</xm:sqref>
        </x14:conditionalFormatting>
        <x14:conditionalFormatting xmlns:xm="http://schemas.microsoft.com/office/excel/2006/main">
          <x14:cfRule type="dataBar" id="{8650EE63-CA60-4B78-B25E-A1D87E4E213E}">
            <x14:dataBar minLength="10" maxLength="90" axisPosition="none" gradient="true">
              <x14:cfvo type="num">
                <xm:f>0</xm:f>
              </x14:cfvo>
              <x14:cfvo type="num">
                <xm:f>1</xm:f>
              </x14:cfvo>
              <x14:negativeFillColor rgb="FF5B9BD5"/>
              <x14:axisColor rgb="FF000000"/>
            </x14:dataBar>
          </x14:cfRule>
          <xm:sqref>D24:D38</xm:sqref>
        </x14:conditionalFormatting>
        <x14:conditionalFormatting xmlns:xm="http://schemas.microsoft.com/office/excel/2006/main">
          <x14:cfRule type="dataBar" id="{AD83876B-1824-46A6-8DE9-6D26F1B03E23}">
            <x14:dataBar minLength="10" maxLength="90" axisPosition="none" gradient="true">
              <x14:cfvo type="num">
                <xm:f>0</xm:f>
              </x14:cfvo>
              <x14:cfvo type="num">
                <xm:f>1</xm:f>
              </x14:cfvo>
              <x14:negativeFillColor rgb="FF5B9BD5"/>
              <x14:axisColor rgb="FF000000"/>
            </x14:dataBar>
          </x14:cfRule>
          <xm:sqref>H24:H38</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E3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22"/>
    <col collapsed="false" customWidth="true" hidden="false" outlineLevel="0" max="5" min="4" style="0" width="60"/>
  </cols>
  <sheetData>
    <row r="1" customFormat="false" ht="18.55" hidden="false" customHeight="false" outlineLevel="0" collapsed="false">
      <c r="A1" s="1" t="s">
        <v>151</v>
      </c>
      <c r="B1" s="1"/>
      <c r="C1" s="1"/>
      <c r="D1" s="1"/>
      <c r="E1" s="1"/>
    </row>
    <row r="2" customFormat="false" ht="15" hidden="false" customHeight="false" outlineLevel="0" collapsed="false">
      <c r="A2" s="2" t="s">
        <v>152</v>
      </c>
      <c r="B2" s="2"/>
      <c r="C2" s="2"/>
      <c r="D2" s="2"/>
      <c r="E2" s="2"/>
    </row>
    <row r="4" customFormat="false" ht="15" hidden="false" customHeight="false" outlineLevel="0" collapsed="false">
      <c r="A4" s="3" t="s">
        <v>2</v>
      </c>
      <c r="B4" s="3" t="s">
        <v>153</v>
      </c>
      <c r="C4" s="3" t="s">
        <v>154</v>
      </c>
      <c r="D4" s="3" t="s">
        <v>155</v>
      </c>
      <c r="E4" s="3" t="s">
        <v>156</v>
      </c>
    </row>
    <row r="5" customFormat="false" ht="45" hidden="false" customHeight="true" outlineLevel="0" collapsed="false">
      <c r="A5" s="4" t="n">
        <v>1</v>
      </c>
      <c r="B5" s="17" t="s">
        <v>157</v>
      </c>
      <c r="C5" s="4" t="s">
        <v>158</v>
      </c>
      <c r="D5" s="6" t="s">
        <v>159</v>
      </c>
      <c r="E5" s="6" t="s">
        <v>160</v>
      </c>
    </row>
    <row r="6" customFormat="false" ht="45" hidden="false" customHeight="true" outlineLevel="0" collapsed="false">
      <c r="A6" s="4" t="n">
        <v>2</v>
      </c>
      <c r="B6" s="17" t="s">
        <v>161</v>
      </c>
      <c r="C6" s="4" t="s">
        <v>162</v>
      </c>
      <c r="D6" s="6" t="s">
        <v>163</v>
      </c>
      <c r="E6" s="6" t="s">
        <v>164</v>
      </c>
    </row>
    <row r="7" customFormat="false" ht="45" hidden="false" customHeight="true" outlineLevel="0" collapsed="false">
      <c r="A7" s="4" t="n">
        <v>3</v>
      </c>
      <c r="B7" s="17" t="s">
        <v>165</v>
      </c>
      <c r="C7" s="4" t="s">
        <v>166</v>
      </c>
      <c r="D7" s="6" t="s">
        <v>167</v>
      </c>
      <c r="E7" s="6" t="s">
        <v>168</v>
      </c>
    </row>
    <row r="8" customFormat="false" ht="45" hidden="false" customHeight="true" outlineLevel="0" collapsed="false">
      <c r="A8" s="4" t="n">
        <v>4</v>
      </c>
      <c r="B8" s="17" t="s">
        <v>169</v>
      </c>
      <c r="C8" s="4" t="s">
        <v>170</v>
      </c>
      <c r="D8" s="6" t="s">
        <v>171</v>
      </c>
      <c r="E8" s="6" t="s">
        <v>172</v>
      </c>
    </row>
    <row r="9" customFormat="false" ht="45" hidden="false" customHeight="true" outlineLevel="0" collapsed="false">
      <c r="A9" s="4" t="n">
        <v>5</v>
      </c>
      <c r="B9" s="17" t="s">
        <v>173</v>
      </c>
      <c r="C9" s="4" t="s">
        <v>174</v>
      </c>
      <c r="D9" s="6" t="s">
        <v>175</v>
      </c>
      <c r="E9" s="6" t="s">
        <v>176</v>
      </c>
    </row>
    <row r="11" customFormat="false" ht="15" hidden="false" customHeight="false" outlineLevel="0" collapsed="false">
      <c r="A11" s="3" t="s">
        <v>177</v>
      </c>
      <c r="B11" s="3" t="s">
        <v>178</v>
      </c>
      <c r="C11" s="3" t="s">
        <v>179</v>
      </c>
      <c r="D11" s="3" t="s">
        <v>180</v>
      </c>
      <c r="E11" s="3" t="s">
        <v>181</v>
      </c>
    </row>
    <row r="12" customFormat="false" ht="15" hidden="false" customHeight="false" outlineLevel="0" collapsed="false">
      <c r="A12" s="4" t="s">
        <v>182</v>
      </c>
      <c r="B12" s="23" t="s">
        <v>183</v>
      </c>
      <c r="C12" s="6" t="s">
        <v>184</v>
      </c>
      <c r="D12" s="4" t="s">
        <v>185</v>
      </c>
      <c r="E12" s="4" t="s">
        <v>186</v>
      </c>
    </row>
    <row r="13" customFormat="false" ht="23.85" hidden="false" customHeight="false" outlineLevel="0" collapsed="false">
      <c r="A13" s="4" t="s">
        <v>187</v>
      </c>
      <c r="B13" s="23" t="s">
        <v>188</v>
      </c>
      <c r="C13" s="6" t="s">
        <v>189</v>
      </c>
      <c r="D13" s="4" t="s">
        <v>185</v>
      </c>
      <c r="E13" s="4" t="s">
        <v>190</v>
      </c>
    </row>
    <row r="14" customFormat="false" ht="35.05" hidden="false" customHeight="false" outlineLevel="0" collapsed="false">
      <c r="A14" s="4" t="s">
        <v>191</v>
      </c>
      <c r="B14" s="23" t="s">
        <v>192</v>
      </c>
      <c r="C14" s="6" t="s">
        <v>193</v>
      </c>
      <c r="D14" s="4" t="s">
        <v>194</v>
      </c>
      <c r="E14" s="4" t="s">
        <v>195</v>
      </c>
    </row>
    <row r="15" customFormat="false" ht="23.85" hidden="false" customHeight="false" outlineLevel="0" collapsed="false">
      <c r="A15" s="4" t="s">
        <v>196</v>
      </c>
      <c r="B15" s="23" t="s">
        <v>197</v>
      </c>
      <c r="C15" s="6" t="s">
        <v>198</v>
      </c>
      <c r="D15" s="4" t="s">
        <v>199</v>
      </c>
      <c r="E15" s="4" t="s">
        <v>200</v>
      </c>
    </row>
    <row r="17" customFormat="false" ht="15" hidden="false" customHeight="true" outlineLevel="0" collapsed="false">
      <c r="A17" s="3" t="s">
        <v>201</v>
      </c>
      <c r="B17" s="3" t="s">
        <v>202</v>
      </c>
      <c r="C17" s="3"/>
      <c r="D17" s="3"/>
      <c r="E17" s="3"/>
    </row>
    <row r="18" customFormat="false" ht="15" hidden="false" customHeight="true" outlineLevel="0" collapsed="false">
      <c r="A18" s="4" t="n">
        <v>1</v>
      </c>
      <c r="B18" s="6" t="s">
        <v>203</v>
      </c>
      <c r="C18" s="6"/>
      <c r="D18" s="6"/>
      <c r="E18" s="6"/>
    </row>
    <row r="19" customFormat="false" ht="15" hidden="false" customHeight="true" outlineLevel="0" collapsed="false">
      <c r="A19" s="4" t="n">
        <v>2</v>
      </c>
      <c r="B19" s="6" t="s">
        <v>204</v>
      </c>
      <c r="C19" s="6"/>
      <c r="D19" s="6"/>
      <c r="E19" s="6"/>
    </row>
    <row r="20" customFormat="false" ht="15" hidden="false" customHeight="true" outlineLevel="0" collapsed="false">
      <c r="A20" s="4" t="n">
        <v>3</v>
      </c>
      <c r="B20" s="6" t="s">
        <v>205</v>
      </c>
      <c r="C20" s="6"/>
      <c r="D20" s="6"/>
      <c r="E20" s="6"/>
    </row>
    <row r="21" customFormat="false" ht="15" hidden="false" customHeight="true" outlineLevel="0" collapsed="false">
      <c r="A21" s="4" t="n">
        <v>4</v>
      </c>
      <c r="B21" s="6" t="s">
        <v>206</v>
      </c>
      <c r="C21" s="6"/>
      <c r="D21" s="6"/>
      <c r="E21" s="6"/>
    </row>
    <row r="22" customFormat="false" ht="15" hidden="false" customHeight="true" outlineLevel="0" collapsed="false">
      <c r="A22" s="4" t="n">
        <v>5</v>
      </c>
      <c r="B22" s="6" t="s">
        <v>207</v>
      </c>
      <c r="C22" s="6"/>
      <c r="D22" s="6"/>
      <c r="E22" s="6"/>
    </row>
    <row r="23" customFormat="false" ht="15" hidden="false" customHeight="true" outlineLevel="0" collapsed="false">
      <c r="A23" s="4" t="n">
        <v>6</v>
      </c>
      <c r="B23" s="6" t="s">
        <v>208</v>
      </c>
      <c r="C23" s="6"/>
      <c r="D23" s="6"/>
      <c r="E23" s="6"/>
    </row>
    <row r="24" customFormat="false" ht="15" hidden="false" customHeight="true" outlineLevel="0" collapsed="false">
      <c r="A24" s="4" t="n">
        <v>7</v>
      </c>
      <c r="B24" s="6" t="s">
        <v>209</v>
      </c>
      <c r="C24" s="6"/>
      <c r="D24" s="6"/>
      <c r="E24" s="6"/>
    </row>
    <row r="26" customFormat="false" ht="12.65" hidden="false" customHeight="false" outlineLevel="0" collapsed="false">
      <c r="A26" s="24" t="s">
        <v>210</v>
      </c>
      <c r="B26" s="24"/>
      <c r="C26" s="24"/>
      <c r="D26" s="24"/>
      <c r="E26" s="24"/>
    </row>
    <row r="27" customFormat="false" ht="15" hidden="false" customHeight="true" outlineLevel="0" collapsed="false">
      <c r="A27" s="5" t="s">
        <v>211</v>
      </c>
      <c r="B27" s="6" t="s">
        <v>212</v>
      </c>
      <c r="C27" s="6"/>
      <c r="D27" s="6"/>
      <c r="E27" s="6"/>
    </row>
    <row r="28" customFormat="false" ht="15" hidden="false" customHeight="true" outlineLevel="0" collapsed="false">
      <c r="A28" s="5" t="s">
        <v>213</v>
      </c>
      <c r="B28" s="6" t="s">
        <v>214</v>
      </c>
      <c r="C28" s="6"/>
      <c r="D28" s="6"/>
      <c r="E28" s="6"/>
    </row>
    <row r="29" customFormat="false" ht="15" hidden="false" customHeight="true" outlineLevel="0" collapsed="false">
      <c r="A29" s="5" t="s">
        <v>215</v>
      </c>
      <c r="B29" s="6" t="s">
        <v>138</v>
      </c>
      <c r="C29" s="6"/>
      <c r="D29" s="6"/>
      <c r="E29" s="6"/>
    </row>
    <row r="30" customFormat="false" ht="23.85" hidden="false" customHeight="true" outlineLevel="0" collapsed="false">
      <c r="A30" s="5" t="s">
        <v>216</v>
      </c>
      <c r="B30" s="6" t="s">
        <v>217</v>
      </c>
      <c r="C30" s="6"/>
      <c r="D30" s="6"/>
      <c r="E30" s="6"/>
    </row>
    <row r="31" customFormat="false" ht="15" hidden="false" customHeight="true" outlineLevel="0" collapsed="false">
      <c r="A31" s="5" t="s">
        <v>218</v>
      </c>
      <c r="B31" s="6" t="s">
        <v>219</v>
      </c>
      <c r="C31" s="6"/>
      <c r="D31" s="6"/>
      <c r="E31" s="6"/>
    </row>
    <row r="32" customFormat="false" ht="15" hidden="false" customHeight="true" outlineLevel="0" collapsed="false">
      <c r="A32" s="5" t="s">
        <v>220</v>
      </c>
      <c r="B32" s="6" t="s">
        <v>221</v>
      </c>
      <c r="C32" s="6"/>
      <c r="D32" s="6"/>
      <c r="E32" s="6"/>
    </row>
    <row r="33" customFormat="false" ht="15" hidden="false" customHeight="true" outlineLevel="0" collapsed="false">
      <c r="A33" s="5" t="s">
        <v>222</v>
      </c>
      <c r="B33" s="6" t="s">
        <v>223</v>
      </c>
      <c r="C33" s="6"/>
      <c r="D33" s="6"/>
      <c r="E33" s="6"/>
    </row>
    <row r="34" customFormat="false" ht="15" hidden="false" customHeight="true" outlineLevel="0" collapsed="false">
      <c r="A34" s="5" t="s">
        <v>224</v>
      </c>
      <c r="B34" s="6" t="s">
        <v>225</v>
      </c>
      <c r="C34" s="6"/>
      <c r="D34" s="6"/>
      <c r="E34" s="6"/>
    </row>
  </sheetData>
  <mergeCells count="19">
    <mergeCell ref="A1:E1"/>
    <mergeCell ref="A2:E2"/>
    <mergeCell ref="B17:E17"/>
    <mergeCell ref="B18:E18"/>
    <mergeCell ref="B19:E19"/>
    <mergeCell ref="B20:E20"/>
    <mergeCell ref="B21:E21"/>
    <mergeCell ref="B22:E22"/>
    <mergeCell ref="B23:E23"/>
    <mergeCell ref="B24:E24"/>
    <mergeCell ref="A26:E26"/>
    <mergeCell ref="B27:E27"/>
    <mergeCell ref="B28:E28"/>
    <mergeCell ref="B29:E29"/>
    <mergeCell ref="B30:E30"/>
    <mergeCell ref="B31:E31"/>
    <mergeCell ref="B32:E32"/>
    <mergeCell ref="B33:E33"/>
    <mergeCell ref="B34:E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W20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7" ySplit="4" topLeftCell="H5" activePane="bottomRight" state="frozen"/>
      <selection pane="topLeft" activeCell="A1" activeCellId="0" sqref="A1"/>
      <selection pane="topRight" activeCell="H1" activeCellId="0" sqref="H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18"/>
    <col collapsed="false" customWidth="true" hidden="false" outlineLevel="0" max="4" min="4" style="0" width="45"/>
    <col collapsed="false" customWidth="true" hidden="false" outlineLevel="0" max="5" min="5" style="0" width="7"/>
    <col collapsed="false" customWidth="true" hidden="false" outlineLevel="0" max="6" min="6" style="0" width="4"/>
    <col collapsed="false" customWidth="true" hidden="false" outlineLevel="0" max="7" min="7" style="0" width="45"/>
    <col collapsed="false" customWidth="true" hidden="false" outlineLevel="0" max="8" min="8" style="0" width="14"/>
    <col collapsed="false" customWidth="true" hidden="false" outlineLevel="0" max="9" min="9" style="0" width="13"/>
    <col collapsed="false" customWidth="true" hidden="false" outlineLevel="0" max="11" min="10" style="0" width="8"/>
    <col collapsed="false" customWidth="true" hidden="false" outlineLevel="0" max="13" min="12" style="0" width="9"/>
    <col collapsed="false" customWidth="true" hidden="false" outlineLevel="0" max="16" min="14" style="0" width="10"/>
    <col collapsed="false" customWidth="true" hidden="false" outlineLevel="0" max="17" min="17" style="0" width="7"/>
    <col collapsed="false" customWidth="true" hidden="false" outlineLevel="0" max="18" min="18" style="0" width="9"/>
    <col collapsed="false" customWidth="true" hidden="false" outlineLevel="0" max="19" min="19" style="0" width="28"/>
    <col collapsed="false" customWidth="true" hidden="false" outlineLevel="0" max="20" min="20" style="0" width="32"/>
    <col collapsed="false" customWidth="true" hidden="false" outlineLevel="0" max="21" min="21" style="0" width="14"/>
    <col collapsed="false" customWidth="true" hidden="false" outlineLevel="0" max="22" min="22" style="0" width="13"/>
    <col collapsed="false" customWidth="true" hidden="false" outlineLevel="0" max="23" min="23" style="0" width="28"/>
  </cols>
  <sheetData>
    <row r="1" customFormat="false" ht="17.15" hidden="false" customHeight="false" outlineLevel="0" collapsed="false">
      <c r="A1" s="25" t="str">
        <f aca="false">"أداة فحص الأدلة وتحليل الفجوات – "&amp;'الإعدادات واللجنة'!$B$4</f>
        <v>أداة فحص الأدلة وتحليل الفجوات – بكالوريوس ... (البرنامج الأول)</v>
      </c>
      <c r="B1" s="25"/>
      <c r="C1" s="25"/>
      <c r="D1" s="25"/>
      <c r="E1" s="25"/>
      <c r="F1" s="25"/>
      <c r="G1" s="25"/>
      <c r="H1" s="25"/>
    </row>
    <row r="2" customFormat="false" ht="15" hidden="false" customHeight="false" outlineLevel="0" collapsed="false">
      <c r="A2" s="26" t="s">
        <v>226</v>
      </c>
      <c r="B2" s="26"/>
      <c r="C2" s="26"/>
      <c r="D2" s="26"/>
      <c r="E2" s="26"/>
      <c r="F2" s="26"/>
      <c r="G2" s="26"/>
      <c r="H2" s="26"/>
      <c r="I2" s="26"/>
      <c r="J2" s="26"/>
      <c r="K2" s="26"/>
      <c r="L2" s="26"/>
      <c r="M2" s="26"/>
      <c r="N2" s="26"/>
    </row>
    <row r="4" customFormat="false" ht="33.75" hidden="false" customHeight="true" outlineLevel="0" collapsed="false">
      <c r="A4" s="3" t="s">
        <v>211</v>
      </c>
      <c r="B4" s="3" t="s">
        <v>227</v>
      </c>
      <c r="C4" s="3" t="s">
        <v>113</v>
      </c>
      <c r="D4" s="3" t="s">
        <v>228</v>
      </c>
      <c r="E4" s="3" t="s">
        <v>229</v>
      </c>
      <c r="F4" s="3" t="s">
        <v>2</v>
      </c>
      <c r="G4" s="3" t="s">
        <v>230</v>
      </c>
      <c r="H4" s="3" t="s">
        <v>231</v>
      </c>
      <c r="I4" s="3" t="s">
        <v>215</v>
      </c>
      <c r="J4" s="3" t="s">
        <v>232</v>
      </c>
      <c r="K4" s="3" t="s">
        <v>161</v>
      </c>
      <c r="L4" s="3" t="s">
        <v>233</v>
      </c>
      <c r="M4" s="3" t="s">
        <v>234</v>
      </c>
      <c r="N4" s="3" t="s">
        <v>235</v>
      </c>
      <c r="O4" s="3" t="s">
        <v>236</v>
      </c>
      <c r="P4" s="3" t="s">
        <v>178</v>
      </c>
      <c r="Q4" s="3" t="s">
        <v>237</v>
      </c>
      <c r="R4" s="3" t="s">
        <v>238</v>
      </c>
      <c r="S4" s="3" t="s">
        <v>239</v>
      </c>
      <c r="T4" s="3" t="s">
        <v>240</v>
      </c>
      <c r="U4" s="3" t="s">
        <v>241</v>
      </c>
      <c r="V4" s="3" t="s">
        <v>242</v>
      </c>
      <c r="W4" s="3" t="s">
        <v>224</v>
      </c>
    </row>
    <row r="5" customFormat="false" ht="22.35" hidden="false" customHeight="false" outlineLevel="0" collapsed="false">
      <c r="A5" s="27" t="s">
        <v>212</v>
      </c>
      <c r="B5" s="28" t="s">
        <v>143</v>
      </c>
      <c r="C5" s="28" t="s">
        <v>120</v>
      </c>
      <c r="D5" s="28" t="s">
        <v>243</v>
      </c>
      <c r="E5" s="27"/>
      <c r="F5" s="27" t="n">
        <v>1</v>
      </c>
      <c r="G5" s="28" t="s">
        <v>214</v>
      </c>
      <c r="H5" s="27" t="str">
        <f aca="false">IFERROR(INDEX('الإعدادات واللجنة'!$E$22:$E$29,MATCH(C5,'الإعدادات واللجنة'!$B$22:$B$29,0)),"")</f>
        <v>عضو 3</v>
      </c>
      <c r="I5" s="29"/>
      <c r="J5" s="29"/>
      <c r="K5" s="29"/>
      <c r="L5" s="29"/>
      <c r="M5" s="29"/>
      <c r="N5" s="29"/>
      <c r="O5" s="27" t="str">
        <f aca="false">IF(I5="","",IF(I5="غير متوفر",0,COUNTIF(J5:N5,"نعم")))</f>
        <v/>
      </c>
      <c r="P5" s="27" t="str">
        <f aca="false">IF(I5="","لم يُفحص",IF(I5="غير متوفر","غير موجود",IF(AND(O5=5,I5="متوفر"),"مكتمل",IF(O5&gt;=3,"مقبول","ضعيف"))))</f>
        <v>لم يُفحص</v>
      </c>
      <c r="Q5" s="27" t="str">
        <f aca="false">IF(I5="","",IF(AND(I5="متوفر",O5=5),"لا","نعم"))</f>
        <v/>
      </c>
      <c r="R5" s="27" t="str">
        <f aca="false">IF(Q5&lt;&gt;"نعم","",IF(OR(E5="نعم",I5="غير متوفر"),"عالية",IF(O5&gt;=3,"منخفضة","متوسطة")))</f>
        <v/>
      </c>
      <c r="S5" s="30"/>
      <c r="T5" s="30"/>
      <c r="U5" s="27" t="str">
        <f aca="false">IFERROR(INDEX('الإعدادات واللجنة'!$G$22:$G$29,MATCH(C5,'الإعدادات واللجنة'!$B$22:$B$29,0)),"")</f>
        <v>عضو 4</v>
      </c>
      <c r="V5" s="29"/>
      <c r="W5" s="30"/>
    </row>
    <row r="6" customFormat="false" ht="22.35" hidden="false" customHeight="false" outlineLevel="0" collapsed="false">
      <c r="A6" s="27" t="s">
        <v>212</v>
      </c>
      <c r="B6" s="28" t="s">
        <v>143</v>
      </c>
      <c r="C6" s="28" t="s">
        <v>120</v>
      </c>
      <c r="D6" s="28" t="s">
        <v>243</v>
      </c>
      <c r="E6" s="27"/>
      <c r="F6" s="27" t="n">
        <v>2</v>
      </c>
      <c r="G6" s="28" t="s">
        <v>244</v>
      </c>
      <c r="H6" s="27" t="str">
        <f aca="false">IFERROR(INDEX('الإعدادات واللجنة'!$E$22:$E$29,MATCH(C6,'الإعدادات واللجنة'!$B$22:$B$29,0)),"")</f>
        <v>عضو 3</v>
      </c>
      <c r="I6" s="29"/>
      <c r="J6" s="29"/>
      <c r="K6" s="29"/>
      <c r="L6" s="29"/>
      <c r="M6" s="29"/>
      <c r="N6" s="29"/>
      <c r="O6" s="27" t="str">
        <f aca="false">IF(I6="","",IF(I6="غير متوفر",0,COUNTIF(J6:N6,"نعم")))</f>
        <v/>
      </c>
      <c r="P6" s="27" t="str">
        <f aca="false">IF(I6="","لم يُفحص",IF(I6="غير متوفر","غير موجود",IF(AND(O6=5,I6="متوفر"),"مكتمل",IF(O6&gt;=3,"مقبول","ضعيف"))))</f>
        <v>لم يُفحص</v>
      </c>
      <c r="Q6" s="27" t="str">
        <f aca="false">IF(I6="","",IF(AND(I6="متوفر",O6=5),"لا","نعم"))</f>
        <v/>
      </c>
      <c r="R6" s="27" t="str">
        <f aca="false">IF(Q6&lt;&gt;"نعم","",IF(OR(E6="نعم",I6="غير متوفر"),"عالية",IF(O6&gt;=3,"منخفضة","متوسطة")))</f>
        <v/>
      </c>
      <c r="S6" s="30"/>
      <c r="T6" s="30"/>
      <c r="U6" s="27" t="str">
        <f aca="false">IFERROR(INDEX('الإعدادات واللجنة'!$G$22:$G$29,MATCH(C6,'الإعدادات واللجنة'!$B$22:$B$29,0)),"")</f>
        <v>عضو 4</v>
      </c>
      <c r="V6" s="29"/>
      <c r="W6" s="30"/>
    </row>
    <row r="7" customFormat="false" ht="22.35" hidden="false" customHeight="false" outlineLevel="0" collapsed="false">
      <c r="A7" s="27" t="s">
        <v>212</v>
      </c>
      <c r="B7" s="28" t="s">
        <v>143</v>
      </c>
      <c r="C7" s="28" t="s">
        <v>120</v>
      </c>
      <c r="D7" s="28" t="s">
        <v>243</v>
      </c>
      <c r="E7" s="27"/>
      <c r="F7" s="27" t="n">
        <v>3</v>
      </c>
      <c r="G7" s="28" t="s">
        <v>245</v>
      </c>
      <c r="H7" s="27" t="str">
        <f aca="false">IFERROR(INDEX('الإعدادات واللجنة'!$E$22:$E$29,MATCH(C7,'الإعدادات واللجنة'!$B$22:$B$29,0)),"")</f>
        <v>عضو 3</v>
      </c>
      <c r="I7" s="29"/>
      <c r="J7" s="29"/>
      <c r="K7" s="29"/>
      <c r="L7" s="29"/>
      <c r="M7" s="29"/>
      <c r="N7" s="29"/>
      <c r="O7" s="27" t="str">
        <f aca="false">IF(I7="","",IF(I7="غير متوفر",0,COUNTIF(J7:N7,"نعم")))</f>
        <v/>
      </c>
      <c r="P7" s="27" t="str">
        <f aca="false">IF(I7="","لم يُفحص",IF(I7="غير متوفر","غير موجود",IF(AND(O7=5,I7="متوفر"),"مكتمل",IF(O7&gt;=3,"مقبول","ضعيف"))))</f>
        <v>لم يُفحص</v>
      </c>
      <c r="Q7" s="27" t="str">
        <f aca="false">IF(I7="","",IF(AND(I7="متوفر",O7=5),"لا","نعم"))</f>
        <v/>
      </c>
      <c r="R7" s="27" t="str">
        <f aca="false">IF(Q7&lt;&gt;"نعم","",IF(OR(E7="نعم",I7="غير متوفر"),"عالية",IF(O7&gt;=3,"منخفضة","متوسطة")))</f>
        <v/>
      </c>
      <c r="S7" s="30"/>
      <c r="T7" s="30"/>
      <c r="U7" s="27" t="str">
        <f aca="false">IFERROR(INDEX('الإعدادات واللجنة'!$G$22:$G$29,MATCH(C7,'الإعدادات واللجنة'!$B$22:$B$29,0)),"")</f>
        <v>عضو 4</v>
      </c>
      <c r="V7" s="29"/>
      <c r="W7" s="30"/>
    </row>
    <row r="8" customFormat="false" ht="22.35" hidden="false" customHeight="false" outlineLevel="0" collapsed="false">
      <c r="A8" s="27" t="s">
        <v>212</v>
      </c>
      <c r="B8" s="28" t="s">
        <v>143</v>
      </c>
      <c r="C8" s="28" t="s">
        <v>120</v>
      </c>
      <c r="D8" s="28" t="s">
        <v>243</v>
      </c>
      <c r="E8" s="27"/>
      <c r="F8" s="27" t="n">
        <v>4</v>
      </c>
      <c r="G8" s="28" t="s">
        <v>246</v>
      </c>
      <c r="H8" s="27" t="str">
        <f aca="false">IFERROR(INDEX('الإعدادات واللجنة'!$E$22:$E$29,MATCH(C8,'الإعدادات واللجنة'!$B$22:$B$29,0)),"")</f>
        <v>عضو 3</v>
      </c>
      <c r="I8" s="29"/>
      <c r="J8" s="29"/>
      <c r="K8" s="29"/>
      <c r="L8" s="29"/>
      <c r="M8" s="29"/>
      <c r="N8" s="29"/>
      <c r="O8" s="27" t="str">
        <f aca="false">IF(I8="","",IF(I8="غير متوفر",0,COUNTIF(J8:N8,"نعم")))</f>
        <v/>
      </c>
      <c r="P8" s="27" t="str">
        <f aca="false">IF(I8="","لم يُفحص",IF(I8="غير متوفر","غير موجود",IF(AND(O8=5,I8="متوفر"),"مكتمل",IF(O8&gt;=3,"مقبول","ضعيف"))))</f>
        <v>لم يُفحص</v>
      </c>
      <c r="Q8" s="27" t="str">
        <f aca="false">IF(I8="","",IF(AND(I8="متوفر",O8=5),"لا","نعم"))</f>
        <v/>
      </c>
      <c r="R8" s="27" t="str">
        <f aca="false">IF(Q8&lt;&gt;"نعم","",IF(OR(E8="نعم",I8="غير متوفر"),"عالية",IF(O8&gt;=3,"منخفضة","متوسطة")))</f>
        <v/>
      </c>
      <c r="S8" s="30"/>
      <c r="T8" s="30"/>
      <c r="U8" s="27" t="str">
        <f aca="false">IFERROR(INDEX('الإعدادات واللجنة'!$G$22:$G$29,MATCH(C8,'الإعدادات واللجنة'!$B$22:$B$29,0)),"")</f>
        <v>عضو 4</v>
      </c>
      <c r="V8" s="29"/>
      <c r="W8" s="30"/>
    </row>
    <row r="9" customFormat="false" ht="22.35" hidden="false" customHeight="false" outlineLevel="0" collapsed="false">
      <c r="A9" s="31" t="s">
        <v>247</v>
      </c>
      <c r="B9" s="32" t="s">
        <v>143</v>
      </c>
      <c r="C9" s="32" t="s">
        <v>120</v>
      </c>
      <c r="D9" s="32" t="s">
        <v>248</v>
      </c>
      <c r="E9" s="31" t="s">
        <v>185</v>
      </c>
      <c r="F9" s="31" t="n">
        <v>1</v>
      </c>
      <c r="G9" s="32" t="s">
        <v>249</v>
      </c>
      <c r="H9" s="27" t="str">
        <f aca="false">IFERROR(INDEX('الإعدادات واللجنة'!$E$22:$E$29,MATCH(C9,'الإعدادات واللجنة'!$B$22:$B$29,0)),"")</f>
        <v>عضو 3</v>
      </c>
      <c r="I9" s="29"/>
      <c r="J9" s="29"/>
      <c r="K9" s="29"/>
      <c r="L9" s="29"/>
      <c r="M9" s="29"/>
      <c r="N9" s="29"/>
      <c r="O9" s="27" t="str">
        <f aca="false">IF(I9="","",IF(I9="غير متوفر",0,COUNTIF(J9:N9,"نعم")))</f>
        <v/>
      </c>
      <c r="P9" s="27" t="str">
        <f aca="false">IF(I9="","لم يُفحص",IF(I9="غير متوفر","غير موجود",IF(AND(O9=5,I9="متوفر"),"مكتمل",IF(O9&gt;=3,"مقبول","ضعيف"))))</f>
        <v>لم يُفحص</v>
      </c>
      <c r="Q9" s="27" t="str">
        <f aca="false">IF(I9="","",IF(AND(I9="متوفر",O9=5),"لا","نعم"))</f>
        <v/>
      </c>
      <c r="R9" s="27" t="str">
        <f aca="false">IF(Q9&lt;&gt;"نعم","",IF(OR(E9="نعم",I9="غير متوفر"),"عالية",IF(O9&gt;=3,"منخفضة","متوسطة")))</f>
        <v/>
      </c>
      <c r="S9" s="30"/>
      <c r="T9" s="30"/>
      <c r="U9" s="27" t="str">
        <f aca="false">IFERROR(INDEX('الإعدادات واللجنة'!$G$22:$G$29,MATCH(C9,'الإعدادات واللجنة'!$B$22:$B$29,0)),"")</f>
        <v>عضو 4</v>
      </c>
      <c r="V9" s="29"/>
      <c r="W9" s="30"/>
    </row>
    <row r="10" customFormat="false" ht="22.35" hidden="false" customHeight="false" outlineLevel="0" collapsed="false">
      <c r="A10" s="31" t="s">
        <v>247</v>
      </c>
      <c r="B10" s="32" t="s">
        <v>143</v>
      </c>
      <c r="C10" s="32" t="s">
        <v>120</v>
      </c>
      <c r="D10" s="32" t="s">
        <v>248</v>
      </c>
      <c r="E10" s="31" t="s">
        <v>185</v>
      </c>
      <c r="F10" s="31" t="n">
        <v>2</v>
      </c>
      <c r="G10" s="32" t="s">
        <v>250</v>
      </c>
      <c r="H10" s="27" t="str">
        <f aca="false">IFERROR(INDEX('الإعدادات واللجنة'!$E$22:$E$29,MATCH(C10,'الإعدادات واللجنة'!$B$22:$B$29,0)),"")</f>
        <v>عضو 3</v>
      </c>
      <c r="I10" s="29"/>
      <c r="J10" s="29"/>
      <c r="K10" s="29"/>
      <c r="L10" s="29"/>
      <c r="M10" s="29"/>
      <c r="N10" s="29"/>
      <c r="O10" s="27" t="str">
        <f aca="false">IF(I10="","",IF(I10="غير متوفر",0,COUNTIF(J10:N10,"نعم")))</f>
        <v/>
      </c>
      <c r="P10" s="27" t="str">
        <f aca="false">IF(I10="","لم يُفحص",IF(I10="غير متوفر","غير موجود",IF(AND(O10=5,I10="متوفر"),"مكتمل",IF(O10&gt;=3,"مقبول","ضعيف"))))</f>
        <v>لم يُفحص</v>
      </c>
      <c r="Q10" s="27" t="str">
        <f aca="false">IF(I10="","",IF(AND(I10="متوفر",O10=5),"لا","نعم"))</f>
        <v/>
      </c>
      <c r="R10" s="27" t="str">
        <f aca="false">IF(Q10&lt;&gt;"نعم","",IF(OR(E10="نعم",I10="غير متوفر"),"عالية",IF(O10&gt;=3,"منخفضة","متوسطة")))</f>
        <v/>
      </c>
      <c r="S10" s="30"/>
      <c r="T10" s="30"/>
      <c r="U10" s="27" t="str">
        <f aca="false">IFERROR(INDEX('الإعدادات واللجنة'!$G$22:$G$29,MATCH(C10,'الإعدادات واللجنة'!$B$22:$B$29,0)),"")</f>
        <v>عضو 4</v>
      </c>
      <c r="V10" s="29"/>
      <c r="W10" s="30"/>
    </row>
    <row r="11" customFormat="false" ht="22.35" hidden="false" customHeight="false" outlineLevel="0" collapsed="false">
      <c r="A11" s="31" t="s">
        <v>247</v>
      </c>
      <c r="B11" s="32" t="s">
        <v>143</v>
      </c>
      <c r="C11" s="32" t="s">
        <v>120</v>
      </c>
      <c r="D11" s="32" t="s">
        <v>248</v>
      </c>
      <c r="E11" s="31" t="s">
        <v>185</v>
      </c>
      <c r="F11" s="31" t="n">
        <v>3</v>
      </c>
      <c r="G11" s="32" t="s">
        <v>251</v>
      </c>
      <c r="H11" s="27" t="str">
        <f aca="false">IFERROR(INDEX('الإعدادات واللجنة'!$E$22:$E$29,MATCH(C11,'الإعدادات واللجنة'!$B$22:$B$29,0)),"")</f>
        <v>عضو 3</v>
      </c>
      <c r="I11" s="29"/>
      <c r="J11" s="29"/>
      <c r="K11" s="29"/>
      <c r="L11" s="29"/>
      <c r="M11" s="29"/>
      <c r="N11" s="29"/>
      <c r="O11" s="27" t="str">
        <f aca="false">IF(I11="","",IF(I11="غير متوفر",0,COUNTIF(J11:N11,"نعم")))</f>
        <v/>
      </c>
      <c r="P11" s="27" t="str">
        <f aca="false">IF(I11="","لم يُفحص",IF(I11="غير متوفر","غير موجود",IF(AND(O11=5,I11="متوفر"),"مكتمل",IF(O11&gt;=3,"مقبول","ضعيف"))))</f>
        <v>لم يُفحص</v>
      </c>
      <c r="Q11" s="27" t="str">
        <f aca="false">IF(I11="","",IF(AND(I11="متوفر",O11=5),"لا","نعم"))</f>
        <v/>
      </c>
      <c r="R11" s="27" t="str">
        <f aca="false">IF(Q11&lt;&gt;"نعم","",IF(OR(E11="نعم",I11="غير متوفر"),"عالية",IF(O11&gt;=3,"منخفضة","متوسطة")))</f>
        <v/>
      </c>
      <c r="S11" s="30"/>
      <c r="T11" s="30"/>
      <c r="U11" s="27" t="str">
        <f aca="false">IFERROR(INDEX('الإعدادات واللجنة'!$G$22:$G$29,MATCH(C11,'الإعدادات واللجنة'!$B$22:$B$29,0)),"")</f>
        <v>عضو 4</v>
      </c>
      <c r="V11" s="29"/>
      <c r="W11" s="30"/>
    </row>
    <row r="12" customFormat="false" ht="22.35" hidden="false" customHeight="false" outlineLevel="0" collapsed="false">
      <c r="A12" s="31" t="s">
        <v>247</v>
      </c>
      <c r="B12" s="32" t="s">
        <v>143</v>
      </c>
      <c r="C12" s="32" t="s">
        <v>120</v>
      </c>
      <c r="D12" s="32" t="s">
        <v>248</v>
      </c>
      <c r="E12" s="31" t="s">
        <v>185</v>
      </c>
      <c r="F12" s="31" t="n">
        <v>4</v>
      </c>
      <c r="G12" s="32" t="s">
        <v>252</v>
      </c>
      <c r="H12" s="27" t="str">
        <f aca="false">IFERROR(INDEX('الإعدادات واللجنة'!$E$22:$E$29,MATCH(C12,'الإعدادات واللجنة'!$B$22:$B$29,0)),"")</f>
        <v>عضو 3</v>
      </c>
      <c r="I12" s="29"/>
      <c r="J12" s="29"/>
      <c r="K12" s="29"/>
      <c r="L12" s="29"/>
      <c r="M12" s="29"/>
      <c r="N12" s="29"/>
      <c r="O12" s="27" t="str">
        <f aca="false">IF(I12="","",IF(I12="غير متوفر",0,COUNTIF(J12:N12,"نعم")))</f>
        <v/>
      </c>
      <c r="P12" s="27" t="str">
        <f aca="false">IF(I12="","لم يُفحص",IF(I12="غير متوفر","غير موجود",IF(AND(O12=5,I12="متوفر"),"مكتمل",IF(O12&gt;=3,"مقبول","ضعيف"))))</f>
        <v>لم يُفحص</v>
      </c>
      <c r="Q12" s="27" t="str">
        <f aca="false">IF(I12="","",IF(AND(I12="متوفر",O12=5),"لا","نعم"))</f>
        <v/>
      </c>
      <c r="R12" s="27" t="str">
        <f aca="false">IF(Q12&lt;&gt;"نعم","",IF(OR(E12="نعم",I12="غير متوفر"),"عالية",IF(O12&gt;=3,"منخفضة","متوسطة")))</f>
        <v/>
      </c>
      <c r="S12" s="30"/>
      <c r="T12" s="30"/>
      <c r="U12" s="27" t="str">
        <f aca="false">IFERROR(INDEX('الإعدادات واللجنة'!$G$22:$G$29,MATCH(C12,'الإعدادات واللجنة'!$B$22:$B$29,0)),"")</f>
        <v>عضو 4</v>
      </c>
      <c r="V12" s="29"/>
      <c r="W12" s="30"/>
    </row>
    <row r="13" customFormat="false" ht="22.35" hidden="false" customHeight="false" outlineLevel="0" collapsed="false">
      <c r="A13" s="31" t="s">
        <v>247</v>
      </c>
      <c r="B13" s="32" t="s">
        <v>143</v>
      </c>
      <c r="C13" s="32" t="s">
        <v>120</v>
      </c>
      <c r="D13" s="32" t="s">
        <v>248</v>
      </c>
      <c r="E13" s="31" t="s">
        <v>185</v>
      </c>
      <c r="F13" s="31" t="n">
        <v>5</v>
      </c>
      <c r="G13" s="32" t="s">
        <v>253</v>
      </c>
      <c r="H13" s="27" t="str">
        <f aca="false">IFERROR(INDEX('الإعدادات واللجنة'!$E$22:$E$29,MATCH(C13,'الإعدادات واللجنة'!$B$22:$B$29,0)),"")</f>
        <v>عضو 3</v>
      </c>
      <c r="I13" s="29"/>
      <c r="J13" s="29"/>
      <c r="K13" s="29"/>
      <c r="L13" s="29"/>
      <c r="M13" s="29"/>
      <c r="N13" s="29"/>
      <c r="O13" s="27" t="str">
        <f aca="false">IF(I13="","",IF(I13="غير متوفر",0,COUNTIF(J13:N13,"نعم")))</f>
        <v/>
      </c>
      <c r="P13" s="27" t="str">
        <f aca="false">IF(I13="","لم يُفحص",IF(I13="غير متوفر","غير موجود",IF(AND(O13=5,I13="متوفر"),"مكتمل",IF(O13&gt;=3,"مقبول","ضعيف"))))</f>
        <v>لم يُفحص</v>
      </c>
      <c r="Q13" s="27" t="str">
        <f aca="false">IF(I13="","",IF(AND(I13="متوفر",O13=5),"لا","نعم"))</f>
        <v/>
      </c>
      <c r="R13" s="27" t="str">
        <f aca="false">IF(Q13&lt;&gt;"نعم","",IF(OR(E13="نعم",I13="غير متوفر"),"عالية",IF(O13&gt;=3,"منخفضة","متوسطة")))</f>
        <v/>
      </c>
      <c r="S13" s="30"/>
      <c r="T13" s="30"/>
      <c r="U13" s="27" t="str">
        <f aca="false">IFERROR(INDEX('الإعدادات واللجنة'!$G$22:$G$29,MATCH(C13,'الإعدادات واللجنة'!$B$22:$B$29,0)),"")</f>
        <v>عضو 4</v>
      </c>
      <c r="V13" s="29"/>
      <c r="W13" s="30"/>
    </row>
    <row r="14" customFormat="false" ht="15" hidden="false" customHeight="false" outlineLevel="0" collapsed="false">
      <c r="A14" s="27" t="s">
        <v>254</v>
      </c>
      <c r="B14" s="28" t="s">
        <v>143</v>
      </c>
      <c r="C14" s="28" t="s">
        <v>120</v>
      </c>
      <c r="D14" s="28" t="s">
        <v>255</v>
      </c>
      <c r="E14" s="27"/>
      <c r="F14" s="27" t="n">
        <v>1</v>
      </c>
      <c r="G14" s="28" t="s">
        <v>256</v>
      </c>
      <c r="H14" s="27" t="str">
        <f aca="false">IFERROR(INDEX('الإعدادات واللجنة'!$E$22:$E$29,MATCH(C14,'الإعدادات واللجنة'!$B$22:$B$29,0)),"")</f>
        <v>عضو 3</v>
      </c>
      <c r="I14" s="29"/>
      <c r="J14" s="29"/>
      <c r="K14" s="29"/>
      <c r="L14" s="29"/>
      <c r="M14" s="29"/>
      <c r="N14" s="29"/>
      <c r="O14" s="27" t="str">
        <f aca="false">IF(I14="","",IF(I14="غير متوفر",0,COUNTIF(J14:N14,"نعم")))</f>
        <v/>
      </c>
      <c r="P14" s="27" t="str">
        <f aca="false">IF(I14="","لم يُفحص",IF(I14="غير متوفر","غير موجود",IF(AND(O14=5,I14="متوفر"),"مكتمل",IF(O14&gt;=3,"مقبول","ضعيف"))))</f>
        <v>لم يُفحص</v>
      </c>
      <c r="Q14" s="27" t="str">
        <f aca="false">IF(I14="","",IF(AND(I14="متوفر",O14=5),"لا","نعم"))</f>
        <v/>
      </c>
      <c r="R14" s="27" t="str">
        <f aca="false">IF(Q14&lt;&gt;"نعم","",IF(OR(E14="نعم",I14="غير متوفر"),"عالية",IF(O14&gt;=3,"منخفضة","متوسطة")))</f>
        <v/>
      </c>
      <c r="S14" s="30"/>
      <c r="T14" s="30"/>
      <c r="U14" s="27" t="str">
        <f aca="false">IFERROR(INDEX('الإعدادات واللجنة'!$G$22:$G$29,MATCH(C14,'الإعدادات واللجنة'!$B$22:$B$29,0)),"")</f>
        <v>عضو 4</v>
      </c>
      <c r="V14" s="29"/>
      <c r="W14" s="30"/>
    </row>
    <row r="15" customFormat="false" ht="15" hidden="false" customHeight="false" outlineLevel="0" collapsed="false">
      <c r="A15" s="27" t="s">
        <v>254</v>
      </c>
      <c r="B15" s="28" t="s">
        <v>143</v>
      </c>
      <c r="C15" s="28" t="s">
        <v>120</v>
      </c>
      <c r="D15" s="28" t="s">
        <v>255</v>
      </c>
      <c r="E15" s="27"/>
      <c r="F15" s="27" t="n">
        <v>2</v>
      </c>
      <c r="G15" s="28" t="s">
        <v>257</v>
      </c>
      <c r="H15" s="27" t="str">
        <f aca="false">IFERROR(INDEX('الإعدادات واللجنة'!$E$22:$E$29,MATCH(C15,'الإعدادات واللجنة'!$B$22:$B$29,0)),"")</f>
        <v>عضو 3</v>
      </c>
      <c r="I15" s="29"/>
      <c r="J15" s="29"/>
      <c r="K15" s="29"/>
      <c r="L15" s="29"/>
      <c r="M15" s="29"/>
      <c r="N15" s="29"/>
      <c r="O15" s="27" t="str">
        <f aca="false">IF(I15="","",IF(I15="غير متوفر",0,COUNTIF(J15:N15,"نعم")))</f>
        <v/>
      </c>
      <c r="P15" s="27" t="str">
        <f aca="false">IF(I15="","لم يُفحص",IF(I15="غير متوفر","غير موجود",IF(AND(O15=5,I15="متوفر"),"مكتمل",IF(O15&gt;=3,"مقبول","ضعيف"))))</f>
        <v>لم يُفحص</v>
      </c>
      <c r="Q15" s="27" t="str">
        <f aca="false">IF(I15="","",IF(AND(I15="متوفر",O15=5),"لا","نعم"))</f>
        <v/>
      </c>
      <c r="R15" s="27" t="str">
        <f aca="false">IF(Q15&lt;&gt;"نعم","",IF(OR(E15="نعم",I15="غير متوفر"),"عالية",IF(O15&gt;=3,"منخفضة","متوسطة")))</f>
        <v/>
      </c>
      <c r="S15" s="30"/>
      <c r="T15" s="30"/>
      <c r="U15" s="27" t="str">
        <f aca="false">IFERROR(INDEX('الإعدادات واللجنة'!$G$22:$G$29,MATCH(C15,'الإعدادات واللجنة'!$B$22:$B$29,0)),"")</f>
        <v>عضو 4</v>
      </c>
      <c r="V15" s="29"/>
      <c r="W15" s="30"/>
    </row>
    <row r="16" customFormat="false" ht="15" hidden="false" customHeight="false" outlineLevel="0" collapsed="false">
      <c r="A16" s="27" t="s">
        <v>254</v>
      </c>
      <c r="B16" s="28" t="s">
        <v>143</v>
      </c>
      <c r="C16" s="28" t="s">
        <v>120</v>
      </c>
      <c r="D16" s="28" t="s">
        <v>255</v>
      </c>
      <c r="E16" s="27"/>
      <c r="F16" s="27" t="n">
        <v>3</v>
      </c>
      <c r="G16" s="28" t="s">
        <v>258</v>
      </c>
      <c r="H16" s="27" t="str">
        <f aca="false">IFERROR(INDEX('الإعدادات واللجنة'!$E$22:$E$29,MATCH(C16,'الإعدادات واللجنة'!$B$22:$B$29,0)),"")</f>
        <v>عضو 3</v>
      </c>
      <c r="I16" s="29"/>
      <c r="J16" s="29"/>
      <c r="K16" s="29"/>
      <c r="L16" s="29"/>
      <c r="M16" s="29"/>
      <c r="N16" s="29"/>
      <c r="O16" s="27" t="str">
        <f aca="false">IF(I16="","",IF(I16="غير متوفر",0,COUNTIF(J16:N16,"نعم")))</f>
        <v/>
      </c>
      <c r="P16" s="27" t="str">
        <f aca="false">IF(I16="","لم يُفحص",IF(I16="غير متوفر","غير موجود",IF(AND(O16=5,I16="متوفر"),"مكتمل",IF(O16&gt;=3,"مقبول","ضعيف"))))</f>
        <v>لم يُفحص</v>
      </c>
      <c r="Q16" s="27" t="str">
        <f aca="false">IF(I16="","",IF(AND(I16="متوفر",O16=5),"لا","نعم"))</f>
        <v/>
      </c>
      <c r="R16" s="27" t="str">
        <f aca="false">IF(Q16&lt;&gt;"نعم","",IF(OR(E16="نعم",I16="غير متوفر"),"عالية",IF(O16&gt;=3,"منخفضة","متوسطة")))</f>
        <v/>
      </c>
      <c r="S16" s="30"/>
      <c r="T16" s="30"/>
      <c r="U16" s="27" t="str">
        <f aca="false">IFERROR(INDEX('الإعدادات واللجنة'!$G$22:$G$29,MATCH(C16,'الإعدادات واللجنة'!$B$22:$B$29,0)),"")</f>
        <v>عضو 4</v>
      </c>
      <c r="V16" s="29"/>
      <c r="W16" s="30"/>
    </row>
    <row r="17" customFormat="false" ht="15" hidden="false" customHeight="false" outlineLevel="0" collapsed="false">
      <c r="A17" s="27" t="s">
        <v>254</v>
      </c>
      <c r="B17" s="28" t="s">
        <v>143</v>
      </c>
      <c r="C17" s="28" t="s">
        <v>120</v>
      </c>
      <c r="D17" s="28" t="s">
        <v>255</v>
      </c>
      <c r="E17" s="27"/>
      <c r="F17" s="27" t="n">
        <v>4</v>
      </c>
      <c r="G17" s="28" t="s">
        <v>259</v>
      </c>
      <c r="H17" s="27" t="str">
        <f aca="false">IFERROR(INDEX('الإعدادات واللجنة'!$E$22:$E$29,MATCH(C17,'الإعدادات واللجنة'!$B$22:$B$29,0)),"")</f>
        <v>عضو 3</v>
      </c>
      <c r="I17" s="29"/>
      <c r="J17" s="29"/>
      <c r="K17" s="29"/>
      <c r="L17" s="29"/>
      <c r="M17" s="29"/>
      <c r="N17" s="29"/>
      <c r="O17" s="27" t="str">
        <f aca="false">IF(I17="","",IF(I17="غير متوفر",0,COUNTIF(J17:N17,"نعم")))</f>
        <v/>
      </c>
      <c r="P17" s="27" t="str">
        <f aca="false">IF(I17="","لم يُفحص",IF(I17="غير متوفر","غير موجود",IF(AND(O17=5,I17="متوفر"),"مكتمل",IF(O17&gt;=3,"مقبول","ضعيف"))))</f>
        <v>لم يُفحص</v>
      </c>
      <c r="Q17" s="27" t="str">
        <f aca="false">IF(I17="","",IF(AND(I17="متوفر",O17=5),"لا","نعم"))</f>
        <v/>
      </c>
      <c r="R17" s="27" t="str">
        <f aca="false">IF(Q17&lt;&gt;"نعم","",IF(OR(E17="نعم",I17="غير متوفر"),"عالية",IF(O17&gt;=3,"منخفضة","متوسطة")))</f>
        <v/>
      </c>
      <c r="S17" s="30"/>
      <c r="T17" s="30"/>
      <c r="U17" s="27" t="str">
        <f aca="false">IFERROR(INDEX('الإعدادات واللجنة'!$G$22:$G$29,MATCH(C17,'الإعدادات واللجنة'!$B$22:$B$29,0)),"")</f>
        <v>عضو 4</v>
      </c>
      <c r="V17" s="29"/>
      <c r="W17" s="30"/>
    </row>
    <row r="18" customFormat="false" ht="22.35" hidden="false" customHeight="false" outlineLevel="0" collapsed="false">
      <c r="A18" s="27" t="s">
        <v>254</v>
      </c>
      <c r="B18" s="28" t="s">
        <v>143</v>
      </c>
      <c r="C18" s="28" t="s">
        <v>120</v>
      </c>
      <c r="D18" s="28" t="s">
        <v>255</v>
      </c>
      <c r="E18" s="27"/>
      <c r="F18" s="27" t="n">
        <v>5</v>
      </c>
      <c r="G18" s="28" t="s">
        <v>260</v>
      </c>
      <c r="H18" s="27" t="str">
        <f aca="false">IFERROR(INDEX('الإعدادات واللجنة'!$E$22:$E$29,MATCH(C18,'الإعدادات واللجنة'!$B$22:$B$29,0)),"")</f>
        <v>عضو 3</v>
      </c>
      <c r="I18" s="29"/>
      <c r="J18" s="29"/>
      <c r="K18" s="29"/>
      <c r="L18" s="29"/>
      <c r="M18" s="29"/>
      <c r="N18" s="29"/>
      <c r="O18" s="27" t="str">
        <f aca="false">IF(I18="","",IF(I18="غير متوفر",0,COUNTIF(J18:N18,"نعم")))</f>
        <v/>
      </c>
      <c r="P18" s="27" t="str">
        <f aca="false">IF(I18="","لم يُفحص",IF(I18="غير متوفر","غير موجود",IF(AND(O18=5,I18="متوفر"),"مكتمل",IF(O18&gt;=3,"مقبول","ضعيف"))))</f>
        <v>لم يُفحص</v>
      </c>
      <c r="Q18" s="27" t="str">
        <f aca="false">IF(I18="","",IF(AND(I18="متوفر",O18=5),"لا","نعم"))</f>
        <v/>
      </c>
      <c r="R18" s="27" t="str">
        <f aca="false">IF(Q18&lt;&gt;"نعم","",IF(OR(E18="نعم",I18="غير متوفر"),"عالية",IF(O18&gt;=3,"منخفضة","متوسطة")))</f>
        <v/>
      </c>
      <c r="S18" s="30"/>
      <c r="T18" s="30"/>
      <c r="U18" s="27" t="str">
        <f aca="false">IFERROR(INDEX('الإعدادات واللجنة'!$G$22:$G$29,MATCH(C18,'الإعدادات واللجنة'!$B$22:$B$29,0)),"")</f>
        <v>عضو 4</v>
      </c>
      <c r="V18" s="29"/>
      <c r="W18" s="30"/>
    </row>
    <row r="19" customFormat="false" ht="22.35" hidden="false" customHeight="false" outlineLevel="0" collapsed="false">
      <c r="A19" s="27" t="s">
        <v>261</v>
      </c>
      <c r="B19" s="28" t="s">
        <v>143</v>
      </c>
      <c r="C19" s="28" t="s">
        <v>120</v>
      </c>
      <c r="D19" s="28" t="s">
        <v>262</v>
      </c>
      <c r="E19" s="27"/>
      <c r="F19" s="27" t="n">
        <v>1</v>
      </c>
      <c r="G19" s="28" t="s">
        <v>263</v>
      </c>
      <c r="H19" s="27" t="str">
        <f aca="false">IFERROR(INDEX('الإعدادات واللجنة'!$E$22:$E$29,MATCH(C19,'الإعدادات واللجنة'!$B$22:$B$29,0)),"")</f>
        <v>عضو 3</v>
      </c>
      <c r="I19" s="29"/>
      <c r="J19" s="29"/>
      <c r="K19" s="29"/>
      <c r="L19" s="29"/>
      <c r="M19" s="29"/>
      <c r="N19" s="29"/>
      <c r="O19" s="27" t="str">
        <f aca="false">IF(I19="","",IF(I19="غير متوفر",0,COUNTIF(J19:N19,"نعم")))</f>
        <v/>
      </c>
      <c r="P19" s="27" t="str">
        <f aca="false">IF(I19="","لم يُفحص",IF(I19="غير متوفر","غير موجود",IF(AND(O19=5,I19="متوفر"),"مكتمل",IF(O19&gt;=3,"مقبول","ضعيف"))))</f>
        <v>لم يُفحص</v>
      </c>
      <c r="Q19" s="27" t="str">
        <f aca="false">IF(I19="","",IF(AND(I19="متوفر",O19=5),"لا","نعم"))</f>
        <v/>
      </c>
      <c r="R19" s="27" t="str">
        <f aca="false">IF(Q19&lt;&gt;"نعم","",IF(OR(E19="نعم",I19="غير متوفر"),"عالية",IF(O19&gt;=3,"منخفضة","متوسطة")))</f>
        <v/>
      </c>
      <c r="S19" s="30"/>
      <c r="T19" s="30"/>
      <c r="U19" s="27" t="str">
        <f aca="false">IFERROR(INDEX('الإعدادات واللجنة'!$G$22:$G$29,MATCH(C19,'الإعدادات واللجنة'!$B$22:$B$29,0)),"")</f>
        <v>عضو 4</v>
      </c>
      <c r="V19" s="29"/>
      <c r="W19" s="30"/>
    </row>
    <row r="20" customFormat="false" ht="22.35" hidden="false" customHeight="false" outlineLevel="0" collapsed="false">
      <c r="A20" s="27" t="s">
        <v>261</v>
      </c>
      <c r="B20" s="28" t="s">
        <v>143</v>
      </c>
      <c r="C20" s="28" t="s">
        <v>120</v>
      </c>
      <c r="D20" s="28" t="s">
        <v>262</v>
      </c>
      <c r="E20" s="27"/>
      <c r="F20" s="27" t="n">
        <v>2</v>
      </c>
      <c r="G20" s="28" t="s">
        <v>264</v>
      </c>
      <c r="H20" s="27" t="str">
        <f aca="false">IFERROR(INDEX('الإعدادات واللجنة'!$E$22:$E$29,MATCH(C20,'الإعدادات واللجنة'!$B$22:$B$29,0)),"")</f>
        <v>عضو 3</v>
      </c>
      <c r="I20" s="29"/>
      <c r="J20" s="29"/>
      <c r="K20" s="29"/>
      <c r="L20" s="29"/>
      <c r="M20" s="29"/>
      <c r="N20" s="29"/>
      <c r="O20" s="27" t="str">
        <f aca="false">IF(I20="","",IF(I20="غير متوفر",0,COUNTIF(J20:N20,"نعم")))</f>
        <v/>
      </c>
      <c r="P20" s="27" t="str">
        <f aca="false">IF(I20="","لم يُفحص",IF(I20="غير متوفر","غير موجود",IF(AND(O20=5,I20="متوفر"),"مكتمل",IF(O20&gt;=3,"مقبول","ضعيف"))))</f>
        <v>لم يُفحص</v>
      </c>
      <c r="Q20" s="27" t="str">
        <f aca="false">IF(I20="","",IF(AND(I20="متوفر",O20=5),"لا","نعم"))</f>
        <v/>
      </c>
      <c r="R20" s="27" t="str">
        <f aca="false">IF(Q20&lt;&gt;"نعم","",IF(OR(E20="نعم",I20="غير متوفر"),"عالية",IF(O20&gt;=3,"منخفضة","متوسطة")))</f>
        <v/>
      </c>
      <c r="S20" s="30"/>
      <c r="T20" s="30"/>
      <c r="U20" s="27" t="str">
        <f aca="false">IFERROR(INDEX('الإعدادات واللجنة'!$G$22:$G$29,MATCH(C20,'الإعدادات واللجنة'!$B$22:$B$29,0)),"")</f>
        <v>عضو 4</v>
      </c>
      <c r="V20" s="29"/>
      <c r="W20" s="30"/>
    </row>
    <row r="21" customFormat="false" ht="32.8" hidden="false" customHeight="false" outlineLevel="0" collapsed="false">
      <c r="A21" s="27" t="s">
        <v>265</v>
      </c>
      <c r="B21" s="28" t="s">
        <v>143</v>
      </c>
      <c r="C21" s="28" t="s">
        <v>120</v>
      </c>
      <c r="D21" s="28" t="s">
        <v>266</v>
      </c>
      <c r="E21" s="27"/>
      <c r="F21" s="27" t="n">
        <v>1</v>
      </c>
      <c r="G21" s="28" t="s">
        <v>267</v>
      </c>
      <c r="H21" s="27" t="str">
        <f aca="false">IFERROR(INDEX('الإعدادات واللجنة'!$E$22:$E$29,MATCH(C21,'الإعدادات واللجنة'!$B$22:$B$29,0)),"")</f>
        <v>عضو 3</v>
      </c>
      <c r="I21" s="29"/>
      <c r="J21" s="29"/>
      <c r="K21" s="29"/>
      <c r="L21" s="29"/>
      <c r="M21" s="29"/>
      <c r="N21" s="29"/>
      <c r="O21" s="27" t="str">
        <f aca="false">IF(I21="","",IF(I21="غير متوفر",0,COUNTIF(J21:N21,"نعم")))</f>
        <v/>
      </c>
      <c r="P21" s="27" t="str">
        <f aca="false">IF(I21="","لم يُفحص",IF(I21="غير متوفر","غير موجود",IF(AND(O21=5,I21="متوفر"),"مكتمل",IF(O21&gt;=3,"مقبول","ضعيف"))))</f>
        <v>لم يُفحص</v>
      </c>
      <c r="Q21" s="27" t="str">
        <f aca="false">IF(I21="","",IF(AND(I21="متوفر",O21=5),"لا","نعم"))</f>
        <v/>
      </c>
      <c r="R21" s="27" t="str">
        <f aca="false">IF(Q21&lt;&gt;"نعم","",IF(OR(E21="نعم",I21="غير متوفر"),"عالية",IF(O21&gt;=3,"منخفضة","متوسطة")))</f>
        <v/>
      </c>
      <c r="S21" s="30"/>
      <c r="T21" s="30"/>
      <c r="U21" s="27" t="str">
        <f aca="false">IFERROR(INDEX('الإعدادات واللجنة'!$G$22:$G$29,MATCH(C21,'الإعدادات واللجنة'!$B$22:$B$29,0)),"")</f>
        <v>عضو 4</v>
      </c>
      <c r="V21" s="29"/>
      <c r="W21" s="30"/>
    </row>
    <row r="22" customFormat="false" ht="32.8" hidden="false" customHeight="false" outlineLevel="0" collapsed="false">
      <c r="A22" s="27" t="s">
        <v>265</v>
      </c>
      <c r="B22" s="28" t="s">
        <v>143</v>
      </c>
      <c r="C22" s="28" t="s">
        <v>120</v>
      </c>
      <c r="D22" s="28" t="s">
        <v>266</v>
      </c>
      <c r="E22" s="27"/>
      <c r="F22" s="27" t="n">
        <v>2</v>
      </c>
      <c r="G22" s="28" t="s">
        <v>268</v>
      </c>
      <c r="H22" s="27" t="str">
        <f aca="false">IFERROR(INDEX('الإعدادات واللجنة'!$E$22:$E$29,MATCH(C22,'الإعدادات واللجنة'!$B$22:$B$29,0)),"")</f>
        <v>عضو 3</v>
      </c>
      <c r="I22" s="29"/>
      <c r="J22" s="29"/>
      <c r="K22" s="29"/>
      <c r="L22" s="29"/>
      <c r="M22" s="29"/>
      <c r="N22" s="29"/>
      <c r="O22" s="27" t="str">
        <f aca="false">IF(I22="","",IF(I22="غير متوفر",0,COUNTIF(J22:N22,"نعم")))</f>
        <v/>
      </c>
      <c r="P22" s="27" t="str">
        <f aca="false">IF(I22="","لم يُفحص",IF(I22="غير متوفر","غير موجود",IF(AND(O22=5,I22="متوفر"),"مكتمل",IF(O22&gt;=3,"مقبول","ضعيف"))))</f>
        <v>لم يُفحص</v>
      </c>
      <c r="Q22" s="27" t="str">
        <f aca="false">IF(I22="","",IF(AND(I22="متوفر",O22=5),"لا","نعم"))</f>
        <v/>
      </c>
      <c r="R22" s="27" t="str">
        <f aca="false">IF(Q22&lt;&gt;"نعم","",IF(OR(E22="نعم",I22="غير متوفر"),"عالية",IF(O22&gt;=3,"منخفضة","متوسطة")))</f>
        <v/>
      </c>
      <c r="S22" s="30"/>
      <c r="T22" s="30"/>
      <c r="U22" s="27" t="str">
        <f aca="false">IFERROR(INDEX('الإعدادات واللجنة'!$G$22:$G$29,MATCH(C22,'الإعدادات واللجنة'!$B$22:$B$29,0)),"")</f>
        <v>عضو 4</v>
      </c>
      <c r="V22" s="29"/>
      <c r="W22" s="30"/>
    </row>
    <row r="23" customFormat="false" ht="32.8" hidden="false" customHeight="false" outlineLevel="0" collapsed="false">
      <c r="A23" s="27" t="s">
        <v>265</v>
      </c>
      <c r="B23" s="28" t="s">
        <v>143</v>
      </c>
      <c r="C23" s="28" t="s">
        <v>120</v>
      </c>
      <c r="D23" s="28" t="s">
        <v>266</v>
      </c>
      <c r="E23" s="27"/>
      <c r="F23" s="27" t="n">
        <v>3</v>
      </c>
      <c r="G23" s="28" t="s">
        <v>269</v>
      </c>
      <c r="H23" s="27" t="str">
        <f aca="false">IFERROR(INDEX('الإعدادات واللجنة'!$E$22:$E$29,MATCH(C23,'الإعدادات واللجنة'!$B$22:$B$29,0)),"")</f>
        <v>عضو 3</v>
      </c>
      <c r="I23" s="29"/>
      <c r="J23" s="29"/>
      <c r="K23" s="29"/>
      <c r="L23" s="29"/>
      <c r="M23" s="29"/>
      <c r="N23" s="29"/>
      <c r="O23" s="27" t="str">
        <f aca="false">IF(I23="","",IF(I23="غير متوفر",0,COUNTIF(J23:N23,"نعم")))</f>
        <v/>
      </c>
      <c r="P23" s="27" t="str">
        <f aca="false">IF(I23="","لم يُفحص",IF(I23="غير متوفر","غير موجود",IF(AND(O23=5,I23="متوفر"),"مكتمل",IF(O23&gt;=3,"مقبول","ضعيف"))))</f>
        <v>لم يُفحص</v>
      </c>
      <c r="Q23" s="27" t="str">
        <f aca="false">IF(I23="","",IF(AND(I23="متوفر",O23=5),"لا","نعم"))</f>
        <v/>
      </c>
      <c r="R23" s="27" t="str">
        <f aca="false">IF(Q23&lt;&gt;"نعم","",IF(OR(E23="نعم",I23="غير متوفر"),"عالية",IF(O23&gt;=3,"منخفضة","متوسطة")))</f>
        <v/>
      </c>
      <c r="S23" s="30"/>
      <c r="T23" s="30"/>
      <c r="U23" s="27" t="str">
        <f aca="false">IFERROR(INDEX('الإعدادات واللجنة'!$G$22:$G$29,MATCH(C23,'الإعدادات واللجنة'!$B$22:$B$29,0)),"")</f>
        <v>عضو 4</v>
      </c>
      <c r="V23" s="29"/>
      <c r="W23" s="30"/>
    </row>
    <row r="24" customFormat="false" ht="32.8" hidden="false" customHeight="false" outlineLevel="0" collapsed="false">
      <c r="A24" s="27" t="s">
        <v>265</v>
      </c>
      <c r="B24" s="28" t="s">
        <v>143</v>
      </c>
      <c r="C24" s="28" t="s">
        <v>120</v>
      </c>
      <c r="D24" s="28" t="s">
        <v>266</v>
      </c>
      <c r="E24" s="27"/>
      <c r="F24" s="27" t="n">
        <v>4</v>
      </c>
      <c r="G24" s="28" t="s">
        <v>270</v>
      </c>
      <c r="H24" s="27" t="str">
        <f aca="false">IFERROR(INDEX('الإعدادات واللجنة'!$E$22:$E$29,MATCH(C24,'الإعدادات واللجنة'!$B$22:$B$29,0)),"")</f>
        <v>عضو 3</v>
      </c>
      <c r="I24" s="29"/>
      <c r="J24" s="29"/>
      <c r="K24" s="29"/>
      <c r="L24" s="29"/>
      <c r="M24" s="29"/>
      <c r="N24" s="29"/>
      <c r="O24" s="27" t="str">
        <f aca="false">IF(I24="","",IF(I24="غير متوفر",0,COUNTIF(J24:N24,"نعم")))</f>
        <v/>
      </c>
      <c r="P24" s="27" t="str">
        <f aca="false">IF(I24="","لم يُفحص",IF(I24="غير متوفر","غير موجود",IF(AND(O24=5,I24="متوفر"),"مكتمل",IF(O24&gt;=3,"مقبول","ضعيف"))))</f>
        <v>لم يُفحص</v>
      </c>
      <c r="Q24" s="27" t="str">
        <f aca="false">IF(I24="","",IF(AND(I24="متوفر",O24=5),"لا","نعم"))</f>
        <v/>
      </c>
      <c r="R24" s="27" t="str">
        <f aca="false">IF(Q24&lt;&gt;"نعم","",IF(OR(E24="نعم",I24="غير متوفر"),"عالية",IF(O24&gt;=3,"منخفضة","متوسطة")))</f>
        <v/>
      </c>
      <c r="S24" s="30"/>
      <c r="T24" s="30"/>
      <c r="U24" s="27" t="str">
        <f aca="false">IFERROR(INDEX('الإعدادات واللجنة'!$G$22:$G$29,MATCH(C24,'الإعدادات واللجنة'!$B$22:$B$29,0)),"")</f>
        <v>عضو 4</v>
      </c>
      <c r="V24" s="29"/>
      <c r="W24" s="30"/>
    </row>
    <row r="25" customFormat="false" ht="32.8" hidden="false" customHeight="false" outlineLevel="0" collapsed="false">
      <c r="A25" s="27" t="s">
        <v>271</v>
      </c>
      <c r="B25" s="28" t="s">
        <v>143</v>
      </c>
      <c r="C25" s="28" t="s">
        <v>120</v>
      </c>
      <c r="D25" s="28" t="s">
        <v>272</v>
      </c>
      <c r="E25" s="27"/>
      <c r="F25" s="27" t="n">
        <v>1</v>
      </c>
      <c r="G25" s="28" t="s">
        <v>273</v>
      </c>
      <c r="H25" s="27" t="str">
        <f aca="false">IFERROR(INDEX('الإعدادات واللجنة'!$E$22:$E$29,MATCH(C25,'الإعدادات واللجنة'!$B$22:$B$29,0)),"")</f>
        <v>عضو 3</v>
      </c>
      <c r="I25" s="29"/>
      <c r="J25" s="29"/>
      <c r="K25" s="29"/>
      <c r="L25" s="29"/>
      <c r="M25" s="29"/>
      <c r="N25" s="29"/>
      <c r="O25" s="27" t="str">
        <f aca="false">IF(I25="","",IF(I25="غير متوفر",0,COUNTIF(J25:N25,"نعم")))</f>
        <v/>
      </c>
      <c r="P25" s="27" t="str">
        <f aca="false">IF(I25="","لم يُفحص",IF(I25="غير متوفر","غير موجود",IF(AND(O25=5,I25="متوفر"),"مكتمل",IF(O25&gt;=3,"مقبول","ضعيف"))))</f>
        <v>لم يُفحص</v>
      </c>
      <c r="Q25" s="27" t="str">
        <f aca="false">IF(I25="","",IF(AND(I25="متوفر",O25=5),"لا","نعم"))</f>
        <v/>
      </c>
      <c r="R25" s="27" t="str">
        <f aca="false">IF(Q25&lt;&gt;"نعم","",IF(OR(E25="نعم",I25="غير متوفر"),"عالية",IF(O25&gt;=3,"منخفضة","متوسطة")))</f>
        <v/>
      </c>
      <c r="S25" s="30"/>
      <c r="T25" s="30"/>
      <c r="U25" s="27" t="str">
        <f aca="false">IFERROR(INDEX('الإعدادات واللجنة'!$G$22:$G$29,MATCH(C25,'الإعدادات واللجنة'!$B$22:$B$29,0)),"")</f>
        <v>عضو 4</v>
      </c>
      <c r="V25" s="29"/>
      <c r="W25" s="30"/>
    </row>
    <row r="26" customFormat="false" ht="32.8" hidden="false" customHeight="false" outlineLevel="0" collapsed="false">
      <c r="A26" s="27" t="s">
        <v>271</v>
      </c>
      <c r="B26" s="28" t="s">
        <v>143</v>
      </c>
      <c r="C26" s="28" t="s">
        <v>120</v>
      </c>
      <c r="D26" s="28" t="s">
        <v>272</v>
      </c>
      <c r="E26" s="27"/>
      <c r="F26" s="27" t="n">
        <v>2</v>
      </c>
      <c r="G26" s="28" t="s">
        <v>274</v>
      </c>
      <c r="H26" s="27" t="str">
        <f aca="false">IFERROR(INDEX('الإعدادات واللجنة'!$E$22:$E$29,MATCH(C26,'الإعدادات واللجنة'!$B$22:$B$29,0)),"")</f>
        <v>عضو 3</v>
      </c>
      <c r="I26" s="29"/>
      <c r="J26" s="29"/>
      <c r="K26" s="29"/>
      <c r="L26" s="29"/>
      <c r="M26" s="29"/>
      <c r="N26" s="29"/>
      <c r="O26" s="27" t="str">
        <f aca="false">IF(I26="","",IF(I26="غير متوفر",0,COUNTIF(J26:N26,"نعم")))</f>
        <v/>
      </c>
      <c r="P26" s="27" t="str">
        <f aca="false">IF(I26="","لم يُفحص",IF(I26="غير متوفر","غير موجود",IF(AND(O26=5,I26="متوفر"),"مكتمل",IF(O26&gt;=3,"مقبول","ضعيف"))))</f>
        <v>لم يُفحص</v>
      </c>
      <c r="Q26" s="27" t="str">
        <f aca="false">IF(I26="","",IF(AND(I26="متوفر",O26=5),"لا","نعم"))</f>
        <v/>
      </c>
      <c r="R26" s="27" t="str">
        <f aca="false">IF(Q26&lt;&gt;"نعم","",IF(OR(E26="نعم",I26="غير متوفر"),"عالية",IF(O26&gt;=3,"منخفضة","متوسطة")))</f>
        <v/>
      </c>
      <c r="S26" s="30"/>
      <c r="T26" s="30"/>
      <c r="U26" s="27" t="str">
        <f aca="false">IFERROR(INDEX('الإعدادات واللجنة'!$G$22:$G$29,MATCH(C26,'الإعدادات واللجنة'!$B$22:$B$29,0)),"")</f>
        <v>عضو 4</v>
      </c>
      <c r="V26" s="29"/>
      <c r="W26" s="30"/>
    </row>
    <row r="27" customFormat="false" ht="32.8" hidden="false" customHeight="false" outlineLevel="0" collapsed="false">
      <c r="A27" s="27" t="s">
        <v>271</v>
      </c>
      <c r="B27" s="28" t="s">
        <v>143</v>
      </c>
      <c r="C27" s="28" t="s">
        <v>120</v>
      </c>
      <c r="D27" s="28" t="s">
        <v>272</v>
      </c>
      <c r="E27" s="27"/>
      <c r="F27" s="27" t="n">
        <v>3</v>
      </c>
      <c r="G27" s="28" t="s">
        <v>275</v>
      </c>
      <c r="H27" s="27" t="str">
        <f aca="false">IFERROR(INDEX('الإعدادات واللجنة'!$E$22:$E$29,MATCH(C27,'الإعدادات واللجنة'!$B$22:$B$29,0)),"")</f>
        <v>عضو 3</v>
      </c>
      <c r="I27" s="29"/>
      <c r="J27" s="29"/>
      <c r="K27" s="29"/>
      <c r="L27" s="29"/>
      <c r="M27" s="29"/>
      <c r="N27" s="29"/>
      <c r="O27" s="27" t="str">
        <f aca="false">IF(I27="","",IF(I27="غير متوفر",0,COUNTIF(J27:N27,"نعم")))</f>
        <v/>
      </c>
      <c r="P27" s="27" t="str">
        <f aca="false">IF(I27="","لم يُفحص",IF(I27="غير متوفر","غير موجود",IF(AND(O27=5,I27="متوفر"),"مكتمل",IF(O27&gt;=3,"مقبول","ضعيف"))))</f>
        <v>لم يُفحص</v>
      </c>
      <c r="Q27" s="27" t="str">
        <f aca="false">IF(I27="","",IF(AND(I27="متوفر",O27=5),"لا","نعم"))</f>
        <v/>
      </c>
      <c r="R27" s="27" t="str">
        <f aca="false">IF(Q27&lt;&gt;"نعم","",IF(OR(E27="نعم",I27="غير متوفر"),"عالية",IF(O27&gt;=3,"منخفضة","متوسطة")))</f>
        <v/>
      </c>
      <c r="S27" s="30"/>
      <c r="T27" s="30"/>
      <c r="U27" s="27" t="str">
        <f aca="false">IFERROR(INDEX('الإعدادات واللجنة'!$G$22:$G$29,MATCH(C27,'الإعدادات واللجنة'!$B$22:$B$29,0)),"")</f>
        <v>عضو 4</v>
      </c>
      <c r="V27" s="29"/>
      <c r="W27" s="30"/>
    </row>
    <row r="28" customFormat="false" ht="32.8" hidden="false" customHeight="false" outlineLevel="0" collapsed="false">
      <c r="A28" s="27" t="s">
        <v>271</v>
      </c>
      <c r="B28" s="28" t="s">
        <v>143</v>
      </c>
      <c r="C28" s="28" t="s">
        <v>120</v>
      </c>
      <c r="D28" s="28" t="s">
        <v>272</v>
      </c>
      <c r="E28" s="27"/>
      <c r="F28" s="27" t="n">
        <v>4</v>
      </c>
      <c r="G28" s="28" t="s">
        <v>276</v>
      </c>
      <c r="H28" s="27" t="str">
        <f aca="false">IFERROR(INDEX('الإعدادات واللجنة'!$E$22:$E$29,MATCH(C28,'الإعدادات واللجنة'!$B$22:$B$29,0)),"")</f>
        <v>عضو 3</v>
      </c>
      <c r="I28" s="29"/>
      <c r="J28" s="29"/>
      <c r="K28" s="29"/>
      <c r="L28" s="29"/>
      <c r="M28" s="29"/>
      <c r="N28" s="29"/>
      <c r="O28" s="27" t="str">
        <f aca="false">IF(I28="","",IF(I28="غير متوفر",0,COUNTIF(J28:N28,"نعم")))</f>
        <v/>
      </c>
      <c r="P28" s="27" t="str">
        <f aca="false">IF(I28="","لم يُفحص",IF(I28="غير متوفر","غير موجود",IF(AND(O28=5,I28="متوفر"),"مكتمل",IF(O28&gt;=3,"مقبول","ضعيف"))))</f>
        <v>لم يُفحص</v>
      </c>
      <c r="Q28" s="27" t="str">
        <f aca="false">IF(I28="","",IF(AND(I28="متوفر",O28=5),"لا","نعم"))</f>
        <v/>
      </c>
      <c r="R28" s="27" t="str">
        <f aca="false">IF(Q28&lt;&gt;"نعم","",IF(OR(E28="نعم",I28="غير متوفر"),"عالية",IF(O28&gt;=3,"منخفضة","متوسطة")))</f>
        <v/>
      </c>
      <c r="S28" s="30"/>
      <c r="T28" s="30"/>
      <c r="U28" s="27" t="str">
        <f aca="false">IFERROR(INDEX('الإعدادات واللجنة'!$G$22:$G$29,MATCH(C28,'الإعدادات واللجنة'!$B$22:$B$29,0)),"")</f>
        <v>عضو 4</v>
      </c>
      <c r="V28" s="29"/>
      <c r="W28" s="30"/>
    </row>
    <row r="29" customFormat="false" ht="22.35" hidden="false" customHeight="false" outlineLevel="0" collapsed="false">
      <c r="A29" s="27" t="s">
        <v>277</v>
      </c>
      <c r="B29" s="28" t="s">
        <v>143</v>
      </c>
      <c r="C29" s="28" t="s">
        <v>120</v>
      </c>
      <c r="D29" s="28" t="s">
        <v>278</v>
      </c>
      <c r="E29" s="27"/>
      <c r="F29" s="27" t="n">
        <v>1</v>
      </c>
      <c r="G29" s="28" t="s">
        <v>279</v>
      </c>
      <c r="H29" s="27" t="str">
        <f aca="false">IFERROR(INDEX('الإعدادات واللجنة'!$E$22:$E$29,MATCH(C29,'الإعدادات واللجنة'!$B$22:$B$29,0)),"")</f>
        <v>عضو 3</v>
      </c>
      <c r="I29" s="29"/>
      <c r="J29" s="29"/>
      <c r="K29" s="29"/>
      <c r="L29" s="29"/>
      <c r="M29" s="29"/>
      <c r="N29" s="29"/>
      <c r="O29" s="27" t="str">
        <f aca="false">IF(I29="","",IF(I29="غير متوفر",0,COUNTIF(J29:N29,"نعم")))</f>
        <v/>
      </c>
      <c r="P29" s="27" t="str">
        <f aca="false">IF(I29="","لم يُفحص",IF(I29="غير متوفر","غير موجود",IF(AND(O29=5,I29="متوفر"),"مكتمل",IF(O29&gt;=3,"مقبول","ضعيف"))))</f>
        <v>لم يُفحص</v>
      </c>
      <c r="Q29" s="27" t="str">
        <f aca="false">IF(I29="","",IF(AND(I29="متوفر",O29=5),"لا","نعم"))</f>
        <v/>
      </c>
      <c r="R29" s="27" t="str">
        <f aca="false">IF(Q29&lt;&gt;"نعم","",IF(OR(E29="نعم",I29="غير متوفر"),"عالية",IF(O29&gt;=3,"منخفضة","متوسطة")))</f>
        <v/>
      </c>
      <c r="S29" s="30"/>
      <c r="T29" s="30"/>
      <c r="U29" s="27" t="str">
        <f aca="false">IFERROR(INDEX('الإعدادات واللجنة'!$G$22:$G$29,MATCH(C29,'الإعدادات واللجنة'!$B$22:$B$29,0)),"")</f>
        <v>عضو 4</v>
      </c>
      <c r="V29" s="29"/>
      <c r="W29" s="30"/>
    </row>
    <row r="30" customFormat="false" ht="22.35" hidden="false" customHeight="false" outlineLevel="0" collapsed="false">
      <c r="A30" s="27" t="s">
        <v>277</v>
      </c>
      <c r="B30" s="28" t="s">
        <v>143</v>
      </c>
      <c r="C30" s="28" t="s">
        <v>120</v>
      </c>
      <c r="D30" s="28" t="s">
        <v>278</v>
      </c>
      <c r="E30" s="27"/>
      <c r="F30" s="27" t="n">
        <v>2</v>
      </c>
      <c r="G30" s="28" t="s">
        <v>280</v>
      </c>
      <c r="H30" s="27" t="str">
        <f aca="false">IFERROR(INDEX('الإعدادات واللجنة'!$E$22:$E$29,MATCH(C30,'الإعدادات واللجنة'!$B$22:$B$29,0)),"")</f>
        <v>عضو 3</v>
      </c>
      <c r="I30" s="29"/>
      <c r="J30" s="29"/>
      <c r="K30" s="29"/>
      <c r="L30" s="29"/>
      <c r="M30" s="29"/>
      <c r="N30" s="29"/>
      <c r="O30" s="27" t="str">
        <f aca="false">IF(I30="","",IF(I30="غير متوفر",0,COUNTIF(J30:N30,"نعم")))</f>
        <v/>
      </c>
      <c r="P30" s="27" t="str">
        <f aca="false">IF(I30="","لم يُفحص",IF(I30="غير متوفر","غير موجود",IF(AND(O30=5,I30="متوفر"),"مكتمل",IF(O30&gt;=3,"مقبول","ضعيف"))))</f>
        <v>لم يُفحص</v>
      </c>
      <c r="Q30" s="27" t="str">
        <f aca="false">IF(I30="","",IF(AND(I30="متوفر",O30=5),"لا","نعم"))</f>
        <v/>
      </c>
      <c r="R30" s="27" t="str">
        <f aca="false">IF(Q30&lt;&gt;"نعم","",IF(OR(E30="نعم",I30="غير متوفر"),"عالية",IF(O30&gt;=3,"منخفضة","متوسطة")))</f>
        <v/>
      </c>
      <c r="S30" s="30"/>
      <c r="T30" s="30"/>
      <c r="U30" s="27" t="str">
        <f aca="false">IFERROR(INDEX('الإعدادات واللجنة'!$G$22:$G$29,MATCH(C30,'الإعدادات واللجنة'!$B$22:$B$29,0)),"")</f>
        <v>عضو 4</v>
      </c>
      <c r="V30" s="29"/>
      <c r="W30" s="30"/>
    </row>
    <row r="31" customFormat="false" ht="22.35" hidden="false" customHeight="false" outlineLevel="0" collapsed="false">
      <c r="A31" s="27" t="s">
        <v>277</v>
      </c>
      <c r="B31" s="28" t="s">
        <v>143</v>
      </c>
      <c r="C31" s="28" t="s">
        <v>120</v>
      </c>
      <c r="D31" s="28" t="s">
        <v>278</v>
      </c>
      <c r="E31" s="27"/>
      <c r="F31" s="27" t="n">
        <v>3</v>
      </c>
      <c r="G31" s="28" t="s">
        <v>281</v>
      </c>
      <c r="H31" s="27" t="str">
        <f aca="false">IFERROR(INDEX('الإعدادات واللجنة'!$E$22:$E$29,MATCH(C31,'الإعدادات واللجنة'!$B$22:$B$29,0)),"")</f>
        <v>عضو 3</v>
      </c>
      <c r="I31" s="29"/>
      <c r="J31" s="29"/>
      <c r="K31" s="29"/>
      <c r="L31" s="29"/>
      <c r="M31" s="29"/>
      <c r="N31" s="29"/>
      <c r="O31" s="27" t="str">
        <f aca="false">IF(I31="","",IF(I31="غير متوفر",0,COUNTIF(J31:N31,"نعم")))</f>
        <v/>
      </c>
      <c r="P31" s="27" t="str">
        <f aca="false">IF(I31="","لم يُفحص",IF(I31="غير متوفر","غير موجود",IF(AND(O31=5,I31="متوفر"),"مكتمل",IF(O31&gt;=3,"مقبول","ضعيف"))))</f>
        <v>لم يُفحص</v>
      </c>
      <c r="Q31" s="27" t="str">
        <f aca="false">IF(I31="","",IF(AND(I31="متوفر",O31=5),"لا","نعم"))</f>
        <v/>
      </c>
      <c r="R31" s="27" t="str">
        <f aca="false">IF(Q31&lt;&gt;"نعم","",IF(OR(E31="نعم",I31="غير متوفر"),"عالية",IF(O31&gt;=3,"منخفضة","متوسطة")))</f>
        <v/>
      </c>
      <c r="S31" s="30"/>
      <c r="T31" s="30"/>
      <c r="U31" s="27" t="str">
        <f aca="false">IFERROR(INDEX('الإعدادات واللجنة'!$G$22:$G$29,MATCH(C31,'الإعدادات واللجنة'!$B$22:$B$29,0)),"")</f>
        <v>عضو 4</v>
      </c>
      <c r="V31" s="29"/>
      <c r="W31" s="30"/>
    </row>
    <row r="32" customFormat="false" ht="22.35" hidden="false" customHeight="false" outlineLevel="0" collapsed="false">
      <c r="A32" s="27" t="s">
        <v>277</v>
      </c>
      <c r="B32" s="28" t="s">
        <v>143</v>
      </c>
      <c r="C32" s="28" t="s">
        <v>120</v>
      </c>
      <c r="D32" s="28" t="s">
        <v>278</v>
      </c>
      <c r="E32" s="27"/>
      <c r="F32" s="27" t="n">
        <v>4</v>
      </c>
      <c r="G32" s="28" t="s">
        <v>282</v>
      </c>
      <c r="H32" s="27" t="str">
        <f aca="false">IFERROR(INDEX('الإعدادات واللجنة'!$E$22:$E$29,MATCH(C32,'الإعدادات واللجنة'!$B$22:$B$29,0)),"")</f>
        <v>عضو 3</v>
      </c>
      <c r="I32" s="29"/>
      <c r="J32" s="29"/>
      <c r="K32" s="29"/>
      <c r="L32" s="29"/>
      <c r="M32" s="29"/>
      <c r="N32" s="29"/>
      <c r="O32" s="27" t="str">
        <f aca="false">IF(I32="","",IF(I32="غير متوفر",0,COUNTIF(J32:N32,"نعم")))</f>
        <v/>
      </c>
      <c r="P32" s="27" t="str">
        <f aca="false">IF(I32="","لم يُفحص",IF(I32="غير متوفر","غير موجود",IF(AND(O32=5,I32="متوفر"),"مكتمل",IF(O32&gt;=3,"مقبول","ضعيف"))))</f>
        <v>لم يُفحص</v>
      </c>
      <c r="Q32" s="27" t="str">
        <f aca="false">IF(I32="","",IF(AND(I32="متوفر",O32=5),"لا","نعم"))</f>
        <v/>
      </c>
      <c r="R32" s="27" t="str">
        <f aca="false">IF(Q32&lt;&gt;"نعم","",IF(OR(E32="نعم",I32="غير متوفر"),"عالية",IF(O32&gt;=3,"منخفضة","متوسطة")))</f>
        <v/>
      </c>
      <c r="S32" s="30"/>
      <c r="T32" s="30"/>
      <c r="U32" s="27" t="str">
        <f aca="false">IFERROR(INDEX('الإعدادات واللجنة'!$G$22:$G$29,MATCH(C32,'الإعدادات واللجنة'!$B$22:$B$29,0)),"")</f>
        <v>عضو 4</v>
      </c>
      <c r="V32" s="29"/>
      <c r="W32" s="30"/>
    </row>
    <row r="33" customFormat="false" ht="22.35" hidden="false" customHeight="false" outlineLevel="0" collapsed="false">
      <c r="A33" s="27" t="s">
        <v>277</v>
      </c>
      <c r="B33" s="28" t="s">
        <v>143</v>
      </c>
      <c r="C33" s="28" t="s">
        <v>120</v>
      </c>
      <c r="D33" s="28" t="s">
        <v>278</v>
      </c>
      <c r="E33" s="27"/>
      <c r="F33" s="27" t="n">
        <v>5</v>
      </c>
      <c r="G33" s="28" t="s">
        <v>283</v>
      </c>
      <c r="H33" s="27" t="str">
        <f aca="false">IFERROR(INDEX('الإعدادات واللجنة'!$E$22:$E$29,MATCH(C33,'الإعدادات واللجنة'!$B$22:$B$29,0)),"")</f>
        <v>عضو 3</v>
      </c>
      <c r="I33" s="29"/>
      <c r="J33" s="29"/>
      <c r="K33" s="29"/>
      <c r="L33" s="29"/>
      <c r="M33" s="29"/>
      <c r="N33" s="29"/>
      <c r="O33" s="27" t="str">
        <f aca="false">IF(I33="","",IF(I33="غير متوفر",0,COUNTIF(J33:N33,"نعم")))</f>
        <v/>
      </c>
      <c r="P33" s="27" t="str">
        <f aca="false">IF(I33="","لم يُفحص",IF(I33="غير متوفر","غير موجود",IF(AND(O33=5,I33="متوفر"),"مكتمل",IF(O33&gt;=3,"مقبول","ضعيف"))))</f>
        <v>لم يُفحص</v>
      </c>
      <c r="Q33" s="27" t="str">
        <f aca="false">IF(I33="","",IF(AND(I33="متوفر",O33=5),"لا","نعم"))</f>
        <v/>
      </c>
      <c r="R33" s="27" t="str">
        <f aca="false">IF(Q33&lt;&gt;"نعم","",IF(OR(E33="نعم",I33="غير متوفر"),"عالية",IF(O33&gt;=3,"منخفضة","متوسطة")))</f>
        <v/>
      </c>
      <c r="S33" s="30"/>
      <c r="T33" s="30"/>
      <c r="U33" s="27" t="str">
        <f aca="false">IFERROR(INDEX('الإعدادات واللجنة'!$G$22:$G$29,MATCH(C33,'الإعدادات واللجنة'!$B$22:$B$29,0)),"")</f>
        <v>عضو 4</v>
      </c>
      <c r="V33" s="29"/>
      <c r="W33" s="30"/>
    </row>
    <row r="34" customFormat="false" ht="32.8" hidden="false" customHeight="false" outlineLevel="0" collapsed="false">
      <c r="A34" s="31" t="s">
        <v>284</v>
      </c>
      <c r="B34" s="32" t="s">
        <v>143</v>
      </c>
      <c r="C34" s="32" t="s">
        <v>120</v>
      </c>
      <c r="D34" s="32" t="s">
        <v>285</v>
      </c>
      <c r="E34" s="31" t="s">
        <v>185</v>
      </c>
      <c r="F34" s="31" t="n">
        <v>1</v>
      </c>
      <c r="G34" s="32" t="s">
        <v>286</v>
      </c>
      <c r="H34" s="27" t="str">
        <f aca="false">IFERROR(INDEX('الإعدادات واللجنة'!$E$22:$E$29,MATCH(C34,'الإعدادات واللجنة'!$B$22:$B$29,0)),"")</f>
        <v>عضو 3</v>
      </c>
      <c r="I34" s="29"/>
      <c r="J34" s="29"/>
      <c r="K34" s="29"/>
      <c r="L34" s="29"/>
      <c r="M34" s="29"/>
      <c r="N34" s="29"/>
      <c r="O34" s="27" t="str">
        <f aca="false">IF(I34="","",IF(I34="غير متوفر",0,COUNTIF(J34:N34,"نعم")))</f>
        <v/>
      </c>
      <c r="P34" s="27" t="str">
        <f aca="false">IF(I34="","لم يُفحص",IF(I34="غير متوفر","غير موجود",IF(AND(O34=5,I34="متوفر"),"مكتمل",IF(O34&gt;=3,"مقبول","ضعيف"))))</f>
        <v>لم يُفحص</v>
      </c>
      <c r="Q34" s="27" t="str">
        <f aca="false">IF(I34="","",IF(AND(I34="متوفر",O34=5),"لا","نعم"))</f>
        <v/>
      </c>
      <c r="R34" s="27" t="str">
        <f aca="false">IF(Q34&lt;&gt;"نعم","",IF(OR(E34="نعم",I34="غير متوفر"),"عالية",IF(O34&gt;=3,"منخفضة","متوسطة")))</f>
        <v/>
      </c>
      <c r="S34" s="30"/>
      <c r="T34" s="30"/>
      <c r="U34" s="27" t="str">
        <f aca="false">IFERROR(INDEX('الإعدادات واللجنة'!$G$22:$G$29,MATCH(C34,'الإعدادات واللجنة'!$B$22:$B$29,0)),"")</f>
        <v>عضو 4</v>
      </c>
      <c r="V34" s="29"/>
      <c r="W34" s="30"/>
    </row>
    <row r="35" customFormat="false" ht="32.8" hidden="false" customHeight="false" outlineLevel="0" collapsed="false">
      <c r="A35" s="31" t="s">
        <v>284</v>
      </c>
      <c r="B35" s="32" t="s">
        <v>143</v>
      </c>
      <c r="C35" s="32" t="s">
        <v>120</v>
      </c>
      <c r="D35" s="32" t="s">
        <v>285</v>
      </c>
      <c r="E35" s="31" t="s">
        <v>185</v>
      </c>
      <c r="F35" s="31" t="n">
        <v>2</v>
      </c>
      <c r="G35" s="32" t="s">
        <v>287</v>
      </c>
      <c r="H35" s="27" t="str">
        <f aca="false">IFERROR(INDEX('الإعدادات واللجنة'!$E$22:$E$29,MATCH(C35,'الإعدادات واللجنة'!$B$22:$B$29,0)),"")</f>
        <v>عضو 3</v>
      </c>
      <c r="I35" s="29"/>
      <c r="J35" s="29"/>
      <c r="K35" s="29"/>
      <c r="L35" s="29"/>
      <c r="M35" s="29"/>
      <c r="N35" s="29"/>
      <c r="O35" s="27" t="str">
        <f aca="false">IF(I35="","",IF(I35="غير متوفر",0,COUNTIF(J35:N35,"نعم")))</f>
        <v/>
      </c>
      <c r="P35" s="27" t="str">
        <f aca="false">IF(I35="","لم يُفحص",IF(I35="غير متوفر","غير موجود",IF(AND(O35=5,I35="متوفر"),"مكتمل",IF(O35&gt;=3,"مقبول","ضعيف"))))</f>
        <v>لم يُفحص</v>
      </c>
      <c r="Q35" s="27" t="str">
        <f aca="false">IF(I35="","",IF(AND(I35="متوفر",O35=5),"لا","نعم"))</f>
        <v/>
      </c>
      <c r="R35" s="27" t="str">
        <f aca="false">IF(Q35&lt;&gt;"نعم","",IF(OR(E35="نعم",I35="غير متوفر"),"عالية",IF(O35&gt;=3,"منخفضة","متوسطة")))</f>
        <v/>
      </c>
      <c r="S35" s="30"/>
      <c r="T35" s="30"/>
      <c r="U35" s="27" t="str">
        <f aca="false">IFERROR(INDEX('الإعدادات واللجنة'!$G$22:$G$29,MATCH(C35,'الإعدادات واللجنة'!$B$22:$B$29,0)),"")</f>
        <v>عضو 4</v>
      </c>
      <c r="V35" s="29"/>
      <c r="W35" s="30"/>
    </row>
    <row r="36" customFormat="false" ht="32.8" hidden="false" customHeight="false" outlineLevel="0" collapsed="false">
      <c r="A36" s="31" t="s">
        <v>284</v>
      </c>
      <c r="B36" s="32" t="s">
        <v>143</v>
      </c>
      <c r="C36" s="32" t="s">
        <v>120</v>
      </c>
      <c r="D36" s="32" t="s">
        <v>285</v>
      </c>
      <c r="E36" s="31" t="s">
        <v>185</v>
      </c>
      <c r="F36" s="31" t="n">
        <v>3</v>
      </c>
      <c r="G36" s="32" t="s">
        <v>288</v>
      </c>
      <c r="H36" s="27" t="str">
        <f aca="false">IFERROR(INDEX('الإعدادات واللجنة'!$E$22:$E$29,MATCH(C36,'الإعدادات واللجنة'!$B$22:$B$29,0)),"")</f>
        <v>عضو 3</v>
      </c>
      <c r="I36" s="29"/>
      <c r="J36" s="29"/>
      <c r="K36" s="29"/>
      <c r="L36" s="29"/>
      <c r="M36" s="29"/>
      <c r="N36" s="29"/>
      <c r="O36" s="27" t="str">
        <f aca="false">IF(I36="","",IF(I36="غير متوفر",0,COUNTIF(J36:N36,"نعم")))</f>
        <v/>
      </c>
      <c r="P36" s="27" t="str">
        <f aca="false">IF(I36="","لم يُفحص",IF(I36="غير متوفر","غير موجود",IF(AND(O36=5,I36="متوفر"),"مكتمل",IF(O36&gt;=3,"مقبول","ضعيف"))))</f>
        <v>لم يُفحص</v>
      </c>
      <c r="Q36" s="27" t="str">
        <f aca="false">IF(I36="","",IF(AND(I36="متوفر",O36=5),"لا","نعم"))</f>
        <v/>
      </c>
      <c r="R36" s="27" t="str">
        <f aca="false">IF(Q36&lt;&gt;"نعم","",IF(OR(E36="نعم",I36="غير متوفر"),"عالية",IF(O36&gt;=3,"منخفضة","متوسطة")))</f>
        <v/>
      </c>
      <c r="S36" s="30"/>
      <c r="T36" s="30"/>
      <c r="U36" s="27" t="str">
        <f aca="false">IFERROR(INDEX('الإعدادات واللجنة'!$G$22:$G$29,MATCH(C36,'الإعدادات واللجنة'!$B$22:$B$29,0)),"")</f>
        <v>عضو 4</v>
      </c>
      <c r="V36" s="29"/>
      <c r="W36" s="30"/>
    </row>
    <row r="37" customFormat="false" ht="32.8" hidden="false" customHeight="false" outlineLevel="0" collapsed="false">
      <c r="A37" s="31" t="s">
        <v>284</v>
      </c>
      <c r="B37" s="32" t="s">
        <v>143</v>
      </c>
      <c r="C37" s="32" t="s">
        <v>120</v>
      </c>
      <c r="D37" s="32" t="s">
        <v>285</v>
      </c>
      <c r="E37" s="31" t="s">
        <v>185</v>
      </c>
      <c r="F37" s="31" t="n">
        <v>4</v>
      </c>
      <c r="G37" s="32" t="s">
        <v>289</v>
      </c>
      <c r="H37" s="27" t="str">
        <f aca="false">IFERROR(INDEX('الإعدادات واللجنة'!$E$22:$E$29,MATCH(C37,'الإعدادات واللجنة'!$B$22:$B$29,0)),"")</f>
        <v>عضو 3</v>
      </c>
      <c r="I37" s="29"/>
      <c r="J37" s="29"/>
      <c r="K37" s="29"/>
      <c r="L37" s="29"/>
      <c r="M37" s="29"/>
      <c r="N37" s="29"/>
      <c r="O37" s="27" t="str">
        <f aca="false">IF(I37="","",IF(I37="غير متوفر",0,COUNTIF(J37:N37,"نعم")))</f>
        <v/>
      </c>
      <c r="P37" s="27" t="str">
        <f aca="false">IF(I37="","لم يُفحص",IF(I37="غير متوفر","غير موجود",IF(AND(O37=5,I37="متوفر"),"مكتمل",IF(O37&gt;=3,"مقبول","ضعيف"))))</f>
        <v>لم يُفحص</v>
      </c>
      <c r="Q37" s="27" t="str">
        <f aca="false">IF(I37="","",IF(AND(I37="متوفر",O37=5),"لا","نعم"))</f>
        <v/>
      </c>
      <c r="R37" s="27" t="str">
        <f aca="false">IF(Q37&lt;&gt;"نعم","",IF(OR(E37="نعم",I37="غير متوفر"),"عالية",IF(O37&gt;=3,"منخفضة","متوسطة")))</f>
        <v/>
      </c>
      <c r="S37" s="30"/>
      <c r="T37" s="30"/>
      <c r="U37" s="27" t="str">
        <f aca="false">IFERROR(INDEX('الإعدادات واللجنة'!$G$22:$G$29,MATCH(C37,'الإعدادات واللجنة'!$B$22:$B$29,0)),"")</f>
        <v>عضو 4</v>
      </c>
      <c r="V37" s="29"/>
      <c r="W37" s="30"/>
    </row>
    <row r="38" customFormat="false" ht="32.8" hidden="false" customHeight="false" outlineLevel="0" collapsed="false">
      <c r="A38" s="31" t="s">
        <v>284</v>
      </c>
      <c r="B38" s="32" t="s">
        <v>143</v>
      </c>
      <c r="C38" s="32" t="s">
        <v>120</v>
      </c>
      <c r="D38" s="32" t="s">
        <v>285</v>
      </c>
      <c r="E38" s="31" t="s">
        <v>185</v>
      </c>
      <c r="F38" s="31" t="n">
        <v>5</v>
      </c>
      <c r="G38" s="32" t="s">
        <v>290</v>
      </c>
      <c r="H38" s="27" t="str">
        <f aca="false">IFERROR(INDEX('الإعدادات واللجنة'!$E$22:$E$29,MATCH(C38,'الإعدادات واللجنة'!$B$22:$B$29,0)),"")</f>
        <v>عضو 3</v>
      </c>
      <c r="I38" s="29"/>
      <c r="J38" s="29"/>
      <c r="K38" s="29"/>
      <c r="L38" s="29"/>
      <c r="M38" s="29"/>
      <c r="N38" s="29"/>
      <c r="O38" s="27" t="str">
        <f aca="false">IF(I38="","",IF(I38="غير متوفر",0,COUNTIF(J38:N38,"نعم")))</f>
        <v/>
      </c>
      <c r="P38" s="27" t="str">
        <f aca="false">IF(I38="","لم يُفحص",IF(I38="غير متوفر","غير موجود",IF(AND(O38=5,I38="متوفر"),"مكتمل",IF(O38&gt;=3,"مقبول","ضعيف"))))</f>
        <v>لم يُفحص</v>
      </c>
      <c r="Q38" s="27" t="str">
        <f aca="false">IF(I38="","",IF(AND(I38="متوفر",O38=5),"لا","نعم"))</f>
        <v/>
      </c>
      <c r="R38" s="27" t="str">
        <f aca="false">IF(Q38&lt;&gt;"نعم","",IF(OR(E38="نعم",I38="غير متوفر"),"عالية",IF(O38&gt;=3,"منخفضة","متوسطة")))</f>
        <v/>
      </c>
      <c r="S38" s="30"/>
      <c r="T38" s="30"/>
      <c r="U38" s="27" t="str">
        <f aca="false">IFERROR(INDEX('الإعدادات واللجنة'!$G$22:$G$29,MATCH(C38,'الإعدادات واللجنة'!$B$22:$B$29,0)),"")</f>
        <v>عضو 4</v>
      </c>
      <c r="V38" s="29"/>
      <c r="W38" s="30"/>
    </row>
    <row r="39" customFormat="false" ht="32.8" hidden="false" customHeight="false" outlineLevel="0" collapsed="false">
      <c r="A39" s="31" t="s">
        <v>284</v>
      </c>
      <c r="B39" s="32" t="s">
        <v>143</v>
      </c>
      <c r="C39" s="32" t="s">
        <v>120</v>
      </c>
      <c r="D39" s="32" t="s">
        <v>285</v>
      </c>
      <c r="E39" s="31" t="s">
        <v>185</v>
      </c>
      <c r="F39" s="31" t="n">
        <v>6</v>
      </c>
      <c r="G39" s="32" t="s">
        <v>291</v>
      </c>
      <c r="H39" s="27" t="str">
        <f aca="false">IFERROR(INDEX('الإعدادات واللجنة'!$E$22:$E$29,MATCH(C39,'الإعدادات واللجنة'!$B$22:$B$29,0)),"")</f>
        <v>عضو 3</v>
      </c>
      <c r="I39" s="29"/>
      <c r="J39" s="29"/>
      <c r="K39" s="29"/>
      <c r="L39" s="29"/>
      <c r="M39" s="29"/>
      <c r="N39" s="29"/>
      <c r="O39" s="27" t="str">
        <f aca="false">IF(I39="","",IF(I39="غير متوفر",0,COUNTIF(J39:N39,"نعم")))</f>
        <v/>
      </c>
      <c r="P39" s="27" t="str">
        <f aca="false">IF(I39="","لم يُفحص",IF(I39="غير متوفر","غير موجود",IF(AND(O39=5,I39="متوفر"),"مكتمل",IF(O39&gt;=3,"مقبول","ضعيف"))))</f>
        <v>لم يُفحص</v>
      </c>
      <c r="Q39" s="27" t="str">
        <f aca="false">IF(I39="","",IF(AND(I39="متوفر",O39=5),"لا","نعم"))</f>
        <v/>
      </c>
      <c r="R39" s="27" t="str">
        <f aca="false">IF(Q39&lt;&gt;"نعم","",IF(OR(E39="نعم",I39="غير متوفر"),"عالية",IF(O39&gt;=3,"منخفضة","متوسطة")))</f>
        <v/>
      </c>
      <c r="S39" s="30"/>
      <c r="T39" s="30"/>
      <c r="U39" s="27" t="str">
        <f aca="false">IFERROR(INDEX('الإعدادات واللجنة'!$G$22:$G$29,MATCH(C39,'الإعدادات واللجنة'!$B$22:$B$29,0)),"")</f>
        <v>عضو 4</v>
      </c>
      <c r="V39" s="29"/>
      <c r="W39" s="30"/>
    </row>
    <row r="40" customFormat="false" ht="22.35" hidden="false" customHeight="false" outlineLevel="0" collapsed="false">
      <c r="A40" s="27" t="s">
        <v>292</v>
      </c>
      <c r="B40" s="28" t="s">
        <v>143</v>
      </c>
      <c r="C40" s="28" t="s">
        <v>120</v>
      </c>
      <c r="D40" s="28" t="s">
        <v>293</v>
      </c>
      <c r="E40" s="27"/>
      <c r="F40" s="27" t="n">
        <v>1</v>
      </c>
      <c r="G40" s="28" t="s">
        <v>294</v>
      </c>
      <c r="H40" s="27" t="str">
        <f aca="false">IFERROR(INDEX('الإعدادات واللجنة'!$E$22:$E$29,MATCH(C40,'الإعدادات واللجنة'!$B$22:$B$29,0)),"")</f>
        <v>عضو 3</v>
      </c>
      <c r="I40" s="29"/>
      <c r="J40" s="29"/>
      <c r="K40" s="29"/>
      <c r="L40" s="29"/>
      <c r="M40" s="29"/>
      <c r="N40" s="29"/>
      <c r="O40" s="27" t="str">
        <f aca="false">IF(I40="","",IF(I40="غير متوفر",0,COUNTIF(J40:N40,"نعم")))</f>
        <v/>
      </c>
      <c r="P40" s="27" t="str">
        <f aca="false">IF(I40="","لم يُفحص",IF(I40="غير متوفر","غير موجود",IF(AND(O40=5,I40="متوفر"),"مكتمل",IF(O40&gt;=3,"مقبول","ضعيف"))))</f>
        <v>لم يُفحص</v>
      </c>
      <c r="Q40" s="27" t="str">
        <f aca="false">IF(I40="","",IF(AND(I40="متوفر",O40=5),"لا","نعم"))</f>
        <v/>
      </c>
      <c r="R40" s="27" t="str">
        <f aca="false">IF(Q40&lt;&gt;"نعم","",IF(OR(E40="نعم",I40="غير متوفر"),"عالية",IF(O40&gt;=3,"منخفضة","متوسطة")))</f>
        <v/>
      </c>
      <c r="S40" s="30"/>
      <c r="T40" s="30"/>
      <c r="U40" s="27" t="str">
        <f aca="false">IFERROR(INDEX('الإعدادات واللجنة'!$G$22:$G$29,MATCH(C40,'الإعدادات واللجنة'!$B$22:$B$29,0)),"")</f>
        <v>عضو 4</v>
      </c>
      <c r="V40" s="29"/>
      <c r="W40" s="30"/>
    </row>
    <row r="41" customFormat="false" ht="22.35" hidden="false" customHeight="false" outlineLevel="0" collapsed="false">
      <c r="A41" s="27" t="s">
        <v>292</v>
      </c>
      <c r="B41" s="28" t="s">
        <v>143</v>
      </c>
      <c r="C41" s="28" t="s">
        <v>120</v>
      </c>
      <c r="D41" s="28" t="s">
        <v>293</v>
      </c>
      <c r="E41" s="27"/>
      <c r="F41" s="27" t="n">
        <v>2</v>
      </c>
      <c r="G41" s="28" t="s">
        <v>295</v>
      </c>
      <c r="H41" s="27" t="str">
        <f aca="false">IFERROR(INDEX('الإعدادات واللجنة'!$E$22:$E$29,MATCH(C41,'الإعدادات واللجنة'!$B$22:$B$29,0)),"")</f>
        <v>عضو 3</v>
      </c>
      <c r="I41" s="29"/>
      <c r="J41" s="29"/>
      <c r="K41" s="29"/>
      <c r="L41" s="29"/>
      <c r="M41" s="29"/>
      <c r="N41" s="29"/>
      <c r="O41" s="27" t="str">
        <f aca="false">IF(I41="","",IF(I41="غير متوفر",0,COUNTIF(J41:N41,"نعم")))</f>
        <v/>
      </c>
      <c r="P41" s="27" t="str">
        <f aca="false">IF(I41="","لم يُفحص",IF(I41="غير متوفر","غير موجود",IF(AND(O41=5,I41="متوفر"),"مكتمل",IF(O41&gt;=3,"مقبول","ضعيف"))))</f>
        <v>لم يُفحص</v>
      </c>
      <c r="Q41" s="27" t="str">
        <f aca="false">IF(I41="","",IF(AND(I41="متوفر",O41=5),"لا","نعم"))</f>
        <v/>
      </c>
      <c r="R41" s="27" t="str">
        <f aca="false">IF(Q41&lt;&gt;"نعم","",IF(OR(E41="نعم",I41="غير متوفر"),"عالية",IF(O41&gt;=3,"منخفضة","متوسطة")))</f>
        <v/>
      </c>
      <c r="S41" s="30"/>
      <c r="T41" s="30"/>
      <c r="U41" s="27" t="str">
        <f aca="false">IFERROR(INDEX('الإعدادات واللجنة'!$G$22:$G$29,MATCH(C41,'الإعدادات واللجنة'!$B$22:$B$29,0)),"")</f>
        <v>عضو 4</v>
      </c>
      <c r="V41" s="29"/>
      <c r="W41" s="30"/>
    </row>
    <row r="42" customFormat="false" ht="22.35" hidden="false" customHeight="false" outlineLevel="0" collapsed="false">
      <c r="A42" s="27" t="s">
        <v>292</v>
      </c>
      <c r="B42" s="28" t="s">
        <v>143</v>
      </c>
      <c r="C42" s="28" t="s">
        <v>120</v>
      </c>
      <c r="D42" s="28" t="s">
        <v>293</v>
      </c>
      <c r="E42" s="27"/>
      <c r="F42" s="27" t="n">
        <v>3</v>
      </c>
      <c r="G42" s="28" t="s">
        <v>296</v>
      </c>
      <c r="H42" s="27" t="str">
        <f aca="false">IFERROR(INDEX('الإعدادات واللجنة'!$E$22:$E$29,MATCH(C42,'الإعدادات واللجنة'!$B$22:$B$29,0)),"")</f>
        <v>عضو 3</v>
      </c>
      <c r="I42" s="29"/>
      <c r="J42" s="29"/>
      <c r="K42" s="29"/>
      <c r="L42" s="29"/>
      <c r="M42" s="29"/>
      <c r="N42" s="29"/>
      <c r="O42" s="27" t="str">
        <f aca="false">IF(I42="","",IF(I42="غير متوفر",0,COUNTIF(J42:N42,"نعم")))</f>
        <v/>
      </c>
      <c r="P42" s="27" t="str">
        <f aca="false">IF(I42="","لم يُفحص",IF(I42="غير متوفر","غير موجود",IF(AND(O42=5,I42="متوفر"),"مكتمل",IF(O42&gt;=3,"مقبول","ضعيف"))))</f>
        <v>لم يُفحص</v>
      </c>
      <c r="Q42" s="27" t="str">
        <f aca="false">IF(I42="","",IF(AND(I42="متوفر",O42=5),"لا","نعم"))</f>
        <v/>
      </c>
      <c r="R42" s="27" t="str">
        <f aca="false">IF(Q42&lt;&gt;"نعم","",IF(OR(E42="نعم",I42="غير متوفر"),"عالية",IF(O42&gt;=3,"منخفضة","متوسطة")))</f>
        <v/>
      </c>
      <c r="S42" s="30"/>
      <c r="T42" s="30"/>
      <c r="U42" s="27" t="str">
        <f aca="false">IFERROR(INDEX('الإعدادات واللجنة'!$G$22:$G$29,MATCH(C42,'الإعدادات واللجنة'!$B$22:$B$29,0)),"")</f>
        <v>عضو 4</v>
      </c>
      <c r="V42" s="29"/>
      <c r="W42" s="30"/>
    </row>
    <row r="43" customFormat="false" ht="22.35" hidden="false" customHeight="false" outlineLevel="0" collapsed="false">
      <c r="A43" s="27" t="s">
        <v>292</v>
      </c>
      <c r="B43" s="28" t="s">
        <v>143</v>
      </c>
      <c r="C43" s="28" t="s">
        <v>120</v>
      </c>
      <c r="D43" s="28" t="s">
        <v>293</v>
      </c>
      <c r="E43" s="27"/>
      <c r="F43" s="27" t="n">
        <v>4</v>
      </c>
      <c r="G43" s="28" t="s">
        <v>297</v>
      </c>
      <c r="H43" s="27" t="str">
        <f aca="false">IFERROR(INDEX('الإعدادات واللجنة'!$E$22:$E$29,MATCH(C43,'الإعدادات واللجنة'!$B$22:$B$29,0)),"")</f>
        <v>عضو 3</v>
      </c>
      <c r="I43" s="29"/>
      <c r="J43" s="29"/>
      <c r="K43" s="29"/>
      <c r="L43" s="29"/>
      <c r="M43" s="29"/>
      <c r="N43" s="29"/>
      <c r="O43" s="27" t="str">
        <f aca="false">IF(I43="","",IF(I43="غير متوفر",0,COUNTIF(J43:N43,"نعم")))</f>
        <v/>
      </c>
      <c r="P43" s="27" t="str">
        <f aca="false">IF(I43="","لم يُفحص",IF(I43="غير متوفر","غير موجود",IF(AND(O43=5,I43="متوفر"),"مكتمل",IF(O43&gt;=3,"مقبول","ضعيف"))))</f>
        <v>لم يُفحص</v>
      </c>
      <c r="Q43" s="27" t="str">
        <f aca="false">IF(I43="","",IF(AND(I43="متوفر",O43=5),"لا","نعم"))</f>
        <v/>
      </c>
      <c r="R43" s="27" t="str">
        <f aca="false">IF(Q43&lt;&gt;"نعم","",IF(OR(E43="نعم",I43="غير متوفر"),"عالية",IF(O43&gt;=3,"منخفضة","متوسطة")))</f>
        <v/>
      </c>
      <c r="S43" s="30"/>
      <c r="T43" s="30"/>
      <c r="U43" s="27" t="str">
        <f aca="false">IFERROR(INDEX('الإعدادات واللجنة'!$G$22:$G$29,MATCH(C43,'الإعدادات واللجنة'!$B$22:$B$29,0)),"")</f>
        <v>عضو 4</v>
      </c>
      <c r="V43" s="29"/>
      <c r="W43" s="30"/>
    </row>
    <row r="44" customFormat="false" ht="22.35" hidden="false" customHeight="false" outlineLevel="0" collapsed="false">
      <c r="A44" s="27" t="s">
        <v>298</v>
      </c>
      <c r="B44" s="28" t="s">
        <v>143</v>
      </c>
      <c r="C44" s="28" t="s">
        <v>121</v>
      </c>
      <c r="D44" s="28" t="s">
        <v>299</v>
      </c>
      <c r="E44" s="27"/>
      <c r="F44" s="27" t="n">
        <v>1</v>
      </c>
      <c r="G44" s="28" t="s">
        <v>300</v>
      </c>
      <c r="H44" s="27" t="str">
        <f aca="false">IFERROR(INDEX('الإعدادات واللجنة'!$E$22:$E$29,MATCH(C44,'الإعدادات واللجنة'!$B$22:$B$29,0)),"")</f>
        <v>عضو 3</v>
      </c>
      <c r="I44" s="29"/>
      <c r="J44" s="29"/>
      <c r="K44" s="29"/>
      <c r="L44" s="29"/>
      <c r="M44" s="29"/>
      <c r="N44" s="29"/>
      <c r="O44" s="27" t="str">
        <f aca="false">IF(I44="","",IF(I44="غير متوفر",0,COUNTIF(J44:N44,"نعم")))</f>
        <v/>
      </c>
      <c r="P44" s="27" t="str">
        <f aca="false">IF(I44="","لم يُفحص",IF(I44="غير متوفر","غير موجود",IF(AND(O44=5,I44="متوفر"),"مكتمل",IF(O44&gt;=3,"مقبول","ضعيف"))))</f>
        <v>لم يُفحص</v>
      </c>
      <c r="Q44" s="27" t="str">
        <f aca="false">IF(I44="","",IF(AND(I44="متوفر",O44=5),"لا","نعم"))</f>
        <v/>
      </c>
      <c r="R44" s="27" t="str">
        <f aca="false">IF(Q44&lt;&gt;"نعم","",IF(OR(E44="نعم",I44="غير متوفر"),"عالية",IF(O44&gt;=3,"منخفضة","متوسطة")))</f>
        <v/>
      </c>
      <c r="S44" s="30"/>
      <c r="T44" s="30"/>
      <c r="U44" s="27" t="str">
        <f aca="false">IFERROR(INDEX('الإعدادات واللجنة'!$G$22:$G$29,MATCH(C44,'الإعدادات واللجنة'!$B$22:$B$29,0)),"")</f>
        <v>عضو 4</v>
      </c>
      <c r="V44" s="29"/>
      <c r="W44" s="30"/>
    </row>
    <row r="45" customFormat="false" ht="22.35" hidden="false" customHeight="false" outlineLevel="0" collapsed="false">
      <c r="A45" s="27" t="s">
        <v>298</v>
      </c>
      <c r="B45" s="28" t="s">
        <v>143</v>
      </c>
      <c r="C45" s="28" t="s">
        <v>121</v>
      </c>
      <c r="D45" s="28" t="s">
        <v>299</v>
      </c>
      <c r="E45" s="27"/>
      <c r="F45" s="27" t="n">
        <v>2</v>
      </c>
      <c r="G45" s="28" t="s">
        <v>301</v>
      </c>
      <c r="H45" s="27" t="str">
        <f aca="false">IFERROR(INDEX('الإعدادات واللجنة'!$E$22:$E$29,MATCH(C45,'الإعدادات واللجنة'!$B$22:$B$29,0)),"")</f>
        <v>عضو 3</v>
      </c>
      <c r="I45" s="29"/>
      <c r="J45" s="29"/>
      <c r="K45" s="29"/>
      <c r="L45" s="29"/>
      <c r="M45" s="29"/>
      <c r="N45" s="29"/>
      <c r="O45" s="27" t="str">
        <f aca="false">IF(I45="","",IF(I45="غير متوفر",0,COUNTIF(J45:N45,"نعم")))</f>
        <v/>
      </c>
      <c r="P45" s="27" t="str">
        <f aca="false">IF(I45="","لم يُفحص",IF(I45="غير متوفر","غير موجود",IF(AND(O45=5,I45="متوفر"),"مكتمل",IF(O45&gt;=3,"مقبول","ضعيف"))))</f>
        <v>لم يُفحص</v>
      </c>
      <c r="Q45" s="27" t="str">
        <f aca="false">IF(I45="","",IF(AND(I45="متوفر",O45=5),"لا","نعم"))</f>
        <v/>
      </c>
      <c r="R45" s="27" t="str">
        <f aca="false">IF(Q45&lt;&gt;"نعم","",IF(OR(E45="نعم",I45="غير متوفر"),"عالية",IF(O45&gt;=3,"منخفضة","متوسطة")))</f>
        <v/>
      </c>
      <c r="S45" s="30"/>
      <c r="T45" s="30"/>
      <c r="U45" s="27" t="str">
        <f aca="false">IFERROR(INDEX('الإعدادات واللجنة'!$G$22:$G$29,MATCH(C45,'الإعدادات واللجنة'!$B$22:$B$29,0)),"")</f>
        <v>عضو 4</v>
      </c>
      <c r="V45" s="29"/>
      <c r="W45" s="30"/>
    </row>
    <row r="46" customFormat="false" ht="22.35" hidden="false" customHeight="false" outlineLevel="0" collapsed="false">
      <c r="A46" s="27" t="s">
        <v>298</v>
      </c>
      <c r="B46" s="28" t="s">
        <v>143</v>
      </c>
      <c r="C46" s="28" t="s">
        <v>121</v>
      </c>
      <c r="D46" s="28" t="s">
        <v>299</v>
      </c>
      <c r="E46" s="27"/>
      <c r="F46" s="27" t="n">
        <v>3</v>
      </c>
      <c r="G46" s="28" t="s">
        <v>302</v>
      </c>
      <c r="H46" s="27" t="str">
        <f aca="false">IFERROR(INDEX('الإعدادات واللجنة'!$E$22:$E$29,MATCH(C46,'الإعدادات واللجنة'!$B$22:$B$29,0)),"")</f>
        <v>عضو 3</v>
      </c>
      <c r="I46" s="29"/>
      <c r="J46" s="29"/>
      <c r="K46" s="29"/>
      <c r="L46" s="29"/>
      <c r="M46" s="29"/>
      <c r="N46" s="29"/>
      <c r="O46" s="27" t="str">
        <f aca="false">IF(I46="","",IF(I46="غير متوفر",0,COUNTIF(J46:N46,"نعم")))</f>
        <v/>
      </c>
      <c r="P46" s="27" t="str">
        <f aca="false">IF(I46="","لم يُفحص",IF(I46="غير متوفر","غير موجود",IF(AND(O46=5,I46="متوفر"),"مكتمل",IF(O46&gt;=3,"مقبول","ضعيف"))))</f>
        <v>لم يُفحص</v>
      </c>
      <c r="Q46" s="27" t="str">
        <f aca="false">IF(I46="","",IF(AND(I46="متوفر",O46=5),"لا","نعم"))</f>
        <v/>
      </c>
      <c r="R46" s="27" t="str">
        <f aca="false">IF(Q46&lt;&gt;"نعم","",IF(OR(E46="نعم",I46="غير متوفر"),"عالية",IF(O46&gt;=3,"منخفضة","متوسطة")))</f>
        <v/>
      </c>
      <c r="S46" s="30"/>
      <c r="T46" s="30"/>
      <c r="U46" s="27" t="str">
        <f aca="false">IFERROR(INDEX('الإعدادات واللجنة'!$G$22:$G$29,MATCH(C46,'الإعدادات واللجنة'!$B$22:$B$29,0)),"")</f>
        <v>عضو 4</v>
      </c>
      <c r="V46" s="29"/>
      <c r="W46" s="30"/>
    </row>
    <row r="47" customFormat="false" ht="22.35" hidden="false" customHeight="false" outlineLevel="0" collapsed="false">
      <c r="A47" s="27" t="s">
        <v>298</v>
      </c>
      <c r="B47" s="28" t="s">
        <v>143</v>
      </c>
      <c r="C47" s="28" t="s">
        <v>121</v>
      </c>
      <c r="D47" s="28" t="s">
        <v>299</v>
      </c>
      <c r="E47" s="27"/>
      <c r="F47" s="27" t="n">
        <v>4</v>
      </c>
      <c r="G47" s="28" t="s">
        <v>303</v>
      </c>
      <c r="H47" s="27" t="str">
        <f aca="false">IFERROR(INDEX('الإعدادات واللجنة'!$E$22:$E$29,MATCH(C47,'الإعدادات واللجنة'!$B$22:$B$29,0)),"")</f>
        <v>عضو 3</v>
      </c>
      <c r="I47" s="29"/>
      <c r="J47" s="29"/>
      <c r="K47" s="29"/>
      <c r="L47" s="29"/>
      <c r="M47" s="29"/>
      <c r="N47" s="29"/>
      <c r="O47" s="27" t="str">
        <f aca="false">IF(I47="","",IF(I47="غير متوفر",0,COUNTIF(J47:N47,"نعم")))</f>
        <v/>
      </c>
      <c r="P47" s="27" t="str">
        <f aca="false">IF(I47="","لم يُفحص",IF(I47="غير متوفر","غير موجود",IF(AND(O47=5,I47="متوفر"),"مكتمل",IF(O47&gt;=3,"مقبول","ضعيف"))))</f>
        <v>لم يُفحص</v>
      </c>
      <c r="Q47" s="27" t="str">
        <f aca="false">IF(I47="","",IF(AND(I47="متوفر",O47=5),"لا","نعم"))</f>
        <v/>
      </c>
      <c r="R47" s="27" t="str">
        <f aca="false">IF(Q47&lt;&gt;"نعم","",IF(OR(E47="نعم",I47="غير متوفر"),"عالية",IF(O47&gt;=3,"منخفضة","متوسطة")))</f>
        <v/>
      </c>
      <c r="S47" s="30"/>
      <c r="T47" s="30"/>
      <c r="U47" s="27" t="str">
        <f aca="false">IFERROR(INDEX('الإعدادات واللجنة'!$G$22:$G$29,MATCH(C47,'الإعدادات واللجنة'!$B$22:$B$29,0)),"")</f>
        <v>عضو 4</v>
      </c>
      <c r="V47" s="29"/>
      <c r="W47" s="30"/>
    </row>
    <row r="48" customFormat="false" ht="22.35" hidden="false" customHeight="false" outlineLevel="0" collapsed="false">
      <c r="A48" s="31" t="s">
        <v>304</v>
      </c>
      <c r="B48" s="32" t="s">
        <v>143</v>
      </c>
      <c r="C48" s="32" t="s">
        <v>121</v>
      </c>
      <c r="D48" s="32" t="s">
        <v>305</v>
      </c>
      <c r="E48" s="31" t="s">
        <v>185</v>
      </c>
      <c r="F48" s="31" t="n">
        <v>1</v>
      </c>
      <c r="G48" s="32" t="s">
        <v>306</v>
      </c>
      <c r="H48" s="27" t="str">
        <f aca="false">IFERROR(INDEX('الإعدادات واللجنة'!$E$22:$E$29,MATCH(C48,'الإعدادات واللجنة'!$B$22:$B$29,0)),"")</f>
        <v>عضو 3</v>
      </c>
      <c r="I48" s="29"/>
      <c r="J48" s="29"/>
      <c r="K48" s="29"/>
      <c r="L48" s="29"/>
      <c r="M48" s="29"/>
      <c r="N48" s="29"/>
      <c r="O48" s="27" t="str">
        <f aca="false">IF(I48="","",IF(I48="غير متوفر",0,COUNTIF(J48:N48,"نعم")))</f>
        <v/>
      </c>
      <c r="P48" s="27" t="str">
        <f aca="false">IF(I48="","لم يُفحص",IF(I48="غير متوفر","غير موجود",IF(AND(O48=5,I48="متوفر"),"مكتمل",IF(O48&gt;=3,"مقبول","ضعيف"))))</f>
        <v>لم يُفحص</v>
      </c>
      <c r="Q48" s="27" t="str">
        <f aca="false">IF(I48="","",IF(AND(I48="متوفر",O48=5),"لا","نعم"))</f>
        <v/>
      </c>
      <c r="R48" s="27" t="str">
        <f aca="false">IF(Q48&lt;&gt;"نعم","",IF(OR(E48="نعم",I48="غير متوفر"),"عالية",IF(O48&gt;=3,"منخفضة","متوسطة")))</f>
        <v/>
      </c>
      <c r="S48" s="30"/>
      <c r="T48" s="30"/>
      <c r="U48" s="27" t="str">
        <f aca="false">IFERROR(INDEX('الإعدادات واللجنة'!$G$22:$G$29,MATCH(C48,'الإعدادات واللجنة'!$B$22:$B$29,0)),"")</f>
        <v>عضو 4</v>
      </c>
      <c r="V48" s="29"/>
      <c r="W48" s="30"/>
    </row>
    <row r="49" customFormat="false" ht="22.35" hidden="false" customHeight="false" outlineLevel="0" collapsed="false">
      <c r="A49" s="31" t="s">
        <v>304</v>
      </c>
      <c r="B49" s="32" t="s">
        <v>143</v>
      </c>
      <c r="C49" s="32" t="s">
        <v>121</v>
      </c>
      <c r="D49" s="32" t="s">
        <v>305</v>
      </c>
      <c r="E49" s="31" t="s">
        <v>185</v>
      </c>
      <c r="F49" s="31" t="n">
        <v>2</v>
      </c>
      <c r="G49" s="32" t="s">
        <v>307</v>
      </c>
      <c r="H49" s="27" t="str">
        <f aca="false">IFERROR(INDEX('الإعدادات واللجنة'!$E$22:$E$29,MATCH(C49,'الإعدادات واللجنة'!$B$22:$B$29,0)),"")</f>
        <v>عضو 3</v>
      </c>
      <c r="I49" s="29"/>
      <c r="J49" s="29"/>
      <c r="K49" s="29"/>
      <c r="L49" s="29"/>
      <c r="M49" s="29"/>
      <c r="N49" s="29"/>
      <c r="O49" s="27" t="str">
        <f aca="false">IF(I49="","",IF(I49="غير متوفر",0,COUNTIF(J49:N49,"نعم")))</f>
        <v/>
      </c>
      <c r="P49" s="27" t="str">
        <f aca="false">IF(I49="","لم يُفحص",IF(I49="غير متوفر","غير موجود",IF(AND(O49=5,I49="متوفر"),"مكتمل",IF(O49&gt;=3,"مقبول","ضعيف"))))</f>
        <v>لم يُفحص</v>
      </c>
      <c r="Q49" s="27" t="str">
        <f aca="false">IF(I49="","",IF(AND(I49="متوفر",O49=5),"لا","نعم"))</f>
        <v/>
      </c>
      <c r="R49" s="27" t="str">
        <f aca="false">IF(Q49&lt;&gt;"نعم","",IF(OR(E49="نعم",I49="غير متوفر"),"عالية",IF(O49&gt;=3,"منخفضة","متوسطة")))</f>
        <v/>
      </c>
      <c r="S49" s="30"/>
      <c r="T49" s="30"/>
      <c r="U49" s="27" t="str">
        <f aca="false">IFERROR(INDEX('الإعدادات واللجنة'!$G$22:$G$29,MATCH(C49,'الإعدادات واللجنة'!$B$22:$B$29,0)),"")</f>
        <v>عضو 4</v>
      </c>
      <c r="V49" s="29"/>
      <c r="W49" s="30"/>
    </row>
    <row r="50" customFormat="false" ht="22.35" hidden="false" customHeight="false" outlineLevel="0" collapsed="false">
      <c r="A50" s="31" t="s">
        <v>304</v>
      </c>
      <c r="B50" s="32" t="s">
        <v>143</v>
      </c>
      <c r="C50" s="32" t="s">
        <v>121</v>
      </c>
      <c r="D50" s="32" t="s">
        <v>305</v>
      </c>
      <c r="E50" s="31" t="s">
        <v>185</v>
      </c>
      <c r="F50" s="31" t="n">
        <v>3</v>
      </c>
      <c r="G50" s="32" t="s">
        <v>308</v>
      </c>
      <c r="H50" s="27" t="str">
        <f aca="false">IFERROR(INDEX('الإعدادات واللجنة'!$E$22:$E$29,MATCH(C50,'الإعدادات واللجنة'!$B$22:$B$29,0)),"")</f>
        <v>عضو 3</v>
      </c>
      <c r="I50" s="29"/>
      <c r="J50" s="29"/>
      <c r="K50" s="29"/>
      <c r="L50" s="29"/>
      <c r="M50" s="29"/>
      <c r="N50" s="29"/>
      <c r="O50" s="27" t="str">
        <f aca="false">IF(I50="","",IF(I50="غير متوفر",0,COUNTIF(J50:N50,"نعم")))</f>
        <v/>
      </c>
      <c r="P50" s="27" t="str">
        <f aca="false">IF(I50="","لم يُفحص",IF(I50="غير متوفر","غير موجود",IF(AND(O50=5,I50="متوفر"),"مكتمل",IF(O50&gt;=3,"مقبول","ضعيف"))))</f>
        <v>لم يُفحص</v>
      </c>
      <c r="Q50" s="27" t="str">
        <f aca="false">IF(I50="","",IF(AND(I50="متوفر",O50=5),"لا","نعم"))</f>
        <v/>
      </c>
      <c r="R50" s="27" t="str">
        <f aca="false">IF(Q50&lt;&gt;"نعم","",IF(OR(E50="نعم",I50="غير متوفر"),"عالية",IF(O50&gt;=3,"منخفضة","متوسطة")))</f>
        <v/>
      </c>
      <c r="S50" s="30"/>
      <c r="T50" s="30"/>
      <c r="U50" s="27" t="str">
        <f aca="false">IFERROR(INDEX('الإعدادات واللجنة'!$G$22:$G$29,MATCH(C50,'الإعدادات واللجنة'!$B$22:$B$29,0)),"")</f>
        <v>عضو 4</v>
      </c>
      <c r="V50" s="29"/>
      <c r="W50" s="30"/>
    </row>
    <row r="51" customFormat="false" ht="15" hidden="false" customHeight="false" outlineLevel="0" collapsed="false">
      <c r="A51" s="27" t="s">
        <v>309</v>
      </c>
      <c r="B51" s="28" t="s">
        <v>143</v>
      </c>
      <c r="C51" s="28" t="s">
        <v>121</v>
      </c>
      <c r="D51" s="28" t="s">
        <v>310</v>
      </c>
      <c r="E51" s="27"/>
      <c r="F51" s="27" t="n">
        <v>1</v>
      </c>
      <c r="G51" s="28" t="s">
        <v>311</v>
      </c>
      <c r="H51" s="27" t="str">
        <f aca="false">IFERROR(INDEX('الإعدادات واللجنة'!$E$22:$E$29,MATCH(C51,'الإعدادات واللجنة'!$B$22:$B$29,0)),"")</f>
        <v>عضو 3</v>
      </c>
      <c r="I51" s="29"/>
      <c r="J51" s="29"/>
      <c r="K51" s="29"/>
      <c r="L51" s="29"/>
      <c r="M51" s="29"/>
      <c r="N51" s="29"/>
      <c r="O51" s="27" t="str">
        <f aca="false">IF(I51="","",IF(I51="غير متوفر",0,COUNTIF(J51:N51,"نعم")))</f>
        <v/>
      </c>
      <c r="P51" s="27" t="str">
        <f aca="false">IF(I51="","لم يُفحص",IF(I51="غير متوفر","غير موجود",IF(AND(O51=5,I51="متوفر"),"مكتمل",IF(O51&gt;=3,"مقبول","ضعيف"))))</f>
        <v>لم يُفحص</v>
      </c>
      <c r="Q51" s="27" t="str">
        <f aca="false">IF(I51="","",IF(AND(I51="متوفر",O51=5),"لا","نعم"))</f>
        <v/>
      </c>
      <c r="R51" s="27" t="str">
        <f aca="false">IF(Q51&lt;&gt;"نعم","",IF(OR(E51="نعم",I51="غير متوفر"),"عالية",IF(O51&gt;=3,"منخفضة","متوسطة")))</f>
        <v/>
      </c>
      <c r="S51" s="30"/>
      <c r="T51" s="30"/>
      <c r="U51" s="27" t="str">
        <f aca="false">IFERROR(INDEX('الإعدادات واللجنة'!$G$22:$G$29,MATCH(C51,'الإعدادات واللجنة'!$B$22:$B$29,0)),"")</f>
        <v>عضو 4</v>
      </c>
      <c r="V51" s="29"/>
      <c r="W51" s="30"/>
    </row>
    <row r="52" customFormat="false" ht="15" hidden="false" customHeight="false" outlineLevel="0" collapsed="false">
      <c r="A52" s="27" t="s">
        <v>309</v>
      </c>
      <c r="B52" s="28" t="s">
        <v>143</v>
      </c>
      <c r="C52" s="28" t="s">
        <v>121</v>
      </c>
      <c r="D52" s="28" t="s">
        <v>310</v>
      </c>
      <c r="E52" s="27"/>
      <c r="F52" s="27" t="n">
        <v>2</v>
      </c>
      <c r="G52" s="28" t="s">
        <v>312</v>
      </c>
      <c r="H52" s="27" t="str">
        <f aca="false">IFERROR(INDEX('الإعدادات واللجنة'!$E$22:$E$29,MATCH(C52,'الإعدادات واللجنة'!$B$22:$B$29,0)),"")</f>
        <v>عضو 3</v>
      </c>
      <c r="I52" s="29"/>
      <c r="J52" s="29"/>
      <c r="K52" s="29"/>
      <c r="L52" s="29"/>
      <c r="M52" s="29"/>
      <c r="N52" s="29"/>
      <c r="O52" s="27" t="str">
        <f aca="false">IF(I52="","",IF(I52="غير متوفر",0,COUNTIF(J52:N52,"نعم")))</f>
        <v/>
      </c>
      <c r="P52" s="27" t="str">
        <f aca="false">IF(I52="","لم يُفحص",IF(I52="غير متوفر","غير موجود",IF(AND(O52=5,I52="متوفر"),"مكتمل",IF(O52&gt;=3,"مقبول","ضعيف"))))</f>
        <v>لم يُفحص</v>
      </c>
      <c r="Q52" s="27" t="str">
        <f aca="false">IF(I52="","",IF(AND(I52="متوفر",O52=5),"لا","نعم"))</f>
        <v/>
      </c>
      <c r="R52" s="27" t="str">
        <f aca="false">IF(Q52&lt;&gt;"نعم","",IF(OR(E52="نعم",I52="غير متوفر"),"عالية",IF(O52&gt;=3,"منخفضة","متوسطة")))</f>
        <v/>
      </c>
      <c r="S52" s="30"/>
      <c r="T52" s="30"/>
      <c r="U52" s="27" t="str">
        <f aca="false">IFERROR(INDEX('الإعدادات واللجنة'!$G$22:$G$29,MATCH(C52,'الإعدادات واللجنة'!$B$22:$B$29,0)),"")</f>
        <v>عضو 4</v>
      </c>
      <c r="V52" s="29"/>
      <c r="W52" s="30"/>
    </row>
    <row r="53" customFormat="false" ht="15" hidden="false" customHeight="false" outlineLevel="0" collapsed="false">
      <c r="A53" s="27" t="s">
        <v>309</v>
      </c>
      <c r="B53" s="28" t="s">
        <v>143</v>
      </c>
      <c r="C53" s="28" t="s">
        <v>121</v>
      </c>
      <c r="D53" s="28" t="s">
        <v>310</v>
      </c>
      <c r="E53" s="27"/>
      <c r="F53" s="27" t="n">
        <v>3</v>
      </c>
      <c r="G53" s="28" t="s">
        <v>313</v>
      </c>
      <c r="H53" s="27" t="str">
        <f aca="false">IFERROR(INDEX('الإعدادات واللجنة'!$E$22:$E$29,MATCH(C53,'الإعدادات واللجنة'!$B$22:$B$29,0)),"")</f>
        <v>عضو 3</v>
      </c>
      <c r="I53" s="29"/>
      <c r="J53" s="29"/>
      <c r="K53" s="29"/>
      <c r="L53" s="29"/>
      <c r="M53" s="29"/>
      <c r="N53" s="29"/>
      <c r="O53" s="27" t="str">
        <f aca="false">IF(I53="","",IF(I53="غير متوفر",0,COUNTIF(J53:N53,"نعم")))</f>
        <v/>
      </c>
      <c r="P53" s="27" t="str">
        <f aca="false">IF(I53="","لم يُفحص",IF(I53="غير متوفر","غير موجود",IF(AND(O53=5,I53="متوفر"),"مكتمل",IF(O53&gt;=3,"مقبول","ضعيف"))))</f>
        <v>لم يُفحص</v>
      </c>
      <c r="Q53" s="27" t="str">
        <f aca="false">IF(I53="","",IF(AND(I53="متوفر",O53=5),"لا","نعم"))</f>
        <v/>
      </c>
      <c r="R53" s="27" t="str">
        <f aca="false">IF(Q53&lt;&gt;"نعم","",IF(OR(E53="نعم",I53="غير متوفر"),"عالية",IF(O53&gt;=3,"منخفضة","متوسطة")))</f>
        <v/>
      </c>
      <c r="S53" s="30"/>
      <c r="T53" s="30"/>
      <c r="U53" s="27" t="str">
        <f aca="false">IFERROR(INDEX('الإعدادات واللجنة'!$G$22:$G$29,MATCH(C53,'الإعدادات واللجنة'!$B$22:$B$29,0)),"")</f>
        <v>عضو 4</v>
      </c>
      <c r="V53" s="29"/>
      <c r="W53" s="30"/>
    </row>
    <row r="54" customFormat="false" ht="15" hidden="false" customHeight="false" outlineLevel="0" collapsed="false">
      <c r="A54" s="27" t="s">
        <v>309</v>
      </c>
      <c r="B54" s="28" t="s">
        <v>143</v>
      </c>
      <c r="C54" s="28" t="s">
        <v>121</v>
      </c>
      <c r="D54" s="28" t="s">
        <v>310</v>
      </c>
      <c r="E54" s="27"/>
      <c r="F54" s="27" t="n">
        <v>4</v>
      </c>
      <c r="G54" s="28" t="s">
        <v>314</v>
      </c>
      <c r="H54" s="27" t="str">
        <f aca="false">IFERROR(INDEX('الإعدادات واللجنة'!$E$22:$E$29,MATCH(C54,'الإعدادات واللجنة'!$B$22:$B$29,0)),"")</f>
        <v>عضو 3</v>
      </c>
      <c r="I54" s="29"/>
      <c r="J54" s="29"/>
      <c r="K54" s="29"/>
      <c r="L54" s="29"/>
      <c r="M54" s="29"/>
      <c r="N54" s="29"/>
      <c r="O54" s="27" t="str">
        <f aca="false">IF(I54="","",IF(I54="غير متوفر",0,COUNTIF(J54:N54,"نعم")))</f>
        <v/>
      </c>
      <c r="P54" s="27" t="str">
        <f aca="false">IF(I54="","لم يُفحص",IF(I54="غير متوفر","غير موجود",IF(AND(O54=5,I54="متوفر"),"مكتمل",IF(O54&gt;=3,"مقبول","ضعيف"))))</f>
        <v>لم يُفحص</v>
      </c>
      <c r="Q54" s="27" t="str">
        <f aca="false">IF(I54="","",IF(AND(I54="متوفر",O54=5),"لا","نعم"))</f>
        <v/>
      </c>
      <c r="R54" s="27" t="str">
        <f aca="false">IF(Q54&lt;&gt;"نعم","",IF(OR(E54="نعم",I54="غير متوفر"),"عالية",IF(O54&gt;=3,"منخفضة","متوسطة")))</f>
        <v/>
      </c>
      <c r="S54" s="30"/>
      <c r="T54" s="30"/>
      <c r="U54" s="27" t="str">
        <f aca="false">IFERROR(INDEX('الإعدادات واللجنة'!$G$22:$G$29,MATCH(C54,'الإعدادات واللجنة'!$B$22:$B$29,0)),"")</f>
        <v>عضو 4</v>
      </c>
      <c r="V54" s="29"/>
      <c r="W54" s="30"/>
    </row>
    <row r="55" customFormat="false" ht="15" hidden="false" customHeight="false" outlineLevel="0" collapsed="false">
      <c r="A55" s="27" t="s">
        <v>309</v>
      </c>
      <c r="B55" s="28" t="s">
        <v>143</v>
      </c>
      <c r="C55" s="28" t="s">
        <v>121</v>
      </c>
      <c r="D55" s="28" t="s">
        <v>310</v>
      </c>
      <c r="E55" s="27"/>
      <c r="F55" s="27" t="n">
        <v>5</v>
      </c>
      <c r="G55" s="28" t="s">
        <v>315</v>
      </c>
      <c r="H55" s="27" t="str">
        <f aca="false">IFERROR(INDEX('الإعدادات واللجنة'!$E$22:$E$29,MATCH(C55,'الإعدادات واللجنة'!$B$22:$B$29,0)),"")</f>
        <v>عضو 3</v>
      </c>
      <c r="I55" s="29"/>
      <c r="J55" s="29"/>
      <c r="K55" s="29"/>
      <c r="L55" s="29"/>
      <c r="M55" s="29"/>
      <c r="N55" s="29"/>
      <c r="O55" s="27" t="str">
        <f aca="false">IF(I55="","",IF(I55="غير متوفر",0,COUNTIF(J55:N55,"نعم")))</f>
        <v/>
      </c>
      <c r="P55" s="27" t="str">
        <f aca="false">IF(I55="","لم يُفحص",IF(I55="غير متوفر","غير موجود",IF(AND(O55=5,I55="متوفر"),"مكتمل",IF(O55&gt;=3,"مقبول","ضعيف"))))</f>
        <v>لم يُفحص</v>
      </c>
      <c r="Q55" s="27" t="str">
        <f aca="false">IF(I55="","",IF(AND(I55="متوفر",O55=5),"لا","نعم"))</f>
        <v/>
      </c>
      <c r="R55" s="27" t="str">
        <f aca="false">IF(Q55&lt;&gt;"نعم","",IF(OR(E55="نعم",I55="غير متوفر"),"عالية",IF(O55&gt;=3,"منخفضة","متوسطة")))</f>
        <v/>
      </c>
      <c r="S55" s="30"/>
      <c r="T55" s="30"/>
      <c r="U55" s="27" t="str">
        <f aca="false">IFERROR(INDEX('الإعدادات واللجنة'!$G$22:$G$29,MATCH(C55,'الإعدادات واللجنة'!$B$22:$B$29,0)),"")</f>
        <v>عضو 4</v>
      </c>
      <c r="V55" s="29"/>
      <c r="W55" s="30"/>
    </row>
    <row r="56" customFormat="false" ht="15" hidden="false" customHeight="false" outlineLevel="0" collapsed="false">
      <c r="A56" s="27" t="s">
        <v>309</v>
      </c>
      <c r="B56" s="28" t="s">
        <v>143</v>
      </c>
      <c r="C56" s="28" t="s">
        <v>121</v>
      </c>
      <c r="D56" s="28" t="s">
        <v>310</v>
      </c>
      <c r="E56" s="27"/>
      <c r="F56" s="27" t="n">
        <v>6</v>
      </c>
      <c r="G56" s="28" t="s">
        <v>316</v>
      </c>
      <c r="H56" s="27" t="str">
        <f aca="false">IFERROR(INDEX('الإعدادات واللجنة'!$E$22:$E$29,MATCH(C56,'الإعدادات واللجنة'!$B$22:$B$29,0)),"")</f>
        <v>عضو 3</v>
      </c>
      <c r="I56" s="29"/>
      <c r="J56" s="29"/>
      <c r="K56" s="29"/>
      <c r="L56" s="29"/>
      <c r="M56" s="29"/>
      <c r="N56" s="29"/>
      <c r="O56" s="27" t="str">
        <f aca="false">IF(I56="","",IF(I56="غير متوفر",0,COUNTIF(J56:N56,"نعم")))</f>
        <v/>
      </c>
      <c r="P56" s="27" t="str">
        <f aca="false">IF(I56="","لم يُفحص",IF(I56="غير متوفر","غير موجود",IF(AND(O56=5,I56="متوفر"),"مكتمل",IF(O56&gt;=3,"مقبول","ضعيف"))))</f>
        <v>لم يُفحص</v>
      </c>
      <c r="Q56" s="27" t="str">
        <f aca="false">IF(I56="","",IF(AND(I56="متوفر",O56=5),"لا","نعم"))</f>
        <v/>
      </c>
      <c r="R56" s="27" t="str">
        <f aca="false">IF(Q56&lt;&gt;"نعم","",IF(OR(E56="نعم",I56="غير متوفر"),"عالية",IF(O56&gt;=3,"منخفضة","متوسطة")))</f>
        <v/>
      </c>
      <c r="S56" s="30"/>
      <c r="T56" s="30"/>
      <c r="U56" s="27" t="str">
        <f aca="false">IFERROR(INDEX('الإعدادات واللجنة'!$G$22:$G$29,MATCH(C56,'الإعدادات واللجنة'!$B$22:$B$29,0)),"")</f>
        <v>عضو 4</v>
      </c>
      <c r="V56" s="29"/>
      <c r="W56" s="30"/>
    </row>
    <row r="57" customFormat="false" ht="22.35" hidden="false" customHeight="false" outlineLevel="0" collapsed="false">
      <c r="A57" s="27" t="s">
        <v>317</v>
      </c>
      <c r="B57" s="28" t="s">
        <v>144</v>
      </c>
      <c r="C57" s="28" t="s">
        <v>122</v>
      </c>
      <c r="D57" s="28" t="s">
        <v>318</v>
      </c>
      <c r="E57" s="27"/>
      <c r="F57" s="27" t="n">
        <v>1</v>
      </c>
      <c r="G57" s="28" t="s">
        <v>319</v>
      </c>
      <c r="H57" s="27" t="str">
        <f aca="false">IFERROR(INDEX('الإعدادات واللجنة'!$E$22:$E$29,MATCH(C57,'الإعدادات واللجنة'!$B$22:$B$29,0)),"")</f>
        <v>عضو 5</v>
      </c>
      <c r="I57" s="29"/>
      <c r="J57" s="29"/>
      <c r="K57" s="29"/>
      <c r="L57" s="29"/>
      <c r="M57" s="29"/>
      <c r="N57" s="29"/>
      <c r="O57" s="27" t="str">
        <f aca="false">IF(I57="","",IF(I57="غير متوفر",0,COUNTIF(J57:N57,"نعم")))</f>
        <v/>
      </c>
      <c r="P57" s="27" t="str">
        <f aca="false">IF(I57="","لم يُفحص",IF(I57="غير متوفر","غير موجود",IF(AND(O57=5,I57="متوفر"),"مكتمل",IF(O57&gt;=3,"مقبول","ضعيف"))))</f>
        <v>لم يُفحص</v>
      </c>
      <c r="Q57" s="27" t="str">
        <f aca="false">IF(I57="","",IF(AND(I57="متوفر",O57=5),"لا","نعم"))</f>
        <v/>
      </c>
      <c r="R57" s="27" t="str">
        <f aca="false">IF(Q57&lt;&gt;"نعم","",IF(OR(E57="نعم",I57="غير متوفر"),"عالية",IF(O57&gt;=3,"منخفضة","متوسطة")))</f>
        <v/>
      </c>
      <c r="S57" s="30"/>
      <c r="T57" s="30"/>
      <c r="U57" s="27" t="str">
        <f aca="false">IFERROR(INDEX('الإعدادات واللجنة'!$G$22:$G$29,MATCH(C57,'الإعدادات واللجنة'!$B$22:$B$29,0)),"")</f>
        <v>عضو 6</v>
      </c>
      <c r="V57" s="29"/>
      <c r="W57" s="30"/>
    </row>
    <row r="58" customFormat="false" ht="22.35" hidden="false" customHeight="false" outlineLevel="0" collapsed="false">
      <c r="A58" s="27" t="s">
        <v>317</v>
      </c>
      <c r="B58" s="28" t="s">
        <v>144</v>
      </c>
      <c r="C58" s="28" t="s">
        <v>122</v>
      </c>
      <c r="D58" s="28" t="s">
        <v>318</v>
      </c>
      <c r="E58" s="27"/>
      <c r="F58" s="27" t="n">
        <v>2</v>
      </c>
      <c r="G58" s="28" t="s">
        <v>320</v>
      </c>
      <c r="H58" s="27" t="str">
        <f aca="false">IFERROR(INDEX('الإعدادات واللجنة'!$E$22:$E$29,MATCH(C58,'الإعدادات واللجنة'!$B$22:$B$29,0)),"")</f>
        <v>عضو 5</v>
      </c>
      <c r="I58" s="29"/>
      <c r="J58" s="29"/>
      <c r="K58" s="29"/>
      <c r="L58" s="29"/>
      <c r="M58" s="29"/>
      <c r="N58" s="29"/>
      <c r="O58" s="27" t="str">
        <f aca="false">IF(I58="","",IF(I58="غير متوفر",0,COUNTIF(J58:N58,"نعم")))</f>
        <v/>
      </c>
      <c r="P58" s="27" t="str">
        <f aca="false">IF(I58="","لم يُفحص",IF(I58="غير متوفر","غير موجود",IF(AND(O58=5,I58="متوفر"),"مكتمل",IF(O58&gt;=3,"مقبول","ضعيف"))))</f>
        <v>لم يُفحص</v>
      </c>
      <c r="Q58" s="27" t="str">
        <f aca="false">IF(I58="","",IF(AND(I58="متوفر",O58=5),"لا","نعم"))</f>
        <v/>
      </c>
      <c r="R58" s="27" t="str">
        <f aca="false">IF(Q58&lt;&gt;"نعم","",IF(OR(E58="نعم",I58="غير متوفر"),"عالية",IF(O58&gt;=3,"منخفضة","متوسطة")))</f>
        <v/>
      </c>
      <c r="S58" s="30"/>
      <c r="T58" s="30"/>
      <c r="U58" s="27" t="str">
        <f aca="false">IFERROR(INDEX('الإعدادات واللجنة'!$G$22:$G$29,MATCH(C58,'الإعدادات واللجنة'!$B$22:$B$29,0)),"")</f>
        <v>عضو 6</v>
      </c>
      <c r="V58" s="29"/>
      <c r="W58" s="30"/>
    </row>
    <row r="59" customFormat="false" ht="22.35" hidden="false" customHeight="false" outlineLevel="0" collapsed="false">
      <c r="A59" s="27" t="s">
        <v>317</v>
      </c>
      <c r="B59" s="28" t="s">
        <v>144</v>
      </c>
      <c r="C59" s="28" t="s">
        <v>122</v>
      </c>
      <c r="D59" s="28" t="s">
        <v>318</v>
      </c>
      <c r="E59" s="27"/>
      <c r="F59" s="27" t="n">
        <v>3</v>
      </c>
      <c r="G59" s="28" t="s">
        <v>321</v>
      </c>
      <c r="H59" s="27" t="str">
        <f aca="false">IFERROR(INDEX('الإعدادات واللجنة'!$E$22:$E$29,MATCH(C59,'الإعدادات واللجنة'!$B$22:$B$29,0)),"")</f>
        <v>عضو 5</v>
      </c>
      <c r="I59" s="29"/>
      <c r="J59" s="29"/>
      <c r="K59" s="29"/>
      <c r="L59" s="29"/>
      <c r="M59" s="29"/>
      <c r="N59" s="29"/>
      <c r="O59" s="27" t="str">
        <f aca="false">IF(I59="","",IF(I59="غير متوفر",0,COUNTIF(J59:N59,"نعم")))</f>
        <v/>
      </c>
      <c r="P59" s="27" t="str">
        <f aca="false">IF(I59="","لم يُفحص",IF(I59="غير متوفر","غير موجود",IF(AND(O59=5,I59="متوفر"),"مكتمل",IF(O59&gt;=3,"مقبول","ضعيف"))))</f>
        <v>لم يُفحص</v>
      </c>
      <c r="Q59" s="27" t="str">
        <f aca="false">IF(I59="","",IF(AND(I59="متوفر",O59=5),"لا","نعم"))</f>
        <v/>
      </c>
      <c r="R59" s="27" t="str">
        <f aca="false">IF(Q59&lt;&gt;"نعم","",IF(OR(E59="نعم",I59="غير متوفر"),"عالية",IF(O59&gt;=3,"منخفضة","متوسطة")))</f>
        <v/>
      </c>
      <c r="S59" s="30"/>
      <c r="T59" s="30"/>
      <c r="U59" s="27" t="str">
        <f aca="false">IFERROR(INDEX('الإعدادات واللجنة'!$G$22:$G$29,MATCH(C59,'الإعدادات واللجنة'!$B$22:$B$29,0)),"")</f>
        <v>عضو 6</v>
      </c>
      <c r="V59" s="29"/>
      <c r="W59" s="30"/>
    </row>
    <row r="60" customFormat="false" ht="22.35" hidden="false" customHeight="false" outlineLevel="0" collapsed="false">
      <c r="A60" s="27" t="s">
        <v>317</v>
      </c>
      <c r="B60" s="28" t="s">
        <v>144</v>
      </c>
      <c r="C60" s="28" t="s">
        <v>122</v>
      </c>
      <c r="D60" s="28" t="s">
        <v>318</v>
      </c>
      <c r="E60" s="27"/>
      <c r="F60" s="27" t="n">
        <v>4</v>
      </c>
      <c r="G60" s="28" t="s">
        <v>322</v>
      </c>
      <c r="H60" s="27" t="str">
        <f aca="false">IFERROR(INDEX('الإعدادات واللجنة'!$E$22:$E$29,MATCH(C60,'الإعدادات واللجنة'!$B$22:$B$29,0)),"")</f>
        <v>عضو 5</v>
      </c>
      <c r="I60" s="29"/>
      <c r="J60" s="29"/>
      <c r="K60" s="29"/>
      <c r="L60" s="29"/>
      <c r="M60" s="29"/>
      <c r="N60" s="29"/>
      <c r="O60" s="27" t="str">
        <f aca="false">IF(I60="","",IF(I60="غير متوفر",0,COUNTIF(J60:N60,"نعم")))</f>
        <v/>
      </c>
      <c r="P60" s="27" t="str">
        <f aca="false">IF(I60="","لم يُفحص",IF(I60="غير متوفر","غير موجود",IF(AND(O60=5,I60="متوفر"),"مكتمل",IF(O60&gt;=3,"مقبول","ضعيف"))))</f>
        <v>لم يُفحص</v>
      </c>
      <c r="Q60" s="27" t="str">
        <f aca="false">IF(I60="","",IF(AND(I60="متوفر",O60=5),"لا","نعم"))</f>
        <v/>
      </c>
      <c r="R60" s="27" t="str">
        <f aca="false">IF(Q60&lt;&gt;"نعم","",IF(OR(E60="نعم",I60="غير متوفر"),"عالية",IF(O60&gt;=3,"منخفضة","متوسطة")))</f>
        <v/>
      </c>
      <c r="S60" s="30"/>
      <c r="T60" s="30"/>
      <c r="U60" s="27" t="str">
        <f aca="false">IFERROR(INDEX('الإعدادات واللجنة'!$G$22:$G$29,MATCH(C60,'الإعدادات واللجنة'!$B$22:$B$29,0)),"")</f>
        <v>عضو 6</v>
      </c>
      <c r="V60" s="29"/>
      <c r="W60" s="30"/>
    </row>
    <row r="61" customFormat="false" ht="22.35" hidden="false" customHeight="false" outlineLevel="0" collapsed="false">
      <c r="A61" s="27" t="s">
        <v>317</v>
      </c>
      <c r="B61" s="28" t="s">
        <v>144</v>
      </c>
      <c r="C61" s="28" t="s">
        <v>122</v>
      </c>
      <c r="D61" s="28" t="s">
        <v>318</v>
      </c>
      <c r="E61" s="27"/>
      <c r="F61" s="27" t="n">
        <v>5</v>
      </c>
      <c r="G61" s="28" t="s">
        <v>323</v>
      </c>
      <c r="H61" s="27" t="str">
        <f aca="false">IFERROR(INDEX('الإعدادات واللجنة'!$E$22:$E$29,MATCH(C61,'الإعدادات واللجنة'!$B$22:$B$29,0)),"")</f>
        <v>عضو 5</v>
      </c>
      <c r="I61" s="29"/>
      <c r="J61" s="29"/>
      <c r="K61" s="29"/>
      <c r="L61" s="29"/>
      <c r="M61" s="29"/>
      <c r="N61" s="29"/>
      <c r="O61" s="27" t="str">
        <f aca="false">IF(I61="","",IF(I61="غير متوفر",0,COUNTIF(J61:N61,"نعم")))</f>
        <v/>
      </c>
      <c r="P61" s="27" t="str">
        <f aca="false">IF(I61="","لم يُفحص",IF(I61="غير متوفر","غير موجود",IF(AND(O61=5,I61="متوفر"),"مكتمل",IF(O61&gt;=3,"مقبول","ضعيف"))))</f>
        <v>لم يُفحص</v>
      </c>
      <c r="Q61" s="27" t="str">
        <f aca="false">IF(I61="","",IF(AND(I61="متوفر",O61=5),"لا","نعم"))</f>
        <v/>
      </c>
      <c r="R61" s="27" t="str">
        <f aca="false">IF(Q61&lt;&gt;"نعم","",IF(OR(E61="نعم",I61="غير متوفر"),"عالية",IF(O61&gt;=3,"منخفضة","متوسطة")))</f>
        <v/>
      </c>
      <c r="S61" s="30"/>
      <c r="T61" s="30"/>
      <c r="U61" s="27" t="str">
        <f aca="false">IFERROR(INDEX('الإعدادات واللجنة'!$G$22:$G$29,MATCH(C61,'الإعدادات واللجنة'!$B$22:$B$29,0)),"")</f>
        <v>عضو 6</v>
      </c>
      <c r="V61" s="29"/>
      <c r="W61" s="30"/>
    </row>
    <row r="62" customFormat="false" ht="22.35" hidden="false" customHeight="false" outlineLevel="0" collapsed="false">
      <c r="A62" s="27" t="s">
        <v>317</v>
      </c>
      <c r="B62" s="28" t="s">
        <v>144</v>
      </c>
      <c r="C62" s="28" t="s">
        <v>122</v>
      </c>
      <c r="D62" s="28" t="s">
        <v>318</v>
      </c>
      <c r="E62" s="27"/>
      <c r="F62" s="27" t="n">
        <v>6</v>
      </c>
      <c r="G62" s="28" t="s">
        <v>324</v>
      </c>
      <c r="H62" s="27" t="str">
        <f aca="false">IFERROR(INDEX('الإعدادات واللجنة'!$E$22:$E$29,MATCH(C62,'الإعدادات واللجنة'!$B$22:$B$29,0)),"")</f>
        <v>عضو 5</v>
      </c>
      <c r="I62" s="29"/>
      <c r="J62" s="29"/>
      <c r="K62" s="29"/>
      <c r="L62" s="29"/>
      <c r="M62" s="29"/>
      <c r="N62" s="29"/>
      <c r="O62" s="27" t="str">
        <f aca="false">IF(I62="","",IF(I62="غير متوفر",0,COUNTIF(J62:N62,"نعم")))</f>
        <v/>
      </c>
      <c r="P62" s="27" t="str">
        <f aca="false">IF(I62="","لم يُفحص",IF(I62="غير متوفر","غير موجود",IF(AND(O62=5,I62="متوفر"),"مكتمل",IF(O62&gt;=3,"مقبول","ضعيف"))))</f>
        <v>لم يُفحص</v>
      </c>
      <c r="Q62" s="27" t="str">
        <f aca="false">IF(I62="","",IF(AND(I62="متوفر",O62=5),"لا","نعم"))</f>
        <v/>
      </c>
      <c r="R62" s="27" t="str">
        <f aca="false">IF(Q62&lt;&gt;"نعم","",IF(OR(E62="نعم",I62="غير متوفر"),"عالية",IF(O62&gt;=3,"منخفضة","متوسطة")))</f>
        <v/>
      </c>
      <c r="S62" s="30"/>
      <c r="T62" s="30"/>
      <c r="U62" s="27" t="str">
        <f aca="false">IFERROR(INDEX('الإعدادات واللجنة'!$G$22:$G$29,MATCH(C62,'الإعدادات واللجنة'!$B$22:$B$29,0)),"")</f>
        <v>عضو 6</v>
      </c>
      <c r="V62" s="29"/>
      <c r="W62" s="30"/>
    </row>
    <row r="63" customFormat="false" ht="22.35" hidden="false" customHeight="false" outlineLevel="0" collapsed="false">
      <c r="A63" s="27" t="s">
        <v>317</v>
      </c>
      <c r="B63" s="28" t="s">
        <v>144</v>
      </c>
      <c r="C63" s="28" t="s">
        <v>122</v>
      </c>
      <c r="D63" s="28" t="s">
        <v>318</v>
      </c>
      <c r="E63" s="27"/>
      <c r="F63" s="27" t="n">
        <v>7</v>
      </c>
      <c r="G63" s="28" t="s">
        <v>325</v>
      </c>
      <c r="H63" s="27" t="str">
        <f aca="false">IFERROR(INDEX('الإعدادات واللجنة'!$E$22:$E$29,MATCH(C63,'الإعدادات واللجنة'!$B$22:$B$29,0)),"")</f>
        <v>عضو 5</v>
      </c>
      <c r="I63" s="29"/>
      <c r="J63" s="29"/>
      <c r="K63" s="29"/>
      <c r="L63" s="29"/>
      <c r="M63" s="29"/>
      <c r="N63" s="29"/>
      <c r="O63" s="27" t="str">
        <f aca="false">IF(I63="","",IF(I63="غير متوفر",0,COUNTIF(J63:N63,"نعم")))</f>
        <v/>
      </c>
      <c r="P63" s="27" t="str">
        <f aca="false">IF(I63="","لم يُفحص",IF(I63="غير متوفر","غير موجود",IF(AND(O63=5,I63="متوفر"),"مكتمل",IF(O63&gt;=3,"مقبول","ضعيف"))))</f>
        <v>لم يُفحص</v>
      </c>
      <c r="Q63" s="27" t="str">
        <f aca="false">IF(I63="","",IF(AND(I63="متوفر",O63=5),"لا","نعم"))</f>
        <v/>
      </c>
      <c r="R63" s="27" t="str">
        <f aca="false">IF(Q63&lt;&gt;"نعم","",IF(OR(E63="نعم",I63="غير متوفر"),"عالية",IF(O63&gt;=3,"منخفضة","متوسطة")))</f>
        <v/>
      </c>
      <c r="S63" s="30"/>
      <c r="T63" s="30"/>
      <c r="U63" s="27" t="str">
        <f aca="false">IFERROR(INDEX('الإعدادات واللجنة'!$G$22:$G$29,MATCH(C63,'الإعدادات واللجنة'!$B$22:$B$29,0)),"")</f>
        <v>عضو 6</v>
      </c>
      <c r="V63" s="29"/>
      <c r="W63" s="30"/>
    </row>
    <row r="64" customFormat="false" ht="22.35" hidden="false" customHeight="false" outlineLevel="0" collapsed="false">
      <c r="A64" s="27" t="s">
        <v>317</v>
      </c>
      <c r="B64" s="28" t="s">
        <v>144</v>
      </c>
      <c r="C64" s="28" t="s">
        <v>122</v>
      </c>
      <c r="D64" s="28" t="s">
        <v>318</v>
      </c>
      <c r="E64" s="27"/>
      <c r="F64" s="27" t="n">
        <v>8</v>
      </c>
      <c r="G64" s="28" t="s">
        <v>326</v>
      </c>
      <c r="H64" s="27" t="str">
        <f aca="false">IFERROR(INDEX('الإعدادات واللجنة'!$E$22:$E$29,MATCH(C64,'الإعدادات واللجنة'!$B$22:$B$29,0)),"")</f>
        <v>عضو 5</v>
      </c>
      <c r="I64" s="29"/>
      <c r="J64" s="29"/>
      <c r="K64" s="29"/>
      <c r="L64" s="29"/>
      <c r="M64" s="29"/>
      <c r="N64" s="29"/>
      <c r="O64" s="27" t="str">
        <f aca="false">IF(I64="","",IF(I64="غير متوفر",0,COUNTIF(J64:N64,"نعم")))</f>
        <v/>
      </c>
      <c r="P64" s="27" t="str">
        <f aca="false">IF(I64="","لم يُفحص",IF(I64="غير متوفر","غير موجود",IF(AND(O64=5,I64="متوفر"),"مكتمل",IF(O64&gt;=3,"مقبول","ضعيف"))))</f>
        <v>لم يُفحص</v>
      </c>
      <c r="Q64" s="27" t="str">
        <f aca="false">IF(I64="","",IF(AND(I64="متوفر",O64=5),"لا","نعم"))</f>
        <v/>
      </c>
      <c r="R64" s="27" t="str">
        <f aca="false">IF(Q64&lt;&gt;"نعم","",IF(OR(E64="نعم",I64="غير متوفر"),"عالية",IF(O64&gt;=3,"منخفضة","متوسطة")))</f>
        <v/>
      </c>
      <c r="S64" s="30"/>
      <c r="T64" s="30"/>
      <c r="U64" s="27" t="str">
        <f aca="false">IFERROR(INDEX('الإعدادات واللجنة'!$G$22:$G$29,MATCH(C64,'الإعدادات واللجنة'!$B$22:$B$29,0)),"")</f>
        <v>عضو 6</v>
      </c>
      <c r="V64" s="29"/>
      <c r="W64" s="30"/>
    </row>
    <row r="65" customFormat="false" ht="22.35" hidden="false" customHeight="false" outlineLevel="0" collapsed="false">
      <c r="A65" s="27" t="s">
        <v>317</v>
      </c>
      <c r="B65" s="28" t="s">
        <v>144</v>
      </c>
      <c r="C65" s="28" t="s">
        <v>122</v>
      </c>
      <c r="D65" s="28" t="s">
        <v>318</v>
      </c>
      <c r="E65" s="27"/>
      <c r="F65" s="27" t="n">
        <v>9</v>
      </c>
      <c r="G65" s="28" t="s">
        <v>327</v>
      </c>
      <c r="H65" s="27" t="str">
        <f aca="false">IFERROR(INDEX('الإعدادات واللجنة'!$E$22:$E$29,MATCH(C65,'الإعدادات واللجنة'!$B$22:$B$29,0)),"")</f>
        <v>عضو 5</v>
      </c>
      <c r="I65" s="29"/>
      <c r="J65" s="29"/>
      <c r="K65" s="29"/>
      <c r="L65" s="29"/>
      <c r="M65" s="29"/>
      <c r="N65" s="29"/>
      <c r="O65" s="27" t="str">
        <f aca="false">IF(I65="","",IF(I65="غير متوفر",0,COUNTIF(J65:N65,"نعم")))</f>
        <v/>
      </c>
      <c r="P65" s="27" t="str">
        <f aca="false">IF(I65="","لم يُفحص",IF(I65="غير متوفر","غير موجود",IF(AND(O65=5,I65="متوفر"),"مكتمل",IF(O65&gt;=3,"مقبول","ضعيف"))))</f>
        <v>لم يُفحص</v>
      </c>
      <c r="Q65" s="27" t="str">
        <f aca="false">IF(I65="","",IF(AND(I65="متوفر",O65=5),"لا","نعم"))</f>
        <v/>
      </c>
      <c r="R65" s="27" t="str">
        <f aca="false">IF(Q65&lt;&gt;"نعم","",IF(OR(E65="نعم",I65="غير متوفر"),"عالية",IF(O65&gt;=3,"منخفضة","متوسطة")))</f>
        <v/>
      </c>
      <c r="S65" s="30"/>
      <c r="T65" s="30"/>
      <c r="U65" s="27" t="str">
        <f aca="false">IFERROR(INDEX('الإعدادات واللجنة'!$G$22:$G$29,MATCH(C65,'الإعدادات واللجنة'!$B$22:$B$29,0)),"")</f>
        <v>عضو 6</v>
      </c>
      <c r="V65" s="29"/>
      <c r="W65" s="30"/>
    </row>
    <row r="66" customFormat="false" ht="22.35" hidden="false" customHeight="false" outlineLevel="0" collapsed="false">
      <c r="A66" s="27" t="s">
        <v>317</v>
      </c>
      <c r="B66" s="28" t="s">
        <v>144</v>
      </c>
      <c r="C66" s="28" t="s">
        <v>122</v>
      </c>
      <c r="D66" s="28" t="s">
        <v>318</v>
      </c>
      <c r="E66" s="27"/>
      <c r="F66" s="27" t="n">
        <v>10</v>
      </c>
      <c r="G66" s="28" t="s">
        <v>328</v>
      </c>
      <c r="H66" s="27" t="str">
        <f aca="false">IFERROR(INDEX('الإعدادات واللجنة'!$E$22:$E$29,MATCH(C66,'الإعدادات واللجنة'!$B$22:$B$29,0)),"")</f>
        <v>عضو 5</v>
      </c>
      <c r="I66" s="29"/>
      <c r="J66" s="29"/>
      <c r="K66" s="29"/>
      <c r="L66" s="29"/>
      <c r="M66" s="29"/>
      <c r="N66" s="29"/>
      <c r="O66" s="27" t="str">
        <f aca="false">IF(I66="","",IF(I66="غير متوفر",0,COUNTIF(J66:N66,"نعم")))</f>
        <v/>
      </c>
      <c r="P66" s="27" t="str">
        <f aca="false">IF(I66="","لم يُفحص",IF(I66="غير متوفر","غير موجود",IF(AND(O66=5,I66="متوفر"),"مكتمل",IF(O66&gt;=3,"مقبول","ضعيف"))))</f>
        <v>لم يُفحص</v>
      </c>
      <c r="Q66" s="27" t="str">
        <f aca="false">IF(I66="","",IF(AND(I66="متوفر",O66=5),"لا","نعم"))</f>
        <v/>
      </c>
      <c r="R66" s="27" t="str">
        <f aca="false">IF(Q66&lt;&gt;"نعم","",IF(OR(E66="نعم",I66="غير متوفر"),"عالية",IF(O66&gt;=3,"منخفضة","متوسطة")))</f>
        <v/>
      </c>
      <c r="S66" s="30"/>
      <c r="T66" s="30"/>
      <c r="U66" s="27" t="str">
        <f aca="false">IFERROR(INDEX('الإعدادات واللجنة'!$G$22:$G$29,MATCH(C66,'الإعدادات واللجنة'!$B$22:$B$29,0)),"")</f>
        <v>عضو 6</v>
      </c>
      <c r="V66" s="29"/>
      <c r="W66" s="30"/>
    </row>
    <row r="67" customFormat="false" ht="22.35" hidden="false" customHeight="false" outlineLevel="0" collapsed="false">
      <c r="A67" s="31" t="s">
        <v>329</v>
      </c>
      <c r="B67" s="32" t="s">
        <v>144</v>
      </c>
      <c r="C67" s="32" t="s">
        <v>122</v>
      </c>
      <c r="D67" s="32" t="s">
        <v>330</v>
      </c>
      <c r="E67" s="31" t="s">
        <v>185</v>
      </c>
      <c r="F67" s="31" t="n">
        <v>1</v>
      </c>
      <c r="G67" s="32" t="s">
        <v>331</v>
      </c>
      <c r="H67" s="27" t="str">
        <f aca="false">IFERROR(INDEX('الإعدادات واللجنة'!$E$22:$E$29,MATCH(C67,'الإعدادات واللجنة'!$B$22:$B$29,0)),"")</f>
        <v>عضو 5</v>
      </c>
      <c r="I67" s="29"/>
      <c r="J67" s="29"/>
      <c r="K67" s="29"/>
      <c r="L67" s="29"/>
      <c r="M67" s="29"/>
      <c r="N67" s="29"/>
      <c r="O67" s="27" t="str">
        <f aca="false">IF(I67="","",IF(I67="غير متوفر",0,COUNTIF(J67:N67,"نعم")))</f>
        <v/>
      </c>
      <c r="P67" s="27" t="str">
        <f aca="false">IF(I67="","لم يُفحص",IF(I67="غير متوفر","غير موجود",IF(AND(O67=5,I67="متوفر"),"مكتمل",IF(O67&gt;=3,"مقبول","ضعيف"))))</f>
        <v>لم يُفحص</v>
      </c>
      <c r="Q67" s="27" t="str">
        <f aca="false">IF(I67="","",IF(AND(I67="متوفر",O67=5),"لا","نعم"))</f>
        <v/>
      </c>
      <c r="R67" s="27" t="str">
        <f aca="false">IF(Q67&lt;&gt;"نعم","",IF(OR(E67="نعم",I67="غير متوفر"),"عالية",IF(O67&gt;=3,"منخفضة","متوسطة")))</f>
        <v/>
      </c>
      <c r="S67" s="30"/>
      <c r="T67" s="30"/>
      <c r="U67" s="27" t="str">
        <f aca="false">IFERROR(INDEX('الإعدادات واللجنة'!$G$22:$G$29,MATCH(C67,'الإعدادات واللجنة'!$B$22:$B$29,0)),"")</f>
        <v>عضو 6</v>
      </c>
      <c r="V67" s="29"/>
      <c r="W67" s="30"/>
    </row>
    <row r="68" customFormat="false" ht="22.35" hidden="false" customHeight="false" outlineLevel="0" collapsed="false">
      <c r="A68" s="31" t="s">
        <v>329</v>
      </c>
      <c r="B68" s="32" t="s">
        <v>144</v>
      </c>
      <c r="C68" s="32" t="s">
        <v>122</v>
      </c>
      <c r="D68" s="32" t="s">
        <v>330</v>
      </c>
      <c r="E68" s="31" t="s">
        <v>185</v>
      </c>
      <c r="F68" s="31" t="n">
        <v>2</v>
      </c>
      <c r="G68" s="32" t="s">
        <v>332</v>
      </c>
      <c r="H68" s="27" t="str">
        <f aca="false">IFERROR(INDEX('الإعدادات واللجنة'!$E$22:$E$29,MATCH(C68,'الإعدادات واللجنة'!$B$22:$B$29,0)),"")</f>
        <v>عضو 5</v>
      </c>
      <c r="I68" s="29"/>
      <c r="J68" s="29"/>
      <c r="K68" s="29"/>
      <c r="L68" s="29"/>
      <c r="M68" s="29"/>
      <c r="N68" s="29"/>
      <c r="O68" s="27" t="str">
        <f aca="false">IF(I68="","",IF(I68="غير متوفر",0,COUNTIF(J68:N68,"نعم")))</f>
        <v/>
      </c>
      <c r="P68" s="27" t="str">
        <f aca="false">IF(I68="","لم يُفحص",IF(I68="غير متوفر","غير موجود",IF(AND(O68=5,I68="متوفر"),"مكتمل",IF(O68&gt;=3,"مقبول","ضعيف"))))</f>
        <v>لم يُفحص</v>
      </c>
      <c r="Q68" s="27" t="str">
        <f aca="false">IF(I68="","",IF(AND(I68="متوفر",O68=5),"لا","نعم"))</f>
        <v/>
      </c>
      <c r="R68" s="27" t="str">
        <f aca="false">IF(Q68&lt;&gt;"نعم","",IF(OR(E68="نعم",I68="غير متوفر"),"عالية",IF(O68&gt;=3,"منخفضة","متوسطة")))</f>
        <v/>
      </c>
      <c r="S68" s="30"/>
      <c r="T68" s="30"/>
      <c r="U68" s="27" t="str">
        <f aca="false">IFERROR(INDEX('الإعدادات واللجنة'!$G$22:$G$29,MATCH(C68,'الإعدادات واللجنة'!$B$22:$B$29,0)),"")</f>
        <v>عضو 6</v>
      </c>
      <c r="V68" s="29"/>
      <c r="W68" s="30"/>
    </row>
    <row r="69" customFormat="false" ht="22.35" hidden="false" customHeight="false" outlineLevel="0" collapsed="false">
      <c r="A69" s="31" t="s">
        <v>329</v>
      </c>
      <c r="B69" s="32" t="s">
        <v>144</v>
      </c>
      <c r="C69" s="32" t="s">
        <v>122</v>
      </c>
      <c r="D69" s="32" t="s">
        <v>330</v>
      </c>
      <c r="E69" s="31" t="s">
        <v>185</v>
      </c>
      <c r="F69" s="31" t="n">
        <v>3</v>
      </c>
      <c r="G69" s="32" t="s">
        <v>333</v>
      </c>
      <c r="H69" s="27" t="str">
        <f aca="false">IFERROR(INDEX('الإعدادات واللجنة'!$E$22:$E$29,MATCH(C69,'الإعدادات واللجنة'!$B$22:$B$29,0)),"")</f>
        <v>عضو 5</v>
      </c>
      <c r="I69" s="29"/>
      <c r="J69" s="29"/>
      <c r="K69" s="29"/>
      <c r="L69" s="29"/>
      <c r="M69" s="29"/>
      <c r="N69" s="29"/>
      <c r="O69" s="27" t="str">
        <f aca="false">IF(I69="","",IF(I69="غير متوفر",0,COUNTIF(J69:N69,"نعم")))</f>
        <v/>
      </c>
      <c r="P69" s="27" t="str">
        <f aca="false">IF(I69="","لم يُفحص",IF(I69="غير متوفر","غير موجود",IF(AND(O69=5,I69="متوفر"),"مكتمل",IF(O69&gt;=3,"مقبول","ضعيف"))))</f>
        <v>لم يُفحص</v>
      </c>
      <c r="Q69" s="27" t="str">
        <f aca="false">IF(I69="","",IF(AND(I69="متوفر",O69=5),"لا","نعم"))</f>
        <v/>
      </c>
      <c r="R69" s="27" t="str">
        <f aca="false">IF(Q69&lt;&gt;"نعم","",IF(OR(E69="نعم",I69="غير متوفر"),"عالية",IF(O69&gt;=3,"منخفضة","متوسطة")))</f>
        <v/>
      </c>
      <c r="S69" s="30"/>
      <c r="T69" s="30"/>
      <c r="U69" s="27" t="str">
        <f aca="false">IFERROR(INDEX('الإعدادات واللجنة'!$G$22:$G$29,MATCH(C69,'الإعدادات واللجنة'!$B$22:$B$29,0)),"")</f>
        <v>عضو 6</v>
      </c>
      <c r="V69" s="29"/>
      <c r="W69" s="30"/>
    </row>
    <row r="70" customFormat="false" ht="22.35" hidden="false" customHeight="false" outlineLevel="0" collapsed="false">
      <c r="A70" s="27" t="s">
        <v>334</v>
      </c>
      <c r="B70" s="28" t="s">
        <v>144</v>
      </c>
      <c r="C70" s="28" t="s">
        <v>122</v>
      </c>
      <c r="D70" s="28" t="s">
        <v>335</v>
      </c>
      <c r="E70" s="27"/>
      <c r="F70" s="27" t="n">
        <v>1</v>
      </c>
      <c r="G70" s="28" t="s">
        <v>336</v>
      </c>
      <c r="H70" s="27" t="str">
        <f aca="false">IFERROR(INDEX('الإعدادات واللجنة'!$E$22:$E$29,MATCH(C70,'الإعدادات واللجنة'!$B$22:$B$29,0)),"")</f>
        <v>عضو 5</v>
      </c>
      <c r="I70" s="29"/>
      <c r="J70" s="29"/>
      <c r="K70" s="29"/>
      <c r="L70" s="29"/>
      <c r="M70" s="29"/>
      <c r="N70" s="29"/>
      <c r="O70" s="27" t="str">
        <f aca="false">IF(I70="","",IF(I70="غير متوفر",0,COUNTIF(J70:N70,"نعم")))</f>
        <v/>
      </c>
      <c r="P70" s="27" t="str">
        <f aca="false">IF(I70="","لم يُفحص",IF(I70="غير متوفر","غير موجود",IF(AND(O70=5,I70="متوفر"),"مكتمل",IF(O70&gt;=3,"مقبول","ضعيف"))))</f>
        <v>لم يُفحص</v>
      </c>
      <c r="Q70" s="27" t="str">
        <f aca="false">IF(I70="","",IF(AND(I70="متوفر",O70=5),"لا","نعم"))</f>
        <v/>
      </c>
      <c r="R70" s="27" t="str">
        <f aca="false">IF(Q70&lt;&gt;"نعم","",IF(OR(E70="نعم",I70="غير متوفر"),"عالية",IF(O70&gt;=3,"منخفضة","متوسطة")))</f>
        <v/>
      </c>
      <c r="S70" s="30"/>
      <c r="T70" s="30"/>
      <c r="U70" s="27" t="str">
        <f aca="false">IFERROR(INDEX('الإعدادات واللجنة'!$G$22:$G$29,MATCH(C70,'الإعدادات واللجنة'!$B$22:$B$29,0)),"")</f>
        <v>عضو 6</v>
      </c>
      <c r="V70" s="29"/>
      <c r="W70" s="30"/>
    </row>
    <row r="71" customFormat="false" ht="22.35" hidden="false" customHeight="false" outlineLevel="0" collapsed="false">
      <c r="A71" s="27" t="s">
        <v>334</v>
      </c>
      <c r="B71" s="28" t="s">
        <v>144</v>
      </c>
      <c r="C71" s="28" t="s">
        <v>122</v>
      </c>
      <c r="D71" s="28" t="s">
        <v>335</v>
      </c>
      <c r="E71" s="27"/>
      <c r="F71" s="27" t="n">
        <v>2</v>
      </c>
      <c r="G71" s="28" t="s">
        <v>337</v>
      </c>
      <c r="H71" s="27" t="str">
        <f aca="false">IFERROR(INDEX('الإعدادات واللجنة'!$E$22:$E$29,MATCH(C71,'الإعدادات واللجنة'!$B$22:$B$29,0)),"")</f>
        <v>عضو 5</v>
      </c>
      <c r="I71" s="29"/>
      <c r="J71" s="29"/>
      <c r="K71" s="29"/>
      <c r="L71" s="29"/>
      <c r="M71" s="29"/>
      <c r="N71" s="29"/>
      <c r="O71" s="27" t="str">
        <f aca="false">IF(I71="","",IF(I71="غير متوفر",0,COUNTIF(J71:N71,"نعم")))</f>
        <v/>
      </c>
      <c r="P71" s="27" t="str">
        <f aca="false">IF(I71="","لم يُفحص",IF(I71="غير متوفر","غير موجود",IF(AND(O71=5,I71="متوفر"),"مكتمل",IF(O71&gt;=3,"مقبول","ضعيف"))))</f>
        <v>لم يُفحص</v>
      </c>
      <c r="Q71" s="27" t="str">
        <f aca="false">IF(I71="","",IF(AND(I71="متوفر",O71=5),"لا","نعم"))</f>
        <v/>
      </c>
      <c r="R71" s="27" t="str">
        <f aca="false">IF(Q71&lt;&gt;"نعم","",IF(OR(E71="نعم",I71="غير متوفر"),"عالية",IF(O71&gt;=3,"منخفضة","متوسطة")))</f>
        <v/>
      </c>
      <c r="S71" s="30"/>
      <c r="T71" s="30"/>
      <c r="U71" s="27" t="str">
        <f aca="false">IFERROR(INDEX('الإعدادات واللجنة'!$G$22:$G$29,MATCH(C71,'الإعدادات واللجنة'!$B$22:$B$29,0)),"")</f>
        <v>عضو 6</v>
      </c>
      <c r="V71" s="29"/>
      <c r="W71" s="30"/>
    </row>
    <row r="72" customFormat="false" ht="22.35" hidden="false" customHeight="false" outlineLevel="0" collapsed="false">
      <c r="A72" s="27" t="s">
        <v>334</v>
      </c>
      <c r="B72" s="28" t="s">
        <v>144</v>
      </c>
      <c r="C72" s="28" t="s">
        <v>122</v>
      </c>
      <c r="D72" s="28" t="s">
        <v>335</v>
      </c>
      <c r="E72" s="27"/>
      <c r="F72" s="27" t="n">
        <v>3</v>
      </c>
      <c r="G72" s="28" t="s">
        <v>338</v>
      </c>
      <c r="H72" s="27" t="str">
        <f aca="false">IFERROR(INDEX('الإعدادات واللجنة'!$E$22:$E$29,MATCH(C72,'الإعدادات واللجنة'!$B$22:$B$29,0)),"")</f>
        <v>عضو 5</v>
      </c>
      <c r="I72" s="29"/>
      <c r="J72" s="29"/>
      <c r="K72" s="29"/>
      <c r="L72" s="29"/>
      <c r="M72" s="29"/>
      <c r="N72" s="29"/>
      <c r="O72" s="27" t="str">
        <f aca="false">IF(I72="","",IF(I72="غير متوفر",0,COUNTIF(J72:N72,"نعم")))</f>
        <v/>
      </c>
      <c r="P72" s="27" t="str">
        <f aca="false">IF(I72="","لم يُفحص",IF(I72="غير متوفر","غير موجود",IF(AND(O72=5,I72="متوفر"),"مكتمل",IF(O72&gt;=3,"مقبول","ضعيف"))))</f>
        <v>لم يُفحص</v>
      </c>
      <c r="Q72" s="27" t="str">
        <f aca="false">IF(I72="","",IF(AND(I72="متوفر",O72=5),"لا","نعم"))</f>
        <v/>
      </c>
      <c r="R72" s="27" t="str">
        <f aca="false">IF(Q72&lt;&gt;"نعم","",IF(OR(E72="نعم",I72="غير متوفر"),"عالية",IF(O72&gt;=3,"منخفضة","متوسطة")))</f>
        <v/>
      </c>
      <c r="S72" s="30"/>
      <c r="T72" s="30"/>
      <c r="U72" s="27" t="str">
        <f aca="false">IFERROR(INDEX('الإعدادات واللجنة'!$G$22:$G$29,MATCH(C72,'الإعدادات واللجنة'!$B$22:$B$29,0)),"")</f>
        <v>عضو 6</v>
      </c>
      <c r="V72" s="29"/>
      <c r="W72" s="30"/>
    </row>
    <row r="73" customFormat="false" ht="22.35" hidden="false" customHeight="false" outlineLevel="0" collapsed="false">
      <c r="A73" s="27" t="s">
        <v>334</v>
      </c>
      <c r="B73" s="28" t="s">
        <v>144</v>
      </c>
      <c r="C73" s="28" t="s">
        <v>122</v>
      </c>
      <c r="D73" s="28" t="s">
        <v>335</v>
      </c>
      <c r="E73" s="27"/>
      <c r="F73" s="27" t="n">
        <v>4</v>
      </c>
      <c r="G73" s="28" t="s">
        <v>339</v>
      </c>
      <c r="H73" s="27" t="str">
        <f aca="false">IFERROR(INDEX('الإعدادات واللجنة'!$E$22:$E$29,MATCH(C73,'الإعدادات واللجنة'!$B$22:$B$29,0)),"")</f>
        <v>عضو 5</v>
      </c>
      <c r="I73" s="29"/>
      <c r="J73" s="29"/>
      <c r="K73" s="29"/>
      <c r="L73" s="29"/>
      <c r="M73" s="29"/>
      <c r="N73" s="29"/>
      <c r="O73" s="27" t="str">
        <f aca="false">IF(I73="","",IF(I73="غير متوفر",0,COUNTIF(J73:N73,"نعم")))</f>
        <v/>
      </c>
      <c r="P73" s="27" t="str">
        <f aca="false">IF(I73="","لم يُفحص",IF(I73="غير متوفر","غير موجود",IF(AND(O73=5,I73="متوفر"),"مكتمل",IF(O73&gt;=3,"مقبول","ضعيف"))))</f>
        <v>لم يُفحص</v>
      </c>
      <c r="Q73" s="27" t="str">
        <f aca="false">IF(I73="","",IF(AND(I73="متوفر",O73=5),"لا","نعم"))</f>
        <v/>
      </c>
      <c r="R73" s="27" t="str">
        <f aca="false">IF(Q73&lt;&gt;"نعم","",IF(OR(E73="نعم",I73="غير متوفر"),"عالية",IF(O73&gt;=3,"منخفضة","متوسطة")))</f>
        <v/>
      </c>
      <c r="S73" s="30"/>
      <c r="T73" s="30"/>
      <c r="U73" s="27" t="str">
        <f aca="false">IFERROR(INDEX('الإعدادات واللجنة'!$G$22:$G$29,MATCH(C73,'الإعدادات واللجنة'!$B$22:$B$29,0)),"")</f>
        <v>عضو 6</v>
      </c>
      <c r="V73" s="29"/>
      <c r="W73" s="30"/>
    </row>
    <row r="74" customFormat="false" ht="22.35" hidden="false" customHeight="false" outlineLevel="0" collapsed="false">
      <c r="A74" s="31" t="s">
        <v>340</v>
      </c>
      <c r="B74" s="32" t="s">
        <v>144</v>
      </c>
      <c r="C74" s="32" t="s">
        <v>122</v>
      </c>
      <c r="D74" s="32" t="s">
        <v>341</v>
      </c>
      <c r="E74" s="31" t="s">
        <v>185</v>
      </c>
      <c r="F74" s="31" t="n">
        <v>1</v>
      </c>
      <c r="G74" s="32" t="s">
        <v>320</v>
      </c>
      <c r="H74" s="27" t="str">
        <f aca="false">IFERROR(INDEX('الإعدادات واللجنة'!$E$22:$E$29,MATCH(C74,'الإعدادات واللجنة'!$B$22:$B$29,0)),"")</f>
        <v>عضو 5</v>
      </c>
      <c r="I74" s="29"/>
      <c r="J74" s="29"/>
      <c r="K74" s="29"/>
      <c r="L74" s="29"/>
      <c r="M74" s="29"/>
      <c r="N74" s="29"/>
      <c r="O74" s="27" t="str">
        <f aca="false">IF(I74="","",IF(I74="غير متوفر",0,COUNTIF(J74:N74,"نعم")))</f>
        <v/>
      </c>
      <c r="P74" s="27" t="str">
        <f aca="false">IF(I74="","لم يُفحص",IF(I74="غير متوفر","غير موجود",IF(AND(O74=5,I74="متوفر"),"مكتمل",IF(O74&gt;=3,"مقبول","ضعيف"))))</f>
        <v>لم يُفحص</v>
      </c>
      <c r="Q74" s="27" t="str">
        <f aca="false">IF(I74="","",IF(AND(I74="متوفر",O74=5),"لا","نعم"))</f>
        <v/>
      </c>
      <c r="R74" s="27" t="str">
        <f aca="false">IF(Q74&lt;&gt;"نعم","",IF(OR(E74="نعم",I74="غير متوفر"),"عالية",IF(O74&gt;=3,"منخفضة","متوسطة")))</f>
        <v/>
      </c>
      <c r="S74" s="30"/>
      <c r="T74" s="30"/>
      <c r="U74" s="27" t="str">
        <f aca="false">IFERROR(INDEX('الإعدادات واللجنة'!$G$22:$G$29,MATCH(C74,'الإعدادات واللجنة'!$B$22:$B$29,0)),"")</f>
        <v>عضو 6</v>
      </c>
      <c r="V74" s="29"/>
      <c r="W74" s="30"/>
    </row>
    <row r="75" customFormat="false" ht="22.35" hidden="false" customHeight="false" outlineLevel="0" collapsed="false">
      <c r="A75" s="31" t="s">
        <v>340</v>
      </c>
      <c r="B75" s="32" t="s">
        <v>144</v>
      </c>
      <c r="C75" s="32" t="s">
        <v>122</v>
      </c>
      <c r="D75" s="32" t="s">
        <v>341</v>
      </c>
      <c r="E75" s="31" t="s">
        <v>185</v>
      </c>
      <c r="F75" s="31" t="n">
        <v>2</v>
      </c>
      <c r="G75" s="32" t="s">
        <v>342</v>
      </c>
      <c r="H75" s="27" t="str">
        <f aca="false">IFERROR(INDEX('الإعدادات واللجنة'!$E$22:$E$29,MATCH(C75,'الإعدادات واللجنة'!$B$22:$B$29,0)),"")</f>
        <v>عضو 5</v>
      </c>
      <c r="I75" s="29"/>
      <c r="J75" s="29"/>
      <c r="K75" s="29"/>
      <c r="L75" s="29"/>
      <c r="M75" s="29"/>
      <c r="N75" s="29"/>
      <c r="O75" s="27" t="str">
        <f aca="false">IF(I75="","",IF(I75="غير متوفر",0,COUNTIF(J75:N75,"نعم")))</f>
        <v/>
      </c>
      <c r="P75" s="27" t="str">
        <f aca="false">IF(I75="","لم يُفحص",IF(I75="غير متوفر","غير موجود",IF(AND(O75=5,I75="متوفر"),"مكتمل",IF(O75&gt;=3,"مقبول","ضعيف"))))</f>
        <v>لم يُفحص</v>
      </c>
      <c r="Q75" s="27" t="str">
        <f aca="false">IF(I75="","",IF(AND(I75="متوفر",O75=5),"لا","نعم"))</f>
        <v/>
      </c>
      <c r="R75" s="27" t="str">
        <f aca="false">IF(Q75&lt;&gt;"نعم","",IF(OR(E75="نعم",I75="غير متوفر"),"عالية",IF(O75&gt;=3,"منخفضة","متوسطة")))</f>
        <v/>
      </c>
      <c r="S75" s="30"/>
      <c r="T75" s="30"/>
      <c r="U75" s="27" t="str">
        <f aca="false">IFERROR(INDEX('الإعدادات واللجنة'!$G$22:$G$29,MATCH(C75,'الإعدادات واللجنة'!$B$22:$B$29,0)),"")</f>
        <v>عضو 6</v>
      </c>
      <c r="V75" s="29"/>
      <c r="W75" s="30"/>
    </row>
    <row r="76" customFormat="false" ht="22.35" hidden="false" customHeight="false" outlineLevel="0" collapsed="false">
      <c r="A76" s="31" t="s">
        <v>340</v>
      </c>
      <c r="B76" s="32" t="s">
        <v>144</v>
      </c>
      <c r="C76" s="32" t="s">
        <v>122</v>
      </c>
      <c r="D76" s="32" t="s">
        <v>341</v>
      </c>
      <c r="E76" s="31" t="s">
        <v>185</v>
      </c>
      <c r="F76" s="31" t="n">
        <v>3</v>
      </c>
      <c r="G76" s="32" t="s">
        <v>343</v>
      </c>
      <c r="H76" s="27" t="str">
        <f aca="false">IFERROR(INDEX('الإعدادات واللجنة'!$E$22:$E$29,MATCH(C76,'الإعدادات واللجنة'!$B$22:$B$29,0)),"")</f>
        <v>عضو 5</v>
      </c>
      <c r="I76" s="29"/>
      <c r="J76" s="29"/>
      <c r="K76" s="29"/>
      <c r="L76" s="29"/>
      <c r="M76" s="29"/>
      <c r="N76" s="29"/>
      <c r="O76" s="27" t="str">
        <f aca="false">IF(I76="","",IF(I76="غير متوفر",0,COUNTIF(J76:N76,"نعم")))</f>
        <v/>
      </c>
      <c r="P76" s="27" t="str">
        <f aca="false">IF(I76="","لم يُفحص",IF(I76="غير متوفر","غير موجود",IF(AND(O76=5,I76="متوفر"),"مكتمل",IF(O76&gt;=3,"مقبول","ضعيف"))))</f>
        <v>لم يُفحص</v>
      </c>
      <c r="Q76" s="27" t="str">
        <f aca="false">IF(I76="","",IF(AND(I76="متوفر",O76=5),"لا","نعم"))</f>
        <v/>
      </c>
      <c r="R76" s="27" t="str">
        <f aca="false">IF(Q76&lt;&gt;"نعم","",IF(OR(E76="نعم",I76="غير متوفر"),"عالية",IF(O76&gt;=3,"منخفضة","متوسطة")))</f>
        <v/>
      </c>
      <c r="S76" s="30"/>
      <c r="T76" s="30"/>
      <c r="U76" s="27" t="str">
        <f aca="false">IFERROR(INDEX('الإعدادات واللجنة'!$G$22:$G$29,MATCH(C76,'الإعدادات واللجنة'!$B$22:$B$29,0)),"")</f>
        <v>عضو 6</v>
      </c>
      <c r="V76" s="29"/>
      <c r="W76" s="30"/>
    </row>
    <row r="77" customFormat="false" ht="22.35" hidden="false" customHeight="false" outlineLevel="0" collapsed="false">
      <c r="A77" s="31" t="s">
        <v>340</v>
      </c>
      <c r="B77" s="32" t="s">
        <v>144</v>
      </c>
      <c r="C77" s="32" t="s">
        <v>122</v>
      </c>
      <c r="D77" s="32" t="s">
        <v>341</v>
      </c>
      <c r="E77" s="31" t="s">
        <v>185</v>
      </c>
      <c r="F77" s="31" t="n">
        <v>4</v>
      </c>
      <c r="G77" s="32" t="s">
        <v>344</v>
      </c>
      <c r="H77" s="27" t="str">
        <f aca="false">IFERROR(INDEX('الإعدادات واللجنة'!$E$22:$E$29,MATCH(C77,'الإعدادات واللجنة'!$B$22:$B$29,0)),"")</f>
        <v>عضو 5</v>
      </c>
      <c r="I77" s="29"/>
      <c r="J77" s="29"/>
      <c r="K77" s="29"/>
      <c r="L77" s="29"/>
      <c r="M77" s="29"/>
      <c r="N77" s="29"/>
      <c r="O77" s="27" t="str">
        <f aca="false">IF(I77="","",IF(I77="غير متوفر",0,COUNTIF(J77:N77,"نعم")))</f>
        <v/>
      </c>
      <c r="P77" s="27" t="str">
        <f aca="false">IF(I77="","لم يُفحص",IF(I77="غير متوفر","غير موجود",IF(AND(O77=5,I77="متوفر"),"مكتمل",IF(O77&gt;=3,"مقبول","ضعيف"))))</f>
        <v>لم يُفحص</v>
      </c>
      <c r="Q77" s="27" t="str">
        <f aca="false">IF(I77="","",IF(AND(I77="متوفر",O77=5),"لا","نعم"))</f>
        <v/>
      </c>
      <c r="R77" s="27" t="str">
        <f aca="false">IF(Q77&lt;&gt;"نعم","",IF(OR(E77="نعم",I77="غير متوفر"),"عالية",IF(O77&gt;=3,"منخفضة","متوسطة")))</f>
        <v/>
      </c>
      <c r="S77" s="30"/>
      <c r="T77" s="30"/>
      <c r="U77" s="27" t="str">
        <f aca="false">IFERROR(INDEX('الإعدادات واللجنة'!$G$22:$G$29,MATCH(C77,'الإعدادات واللجنة'!$B$22:$B$29,0)),"")</f>
        <v>عضو 6</v>
      </c>
      <c r="V77" s="29"/>
      <c r="W77" s="30"/>
    </row>
    <row r="78" customFormat="false" ht="22.35" hidden="false" customHeight="false" outlineLevel="0" collapsed="false">
      <c r="A78" s="27" t="s">
        <v>345</v>
      </c>
      <c r="B78" s="28" t="s">
        <v>144</v>
      </c>
      <c r="C78" s="28" t="s">
        <v>122</v>
      </c>
      <c r="D78" s="28" t="s">
        <v>346</v>
      </c>
      <c r="E78" s="27"/>
      <c r="F78" s="27" t="n">
        <v>1</v>
      </c>
      <c r="G78" s="28" t="s">
        <v>347</v>
      </c>
      <c r="H78" s="27" t="str">
        <f aca="false">IFERROR(INDEX('الإعدادات واللجنة'!$E$22:$E$29,MATCH(C78,'الإعدادات واللجنة'!$B$22:$B$29,0)),"")</f>
        <v>عضو 5</v>
      </c>
      <c r="I78" s="29"/>
      <c r="J78" s="29"/>
      <c r="K78" s="29"/>
      <c r="L78" s="29"/>
      <c r="M78" s="29"/>
      <c r="N78" s="29"/>
      <c r="O78" s="27" t="str">
        <f aca="false">IF(I78="","",IF(I78="غير متوفر",0,COUNTIF(J78:N78,"نعم")))</f>
        <v/>
      </c>
      <c r="P78" s="27" t="str">
        <f aca="false">IF(I78="","لم يُفحص",IF(I78="غير متوفر","غير موجود",IF(AND(O78=5,I78="متوفر"),"مكتمل",IF(O78&gt;=3,"مقبول","ضعيف"))))</f>
        <v>لم يُفحص</v>
      </c>
      <c r="Q78" s="27" t="str">
        <f aca="false">IF(I78="","",IF(AND(I78="متوفر",O78=5),"لا","نعم"))</f>
        <v/>
      </c>
      <c r="R78" s="27" t="str">
        <f aca="false">IF(Q78&lt;&gt;"نعم","",IF(OR(E78="نعم",I78="غير متوفر"),"عالية",IF(O78&gt;=3,"منخفضة","متوسطة")))</f>
        <v/>
      </c>
      <c r="S78" s="30"/>
      <c r="T78" s="30"/>
      <c r="U78" s="27" t="str">
        <f aca="false">IFERROR(INDEX('الإعدادات واللجنة'!$G$22:$G$29,MATCH(C78,'الإعدادات واللجنة'!$B$22:$B$29,0)),"")</f>
        <v>عضو 6</v>
      </c>
      <c r="V78" s="29"/>
      <c r="W78" s="30"/>
    </row>
    <row r="79" customFormat="false" ht="22.35" hidden="false" customHeight="false" outlineLevel="0" collapsed="false">
      <c r="A79" s="27" t="s">
        <v>345</v>
      </c>
      <c r="B79" s="28" t="s">
        <v>144</v>
      </c>
      <c r="C79" s="28" t="s">
        <v>122</v>
      </c>
      <c r="D79" s="28" t="s">
        <v>346</v>
      </c>
      <c r="E79" s="27"/>
      <c r="F79" s="27" t="n">
        <v>2</v>
      </c>
      <c r="G79" s="28" t="s">
        <v>348</v>
      </c>
      <c r="H79" s="27" t="str">
        <f aca="false">IFERROR(INDEX('الإعدادات واللجنة'!$E$22:$E$29,MATCH(C79,'الإعدادات واللجنة'!$B$22:$B$29,0)),"")</f>
        <v>عضو 5</v>
      </c>
      <c r="I79" s="29"/>
      <c r="J79" s="29"/>
      <c r="K79" s="29"/>
      <c r="L79" s="29"/>
      <c r="M79" s="29"/>
      <c r="N79" s="29"/>
      <c r="O79" s="27" t="str">
        <f aca="false">IF(I79="","",IF(I79="غير متوفر",0,COUNTIF(J79:N79,"نعم")))</f>
        <v/>
      </c>
      <c r="P79" s="27" t="str">
        <f aca="false">IF(I79="","لم يُفحص",IF(I79="غير متوفر","غير موجود",IF(AND(O79=5,I79="متوفر"),"مكتمل",IF(O79&gt;=3,"مقبول","ضعيف"))))</f>
        <v>لم يُفحص</v>
      </c>
      <c r="Q79" s="27" t="str">
        <f aca="false">IF(I79="","",IF(AND(I79="متوفر",O79=5),"لا","نعم"))</f>
        <v/>
      </c>
      <c r="R79" s="27" t="str">
        <f aca="false">IF(Q79&lt;&gt;"نعم","",IF(OR(E79="نعم",I79="غير متوفر"),"عالية",IF(O79&gt;=3,"منخفضة","متوسطة")))</f>
        <v/>
      </c>
      <c r="S79" s="30"/>
      <c r="T79" s="30"/>
      <c r="U79" s="27" t="str">
        <f aca="false">IFERROR(INDEX('الإعدادات واللجنة'!$G$22:$G$29,MATCH(C79,'الإعدادات واللجنة'!$B$22:$B$29,0)),"")</f>
        <v>عضو 6</v>
      </c>
      <c r="V79" s="29"/>
      <c r="W79" s="30"/>
    </row>
    <row r="80" customFormat="false" ht="22.35" hidden="false" customHeight="false" outlineLevel="0" collapsed="false">
      <c r="A80" s="27" t="s">
        <v>345</v>
      </c>
      <c r="B80" s="28" t="s">
        <v>144</v>
      </c>
      <c r="C80" s="28" t="s">
        <v>122</v>
      </c>
      <c r="D80" s="28" t="s">
        <v>346</v>
      </c>
      <c r="E80" s="27"/>
      <c r="F80" s="27" t="n">
        <v>3</v>
      </c>
      <c r="G80" s="28" t="s">
        <v>349</v>
      </c>
      <c r="H80" s="27" t="str">
        <f aca="false">IFERROR(INDEX('الإعدادات واللجنة'!$E$22:$E$29,MATCH(C80,'الإعدادات واللجنة'!$B$22:$B$29,0)),"")</f>
        <v>عضو 5</v>
      </c>
      <c r="I80" s="29"/>
      <c r="J80" s="29"/>
      <c r="K80" s="29"/>
      <c r="L80" s="29"/>
      <c r="M80" s="29"/>
      <c r="N80" s="29"/>
      <c r="O80" s="27" t="str">
        <f aca="false">IF(I80="","",IF(I80="غير متوفر",0,COUNTIF(J80:N80,"نعم")))</f>
        <v/>
      </c>
      <c r="P80" s="27" t="str">
        <f aca="false">IF(I80="","لم يُفحص",IF(I80="غير متوفر","غير موجود",IF(AND(O80=5,I80="متوفر"),"مكتمل",IF(O80&gt;=3,"مقبول","ضعيف"))))</f>
        <v>لم يُفحص</v>
      </c>
      <c r="Q80" s="27" t="str">
        <f aca="false">IF(I80="","",IF(AND(I80="متوفر",O80=5),"لا","نعم"))</f>
        <v/>
      </c>
      <c r="R80" s="27" t="str">
        <f aca="false">IF(Q80&lt;&gt;"نعم","",IF(OR(E80="نعم",I80="غير متوفر"),"عالية",IF(O80&gt;=3,"منخفضة","متوسطة")))</f>
        <v/>
      </c>
      <c r="S80" s="30"/>
      <c r="T80" s="30"/>
      <c r="U80" s="27" t="str">
        <f aca="false">IFERROR(INDEX('الإعدادات واللجنة'!$G$22:$G$29,MATCH(C80,'الإعدادات واللجنة'!$B$22:$B$29,0)),"")</f>
        <v>عضو 6</v>
      </c>
      <c r="V80" s="29"/>
      <c r="W80" s="30"/>
    </row>
    <row r="81" customFormat="false" ht="22.35" hidden="false" customHeight="false" outlineLevel="0" collapsed="false">
      <c r="A81" s="27" t="s">
        <v>345</v>
      </c>
      <c r="B81" s="28" t="s">
        <v>144</v>
      </c>
      <c r="C81" s="28" t="s">
        <v>122</v>
      </c>
      <c r="D81" s="28" t="s">
        <v>346</v>
      </c>
      <c r="E81" s="27"/>
      <c r="F81" s="27" t="n">
        <v>4</v>
      </c>
      <c r="G81" s="28" t="s">
        <v>350</v>
      </c>
      <c r="H81" s="27" t="str">
        <f aca="false">IFERROR(INDEX('الإعدادات واللجنة'!$E$22:$E$29,MATCH(C81,'الإعدادات واللجنة'!$B$22:$B$29,0)),"")</f>
        <v>عضو 5</v>
      </c>
      <c r="I81" s="29"/>
      <c r="J81" s="29"/>
      <c r="K81" s="29"/>
      <c r="L81" s="29"/>
      <c r="M81" s="29"/>
      <c r="N81" s="29"/>
      <c r="O81" s="27" t="str">
        <f aca="false">IF(I81="","",IF(I81="غير متوفر",0,COUNTIF(J81:N81,"نعم")))</f>
        <v/>
      </c>
      <c r="P81" s="27" t="str">
        <f aca="false">IF(I81="","لم يُفحص",IF(I81="غير متوفر","غير موجود",IF(AND(O81=5,I81="متوفر"),"مكتمل",IF(O81&gt;=3,"مقبول","ضعيف"))))</f>
        <v>لم يُفحص</v>
      </c>
      <c r="Q81" s="27" t="str">
        <f aca="false">IF(I81="","",IF(AND(I81="متوفر",O81=5),"لا","نعم"))</f>
        <v/>
      </c>
      <c r="R81" s="27" t="str">
        <f aca="false">IF(Q81&lt;&gt;"نعم","",IF(OR(E81="نعم",I81="غير متوفر"),"عالية",IF(O81&gt;=3,"منخفضة","متوسطة")))</f>
        <v/>
      </c>
      <c r="S81" s="30"/>
      <c r="T81" s="30"/>
      <c r="U81" s="27" t="str">
        <f aca="false">IFERROR(INDEX('الإعدادات واللجنة'!$G$22:$G$29,MATCH(C81,'الإعدادات واللجنة'!$B$22:$B$29,0)),"")</f>
        <v>عضو 6</v>
      </c>
      <c r="V81" s="29"/>
      <c r="W81" s="30"/>
    </row>
    <row r="82" customFormat="false" ht="32.8" hidden="false" customHeight="false" outlineLevel="0" collapsed="false">
      <c r="A82" s="31" t="s">
        <v>351</v>
      </c>
      <c r="B82" s="32" t="s">
        <v>144</v>
      </c>
      <c r="C82" s="32" t="s">
        <v>123</v>
      </c>
      <c r="D82" s="32" t="s">
        <v>352</v>
      </c>
      <c r="E82" s="31" t="s">
        <v>185</v>
      </c>
      <c r="F82" s="31" t="n">
        <v>1</v>
      </c>
      <c r="G82" s="32" t="s">
        <v>353</v>
      </c>
      <c r="H82" s="27" t="str">
        <f aca="false">IFERROR(INDEX('الإعدادات واللجنة'!$E$22:$E$29,MATCH(C82,'الإعدادات واللجنة'!$B$22:$B$29,0)),"")</f>
        <v>عضو 5</v>
      </c>
      <c r="I82" s="29"/>
      <c r="J82" s="29"/>
      <c r="K82" s="29"/>
      <c r="L82" s="29"/>
      <c r="M82" s="29"/>
      <c r="N82" s="29"/>
      <c r="O82" s="27" t="str">
        <f aca="false">IF(I82="","",IF(I82="غير متوفر",0,COUNTIF(J82:N82,"نعم")))</f>
        <v/>
      </c>
      <c r="P82" s="27" t="str">
        <f aca="false">IF(I82="","لم يُفحص",IF(I82="غير متوفر","غير موجود",IF(AND(O82=5,I82="متوفر"),"مكتمل",IF(O82&gt;=3,"مقبول","ضعيف"))))</f>
        <v>لم يُفحص</v>
      </c>
      <c r="Q82" s="27" t="str">
        <f aca="false">IF(I82="","",IF(AND(I82="متوفر",O82=5),"لا","نعم"))</f>
        <v/>
      </c>
      <c r="R82" s="27" t="str">
        <f aca="false">IF(Q82&lt;&gt;"نعم","",IF(OR(E82="نعم",I82="غير متوفر"),"عالية",IF(O82&gt;=3,"منخفضة","متوسطة")))</f>
        <v/>
      </c>
      <c r="S82" s="30"/>
      <c r="T82" s="30"/>
      <c r="U82" s="27" t="str">
        <f aca="false">IFERROR(INDEX('الإعدادات واللجنة'!$G$22:$G$29,MATCH(C82,'الإعدادات واللجنة'!$B$22:$B$29,0)),"")</f>
        <v>عضو 6</v>
      </c>
      <c r="V82" s="29"/>
      <c r="W82" s="30"/>
    </row>
    <row r="83" customFormat="false" ht="32.8" hidden="false" customHeight="false" outlineLevel="0" collapsed="false">
      <c r="A83" s="31" t="s">
        <v>351</v>
      </c>
      <c r="B83" s="32" t="s">
        <v>144</v>
      </c>
      <c r="C83" s="32" t="s">
        <v>123</v>
      </c>
      <c r="D83" s="32" t="s">
        <v>352</v>
      </c>
      <c r="E83" s="31" t="s">
        <v>185</v>
      </c>
      <c r="F83" s="31" t="n">
        <v>2</v>
      </c>
      <c r="G83" s="32" t="s">
        <v>354</v>
      </c>
      <c r="H83" s="27" t="str">
        <f aca="false">IFERROR(INDEX('الإعدادات واللجنة'!$E$22:$E$29,MATCH(C83,'الإعدادات واللجنة'!$B$22:$B$29,0)),"")</f>
        <v>عضو 5</v>
      </c>
      <c r="I83" s="29"/>
      <c r="J83" s="29"/>
      <c r="K83" s="29"/>
      <c r="L83" s="29"/>
      <c r="M83" s="29"/>
      <c r="N83" s="29"/>
      <c r="O83" s="27" t="str">
        <f aca="false">IF(I83="","",IF(I83="غير متوفر",0,COUNTIF(J83:N83,"نعم")))</f>
        <v/>
      </c>
      <c r="P83" s="27" t="str">
        <f aca="false">IF(I83="","لم يُفحص",IF(I83="غير متوفر","غير موجود",IF(AND(O83=5,I83="متوفر"),"مكتمل",IF(O83&gt;=3,"مقبول","ضعيف"))))</f>
        <v>لم يُفحص</v>
      </c>
      <c r="Q83" s="27" t="str">
        <f aca="false">IF(I83="","",IF(AND(I83="متوفر",O83=5),"لا","نعم"))</f>
        <v/>
      </c>
      <c r="R83" s="27" t="str">
        <f aca="false">IF(Q83&lt;&gt;"نعم","",IF(OR(E83="نعم",I83="غير متوفر"),"عالية",IF(O83&gt;=3,"منخفضة","متوسطة")))</f>
        <v/>
      </c>
      <c r="S83" s="30"/>
      <c r="T83" s="30"/>
      <c r="U83" s="27" t="str">
        <f aca="false">IFERROR(INDEX('الإعدادات واللجنة'!$G$22:$G$29,MATCH(C83,'الإعدادات واللجنة'!$B$22:$B$29,0)),"")</f>
        <v>عضو 6</v>
      </c>
      <c r="V83" s="29"/>
      <c r="W83" s="30"/>
    </row>
    <row r="84" customFormat="false" ht="32.8" hidden="false" customHeight="false" outlineLevel="0" collapsed="false">
      <c r="A84" s="31" t="s">
        <v>351</v>
      </c>
      <c r="B84" s="32" t="s">
        <v>144</v>
      </c>
      <c r="C84" s="32" t="s">
        <v>123</v>
      </c>
      <c r="D84" s="32" t="s">
        <v>352</v>
      </c>
      <c r="E84" s="31" t="s">
        <v>185</v>
      </c>
      <c r="F84" s="31" t="n">
        <v>3</v>
      </c>
      <c r="G84" s="32" t="s">
        <v>355</v>
      </c>
      <c r="H84" s="27" t="str">
        <f aca="false">IFERROR(INDEX('الإعدادات واللجنة'!$E$22:$E$29,MATCH(C84,'الإعدادات واللجنة'!$B$22:$B$29,0)),"")</f>
        <v>عضو 5</v>
      </c>
      <c r="I84" s="29"/>
      <c r="J84" s="29"/>
      <c r="K84" s="29"/>
      <c r="L84" s="29"/>
      <c r="M84" s="29"/>
      <c r="N84" s="29"/>
      <c r="O84" s="27" t="str">
        <f aca="false">IF(I84="","",IF(I84="غير متوفر",0,COUNTIF(J84:N84,"نعم")))</f>
        <v/>
      </c>
      <c r="P84" s="27" t="str">
        <f aca="false">IF(I84="","لم يُفحص",IF(I84="غير متوفر","غير موجود",IF(AND(O84=5,I84="متوفر"),"مكتمل",IF(O84&gt;=3,"مقبول","ضعيف"))))</f>
        <v>لم يُفحص</v>
      </c>
      <c r="Q84" s="27" t="str">
        <f aca="false">IF(I84="","",IF(AND(I84="متوفر",O84=5),"لا","نعم"))</f>
        <v/>
      </c>
      <c r="R84" s="27" t="str">
        <f aca="false">IF(Q84&lt;&gt;"نعم","",IF(OR(E84="نعم",I84="غير متوفر"),"عالية",IF(O84&gt;=3,"منخفضة","متوسطة")))</f>
        <v/>
      </c>
      <c r="S84" s="30"/>
      <c r="T84" s="30"/>
      <c r="U84" s="27" t="str">
        <f aca="false">IFERROR(INDEX('الإعدادات واللجنة'!$G$22:$G$29,MATCH(C84,'الإعدادات واللجنة'!$B$22:$B$29,0)),"")</f>
        <v>عضو 6</v>
      </c>
      <c r="V84" s="29"/>
      <c r="W84" s="30"/>
    </row>
    <row r="85" customFormat="false" ht="32.8" hidden="false" customHeight="false" outlineLevel="0" collapsed="false">
      <c r="A85" s="31" t="s">
        <v>351</v>
      </c>
      <c r="B85" s="32" t="s">
        <v>144</v>
      </c>
      <c r="C85" s="32" t="s">
        <v>123</v>
      </c>
      <c r="D85" s="32" t="s">
        <v>352</v>
      </c>
      <c r="E85" s="31" t="s">
        <v>185</v>
      </c>
      <c r="F85" s="31" t="n">
        <v>4</v>
      </c>
      <c r="G85" s="32" t="s">
        <v>356</v>
      </c>
      <c r="H85" s="27" t="str">
        <f aca="false">IFERROR(INDEX('الإعدادات واللجنة'!$E$22:$E$29,MATCH(C85,'الإعدادات واللجنة'!$B$22:$B$29,0)),"")</f>
        <v>عضو 5</v>
      </c>
      <c r="I85" s="29"/>
      <c r="J85" s="29"/>
      <c r="K85" s="29"/>
      <c r="L85" s="29"/>
      <c r="M85" s="29"/>
      <c r="N85" s="29"/>
      <c r="O85" s="27" t="str">
        <f aca="false">IF(I85="","",IF(I85="غير متوفر",0,COUNTIF(J85:N85,"نعم")))</f>
        <v/>
      </c>
      <c r="P85" s="27" t="str">
        <f aca="false">IF(I85="","لم يُفحص",IF(I85="غير متوفر","غير موجود",IF(AND(O85=5,I85="متوفر"),"مكتمل",IF(O85&gt;=3,"مقبول","ضعيف"))))</f>
        <v>لم يُفحص</v>
      </c>
      <c r="Q85" s="27" t="str">
        <f aca="false">IF(I85="","",IF(AND(I85="متوفر",O85=5),"لا","نعم"))</f>
        <v/>
      </c>
      <c r="R85" s="27" t="str">
        <f aca="false">IF(Q85&lt;&gt;"نعم","",IF(OR(E85="نعم",I85="غير متوفر"),"عالية",IF(O85&gt;=3,"منخفضة","متوسطة")))</f>
        <v/>
      </c>
      <c r="S85" s="30"/>
      <c r="T85" s="30"/>
      <c r="U85" s="27" t="str">
        <f aca="false">IFERROR(INDEX('الإعدادات واللجنة'!$G$22:$G$29,MATCH(C85,'الإعدادات واللجنة'!$B$22:$B$29,0)),"")</f>
        <v>عضو 6</v>
      </c>
      <c r="V85" s="29"/>
      <c r="W85" s="30"/>
    </row>
    <row r="86" customFormat="false" ht="32.8" hidden="false" customHeight="false" outlineLevel="0" collapsed="false">
      <c r="A86" s="31" t="s">
        <v>351</v>
      </c>
      <c r="B86" s="32" t="s">
        <v>144</v>
      </c>
      <c r="C86" s="32" t="s">
        <v>123</v>
      </c>
      <c r="D86" s="32" t="s">
        <v>352</v>
      </c>
      <c r="E86" s="31" t="s">
        <v>185</v>
      </c>
      <c r="F86" s="31" t="n">
        <v>5</v>
      </c>
      <c r="G86" s="32" t="s">
        <v>357</v>
      </c>
      <c r="H86" s="27" t="str">
        <f aca="false">IFERROR(INDEX('الإعدادات واللجنة'!$E$22:$E$29,MATCH(C86,'الإعدادات واللجنة'!$B$22:$B$29,0)),"")</f>
        <v>عضو 5</v>
      </c>
      <c r="I86" s="29"/>
      <c r="J86" s="29"/>
      <c r="K86" s="29"/>
      <c r="L86" s="29"/>
      <c r="M86" s="29"/>
      <c r="N86" s="29"/>
      <c r="O86" s="27" t="str">
        <f aca="false">IF(I86="","",IF(I86="غير متوفر",0,COUNTIF(J86:N86,"نعم")))</f>
        <v/>
      </c>
      <c r="P86" s="27" t="str">
        <f aca="false">IF(I86="","لم يُفحص",IF(I86="غير متوفر","غير موجود",IF(AND(O86=5,I86="متوفر"),"مكتمل",IF(O86&gt;=3,"مقبول","ضعيف"))))</f>
        <v>لم يُفحص</v>
      </c>
      <c r="Q86" s="27" t="str">
        <f aca="false">IF(I86="","",IF(AND(I86="متوفر",O86=5),"لا","نعم"))</f>
        <v/>
      </c>
      <c r="R86" s="27" t="str">
        <f aca="false">IF(Q86&lt;&gt;"نعم","",IF(OR(E86="نعم",I86="غير متوفر"),"عالية",IF(O86&gt;=3,"منخفضة","متوسطة")))</f>
        <v/>
      </c>
      <c r="S86" s="30"/>
      <c r="T86" s="30"/>
      <c r="U86" s="27" t="str">
        <f aca="false">IFERROR(INDEX('الإعدادات واللجنة'!$G$22:$G$29,MATCH(C86,'الإعدادات واللجنة'!$B$22:$B$29,0)),"")</f>
        <v>عضو 6</v>
      </c>
      <c r="V86" s="29"/>
      <c r="W86" s="30"/>
    </row>
    <row r="87" customFormat="false" ht="32.8" hidden="false" customHeight="false" outlineLevel="0" collapsed="false">
      <c r="A87" s="31" t="s">
        <v>351</v>
      </c>
      <c r="B87" s="32" t="s">
        <v>144</v>
      </c>
      <c r="C87" s="32" t="s">
        <v>123</v>
      </c>
      <c r="D87" s="32" t="s">
        <v>352</v>
      </c>
      <c r="E87" s="31" t="s">
        <v>185</v>
      </c>
      <c r="F87" s="31" t="n">
        <v>6</v>
      </c>
      <c r="G87" s="32" t="s">
        <v>358</v>
      </c>
      <c r="H87" s="27" t="str">
        <f aca="false">IFERROR(INDEX('الإعدادات واللجنة'!$E$22:$E$29,MATCH(C87,'الإعدادات واللجنة'!$B$22:$B$29,0)),"")</f>
        <v>عضو 5</v>
      </c>
      <c r="I87" s="29"/>
      <c r="J87" s="29"/>
      <c r="K87" s="29"/>
      <c r="L87" s="29"/>
      <c r="M87" s="29"/>
      <c r="N87" s="29"/>
      <c r="O87" s="27" t="str">
        <f aca="false">IF(I87="","",IF(I87="غير متوفر",0,COUNTIF(J87:N87,"نعم")))</f>
        <v/>
      </c>
      <c r="P87" s="27" t="str">
        <f aca="false">IF(I87="","لم يُفحص",IF(I87="غير متوفر","غير موجود",IF(AND(O87=5,I87="متوفر"),"مكتمل",IF(O87&gt;=3,"مقبول","ضعيف"))))</f>
        <v>لم يُفحص</v>
      </c>
      <c r="Q87" s="27" t="str">
        <f aca="false">IF(I87="","",IF(AND(I87="متوفر",O87=5),"لا","نعم"))</f>
        <v/>
      </c>
      <c r="R87" s="27" t="str">
        <f aca="false">IF(Q87&lt;&gt;"نعم","",IF(OR(E87="نعم",I87="غير متوفر"),"عالية",IF(O87&gt;=3,"منخفضة","متوسطة")))</f>
        <v/>
      </c>
      <c r="S87" s="30"/>
      <c r="T87" s="30"/>
      <c r="U87" s="27" t="str">
        <f aca="false">IFERROR(INDEX('الإعدادات واللجنة'!$G$22:$G$29,MATCH(C87,'الإعدادات واللجنة'!$B$22:$B$29,0)),"")</f>
        <v>عضو 6</v>
      </c>
      <c r="V87" s="29"/>
      <c r="W87" s="30"/>
    </row>
    <row r="88" customFormat="false" ht="32.8" hidden="false" customHeight="false" outlineLevel="0" collapsed="false">
      <c r="A88" s="31" t="s">
        <v>359</v>
      </c>
      <c r="B88" s="32" t="s">
        <v>144</v>
      </c>
      <c r="C88" s="32" t="s">
        <v>123</v>
      </c>
      <c r="D88" s="32" t="s">
        <v>360</v>
      </c>
      <c r="E88" s="31" t="s">
        <v>185</v>
      </c>
      <c r="F88" s="31" t="n">
        <v>1</v>
      </c>
      <c r="G88" s="32" t="s">
        <v>361</v>
      </c>
      <c r="H88" s="27" t="str">
        <f aca="false">IFERROR(INDEX('الإعدادات واللجنة'!$E$22:$E$29,MATCH(C88,'الإعدادات واللجنة'!$B$22:$B$29,0)),"")</f>
        <v>عضو 5</v>
      </c>
      <c r="I88" s="29"/>
      <c r="J88" s="29"/>
      <c r="K88" s="29"/>
      <c r="L88" s="29"/>
      <c r="M88" s="29"/>
      <c r="N88" s="29"/>
      <c r="O88" s="27" t="str">
        <f aca="false">IF(I88="","",IF(I88="غير متوفر",0,COUNTIF(J88:N88,"نعم")))</f>
        <v/>
      </c>
      <c r="P88" s="27" t="str">
        <f aca="false">IF(I88="","لم يُفحص",IF(I88="غير متوفر","غير موجود",IF(AND(O88=5,I88="متوفر"),"مكتمل",IF(O88&gt;=3,"مقبول","ضعيف"))))</f>
        <v>لم يُفحص</v>
      </c>
      <c r="Q88" s="27" t="str">
        <f aca="false">IF(I88="","",IF(AND(I88="متوفر",O88=5),"لا","نعم"))</f>
        <v/>
      </c>
      <c r="R88" s="27" t="str">
        <f aca="false">IF(Q88&lt;&gt;"نعم","",IF(OR(E88="نعم",I88="غير متوفر"),"عالية",IF(O88&gt;=3,"منخفضة","متوسطة")))</f>
        <v/>
      </c>
      <c r="S88" s="30"/>
      <c r="T88" s="30"/>
      <c r="U88" s="27" t="str">
        <f aca="false">IFERROR(INDEX('الإعدادات واللجنة'!$G$22:$G$29,MATCH(C88,'الإعدادات واللجنة'!$B$22:$B$29,0)),"")</f>
        <v>عضو 6</v>
      </c>
      <c r="V88" s="29"/>
      <c r="W88" s="30"/>
    </row>
    <row r="89" customFormat="false" ht="32.8" hidden="false" customHeight="false" outlineLevel="0" collapsed="false">
      <c r="A89" s="31" t="s">
        <v>359</v>
      </c>
      <c r="B89" s="32" t="s">
        <v>144</v>
      </c>
      <c r="C89" s="32" t="s">
        <v>123</v>
      </c>
      <c r="D89" s="32" t="s">
        <v>360</v>
      </c>
      <c r="E89" s="31" t="s">
        <v>185</v>
      </c>
      <c r="F89" s="31" t="n">
        <v>2</v>
      </c>
      <c r="G89" s="32" t="s">
        <v>362</v>
      </c>
      <c r="H89" s="27" t="str">
        <f aca="false">IFERROR(INDEX('الإعدادات واللجنة'!$E$22:$E$29,MATCH(C89,'الإعدادات واللجنة'!$B$22:$B$29,0)),"")</f>
        <v>عضو 5</v>
      </c>
      <c r="I89" s="29"/>
      <c r="J89" s="29"/>
      <c r="K89" s="29"/>
      <c r="L89" s="29"/>
      <c r="M89" s="29"/>
      <c r="N89" s="29"/>
      <c r="O89" s="27" t="str">
        <f aca="false">IF(I89="","",IF(I89="غير متوفر",0,COUNTIF(J89:N89,"نعم")))</f>
        <v/>
      </c>
      <c r="P89" s="27" t="str">
        <f aca="false">IF(I89="","لم يُفحص",IF(I89="غير متوفر","غير موجود",IF(AND(O89=5,I89="متوفر"),"مكتمل",IF(O89&gt;=3,"مقبول","ضعيف"))))</f>
        <v>لم يُفحص</v>
      </c>
      <c r="Q89" s="27" t="str">
        <f aca="false">IF(I89="","",IF(AND(I89="متوفر",O89=5),"لا","نعم"))</f>
        <v/>
      </c>
      <c r="R89" s="27" t="str">
        <f aca="false">IF(Q89&lt;&gt;"نعم","",IF(OR(E89="نعم",I89="غير متوفر"),"عالية",IF(O89&gt;=3,"منخفضة","متوسطة")))</f>
        <v/>
      </c>
      <c r="S89" s="30"/>
      <c r="T89" s="30"/>
      <c r="U89" s="27" t="str">
        <f aca="false">IFERROR(INDEX('الإعدادات واللجنة'!$G$22:$G$29,MATCH(C89,'الإعدادات واللجنة'!$B$22:$B$29,0)),"")</f>
        <v>عضو 6</v>
      </c>
      <c r="V89" s="29"/>
      <c r="W89" s="30"/>
    </row>
    <row r="90" customFormat="false" ht="32.8" hidden="false" customHeight="false" outlineLevel="0" collapsed="false">
      <c r="A90" s="31" t="s">
        <v>359</v>
      </c>
      <c r="B90" s="32" t="s">
        <v>144</v>
      </c>
      <c r="C90" s="32" t="s">
        <v>123</v>
      </c>
      <c r="D90" s="32" t="s">
        <v>360</v>
      </c>
      <c r="E90" s="31" t="s">
        <v>185</v>
      </c>
      <c r="F90" s="31" t="n">
        <v>3</v>
      </c>
      <c r="G90" s="32" t="s">
        <v>356</v>
      </c>
      <c r="H90" s="27" t="str">
        <f aca="false">IFERROR(INDEX('الإعدادات واللجنة'!$E$22:$E$29,MATCH(C90,'الإعدادات واللجنة'!$B$22:$B$29,0)),"")</f>
        <v>عضو 5</v>
      </c>
      <c r="I90" s="29"/>
      <c r="J90" s="29"/>
      <c r="K90" s="29"/>
      <c r="L90" s="29"/>
      <c r="M90" s="29"/>
      <c r="N90" s="29"/>
      <c r="O90" s="27" t="str">
        <f aca="false">IF(I90="","",IF(I90="غير متوفر",0,COUNTIF(J90:N90,"نعم")))</f>
        <v/>
      </c>
      <c r="P90" s="27" t="str">
        <f aca="false">IF(I90="","لم يُفحص",IF(I90="غير متوفر","غير موجود",IF(AND(O90=5,I90="متوفر"),"مكتمل",IF(O90&gt;=3,"مقبول","ضعيف"))))</f>
        <v>لم يُفحص</v>
      </c>
      <c r="Q90" s="27" t="str">
        <f aca="false">IF(I90="","",IF(AND(I90="متوفر",O90=5),"لا","نعم"))</f>
        <v/>
      </c>
      <c r="R90" s="27" t="str">
        <f aca="false">IF(Q90&lt;&gt;"نعم","",IF(OR(E90="نعم",I90="غير متوفر"),"عالية",IF(O90&gt;=3,"منخفضة","متوسطة")))</f>
        <v/>
      </c>
      <c r="S90" s="30"/>
      <c r="T90" s="30"/>
      <c r="U90" s="27" t="str">
        <f aca="false">IFERROR(INDEX('الإعدادات واللجنة'!$G$22:$G$29,MATCH(C90,'الإعدادات واللجنة'!$B$22:$B$29,0)),"")</f>
        <v>عضو 6</v>
      </c>
      <c r="V90" s="29"/>
      <c r="W90" s="30"/>
    </row>
    <row r="91" customFormat="false" ht="32.8" hidden="false" customHeight="false" outlineLevel="0" collapsed="false">
      <c r="A91" s="31" t="s">
        <v>359</v>
      </c>
      <c r="B91" s="32" t="s">
        <v>144</v>
      </c>
      <c r="C91" s="32" t="s">
        <v>123</v>
      </c>
      <c r="D91" s="32" t="s">
        <v>360</v>
      </c>
      <c r="E91" s="31" t="s">
        <v>185</v>
      </c>
      <c r="F91" s="31" t="n">
        <v>4</v>
      </c>
      <c r="G91" s="32" t="s">
        <v>363</v>
      </c>
      <c r="H91" s="27" t="str">
        <f aca="false">IFERROR(INDEX('الإعدادات واللجنة'!$E$22:$E$29,MATCH(C91,'الإعدادات واللجنة'!$B$22:$B$29,0)),"")</f>
        <v>عضو 5</v>
      </c>
      <c r="I91" s="29"/>
      <c r="J91" s="29"/>
      <c r="K91" s="29"/>
      <c r="L91" s="29"/>
      <c r="M91" s="29"/>
      <c r="N91" s="29"/>
      <c r="O91" s="27" t="str">
        <f aca="false">IF(I91="","",IF(I91="غير متوفر",0,COUNTIF(J91:N91,"نعم")))</f>
        <v/>
      </c>
      <c r="P91" s="27" t="str">
        <f aca="false">IF(I91="","لم يُفحص",IF(I91="غير متوفر","غير موجود",IF(AND(O91=5,I91="متوفر"),"مكتمل",IF(O91&gt;=3,"مقبول","ضعيف"))))</f>
        <v>لم يُفحص</v>
      </c>
      <c r="Q91" s="27" t="str">
        <f aca="false">IF(I91="","",IF(AND(I91="متوفر",O91=5),"لا","نعم"))</f>
        <v/>
      </c>
      <c r="R91" s="27" t="str">
        <f aca="false">IF(Q91&lt;&gt;"نعم","",IF(OR(E91="نعم",I91="غير متوفر"),"عالية",IF(O91&gt;=3,"منخفضة","متوسطة")))</f>
        <v/>
      </c>
      <c r="S91" s="30"/>
      <c r="T91" s="30"/>
      <c r="U91" s="27" t="str">
        <f aca="false">IFERROR(INDEX('الإعدادات واللجنة'!$G$22:$G$29,MATCH(C91,'الإعدادات واللجنة'!$B$22:$B$29,0)),"")</f>
        <v>عضو 6</v>
      </c>
      <c r="V91" s="29"/>
      <c r="W91" s="30"/>
    </row>
    <row r="92" customFormat="false" ht="22.35" hidden="false" customHeight="false" outlineLevel="0" collapsed="false">
      <c r="A92" s="27" t="s">
        <v>364</v>
      </c>
      <c r="B92" s="28" t="s">
        <v>144</v>
      </c>
      <c r="C92" s="28" t="s">
        <v>123</v>
      </c>
      <c r="D92" s="28" t="s">
        <v>365</v>
      </c>
      <c r="E92" s="27"/>
      <c r="F92" s="27" t="n">
        <v>1</v>
      </c>
      <c r="G92" s="28" t="s">
        <v>366</v>
      </c>
      <c r="H92" s="27" t="str">
        <f aca="false">IFERROR(INDEX('الإعدادات واللجنة'!$E$22:$E$29,MATCH(C92,'الإعدادات واللجنة'!$B$22:$B$29,0)),"")</f>
        <v>عضو 5</v>
      </c>
      <c r="I92" s="29"/>
      <c r="J92" s="29"/>
      <c r="K92" s="29"/>
      <c r="L92" s="29"/>
      <c r="M92" s="29"/>
      <c r="N92" s="29"/>
      <c r="O92" s="27" t="str">
        <f aca="false">IF(I92="","",IF(I92="غير متوفر",0,COUNTIF(J92:N92,"نعم")))</f>
        <v/>
      </c>
      <c r="P92" s="27" t="str">
        <f aca="false">IF(I92="","لم يُفحص",IF(I92="غير متوفر","غير موجود",IF(AND(O92=5,I92="متوفر"),"مكتمل",IF(O92&gt;=3,"مقبول","ضعيف"))))</f>
        <v>لم يُفحص</v>
      </c>
      <c r="Q92" s="27" t="str">
        <f aca="false">IF(I92="","",IF(AND(I92="متوفر",O92=5),"لا","نعم"))</f>
        <v/>
      </c>
      <c r="R92" s="27" t="str">
        <f aca="false">IF(Q92&lt;&gt;"نعم","",IF(OR(E92="نعم",I92="غير متوفر"),"عالية",IF(O92&gt;=3,"منخفضة","متوسطة")))</f>
        <v/>
      </c>
      <c r="S92" s="30"/>
      <c r="T92" s="30"/>
      <c r="U92" s="27" t="str">
        <f aca="false">IFERROR(INDEX('الإعدادات واللجنة'!$G$22:$G$29,MATCH(C92,'الإعدادات واللجنة'!$B$22:$B$29,0)),"")</f>
        <v>عضو 6</v>
      </c>
      <c r="V92" s="29"/>
      <c r="W92" s="30"/>
    </row>
    <row r="93" customFormat="false" ht="22.35" hidden="false" customHeight="false" outlineLevel="0" collapsed="false">
      <c r="A93" s="27" t="s">
        <v>364</v>
      </c>
      <c r="B93" s="28" t="s">
        <v>144</v>
      </c>
      <c r="C93" s="28" t="s">
        <v>123</v>
      </c>
      <c r="D93" s="28" t="s">
        <v>365</v>
      </c>
      <c r="E93" s="27"/>
      <c r="F93" s="27" t="n">
        <v>2</v>
      </c>
      <c r="G93" s="28" t="s">
        <v>367</v>
      </c>
      <c r="H93" s="27" t="str">
        <f aca="false">IFERROR(INDEX('الإعدادات واللجنة'!$E$22:$E$29,MATCH(C93,'الإعدادات واللجنة'!$B$22:$B$29,0)),"")</f>
        <v>عضو 5</v>
      </c>
      <c r="I93" s="29"/>
      <c r="J93" s="29"/>
      <c r="K93" s="29"/>
      <c r="L93" s="29"/>
      <c r="M93" s="29"/>
      <c r="N93" s="29"/>
      <c r="O93" s="27" t="str">
        <f aca="false">IF(I93="","",IF(I93="غير متوفر",0,COUNTIF(J93:N93,"نعم")))</f>
        <v/>
      </c>
      <c r="P93" s="27" t="str">
        <f aca="false">IF(I93="","لم يُفحص",IF(I93="غير متوفر","غير موجود",IF(AND(O93=5,I93="متوفر"),"مكتمل",IF(O93&gt;=3,"مقبول","ضعيف"))))</f>
        <v>لم يُفحص</v>
      </c>
      <c r="Q93" s="27" t="str">
        <f aca="false">IF(I93="","",IF(AND(I93="متوفر",O93=5),"لا","نعم"))</f>
        <v/>
      </c>
      <c r="R93" s="27" t="str">
        <f aca="false">IF(Q93&lt;&gt;"نعم","",IF(OR(E93="نعم",I93="غير متوفر"),"عالية",IF(O93&gt;=3,"منخفضة","متوسطة")))</f>
        <v/>
      </c>
      <c r="S93" s="30"/>
      <c r="T93" s="30"/>
      <c r="U93" s="27" t="str">
        <f aca="false">IFERROR(INDEX('الإعدادات واللجنة'!$G$22:$G$29,MATCH(C93,'الإعدادات واللجنة'!$B$22:$B$29,0)),"")</f>
        <v>عضو 6</v>
      </c>
      <c r="V93" s="29"/>
      <c r="W93" s="30"/>
    </row>
    <row r="94" customFormat="false" ht="22.35" hidden="false" customHeight="false" outlineLevel="0" collapsed="false">
      <c r="A94" s="27" t="s">
        <v>364</v>
      </c>
      <c r="B94" s="28" t="s">
        <v>144</v>
      </c>
      <c r="C94" s="28" t="s">
        <v>123</v>
      </c>
      <c r="D94" s="28" t="s">
        <v>365</v>
      </c>
      <c r="E94" s="27"/>
      <c r="F94" s="27" t="n">
        <v>3</v>
      </c>
      <c r="G94" s="28" t="s">
        <v>368</v>
      </c>
      <c r="H94" s="27" t="str">
        <f aca="false">IFERROR(INDEX('الإعدادات واللجنة'!$E$22:$E$29,MATCH(C94,'الإعدادات واللجنة'!$B$22:$B$29,0)),"")</f>
        <v>عضو 5</v>
      </c>
      <c r="I94" s="29"/>
      <c r="J94" s="29"/>
      <c r="K94" s="29"/>
      <c r="L94" s="29"/>
      <c r="M94" s="29"/>
      <c r="N94" s="29"/>
      <c r="O94" s="27" t="str">
        <f aca="false">IF(I94="","",IF(I94="غير متوفر",0,COUNTIF(J94:N94,"نعم")))</f>
        <v/>
      </c>
      <c r="P94" s="27" t="str">
        <f aca="false">IF(I94="","لم يُفحص",IF(I94="غير متوفر","غير موجود",IF(AND(O94=5,I94="متوفر"),"مكتمل",IF(O94&gt;=3,"مقبول","ضعيف"))))</f>
        <v>لم يُفحص</v>
      </c>
      <c r="Q94" s="27" t="str">
        <f aca="false">IF(I94="","",IF(AND(I94="متوفر",O94=5),"لا","نعم"))</f>
        <v/>
      </c>
      <c r="R94" s="27" t="str">
        <f aca="false">IF(Q94&lt;&gt;"نعم","",IF(OR(E94="نعم",I94="غير متوفر"),"عالية",IF(O94&gt;=3,"منخفضة","متوسطة")))</f>
        <v/>
      </c>
      <c r="S94" s="30"/>
      <c r="T94" s="30"/>
      <c r="U94" s="27" t="str">
        <f aca="false">IFERROR(INDEX('الإعدادات واللجنة'!$G$22:$G$29,MATCH(C94,'الإعدادات واللجنة'!$B$22:$B$29,0)),"")</f>
        <v>عضو 6</v>
      </c>
      <c r="V94" s="29"/>
      <c r="W94" s="30"/>
    </row>
    <row r="95" customFormat="false" ht="22.35" hidden="false" customHeight="false" outlineLevel="0" collapsed="false">
      <c r="A95" s="27" t="s">
        <v>364</v>
      </c>
      <c r="B95" s="28" t="s">
        <v>144</v>
      </c>
      <c r="C95" s="28" t="s">
        <v>123</v>
      </c>
      <c r="D95" s="28" t="s">
        <v>365</v>
      </c>
      <c r="E95" s="27"/>
      <c r="F95" s="27" t="n">
        <v>4</v>
      </c>
      <c r="G95" s="28" t="s">
        <v>369</v>
      </c>
      <c r="H95" s="27" t="str">
        <f aca="false">IFERROR(INDEX('الإعدادات واللجنة'!$E$22:$E$29,MATCH(C95,'الإعدادات واللجنة'!$B$22:$B$29,0)),"")</f>
        <v>عضو 5</v>
      </c>
      <c r="I95" s="29"/>
      <c r="J95" s="29"/>
      <c r="K95" s="29"/>
      <c r="L95" s="29"/>
      <c r="M95" s="29"/>
      <c r="N95" s="29"/>
      <c r="O95" s="27" t="str">
        <f aca="false">IF(I95="","",IF(I95="غير متوفر",0,COUNTIF(J95:N95,"نعم")))</f>
        <v/>
      </c>
      <c r="P95" s="27" t="str">
        <f aca="false">IF(I95="","لم يُفحص",IF(I95="غير متوفر","غير موجود",IF(AND(O95=5,I95="متوفر"),"مكتمل",IF(O95&gt;=3,"مقبول","ضعيف"))))</f>
        <v>لم يُفحص</v>
      </c>
      <c r="Q95" s="27" t="str">
        <f aca="false">IF(I95="","",IF(AND(I95="متوفر",O95=5),"لا","نعم"))</f>
        <v/>
      </c>
      <c r="R95" s="27" t="str">
        <f aca="false">IF(Q95&lt;&gt;"نعم","",IF(OR(E95="نعم",I95="غير متوفر"),"عالية",IF(O95&gt;=3,"منخفضة","متوسطة")))</f>
        <v/>
      </c>
      <c r="S95" s="30"/>
      <c r="T95" s="30"/>
      <c r="U95" s="27" t="str">
        <f aca="false">IFERROR(INDEX('الإعدادات واللجنة'!$G$22:$G$29,MATCH(C95,'الإعدادات واللجنة'!$B$22:$B$29,0)),"")</f>
        <v>عضو 6</v>
      </c>
      <c r="V95" s="29"/>
      <c r="W95" s="30"/>
    </row>
    <row r="96" customFormat="false" ht="22.35" hidden="false" customHeight="false" outlineLevel="0" collapsed="false">
      <c r="A96" s="27" t="s">
        <v>370</v>
      </c>
      <c r="B96" s="28" t="s">
        <v>144</v>
      </c>
      <c r="C96" s="28" t="s">
        <v>123</v>
      </c>
      <c r="D96" s="28" t="s">
        <v>371</v>
      </c>
      <c r="E96" s="27"/>
      <c r="F96" s="27" t="n">
        <v>1</v>
      </c>
      <c r="G96" s="28" t="s">
        <v>354</v>
      </c>
      <c r="H96" s="27" t="str">
        <f aca="false">IFERROR(INDEX('الإعدادات واللجنة'!$E$22:$E$29,MATCH(C96,'الإعدادات واللجنة'!$B$22:$B$29,0)),"")</f>
        <v>عضو 5</v>
      </c>
      <c r="I96" s="29"/>
      <c r="J96" s="29"/>
      <c r="K96" s="29"/>
      <c r="L96" s="29"/>
      <c r="M96" s="29"/>
      <c r="N96" s="29"/>
      <c r="O96" s="27" t="str">
        <f aca="false">IF(I96="","",IF(I96="غير متوفر",0,COUNTIF(J96:N96,"نعم")))</f>
        <v/>
      </c>
      <c r="P96" s="27" t="str">
        <f aca="false">IF(I96="","لم يُفحص",IF(I96="غير متوفر","غير موجود",IF(AND(O96=5,I96="متوفر"),"مكتمل",IF(O96&gt;=3,"مقبول","ضعيف"))))</f>
        <v>لم يُفحص</v>
      </c>
      <c r="Q96" s="27" t="str">
        <f aca="false">IF(I96="","",IF(AND(I96="متوفر",O96=5),"لا","نعم"))</f>
        <v/>
      </c>
      <c r="R96" s="27" t="str">
        <f aca="false">IF(Q96&lt;&gt;"نعم","",IF(OR(E96="نعم",I96="غير متوفر"),"عالية",IF(O96&gt;=3,"منخفضة","متوسطة")))</f>
        <v/>
      </c>
      <c r="S96" s="30"/>
      <c r="T96" s="30"/>
      <c r="U96" s="27" t="str">
        <f aca="false">IFERROR(INDEX('الإعدادات واللجنة'!$G$22:$G$29,MATCH(C96,'الإعدادات واللجنة'!$B$22:$B$29,0)),"")</f>
        <v>عضو 6</v>
      </c>
      <c r="V96" s="29"/>
      <c r="W96" s="30"/>
    </row>
    <row r="97" customFormat="false" ht="22.35" hidden="false" customHeight="false" outlineLevel="0" collapsed="false">
      <c r="A97" s="27" t="s">
        <v>370</v>
      </c>
      <c r="B97" s="28" t="s">
        <v>144</v>
      </c>
      <c r="C97" s="28" t="s">
        <v>123</v>
      </c>
      <c r="D97" s="28" t="s">
        <v>371</v>
      </c>
      <c r="E97" s="27"/>
      <c r="F97" s="27" t="n">
        <v>2</v>
      </c>
      <c r="G97" s="28" t="s">
        <v>372</v>
      </c>
      <c r="H97" s="27" t="str">
        <f aca="false">IFERROR(INDEX('الإعدادات واللجنة'!$E$22:$E$29,MATCH(C97,'الإعدادات واللجنة'!$B$22:$B$29,0)),"")</f>
        <v>عضو 5</v>
      </c>
      <c r="I97" s="29"/>
      <c r="J97" s="29"/>
      <c r="K97" s="29"/>
      <c r="L97" s="29"/>
      <c r="M97" s="29"/>
      <c r="N97" s="29"/>
      <c r="O97" s="27" t="str">
        <f aca="false">IF(I97="","",IF(I97="غير متوفر",0,COUNTIF(J97:N97,"نعم")))</f>
        <v/>
      </c>
      <c r="P97" s="27" t="str">
        <f aca="false">IF(I97="","لم يُفحص",IF(I97="غير متوفر","غير موجود",IF(AND(O97=5,I97="متوفر"),"مكتمل",IF(O97&gt;=3,"مقبول","ضعيف"))))</f>
        <v>لم يُفحص</v>
      </c>
      <c r="Q97" s="27" t="str">
        <f aca="false">IF(I97="","",IF(AND(I97="متوفر",O97=5),"لا","نعم"))</f>
        <v/>
      </c>
      <c r="R97" s="27" t="str">
        <f aca="false">IF(Q97&lt;&gt;"نعم","",IF(OR(E97="نعم",I97="غير متوفر"),"عالية",IF(O97&gt;=3,"منخفضة","متوسطة")))</f>
        <v/>
      </c>
      <c r="S97" s="30"/>
      <c r="T97" s="30"/>
      <c r="U97" s="27" t="str">
        <f aca="false">IFERROR(INDEX('الإعدادات واللجنة'!$G$22:$G$29,MATCH(C97,'الإعدادات واللجنة'!$B$22:$B$29,0)),"")</f>
        <v>عضو 6</v>
      </c>
      <c r="V97" s="29"/>
      <c r="W97" s="30"/>
    </row>
    <row r="98" customFormat="false" ht="22.35" hidden="false" customHeight="false" outlineLevel="0" collapsed="false">
      <c r="A98" s="27" t="s">
        <v>370</v>
      </c>
      <c r="B98" s="28" t="s">
        <v>144</v>
      </c>
      <c r="C98" s="28" t="s">
        <v>123</v>
      </c>
      <c r="D98" s="28" t="s">
        <v>371</v>
      </c>
      <c r="E98" s="27"/>
      <c r="F98" s="27" t="n">
        <v>3</v>
      </c>
      <c r="G98" s="28" t="s">
        <v>373</v>
      </c>
      <c r="H98" s="27" t="str">
        <f aca="false">IFERROR(INDEX('الإعدادات واللجنة'!$E$22:$E$29,MATCH(C98,'الإعدادات واللجنة'!$B$22:$B$29,0)),"")</f>
        <v>عضو 5</v>
      </c>
      <c r="I98" s="29"/>
      <c r="J98" s="29"/>
      <c r="K98" s="29"/>
      <c r="L98" s="29"/>
      <c r="M98" s="29"/>
      <c r="N98" s="29"/>
      <c r="O98" s="27" t="str">
        <f aca="false">IF(I98="","",IF(I98="غير متوفر",0,COUNTIF(J98:N98,"نعم")))</f>
        <v/>
      </c>
      <c r="P98" s="27" t="str">
        <f aca="false">IF(I98="","لم يُفحص",IF(I98="غير متوفر","غير موجود",IF(AND(O98=5,I98="متوفر"),"مكتمل",IF(O98&gt;=3,"مقبول","ضعيف"))))</f>
        <v>لم يُفحص</v>
      </c>
      <c r="Q98" s="27" t="str">
        <f aca="false">IF(I98="","",IF(AND(I98="متوفر",O98=5),"لا","نعم"))</f>
        <v/>
      </c>
      <c r="R98" s="27" t="str">
        <f aca="false">IF(Q98&lt;&gt;"نعم","",IF(OR(E98="نعم",I98="غير متوفر"),"عالية",IF(O98&gt;=3,"منخفضة","متوسطة")))</f>
        <v/>
      </c>
      <c r="S98" s="30"/>
      <c r="T98" s="30"/>
      <c r="U98" s="27" t="str">
        <f aca="false">IFERROR(INDEX('الإعدادات واللجنة'!$G$22:$G$29,MATCH(C98,'الإعدادات واللجنة'!$B$22:$B$29,0)),"")</f>
        <v>عضو 6</v>
      </c>
      <c r="V98" s="29"/>
      <c r="W98" s="30"/>
    </row>
    <row r="99" customFormat="false" ht="32.8" hidden="false" customHeight="false" outlineLevel="0" collapsed="false">
      <c r="A99" s="27" t="s">
        <v>370</v>
      </c>
      <c r="B99" s="28" t="s">
        <v>144</v>
      </c>
      <c r="C99" s="28" t="s">
        <v>123</v>
      </c>
      <c r="D99" s="28" t="s">
        <v>371</v>
      </c>
      <c r="E99" s="27"/>
      <c r="F99" s="27" t="n">
        <v>4</v>
      </c>
      <c r="G99" s="28" t="s">
        <v>374</v>
      </c>
      <c r="H99" s="27" t="str">
        <f aca="false">IFERROR(INDEX('الإعدادات واللجنة'!$E$22:$E$29,MATCH(C99,'الإعدادات واللجنة'!$B$22:$B$29,0)),"")</f>
        <v>عضو 5</v>
      </c>
      <c r="I99" s="29"/>
      <c r="J99" s="29"/>
      <c r="K99" s="29"/>
      <c r="L99" s="29"/>
      <c r="M99" s="29"/>
      <c r="N99" s="29"/>
      <c r="O99" s="27" t="str">
        <f aca="false">IF(I99="","",IF(I99="غير متوفر",0,COUNTIF(J99:N99,"نعم")))</f>
        <v/>
      </c>
      <c r="P99" s="27" t="str">
        <f aca="false">IF(I99="","لم يُفحص",IF(I99="غير متوفر","غير موجود",IF(AND(O99=5,I99="متوفر"),"مكتمل",IF(O99&gt;=3,"مقبول","ضعيف"))))</f>
        <v>لم يُفحص</v>
      </c>
      <c r="Q99" s="27" t="str">
        <f aca="false">IF(I99="","",IF(AND(I99="متوفر",O99=5),"لا","نعم"))</f>
        <v/>
      </c>
      <c r="R99" s="27" t="str">
        <f aca="false">IF(Q99&lt;&gt;"نعم","",IF(OR(E99="نعم",I99="غير متوفر"),"عالية",IF(O99&gt;=3,"منخفضة","متوسطة")))</f>
        <v/>
      </c>
      <c r="S99" s="30"/>
      <c r="T99" s="30"/>
      <c r="U99" s="27" t="str">
        <f aca="false">IFERROR(INDEX('الإعدادات واللجنة'!$G$22:$G$29,MATCH(C99,'الإعدادات واللجنة'!$B$22:$B$29,0)),"")</f>
        <v>عضو 6</v>
      </c>
      <c r="V99" s="29"/>
      <c r="W99" s="30"/>
    </row>
    <row r="100" customFormat="false" ht="32.8" hidden="false" customHeight="false" outlineLevel="0" collapsed="false">
      <c r="A100" s="27" t="s">
        <v>375</v>
      </c>
      <c r="B100" s="28" t="s">
        <v>144</v>
      </c>
      <c r="C100" s="28" t="s">
        <v>123</v>
      </c>
      <c r="D100" s="28" t="s">
        <v>376</v>
      </c>
      <c r="E100" s="27"/>
      <c r="F100" s="27" t="n">
        <v>1</v>
      </c>
      <c r="G100" s="28" t="s">
        <v>377</v>
      </c>
      <c r="H100" s="27" t="str">
        <f aca="false">IFERROR(INDEX('الإعدادات واللجنة'!$E$22:$E$29,MATCH(C100,'الإعدادات واللجنة'!$B$22:$B$29,0)),"")</f>
        <v>عضو 5</v>
      </c>
      <c r="I100" s="29"/>
      <c r="J100" s="29"/>
      <c r="K100" s="29"/>
      <c r="L100" s="29"/>
      <c r="M100" s="29"/>
      <c r="N100" s="29"/>
      <c r="O100" s="27" t="str">
        <f aca="false">IF(I100="","",IF(I100="غير متوفر",0,COUNTIF(J100:N100,"نعم")))</f>
        <v/>
      </c>
      <c r="P100" s="27" t="str">
        <f aca="false">IF(I100="","لم يُفحص",IF(I100="غير متوفر","غير موجود",IF(AND(O100=5,I100="متوفر"),"مكتمل",IF(O100&gt;=3,"مقبول","ضعيف"))))</f>
        <v>لم يُفحص</v>
      </c>
      <c r="Q100" s="27" t="str">
        <f aca="false">IF(I100="","",IF(AND(I100="متوفر",O100=5),"لا","نعم"))</f>
        <v/>
      </c>
      <c r="R100" s="27" t="str">
        <f aca="false">IF(Q100&lt;&gt;"نعم","",IF(OR(E100="نعم",I100="غير متوفر"),"عالية",IF(O100&gt;=3,"منخفضة","متوسطة")))</f>
        <v/>
      </c>
      <c r="S100" s="30"/>
      <c r="T100" s="30"/>
      <c r="U100" s="27" t="str">
        <f aca="false">IFERROR(INDEX('الإعدادات واللجنة'!$G$22:$G$29,MATCH(C100,'الإعدادات واللجنة'!$B$22:$B$29,0)),"")</f>
        <v>عضو 6</v>
      </c>
      <c r="V100" s="29"/>
      <c r="W100" s="30"/>
    </row>
    <row r="101" customFormat="false" ht="32.8" hidden="false" customHeight="false" outlineLevel="0" collapsed="false">
      <c r="A101" s="27" t="s">
        <v>375</v>
      </c>
      <c r="B101" s="28" t="s">
        <v>144</v>
      </c>
      <c r="C101" s="28" t="s">
        <v>123</v>
      </c>
      <c r="D101" s="28" t="s">
        <v>376</v>
      </c>
      <c r="E101" s="27"/>
      <c r="F101" s="27" t="n">
        <v>2</v>
      </c>
      <c r="G101" s="28" t="s">
        <v>378</v>
      </c>
      <c r="H101" s="27" t="str">
        <f aca="false">IFERROR(INDEX('الإعدادات واللجنة'!$E$22:$E$29,MATCH(C101,'الإعدادات واللجنة'!$B$22:$B$29,0)),"")</f>
        <v>عضو 5</v>
      </c>
      <c r="I101" s="29"/>
      <c r="J101" s="29"/>
      <c r="K101" s="29"/>
      <c r="L101" s="29"/>
      <c r="M101" s="29"/>
      <c r="N101" s="29"/>
      <c r="O101" s="27" t="str">
        <f aca="false">IF(I101="","",IF(I101="غير متوفر",0,COUNTIF(J101:N101,"نعم")))</f>
        <v/>
      </c>
      <c r="P101" s="27" t="str">
        <f aca="false">IF(I101="","لم يُفحص",IF(I101="غير متوفر","غير موجود",IF(AND(O101=5,I101="متوفر"),"مكتمل",IF(O101&gt;=3,"مقبول","ضعيف"))))</f>
        <v>لم يُفحص</v>
      </c>
      <c r="Q101" s="27" t="str">
        <f aca="false">IF(I101="","",IF(AND(I101="متوفر",O101=5),"لا","نعم"))</f>
        <v/>
      </c>
      <c r="R101" s="27" t="str">
        <f aca="false">IF(Q101&lt;&gt;"نعم","",IF(OR(E101="نعم",I101="غير متوفر"),"عالية",IF(O101&gt;=3,"منخفضة","متوسطة")))</f>
        <v/>
      </c>
      <c r="S101" s="30"/>
      <c r="T101" s="30"/>
      <c r="U101" s="27" t="str">
        <f aca="false">IFERROR(INDEX('الإعدادات واللجنة'!$G$22:$G$29,MATCH(C101,'الإعدادات واللجنة'!$B$22:$B$29,0)),"")</f>
        <v>عضو 6</v>
      </c>
      <c r="V101" s="29"/>
      <c r="W101" s="30"/>
    </row>
    <row r="102" customFormat="false" ht="22.35" hidden="false" customHeight="false" outlineLevel="0" collapsed="false">
      <c r="A102" s="27" t="s">
        <v>379</v>
      </c>
      <c r="B102" s="28" t="s">
        <v>144</v>
      </c>
      <c r="C102" s="28" t="s">
        <v>123</v>
      </c>
      <c r="D102" s="28" t="s">
        <v>380</v>
      </c>
      <c r="E102" s="27"/>
      <c r="F102" s="27" t="n">
        <v>1</v>
      </c>
      <c r="G102" s="28" t="s">
        <v>381</v>
      </c>
      <c r="H102" s="27" t="str">
        <f aca="false">IFERROR(INDEX('الإعدادات واللجنة'!$E$22:$E$29,MATCH(C102,'الإعدادات واللجنة'!$B$22:$B$29,0)),"")</f>
        <v>عضو 5</v>
      </c>
      <c r="I102" s="29"/>
      <c r="J102" s="29"/>
      <c r="K102" s="29"/>
      <c r="L102" s="29"/>
      <c r="M102" s="29"/>
      <c r="N102" s="29"/>
      <c r="O102" s="27" t="str">
        <f aca="false">IF(I102="","",IF(I102="غير متوفر",0,COUNTIF(J102:N102,"نعم")))</f>
        <v/>
      </c>
      <c r="P102" s="27" t="str">
        <f aca="false">IF(I102="","لم يُفحص",IF(I102="غير متوفر","غير موجود",IF(AND(O102=5,I102="متوفر"),"مكتمل",IF(O102&gt;=3,"مقبول","ضعيف"))))</f>
        <v>لم يُفحص</v>
      </c>
      <c r="Q102" s="27" t="str">
        <f aca="false">IF(I102="","",IF(AND(I102="متوفر",O102=5),"لا","نعم"))</f>
        <v/>
      </c>
      <c r="R102" s="27" t="str">
        <f aca="false">IF(Q102&lt;&gt;"نعم","",IF(OR(E102="نعم",I102="غير متوفر"),"عالية",IF(O102&gt;=3,"منخفضة","متوسطة")))</f>
        <v/>
      </c>
      <c r="S102" s="30"/>
      <c r="T102" s="30"/>
      <c r="U102" s="27" t="str">
        <f aca="false">IFERROR(INDEX('الإعدادات واللجنة'!$G$22:$G$29,MATCH(C102,'الإعدادات واللجنة'!$B$22:$B$29,0)),"")</f>
        <v>عضو 6</v>
      </c>
      <c r="V102" s="29"/>
      <c r="W102" s="30"/>
    </row>
    <row r="103" customFormat="false" ht="22.35" hidden="false" customHeight="false" outlineLevel="0" collapsed="false">
      <c r="A103" s="27" t="s">
        <v>379</v>
      </c>
      <c r="B103" s="28" t="s">
        <v>144</v>
      </c>
      <c r="C103" s="28" t="s">
        <v>123</v>
      </c>
      <c r="D103" s="28" t="s">
        <v>380</v>
      </c>
      <c r="E103" s="27"/>
      <c r="F103" s="27" t="n">
        <v>2</v>
      </c>
      <c r="G103" s="28" t="s">
        <v>382</v>
      </c>
      <c r="H103" s="27" t="str">
        <f aca="false">IFERROR(INDEX('الإعدادات واللجنة'!$E$22:$E$29,MATCH(C103,'الإعدادات واللجنة'!$B$22:$B$29,0)),"")</f>
        <v>عضو 5</v>
      </c>
      <c r="I103" s="29"/>
      <c r="J103" s="29"/>
      <c r="K103" s="29"/>
      <c r="L103" s="29"/>
      <c r="M103" s="29"/>
      <c r="N103" s="29"/>
      <c r="O103" s="27" t="str">
        <f aca="false">IF(I103="","",IF(I103="غير متوفر",0,COUNTIF(J103:N103,"نعم")))</f>
        <v/>
      </c>
      <c r="P103" s="27" t="str">
        <f aca="false">IF(I103="","لم يُفحص",IF(I103="غير متوفر","غير موجود",IF(AND(O103=5,I103="متوفر"),"مكتمل",IF(O103&gt;=3,"مقبول","ضعيف"))))</f>
        <v>لم يُفحص</v>
      </c>
      <c r="Q103" s="27" t="str">
        <f aca="false">IF(I103="","",IF(AND(I103="متوفر",O103=5),"لا","نعم"))</f>
        <v/>
      </c>
      <c r="R103" s="27" t="str">
        <f aca="false">IF(Q103&lt;&gt;"نعم","",IF(OR(E103="نعم",I103="غير متوفر"),"عالية",IF(O103&gt;=3,"منخفضة","متوسطة")))</f>
        <v/>
      </c>
      <c r="S103" s="30"/>
      <c r="T103" s="30"/>
      <c r="U103" s="27" t="str">
        <f aca="false">IFERROR(INDEX('الإعدادات واللجنة'!$G$22:$G$29,MATCH(C103,'الإعدادات واللجنة'!$B$22:$B$29,0)),"")</f>
        <v>عضو 6</v>
      </c>
      <c r="V103" s="29"/>
      <c r="W103" s="30"/>
    </row>
    <row r="104" customFormat="false" ht="22.35" hidden="false" customHeight="false" outlineLevel="0" collapsed="false">
      <c r="A104" s="27" t="s">
        <v>379</v>
      </c>
      <c r="B104" s="28" t="s">
        <v>144</v>
      </c>
      <c r="C104" s="28" t="s">
        <v>123</v>
      </c>
      <c r="D104" s="28" t="s">
        <v>380</v>
      </c>
      <c r="E104" s="27"/>
      <c r="F104" s="27" t="n">
        <v>3</v>
      </c>
      <c r="G104" s="28" t="s">
        <v>383</v>
      </c>
      <c r="H104" s="27" t="str">
        <f aca="false">IFERROR(INDEX('الإعدادات واللجنة'!$E$22:$E$29,MATCH(C104,'الإعدادات واللجنة'!$B$22:$B$29,0)),"")</f>
        <v>عضو 5</v>
      </c>
      <c r="I104" s="29"/>
      <c r="J104" s="29"/>
      <c r="K104" s="29"/>
      <c r="L104" s="29"/>
      <c r="M104" s="29"/>
      <c r="N104" s="29"/>
      <c r="O104" s="27" t="str">
        <f aca="false">IF(I104="","",IF(I104="غير متوفر",0,COUNTIF(J104:N104,"نعم")))</f>
        <v/>
      </c>
      <c r="P104" s="27" t="str">
        <f aca="false">IF(I104="","لم يُفحص",IF(I104="غير متوفر","غير موجود",IF(AND(O104=5,I104="متوفر"),"مكتمل",IF(O104&gt;=3,"مقبول","ضعيف"))))</f>
        <v>لم يُفحص</v>
      </c>
      <c r="Q104" s="27" t="str">
        <f aca="false">IF(I104="","",IF(AND(I104="متوفر",O104=5),"لا","نعم"))</f>
        <v/>
      </c>
      <c r="R104" s="27" t="str">
        <f aca="false">IF(Q104&lt;&gt;"نعم","",IF(OR(E104="نعم",I104="غير متوفر"),"عالية",IF(O104&gt;=3,"منخفضة","متوسطة")))</f>
        <v/>
      </c>
      <c r="S104" s="30"/>
      <c r="T104" s="30"/>
      <c r="U104" s="27" t="str">
        <f aca="false">IFERROR(INDEX('الإعدادات واللجنة'!$G$22:$G$29,MATCH(C104,'الإعدادات واللجنة'!$B$22:$B$29,0)),"")</f>
        <v>عضو 6</v>
      </c>
      <c r="V104" s="29"/>
      <c r="W104" s="30"/>
    </row>
    <row r="105" customFormat="false" ht="32.8" hidden="false" customHeight="false" outlineLevel="0" collapsed="false">
      <c r="A105" s="31" t="s">
        <v>384</v>
      </c>
      <c r="B105" s="32" t="s">
        <v>144</v>
      </c>
      <c r="C105" s="32" t="s">
        <v>123</v>
      </c>
      <c r="D105" s="32" t="s">
        <v>385</v>
      </c>
      <c r="E105" s="31" t="s">
        <v>185</v>
      </c>
      <c r="F105" s="31" t="n">
        <v>1</v>
      </c>
      <c r="G105" s="32" t="s">
        <v>386</v>
      </c>
      <c r="H105" s="27" t="str">
        <f aca="false">IFERROR(INDEX('الإعدادات واللجنة'!$E$22:$E$29,MATCH(C105,'الإعدادات واللجنة'!$B$22:$B$29,0)),"")</f>
        <v>عضو 5</v>
      </c>
      <c r="I105" s="29"/>
      <c r="J105" s="29"/>
      <c r="K105" s="29"/>
      <c r="L105" s="29"/>
      <c r="M105" s="29"/>
      <c r="N105" s="29"/>
      <c r="O105" s="27" t="str">
        <f aca="false">IF(I105="","",IF(I105="غير متوفر",0,COUNTIF(J105:N105,"نعم")))</f>
        <v/>
      </c>
      <c r="P105" s="27" t="str">
        <f aca="false">IF(I105="","لم يُفحص",IF(I105="غير متوفر","غير موجود",IF(AND(O105=5,I105="متوفر"),"مكتمل",IF(O105&gt;=3,"مقبول","ضعيف"))))</f>
        <v>لم يُفحص</v>
      </c>
      <c r="Q105" s="27" t="str">
        <f aca="false">IF(I105="","",IF(AND(I105="متوفر",O105=5),"لا","نعم"))</f>
        <v/>
      </c>
      <c r="R105" s="27" t="str">
        <f aca="false">IF(Q105&lt;&gt;"نعم","",IF(OR(E105="نعم",I105="غير متوفر"),"عالية",IF(O105&gt;=3,"منخفضة","متوسطة")))</f>
        <v/>
      </c>
      <c r="S105" s="30"/>
      <c r="T105" s="30"/>
      <c r="U105" s="27" t="str">
        <f aca="false">IFERROR(INDEX('الإعدادات واللجنة'!$G$22:$G$29,MATCH(C105,'الإعدادات واللجنة'!$B$22:$B$29,0)),"")</f>
        <v>عضو 6</v>
      </c>
      <c r="V105" s="29"/>
      <c r="W105" s="30"/>
    </row>
    <row r="106" customFormat="false" ht="32.8" hidden="false" customHeight="false" outlineLevel="0" collapsed="false">
      <c r="A106" s="31" t="s">
        <v>384</v>
      </c>
      <c r="B106" s="32" t="s">
        <v>144</v>
      </c>
      <c r="C106" s="32" t="s">
        <v>123</v>
      </c>
      <c r="D106" s="32" t="s">
        <v>385</v>
      </c>
      <c r="E106" s="31" t="s">
        <v>185</v>
      </c>
      <c r="F106" s="31" t="n">
        <v>2</v>
      </c>
      <c r="G106" s="32" t="s">
        <v>387</v>
      </c>
      <c r="H106" s="27" t="str">
        <f aca="false">IFERROR(INDEX('الإعدادات واللجنة'!$E$22:$E$29,MATCH(C106,'الإعدادات واللجنة'!$B$22:$B$29,0)),"")</f>
        <v>عضو 5</v>
      </c>
      <c r="I106" s="29"/>
      <c r="J106" s="29"/>
      <c r="K106" s="29"/>
      <c r="L106" s="29"/>
      <c r="M106" s="29"/>
      <c r="N106" s="29"/>
      <c r="O106" s="27" t="str">
        <f aca="false">IF(I106="","",IF(I106="غير متوفر",0,COUNTIF(J106:N106,"نعم")))</f>
        <v/>
      </c>
      <c r="P106" s="27" t="str">
        <f aca="false">IF(I106="","لم يُفحص",IF(I106="غير متوفر","غير موجود",IF(AND(O106=5,I106="متوفر"),"مكتمل",IF(O106&gt;=3,"مقبول","ضعيف"))))</f>
        <v>لم يُفحص</v>
      </c>
      <c r="Q106" s="27" t="str">
        <f aca="false">IF(I106="","",IF(AND(I106="متوفر",O106=5),"لا","نعم"))</f>
        <v/>
      </c>
      <c r="R106" s="27" t="str">
        <f aca="false">IF(Q106&lt;&gt;"نعم","",IF(OR(E106="نعم",I106="غير متوفر"),"عالية",IF(O106&gt;=3,"منخفضة","متوسطة")))</f>
        <v/>
      </c>
      <c r="S106" s="30"/>
      <c r="T106" s="30"/>
      <c r="U106" s="27" t="str">
        <f aca="false">IFERROR(INDEX('الإعدادات واللجنة'!$G$22:$G$29,MATCH(C106,'الإعدادات واللجنة'!$B$22:$B$29,0)),"")</f>
        <v>عضو 6</v>
      </c>
      <c r="V106" s="29"/>
      <c r="W106" s="30"/>
    </row>
    <row r="107" customFormat="false" ht="32.8" hidden="false" customHeight="false" outlineLevel="0" collapsed="false">
      <c r="A107" s="31" t="s">
        <v>388</v>
      </c>
      <c r="B107" s="32" t="s">
        <v>144</v>
      </c>
      <c r="C107" s="32" t="s">
        <v>124</v>
      </c>
      <c r="D107" s="32" t="s">
        <v>389</v>
      </c>
      <c r="E107" s="31" t="s">
        <v>185</v>
      </c>
      <c r="F107" s="31" t="n">
        <v>1</v>
      </c>
      <c r="G107" s="32" t="s">
        <v>390</v>
      </c>
      <c r="H107" s="27" t="str">
        <f aca="false">IFERROR(INDEX('الإعدادات واللجنة'!$E$22:$E$29,MATCH(C107,'الإعدادات واللجنة'!$B$22:$B$29,0)),"")</f>
        <v>عضو 1</v>
      </c>
      <c r="I107" s="29"/>
      <c r="J107" s="29"/>
      <c r="K107" s="29"/>
      <c r="L107" s="29"/>
      <c r="M107" s="29"/>
      <c r="N107" s="29"/>
      <c r="O107" s="27" t="str">
        <f aca="false">IF(I107="","",IF(I107="غير متوفر",0,COUNTIF(J107:N107,"نعم")))</f>
        <v/>
      </c>
      <c r="P107" s="27" t="str">
        <f aca="false">IF(I107="","لم يُفحص",IF(I107="غير متوفر","غير موجود",IF(AND(O107=5,I107="متوفر"),"مكتمل",IF(O107&gt;=3,"مقبول","ضعيف"))))</f>
        <v>لم يُفحص</v>
      </c>
      <c r="Q107" s="27" t="str">
        <f aca="false">IF(I107="","",IF(AND(I107="متوفر",O107=5),"لا","نعم"))</f>
        <v/>
      </c>
      <c r="R107" s="27" t="str">
        <f aca="false">IF(Q107&lt;&gt;"نعم","",IF(OR(E107="نعم",I107="غير متوفر"),"عالية",IF(O107&gt;=3,"منخفضة","متوسطة")))</f>
        <v/>
      </c>
      <c r="S107" s="30"/>
      <c r="T107" s="30"/>
      <c r="U107" s="27" t="str">
        <f aca="false">IFERROR(INDEX('الإعدادات واللجنة'!$G$22:$G$29,MATCH(C107,'الإعدادات واللجنة'!$B$22:$B$29,0)),"")</f>
        <v>عضو 5</v>
      </c>
      <c r="V107" s="29"/>
      <c r="W107" s="30"/>
    </row>
    <row r="108" customFormat="false" ht="32.8" hidden="false" customHeight="false" outlineLevel="0" collapsed="false">
      <c r="A108" s="31" t="s">
        <v>388</v>
      </c>
      <c r="B108" s="32" t="s">
        <v>144</v>
      </c>
      <c r="C108" s="32" t="s">
        <v>124</v>
      </c>
      <c r="D108" s="32" t="s">
        <v>389</v>
      </c>
      <c r="E108" s="31" t="s">
        <v>185</v>
      </c>
      <c r="F108" s="31" t="n">
        <v>2</v>
      </c>
      <c r="G108" s="32" t="s">
        <v>391</v>
      </c>
      <c r="H108" s="27" t="str">
        <f aca="false">IFERROR(INDEX('الإعدادات واللجنة'!$E$22:$E$29,MATCH(C108,'الإعدادات واللجنة'!$B$22:$B$29,0)),"")</f>
        <v>عضو 1</v>
      </c>
      <c r="I108" s="29"/>
      <c r="J108" s="29"/>
      <c r="K108" s="29"/>
      <c r="L108" s="29"/>
      <c r="M108" s="29"/>
      <c r="N108" s="29"/>
      <c r="O108" s="27" t="str">
        <f aca="false">IF(I108="","",IF(I108="غير متوفر",0,COUNTIF(J108:N108,"نعم")))</f>
        <v/>
      </c>
      <c r="P108" s="27" t="str">
        <f aca="false">IF(I108="","لم يُفحص",IF(I108="غير متوفر","غير موجود",IF(AND(O108=5,I108="متوفر"),"مكتمل",IF(O108&gt;=3,"مقبول","ضعيف"))))</f>
        <v>لم يُفحص</v>
      </c>
      <c r="Q108" s="27" t="str">
        <f aca="false">IF(I108="","",IF(AND(I108="متوفر",O108=5),"لا","نعم"))</f>
        <v/>
      </c>
      <c r="R108" s="27" t="str">
        <f aca="false">IF(Q108&lt;&gt;"نعم","",IF(OR(E108="نعم",I108="غير متوفر"),"عالية",IF(O108&gt;=3,"منخفضة","متوسطة")))</f>
        <v/>
      </c>
      <c r="S108" s="30"/>
      <c r="T108" s="30"/>
      <c r="U108" s="27" t="str">
        <f aca="false">IFERROR(INDEX('الإعدادات واللجنة'!$G$22:$G$29,MATCH(C108,'الإعدادات واللجنة'!$B$22:$B$29,0)),"")</f>
        <v>عضو 5</v>
      </c>
      <c r="V108" s="29"/>
      <c r="W108" s="30"/>
    </row>
    <row r="109" customFormat="false" ht="32.8" hidden="false" customHeight="false" outlineLevel="0" collapsed="false">
      <c r="A109" s="31" t="s">
        <v>388</v>
      </c>
      <c r="B109" s="32" t="s">
        <v>144</v>
      </c>
      <c r="C109" s="32" t="s">
        <v>124</v>
      </c>
      <c r="D109" s="32" t="s">
        <v>389</v>
      </c>
      <c r="E109" s="31" t="s">
        <v>185</v>
      </c>
      <c r="F109" s="31" t="n">
        <v>3</v>
      </c>
      <c r="G109" s="32" t="s">
        <v>392</v>
      </c>
      <c r="H109" s="27" t="str">
        <f aca="false">IFERROR(INDEX('الإعدادات واللجنة'!$E$22:$E$29,MATCH(C109,'الإعدادات واللجنة'!$B$22:$B$29,0)),"")</f>
        <v>عضو 1</v>
      </c>
      <c r="I109" s="29"/>
      <c r="J109" s="29"/>
      <c r="K109" s="29"/>
      <c r="L109" s="29"/>
      <c r="M109" s="29"/>
      <c r="N109" s="29"/>
      <c r="O109" s="27" t="str">
        <f aca="false">IF(I109="","",IF(I109="غير متوفر",0,COUNTIF(J109:N109,"نعم")))</f>
        <v/>
      </c>
      <c r="P109" s="27" t="str">
        <f aca="false">IF(I109="","لم يُفحص",IF(I109="غير متوفر","غير موجود",IF(AND(O109=5,I109="متوفر"),"مكتمل",IF(O109&gt;=3,"مقبول","ضعيف"))))</f>
        <v>لم يُفحص</v>
      </c>
      <c r="Q109" s="27" t="str">
        <f aca="false">IF(I109="","",IF(AND(I109="متوفر",O109=5),"لا","نعم"))</f>
        <v/>
      </c>
      <c r="R109" s="27" t="str">
        <f aca="false">IF(Q109&lt;&gt;"نعم","",IF(OR(E109="نعم",I109="غير متوفر"),"عالية",IF(O109&gt;=3,"منخفضة","متوسطة")))</f>
        <v/>
      </c>
      <c r="S109" s="30"/>
      <c r="T109" s="30"/>
      <c r="U109" s="27" t="str">
        <f aca="false">IFERROR(INDEX('الإعدادات واللجنة'!$G$22:$G$29,MATCH(C109,'الإعدادات واللجنة'!$B$22:$B$29,0)),"")</f>
        <v>عضو 5</v>
      </c>
      <c r="V109" s="29"/>
      <c r="W109" s="30"/>
    </row>
    <row r="110" customFormat="false" ht="32.8" hidden="false" customHeight="false" outlineLevel="0" collapsed="false">
      <c r="A110" s="31" t="s">
        <v>388</v>
      </c>
      <c r="B110" s="32" t="s">
        <v>144</v>
      </c>
      <c r="C110" s="32" t="s">
        <v>124</v>
      </c>
      <c r="D110" s="32" t="s">
        <v>389</v>
      </c>
      <c r="E110" s="31" t="s">
        <v>185</v>
      </c>
      <c r="F110" s="31" t="n">
        <v>4</v>
      </c>
      <c r="G110" s="32" t="s">
        <v>393</v>
      </c>
      <c r="H110" s="27" t="str">
        <f aca="false">IFERROR(INDEX('الإعدادات واللجنة'!$E$22:$E$29,MATCH(C110,'الإعدادات واللجنة'!$B$22:$B$29,0)),"")</f>
        <v>عضو 1</v>
      </c>
      <c r="I110" s="29"/>
      <c r="J110" s="29"/>
      <c r="K110" s="29"/>
      <c r="L110" s="29"/>
      <c r="M110" s="29"/>
      <c r="N110" s="29"/>
      <c r="O110" s="27" t="str">
        <f aca="false">IF(I110="","",IF(I110="غير متوفر",0,COUNTIF(J110:N110,"نعم")))</f>
        <v/>
      </c>
      <c r="P110" s="27" t="str">
        <f aca="false">IF(I110="","لم يُفحص",IF(I110="غير متوفر","غير موجود",IF(AND(O110=5,I110="متوفر"),"مكتمل",IF(O110&gt;=3,"مقبول","ضعيف"))))</f>
        <v>لم يُفحص</v>
      </c>
      <c r="Q110" s="27" t="str">
        <f aca="false">IF(I110="","",IF(AND(I110="متوفر",O110=5),"لا","نعم"))</f>
        <v/>
      </c>
      <c r="R110" s="27" t="str">
        <f aca="false">IF(Q110&lt;&gt;"نعم","",IF(OR(E110="نعم",I110="غير متوفر"),"عالية",IF(O110&gt;=3,"منخفضة","متوسطة")))</f>
        <v/>
      </c>
      <c r="S110" s="30"/>
      <c r="T110" s="30"/>
      <c r="U110" s="27" t="str">
        <f aca="false">IFERROR(INDEX('الإعدادات واللجنة'!$G$22:$G$29,MATCH(C110,'الإعدادات واللجنة'!$B$22:$B$29,0)),"")</f>
        <v>عضو 5</v>
      </c>
      <c r="V110" s="29"/>
      <c r="W110" s="30"/>
    </row>
    <row r="111" customFormat="false" ht="32.8" hidden="false" customHeight="false" outlineLevel="0" collapsed="false">
      <c r="A111" s="31" t="s">
        <v>388</v>
      </c>
      <c r="B111" s="32" t="s">
        <v>144</v>
      </c>
      <c r="C111" s="32" t="s">
        <v>124</v>
      </c>
      <c r="D111" s="32" t="s">
        <v>389</v>
      </c>
      <c r="E111" s="31" t="s">
        <v>185</v>
      </c>
      <c r="F111" s="31" t="n">
        <v>5</v>
      </c>
      <c r="G111" s="32" t="s">
        <v>394</v>
      </c>
      <c r="H111" s="27" t="str">
        <f aca="false">IFERROR(INDEX('الإعدادات واللجنة'!$E$22:$E$29,MATCH(C111,'الإعدادات واللجنة'!$B$22:$B$29,0)),"")</f>
        <v>عضو 1</v>
      </c>
      <c r="I111" s="29"/>
      <c r="J111" s="29"/>
      <c r="K111" s="29"/>
      <c r="L111" s="29"/>
      <c r="M111" s="29"/>
      <c r="N111" s="29"/>
      <c r="O111" s="27" t="str">
        <f aca="false">IF(I111="","",IF(I111="غير متوفر",0,COUNTIF(J111:N111,"نعم")))</f>
        <v/>
      </c>
      <c r="P111" s="27" t="str">
        <f aca="false">IF(I111="","لم يُفحص",IF(I111="غير متوفر","غير موجود",IF(AND(O111=5,I111="متوفر"),"مكتمل",IF(O111&gt;=3,"مقبول","ضعيف"))))</f>
        <v>لم يُفحص</v>
      </c>
      <c r="Q111" s="27" t="str">
        <f aca="false">IF(I111="","",IF(AND(I111="متوفر",O111=5),"لا","نعم"))</f>
        <v/>
      </c>
      <c r="R111" s="27" t="str">
        <f aca="false">IF(Q111&lt;&gt;"نعم","",IF(OR(E111="نعم",I111="غير متوفر"),"عالية",IF(O111&gt;=3,"منخفضة","متوسطة")))</f>
        <v/>
      </c>
      <c r="S111" s="30"/>
      <c r="T111" s="30"/>
      <c r="U111" s="27" t="str">
        <f aca="false">IFERROR(INDEX('الإعدادات واللجنة'!$G$22:$G$29,MATCH(C111,'الإعدادات واللجنة'!$B$22:$B$29,0)),"")</f>
        <v>عضو 5</v>
      </c>
      <c r="V111" s="29"/>
      <c r="W111" s="30"/>
    </row>
    <row r="112" customFormat="false" ht="32.8" hidden="false" customHeight="false" outlineLevel="0" collapsed="false">
      <c r="A112" s="27" t="s">
        <v>395</v>
      </c>
      <c r="B112" s="28" t="s">
        <v>144</v>
      </c>
      <c r="C112" s="28" t="s">
        <v>124</v>
      </c>
      <c r="D112" s="28" t="s">
        <v>396</v>
      </c>
      <c r="E112" s="27"/>
      <c r="F112" s="27" t="n">
        <v>1</v>
      </c>
      <c r="G112" s="28" t="s">
        <v>397</v>
      </c>
      <c r="H112" s="27" t="str">
        <f aca="false">IFERROR(INDEX('الإعدادات واللجنة'!$E$22:$E$29,MATCH(C112,'الإعدادات واللجنة'!$B$22:$B$29,0)),"")</f>
        <v>عضو 1</v>
      </c>
      <c r="I112" s="29"/>
      <c r="J112" s="29"/>
      <c r="K112" s="29"/>
      <c r="L112" s="29"/>
      <c r="M112" s="29"/>
      <c r="N112" s="29"/>
      <c r="O112" s="27" t="str">
        <f aca="false">IF(I112="","",IF(I112="غير متوفر",0,COUNTIF(J112:N112,"نعم")))</f>
        <v/>
      </c>
      <c r="P112" s="27" t="str">
        <f aca="false">IF(I112="","لم يُفحص",IF(I112="غير متوفر","غير موجود",IF(AND(O112=5,I112="متوفر"),"مكتمل",IF(O112&gt;=3,"مقبول","ضعيف"))))</f>
        <v>لم يُفحص</v>
      </c>
      <c r="Q112" s="27" t="str">
        <f aca="false">IF(I112="","",IF(AND(I112="متوفر",O112=5),"لا","نعم"))</f>
        <v/>
      </c>
      <c r="R112" s="27" t="str">
        <f aca="false">IF(Q112&lt;&gt;"نعم","",IF(OR(E112="نعم",I112="غير متوفر"),"عالية",IF(O112&gt;=3,"منخفضة","متوسطة")))</f>
        <v/>
      </c>
      <c r="S112" s="30"/>
      <c r="T112" s="30"/>
      <c r="U112" s="27" t="str">
        <f aca="false">IFERROR(INDEX('الإعدادات واللجنة'!$G$22:$G$29,MATCH(C112,'الإعدادات واللجنة'!$B$22:$B$29,0)),"")</f>
        <v>عضو 5</v>
      </c>
      <c r="V112" s="29"/>
      <c r="W112" s="30"/>
    </row>
    <row r="113" customFormat="false" ht="32.8" hidden="false" customHeight="false" outlineLevel="0" collapsed="false">
      <c r="A113" s="27" t="s">
        <v>395</v>
      </c>
      <c r="B113" s="28" t="s">
        <v>144</v>
      </c>
      <c r="C113" s="28" t="s">
        <v>124</v>
      </c>
      <c r="D113" s="28" t="s">
        <v>396</v>
      </c>
      <c r="E113" s="27"/>
      <c r="F113" s="27" t="n">
        <v>2</v>
      </c>
      <c r="G113" s="28" t="s">
        <v>398</v>
      </c>
      <c r="H113" s="27" t="str">
        <f aca="false">IFERROR(INDEX('الإعدادات واللجنة'!$E$22:$E$29,MATCH(C113,'الإعدادات واللجنة'!$B$22:$B$29,0)),"")</f>
        <v>عضو 1</v>
      </c>
      <c r="I113" s="29"/>
      <c r="J113" s="29"/>
      <c r="K113" s="29"/>
      <c r="L113" s="29"/>
      <c r="M113" s="29"/>
      <c r="N113" s="29"/>
      <c r="O113" s="27" t="str">
        <f aca="false">IF(I113="","",IF(I113="غير متوفر",0,COUNTIF(J113:N113,"نعم")))</f>
        <v/>
      </c>
      <c r="P113" s="27" t="str">
        <f aca="false">IF(I113="","لم يُفحص",IF(I113="غير متوفر","غير موجود",IF(AND(O113=5,I113="متوفر"),"مكتمل",IF(O113&gt;=3,"مقبول","ضعيف"))))</f>
        <v>لم يُفحص</v>
      </c>
      <c r="Q113" s="27" t="str">
        <f aca="false">IF(I113="","",IF(AND(I113="متوفر",O113=5),"لا","نعم"))</f>
        <v/>
      </c>
      <c r="R113" s="27" t="str">
        <f aca="false">IF(Q113&lt;&gt;"نعم","",IF(OR(E113="نعم",I113="غير متوفر"),"عالية",IF(O113&gt;=3,"منخفضة","متوسطة")))</f>
        <v/>
      </c>
      <c r="S113" s="30"/>
      <c r="T113" s="30"/>
      <c r="U113" s="27" t="str">
        <f aca="false">IFERROR(INDEX('الإعدادات واللجنة'!$G$22:$G$29,MATCH(C113,'الإعدادات واللجنة'!$B$22:$B$29,0)),"")</f>
        <v>عضو 5</v>
      </c>
      <c r="V113" s="29"/>
      <c r="W113" s="30"/>
    </row>
    <row r="114" customFormat="false" ht="32.8" hidden="false" customHeight="false" outlineLevel="0" collapsed="false">
      <c r="A114" s="27" t="s">
        <v>395</v>
      </c>
      <c r="B114" s="28" t="s">
        <v>144</v>
      </c>
      <c r="C114" s="28" t="s">
        <v>124</v>
      </c>
      <c r="D114" s="28" t="s">
        <v>396</v>
      </c>
      <c r="E114" s="27"/>
      <c r="F114" s="27" t="n">
        <v>3</v>
      </c>
      <c r="G114" s="28" t="s">
        <v>399</v>
      </c>
      <c r="H114" s="27" t="str">
        <f aca="false">IFERROR(INDEX('الإعدادات واللجنة'!$E$22:$E$29,MATCH(C114,'الإعدادات واللجنة'!$B$22:$B$29,0)),"")</f>
        <v>عضو 1</v>
      </c>
      <c r="I114" s="29"/>
      <c r="J114" s="29"/>
      <c r="K114" s="29"/>
      <c r="L114" s="29"/>
      <c r="M114" s="29"/>
      <c r="N114" s="29"/>
      <c r="O114" s="27" t="str">
        <f aca="false">IF(I114="","",IF(I114="غير متوفر",0,COUNTIF(J114:N114,"نعم")))</f>
        <v/>
      </c>
      <c r="P114" s="27" t="str">
        <f aca="false">IF(I114="","لم يُفحص",IF(I114="غير متوفر","غير موجود",IF(AND(O114=5,I114="متوفر"),"مكتمل",IF(O114&gt;=3,"مقبول","ضعيف"))))</f>
        <v>لم يُفحص</v>
      </c>
      <c r="Q114" s="27" t="str">
        <f aca="false">IF(I114="","",IF(AND(I114="متوفر",O114=5),"لا","نعم"))</f>
        <v/>
      </c>
      <c r="R114" s="27" t="str">
        <f aca="false">IF(Q114&lt;&gt;"نعم","",IF(OR(E114="نعم",I114="غير متوفر"),"عالية",IF(O114&gt;=3,"منخفضة","متوسطة")))</f>
        <v/>
      </c>
      <c r="S114" s="30"/>
      <c r="T114" s="30"/>
      <c r="U114" s="27" t="str">
        <f aca="false">IFERROR(INDEX('الإعدادات واللجنة'!$G$22:$G$29,MATCH(C114,'الإعدادات واللجنة'!$B$22:$B$29,0)),"")</f>
        <v>عضو 5</v>
      </c>
      <c r="V114" s="29"/>
      <c r="W114" s="30"/>
    </row>
    <row r="115" customFormat="false" ht="32.8" hidden="false" customHeight="false" outlineLevel="0" collapsed="false">
      <c r="A115" s="27" t="s">
        <v>395</v>
      </c>
      <c r="B115" s="28" t="s">
        <v>144</v>
      </c>
      <c r="C115" s="28" t="s">
        <v>124</v>
      </c>
      <c r="D115" s="28" t="s">
        <v>396</v>
      </c>
      <c r="E115" s="27"/>
      <c r="F115" s="27" t="n">
        <v>4</v>
      </c>
      <c r="G115" s="28" t="s">
        <v>400</v>
      </c>
      <c r="H115" s="27" t="str">
        <f aca="false">IFERROR(INDEX('الإعدادات واللجنة'!$E$22:$E$29,MATCH(C115,'الإعدادات واللجنة'!$B$22:$B$29,0)),"")</f>
        <v>عضو 1</v>
      </c>
      <c r="I115" s="29"/>
      <c r="J115" s="29"/>
      <c r="K115" s="29"/>
      <c r="L115" s="29"/>
      <c r="M115" s="29"/>
      <c r="N115" s="29"/>
      <c r="O115" s="27" t="str">
        <f aca="false">IF(I115="","",IF(I115="غير متوفر",0,COUNTIF(J115:N115,"نعم")))</f>
        <v/>
      </c>
      <c r="P115" s="27" t="str">
        <f aca="false">IF(I115="","لم يُفحص",IF(I115="غير متوفر","غير موجود",IF(AND(O115=5,I115="متوفر"),"مكتمل",IF(O115&gt;=3,"مقبول","ضعيف"))))</f>
        <v>لم يُفحص</v>
      </c>
      <c r="Q115" s="27" t="str">
        <f aca="false">IF(I115="","",IF(AND(I115="متوفر",O115=5),"لا","نعم"))</f>
        <v/>
      </c>
      <c r="R115" s="27" t="str">
        <f aca="false">IF(Q115&lt;&gt;"نعم","",IF(OR(E115="نعم",I115="غير متوفر"),"عالية",IF(O115&gt;=3,"منخفضة","متوسطة")))</f>
        <v/>
      </c>
      <c r="S115" s="30"/>
      <c r="T115" s="30"/>
      <c r="U115" s="27" t="str">
        <f aca="false">IFERROR(INDEX('الإعدادات واللجنة'!$G$22:$G$29,MATCH(C115,'الإعدادات واللجنة'!$B$22:$B$29,0)),"")</f>
        <v>عضو 5</v>
      </c>
      <c r="V115" s="29"/>
      <c r="W115" s="30"/>
    </row>
    <row r="116" customFormat="false" ht="32.8" hidden="false" customHeight="false" outlineLevel="0" collapsed="false">
      <c r="A116" s="27" t="s">
        <v>401</v>
      </c>
      <c r="B116" s="28" t="s">
        <v>144</v>
      </c>
      <c r="C116" s="28" t="s">
        <v>124</v>
      </c>
      <c r="D116" s="28" t="s">
        <v>402</v>
      </c>
      <c r="E116" s="27"/>
      <c r="F116" s="27" t="n">
        <v>1</v>
      </c>
      <c r="G116" s="28" t="s">
        <v>403</v>
      </c>
      <c r="H116" s="27" t="str">
        <f aca="false">IFERROR(INDEX('الإعدادات واللجنة'!$E$22:$E$29,MATCH(C116,'الإعدادات واللجنة'!$B$22:$B$29,0)),"")</f>
        <v>عضو 1</v>
      </c>
      <c r="I116" s="29"/>
      <c r="J116" s="29"/>
      <c r="K116" s="29"/>
      <c r="L116" s="29"/>
      <c r="M116" s="29"/>
      <c r="N116" s="29"/>
      <c r="O116" s="27" t="str">
        <f aca="false">IF(I116="","",IF(I116="غير متوفر",0,COUNTIF(J116:N116,"نعم")))</f>
        <v/>
      </c>
      <c r="P116" s="27" t="str">
        <f aca="false">IF(I116="","لم يُفحص",IF(I116="غير متوفر","غير موجود",IF(AND(O116=5,I116="متوفر"),"مكتمل",IF(O116&gt;=3,"مقبول","ضعيف"))))</f>
        <v>لم يُفحص</v>
      </c>
      <c r="Q116" s="27" t="str">
        <f aca="false">IF(I116="","",IF(AND(I116="متوفر",O116=5),"لا","نعم"))</f>
        <v/>
      </c>
      <c r="R116" s="27" t="str">
        <f aca="false">IF(Q116&lt;&gt;"نعم","",IF(OR(E116="نعم",I116="غير متوفر"),"عالية",IF(O116&gt;=3,"منخفضة","متوسطة")))</f>
        <v/>
      </c>
      <c r="S116" s="30"/>
      <c r="T116" s="30"/>
      <c r="U116" s="27" t="str">
        <f aca="false">IFERROR(INDEX('الإعدادات واللجنة'!$G$22:$G$29,MATCH(C116,'الإعدادات واللجنة'!$B$22:$B$29,0)),"")</f>
        <v>عضو 5</v>
      </c>
      <c r="V116" s="29"/>
      <c r="W116" s="30"/>
    </row>
    <row r="117" customFormat="false" ht="32.8" hidden="false" customHeight="false" outlineLevel="0" collapsed="false">
      <c r="A117" s="27" t="s">
        <v>401</v>
      </c>
      <c r="B117" s="28" t="s">
        <v>144</v>
      </c>
      <c r="C117" s="28" t="s">
        <v>124</v>
      </c>
      <c r="D117" s="28" t="s">
        <v>402</v>
      </c>
      <c r="E117" s="27"/>
      <c r="F117" s="27" t="n">
        <v>2</v>
      </c>
      <c r="G117" s="28" t="s">
        <v>404</v>
      </c>
      <c r="H117" s="27" t="str">
        <f aca="false">IFERROR(INDEX('الإعدادات واللجنة'!$E$22:$E$29,MATCH(C117,'الإعدادات واللجنة'!$B$22:$B$29,0)),"")</f>
        <v>عضو 1</v>
      </c>
      <c r="I117" s="29"/>
      <c r="J117" s="29"/>
      <c r="K117" s="29"/>
      <c r="L117" s="29"/>
      <c r="M117" s="29"/>
      <c r="N117" s="29"/>
      <c r="O117" s="27" t="str">
        <f aca="false">IF(I117="","",IF(I117="غير متوفر",0,COUNTIF(J117:N117,"نعم")))</f>
        <v/>
      </c>
      <c r="P117" s="27" t="str">
        <f aca="false">IF(I117="","لم يُفحص",IF(I117="غير متوفر","غير موجود",IF(AND(O117=5,I117="متوفر"),"مكتمل",IF(O117&gt;=3,"مقبول","ضعيف"))))</f>
        <v>لم يُفحص</v>
      </c>
      <c r="Q117" s="27" t="str">
        <f aca="false">IF(I117="","",IF(AND(I117="متوفر",O117=5),"لا","نعم"))</f>
        <v/>
      </c>
      <c r="R117" s="27" t="str">
        <f aca="false">IF(Q117&lt;&gt;"نعم","",IF(OR(E117="نعم",I117="غير متوفر"),"عالية",IF(O117&gt;=3,"منخفضة","متوسطة")))</f>
        <v/>
      </c>
      <c r="S117" s="30"/>
      <c r="T117" s="30"/>
      <c r="U117" s="27" t="str">
        <f aca="false">IFERROR(INDEX('الإعدادات واللجنة'!$G$22:$G$29,MATCH(C117,'الإعدادات واللجنة'!$B$22:$B$29,0)),"")</f>
        <v>عضو 5</v>
      </c>
      <c r="V117" s="29"/>
      <c r="W117" s="30"/>
    </row>
    <row r="118" customFormat="false" ht="32.8" hidden="false" customHeight="false" outlineLevel="0" collapsed="false">
      <c r="A118" s="27" t="s">
        <v>401</v>
      </c>
      <c r="B118" s="28" t="s">
        <v>144</v>
      </c>
      <c r="C118" s="28" t="s">
        <v>124</v>
      </c>
      <c r="D118" s="28" t="s">
        <v>402</v>
      </c>
      <c r="E118" s="27"/>
      <c r="F118" s="27" t="n">
        <v>3</v>
      </c>
      <c r="G118" s="28" t="s">
        <v>405</v>
      </c>
      <c r="H118" s="27" t="str">
        <f aca="false">IFERROR(INDEX('الإعدادات واللجنة'!$E$22:$E$29,MATCH(C118,'الإعدادات واللجنة'!$B$22:$B$29,0)),"")</f>
        <v>عضو 1</v>
      </c>
      <c r="I118" s="29"/>
      <c r="J118" s="29"/>
      <c r="K118" s="29"/>
      <c r="L118" s="29"/>
      <c r="M118" s="29"/>
      <c r="N118" s="29"/>
      <c r="O118" s="27" t="str">
        <f aca="false">IF(I118="","",IF(I118="غير متوفر",0,COUNTIF(J118:N118,"نعم")))</f>
        <v/>
      </c>
      <c r="P118" s="27" t="str">
        <f aca="false">IF(I118="","لم يُفحص",IF(I118="غير متوفر","غير موجود",IF(AND(O118=5,I118="متوفر"),"مكتمل",IF(O118&gt;=3,"مقبول","ضعيف"))))</f>
        <v>لم يُفحص</v>
      </c>
      <c r="Q118" s="27" t="str">
        <f aca="false">IF(I118="","",IF(AND(I118="متوفر",O118=5),"لا","نعم"))</f>
        <v/>
      </c>
      <c r="R118" s="27" t="str">
        <f aca="false">IF(Q118&lt;&gt;"نعم","",IF(OR(E118="نعم",I118="غير متوفر"),"عالية",IF(O118&gt;=3,"منخفضة","متوسطة")))</f>
        <v/>
      </c>
      <c r="S118" s="30"/>
      <c r="T118" s="30"/>
      <c r="U118" s="27" t="str">
        <f aca="false">IFERROR(INDEX('الإعدادات واللجنة'!$G$22:$G$29,MATCH(C118,'الإعدادات واللجنة'!$B$22:$B$29,0)),"")</f>
        <v>عضو 5</v>
      </c>
      <c r="V118" s="29"/>
      <c r="W118" s="30"/>
    </row>
    <row r="119" customFormat="false" ht="22.35" hidden="false" customHeight="false" outlineLevel="0" collapsed="false">
      <c r="A119" s="27" t="s">
        <v>406</v>
      </c>
      <c r="B119" s="28" t="s">
        <v>144</v>
      </c>
      <c r="C119" s="28" t="s">
        <v>124</v>
      </c>
      <c r="D119" s="28" t="s">
        <v>407</v>
      </c>
      <c r="E119" s="27"/>
      <c r="F119" s="27" t="n">
        <v>1</v>
      </c>
      <c r="G119" s="28" t="s">
        <v>408</v>
      </c>
      <c r="H119" s="27" t="str">
        <f aca="false">IFERROR(INDEX('الإعدادات واللجنة'!$E$22:$E$29,MATCH(C119,'الإعدادات واللجنة'!$B$22:$B$29,0)),"")</f>
        <v>عضو 1</v>
      </c>
      <c r="I119" s="29"/>
      <c r="J119" s="29"/>
      <c r="K119" s="29"/>
      <c r="L119" s="29"/>
      <c r="M119" s="29"/>
      <c r="N119" s="29"/>
      <c r="O119" s="27" t="str">
        <f aca="false">IF(I119="","",IF(I119="غير متوفر",0,COUNTIF(J119:N119,"نعم")))</f>
        <v/>
      </c>
      <c r="P119" s="27" t="str">
        <f aca="false">IF(I119="","لم يُفحص",IF(I119="غير متوفر","غير موجود",IF(AND(O119=5,I119="متوفر"),"مكتمل",IF(O119&gt;=3,"مقبول","ضعيف"))))</f>
        <v>لم يُفحص</v>
      </c>
      <c r="Q119" s="27" t="str">
        <f aca="false">IF(I119="","",IF(AND(I119="متوفر",O119=5),"لا","نعم"))</f>
        <v/>
      </c>
      <c r="R119" s="27" t="str">
        <f aca="false">IF(Q119&lt;&gt;"نعم","",IF(OR(E119="نعم",I119="غير متوفر"),"عالية",IF(O119&gt;=3,"منخفضة","متوسطة")))</f>
        <v/>
      </c>
      <c r="S119" s="30"/>
      <c r="T119" s="30"/>
      <c r="U119" s="27" t="str">
        <f aca="false">IFERROR(INDEX('الإعدادات واللجنة'!$G$22:$G$29,MATCH(C119,'الإعدادات واللجنة'!$B$22:$B$29,0)),"")</f>
        <v>عضو 5</v>
      </c>
      <c r="V119" s="29"/>
      <c r="W119" s="30"/>
    </row>
    <row r="120" customFormat="false" ht="22.35" hidden="false" customHeight="false" outlineLevel="0" collapsed="false">
      <c r="A120" s="27" t="s">
        <v>406</v>
      </c>
      <c r="B120" s="28" t="s">
        <v>144</v>
      </c>
      <c r="C120" s="28" t="s">
        <v>124</v>
      </c>
      <c r="D120" s="28" t="s">
        <v>407</v>
      </c>
      <c r="E120" s="27"/>
      <c r="F120" s="27" t="n">
        <v>2</v>
      </c>
      <c r="G120" s="28" t="s">
        <v>409</v>
      </c>
      <c r="H120" s="27" t="str">
        <f aca="false">IFERROR(INDEX('الإعدادات واللجنة'!$E$22:$E$29,MATCH(C120,'الإعدادات واللجنة'!$B$22:$B$29,0)),"")</f>
        <v>عضو 1</v>
      </c>
      <c r="I120" s="29"/>
      <c r="J120" s="29"/>
      <c r="K120" s="29"/>
      <c r="L120" s="29"/>
      <c r="M120" s="29"/>
      <c r="N120" s="29"/>
      <c r="O120" s="27" t="str">
        <f aca="false">IF(I120="","",IF(I120="غير متوفر",0,COUNTIF(J120:N120,"نعم")))</f>
        <v/>
      </c>
      <c r="P120" s="27" t="str">
        <f aca="false">IF(I120="","لم يُفحص",IF(I120="غير متوفر","غير موجود",IF(AND(O120=5,I120="متوفر"),"مكتمل",IF(O120&gt;=3,"مقبول","ضعيف"))))</f>
        <v>لم يُفحص</v>
      </c>
      <c r="Q120" s="27" t="str">
        <f aca="false">IF(I120="","",IF(AND(I120="متوفر",O120=5),"لا","نعم"))</f>
        <v/>
      </c>
      <c r="R120" s="27" t="str">
        <f aca="false">IF(Q120&lt;&gt;"نعم","",IF(OR(E120="نعم",I120="غير متوفر"),"عالية",IF(O120&gt;=3,"منخفضة","متوسطة")))</f>
        <v/>
      </c>
      <c r="S120" s="30"/>
      <c r="T120" s="30"/>
      <c r="U120" s="27" t="str">
        <f aca="false">IFERROR(INDEX('الإعدادات واللجنة'!$G$22:$G$29,MATCH(C120,'الإعدادات واللجنة'!$B$22:$B$29,0)),"")</f>
        <v>عضو 5</v>
      </c>
      <c r="V120" s="29"/>
      <c r="W120" s="30"/>
    </row>
    <row r="121" customFormat="false" ht="22.35" hidden="false" customHeight="false" outlineLevel="0" collapsed="false">
      <c r="A121" s="27" t="s">
        <v>406</v>
      </c>
      <c r="B121" s="28" t="s">
        <v>144</v>
      </c>
      <c r="C121" s="28" t="s">
        <v>124</v>
      </c>
      <c r="D121" s="28" t="s">
        <v>407</v>
      </c>
      <c r="E121" s="27"/>
      <c r="F121" s="27" t="n">
        <v>3</v>
      </c>
      <c r="G121" s="28" t="s">
        <v>410</v>
      </c>
      <c r="H121" s="27" t="str">
        <f aca="false">IFERROR(INDEX('الإعدادات واللجنة'!$E$22:$E$29,MATCH(C121,'الإعدادات واللجنة'!$B$22:$B$29,0)),"")</f>
        <v>عضو 1</v>
      </c>
      <c r="I121" s="29"/>
      <c r="J121" s="29"/>
      <c r="K121" s="29"/>
      <c r="L121" s="29"/>
      <c r="M121" s="29"/>
      <c r="N121" s="29"/>
      <c r="O121" s="27" t="str">
        <f aca="false">IF(I121="","",IF(I121="غير متوفر",0,COUNTIF(J121:N121,"نعم")))</f>
        <v/>
      </c>
      <c r="P121" s="27" t="str">
        <f aca="false">IF(I121="","لم يُفحص",IF(I121="غير متوفر","غير موجود",IF(AND(O121=5,I121="متوفر"),"مكتمل",IF(O121&gt;=3,"مقبول","ضعيف"))))</f>
        <v>لم يُفحص</v>
      </c>
      <c r="Q121" s="27" t="str">
        <f aca="false">IF(I121="","",IF(AND(I121="متوفر",O121=5),"لا","نعم"))</f>
        <v/>
      </c>
      <c r="R121" s="27" t="str">
        <f aca="false">IF(Q121&lt;&gt;"نعم","",IF(OR(E121="نعم",I121="غير متوفر"),"عالية",IF(O121&gt;=3,"منخفضة","متوسطة")))</f>
        <v/>
      </c>
      <c r="S121" s="30"/>
      <c r="T121" s="30"/>
      <c r="U121" s="27" t="str">
        <f aca="false">IFERROR(INDEX('الإعدادات واللجنة'!$G$22:$G$29,MATCH(C121,'الإعدادات واللجنة'!$B$22:$B$29,0)),"")</f>
        <v>عضو 5</v>
      </c>
      <c r="V121" s="29"/>
      <c r="W121" s="30"/>
    </row>
    <row r="122" customFormat="false" ht="22.35" hidden="false" customHeight="false" outlineLevel="0" collapsed="false">
      <c r="A122" s="27" t="s">
        <v>411</v>
      </c>
      <c r="B122" s="28" t="s">
        <v>144</v>
      </c>
      <c r="C122" s="28" t="s">
        <v>124</v>
      </c>
      <c r="D122" s="28" t="s">
        <v>412</v>
      </c>
      <c r="E122" s="27"/>
      <c r="F122" s="27" t="n">
        <v>1</v>
      </c>
      <c r="G122" s="28" t="s">
        <v>413</v>
      </c>
      <c r="H122" s="27" t="str">
        <f aca="false">IFERROR(INDEX('الإعدادات واللجنة'!$E$22:$E$29,MATCH(C122,'الإعدادات واللجنة'!$B$22:$B$29,0)),"")</f>
        <v>عضو 1</v>
      </c>
      <c r="I122" s="29"/>
      <c r="J122" s="29"/>
      <c r="K122" s="29"/>
      <c r="L122" s="29"/>
      <c r="M122" s="29"/>
      <c r="N122" s="29"/>
      <c r="O122" s="27" t="str">
        <f aca="false">IF(I122="","",IF(I122="غير متوفر",0,COUNTIF(J122:N122,"نعم")))</f>
        <v/>
      </c>
      <c r="P122" s="27" t="str">
        <f aca="false">IF(I122="","لم يُفحص",IF(I122="غير متوفر","غير موجود",IF(AND(O122=5,I122="متوفر"),"مكتمل",IF(O122&gt;=3,"مقبول","ضعيف"))))</f>
        <v>لم يُفحص</v>
      </c>
      <c r="Q122" s="27" t="str">
        <f aca="false">IF(I122="","",IF(AND(I122="متوفر",O122=5),"لا","نعم"))</f>
        <v/>
      </c>
      <c r="R122" s="27" t="str">
        <f aca="false">IF(Q122&lt;&gt;"نعم","",IF(OR(E122="نعم",I122="غير متوفر"),"عالية",IF(O122&gt;=3,"منخفضة","متوسطة")))</f>
        <v/>
      </c>
      <c r="S122" s="30"/>
      <c r="T122" s="30"/>
      <c r="U122" s="27" t="str">
        <f aca="false">IFERROR(INDEX('الإعدادات واللجنة'!$G$22:$G$29,MATCH(C122,'الإعدادات واللجنة'!$B$22:$B$29,0)),"")</f>
        <v>عضو 5</v>
      </c>
      <c r="V122" s="29"/>
      <c r="W122" s="30"/>
    </row>
    <row r="123" customFormat="false" ht="22.35" hidden="false" customHeight="false" outlineLevel="0" collapsed="false">
      <c r="A123" s="27" t="s">
        <v>411</v>
      </c>
      <c r="B123" s="28" t="s">
        <v>144</v>
      </c>
      <c r="C123" s="28" t="s">
        <v>124</v>
      </c>
      <c r="D123" s="28" t="s">
        <v>412</v>
      </c>
      <c r="E123" s="27"/>
      <c r="F123" s="27" t="n">
        <v>2</v>
      </c>
      <c r="G123" s="28" t="s">
        <v>414</v>
      </c>
      <c r="H123" s="27" t="str">
        <f aca="false">IFERROR(INDEX('الإعدادات واللجنة'!$E$22:$E$29,MATCH(C123,'الإعدادات واللجنة'!$B$22:$B$29,0)),"")</f>
        <v>عضو 1</v>
      </c>
      <c r="I123" s="29"/>
      <c r="J123" s="29"/>
      <c r="K123" s="29"/>
      <c r="L123" s="29"/>
      <c r="M123" s="29"/>
      <c r="N123" s="29"/>
      <c r="O123" s="27" t="str">
        <f aca="false">IF(I123="","",IF(I123="غير متوفر",0,COUNTIF(J123:N123,"نعم")))</f>
        <v/>
      </c>
      <c r="P123" s="27" t="str">
        <f aca="false">IF(I123="","لم يُفحص",IF(I123="غير متوفر","غير موجود",IF(AND(O123=5,I123="متوفر"),"مكتمل",IF(O123&gt;=3,"مقبول","ضعيف"))))</f>
        <v>لم يُفحص</v>
      </c>
      <c r="Q123" s="27" t="str">
        <f aca="false">IF(I123="","",IF(AND(I123="متوفر",O123=5),"لا","نعم"))</f>
        <v/>
      </c>
      <c r="R123" s="27" t="str">
        <f aca="false">IF(Q123&lt;&gt;"نعم","",IF(OR(E123="نعم",I123="غير متوفر"),"عالية",IF(O123&gt;=3,"منخفضة","متوسطة")))</f>
        <v/>
      </c>
      <c r="S123" s="30"/>
      <c r="T123" s="30"/>
      <c r="U123" s="27" t="str">
        <f aca="false">IFERROR(INDEX('الإعدادات واللجنة'!$G$22:$G$29,MATCH(C123,'الإعدادات واللجنة'!$B$22:$B$29,0)),"")</f>
        <v>عضو 5</v>
      </c>
      <c r="V123" s="29"/>
      <c r="W123" s="30"/>
    </row>
    <row r="124" customFormat="false" ht="22.35" hidden="false" customHeight="false" outlineLevel="0" collapsed="false">
      <c r="A124" s="27" t="s">
        <v>411</v>
      </c>
      <c r="B124" s="28" t="s">
        <v>144</v>
      </c>
      <c r="C124" s="28" t="s">
        <v>124</v>
      </c>
      <c r="D124" s="28" t="s">
        <v>412</v>
      </c>
      <c r="E124" s="27"/>
      <c r="F124" s="27" t="n">
        <v>3</v>
      </c>
      <c r="G124" s="28" t="s">
        <v>415</v>
      </c>
      <c r="H124" s="27" t="str">
        <f aca="false">IFERROR(INDEX('الإعدادات واللجنة'!$E$22:$E$29,MATCH(C124,'الإعدادات واللجنة'!$B$22:$B$29,0)),"")</f>
        <v>عضو 1</v>
      </c>
      <c r="I124" s="29"/>
      <c r="J124" s="29"/>
      <c r="K124" s="29"/>
      <c r="L124" s="29"/>
      <c r="M124" s="29"/>
      <c r="N124" s="29"/>
      <c r="O124" s="27" t="str">
        <f aca="false">IF(I124="","",IF(I124="غير متوفر",0,COUNTIF(J124:N124,"نعم")))</f>
        <v/>
      </c>
      <c r="P124" s="27" t="str">
        <f aca="false">IF(I124="","لم يُفحص",IF(I124="غير متوفر","غير موجود",IF(AND(O124=5,I124="متوفر"),"مكتمل",IF(O124&gt;=3,"مقبول","ضعيف"))))</f>
        <v>لم يُفحص</v>
      </c>
      <c r="Q124" s="27" t="str">
        <f aca="false">IF(I124="","",IF(AND(I124="متوفر",O124=5),"لا","نعم"))</f>
        <v/>
      </c>
      <c r="R124" s="27" t="str">
        <f aca="false">IF(Q124&lt;&gt;"نعم","",IF(OR(E124="نعم",I124="غير متوفر"),"عالية",IF(O124&gt;=3,"منخفضة","متوسطة")))</f>
        <v/>
      </c>
      <c r="S124" s="30"/>
      <c r="T124" s="30"/>
      <c r="U124" s="27" t="str">
        <f aca="false">IFERROR(INDEX('الإعدادات واللجنة'!$G$22:$G$29,MATCH(C124,'الإعدادات واللجنة'!$B$22:$B$29,0)),"")</f>
        <v>عضو 5</v>
      </c>
      <c r="V124" s="29"/>
      <c r="W124" s="30"/>
    </row>
    <row r="125" customFormat="false" ht="22.35" hidden="false" customHeight="false" outlineLevel="0" collapsed="false">
      <c r="A125" s="27" t="s">
        <v>411</v>
      </c>
      <c r="B125" s="28" t="s">
        <v>144</v>
      </c>
      <c r="C125" s="28" t="s">
        <v>124</v>
      </c>
      <c r="D125" s="28" t="s">
        <v>412</v>
      </c>
      <c r="E125" s="27"/>
      <c r="F125" s="27" t="n">
        <v>4</v>
      </c>
      <c r="G125" s="28" t="s">
        <v>416</v>
      </c>
      <c r="H125" s="27" t="str">
        <f aca="false">IFERROR(INDEX('الإعدادات واللجنة'!$E$22:$E$29,MATCH(C125,'الإعدادات واللجنة'!$B$22:$B$29,0)),"")</f>
        <v>عضو 1</v>
      </c>
      <c r="I125" s="29"/>
      <c r="J125" s="29"/>
      <c r="K125" s="29"/>
      <c r="L125" s="29"/>
      <c r="M125" s="29"/>
      <c r="N125" s="29"/>
      <c r="O125" s="27" t="str">
        <f aca="false">IF(I125="","",IF(I125="غير متوفر",0,COUNTIF(J125:N125,"نعم")))</f>
        <v/>
      </c>
      <c r="P125" s="27" t="str">
        <f aca="false">IF(I125="","لم يُفحص",IF(I125="غير متوفر","غير موجود",IF(AND(O125=5,I125="متوفر"),"مكتمل",IF(O125&gt;=3,"مقبول","ضعيف"))))</f>
        <v>لم يُفحص</v>
      </c>
      <c r="Q125" s="27" t="str">
        <f aca="false">IF(I125="","",IF(AND(I125="متوفر",O125=5),"لا","نعم"))</f>
        <v/>
      </c>
      <c r="R125" s="27" t="str">
        <f aca="false">IF(Q125&lt;&gt;"نعم","",IF(OR(E125="نعم",I125="غير متوفر"),"عالية",IF(O125&gt;=3,"منخفضة","متوسطة")))</f>
        <v/>
      </c>
      <c r="S125" s="30"/>
      <c r="T125" s="30"/>
      <c r="U125" s="27" t="str">
        <f aca="false">IFERROR(INDEX('الإعدادات واللجنة'!$G$22:$G$29,MATCH(C125,'الإعدادات واللجنة'!$B$22:$B$29,0)),"")</f>
        <v>عضو 5</v>
      </c>
      <c r="V125" s="29"/>
      <c r="W125" s="30"/>
    </row>
    <row r="126" customFormat="false" ht="22.35" hidden="false" customHeight="false" outlineLevel="0" collapsed="false">
      <c r="A126" s="27" t="s">
        <v>411</v>
      </c>
      <c r="B126" s="28" t="s">
        <v>144</v>
      </c>
      <c r="C126" s="28" t="s">
        <v>124</v>
      </c>
      <c r="D126" s="28" t="s">
        <v>412</v>
      </c>
      <c r="E126" s="27"/>
      <c r="F126" s="27" t="n">
        <v>5</v>
      </c>
      <c r="G126" s="28" t="s">
        <v>417</v>
      </c>
      <c r="H126" s="27" t="str">
        <f aca="false">IFERROR(INDEX('الإعدادات واللجنة'!$E$22:$E$29,MATCH(C126,'الإعدادات واللجنة'!$B$22:$B$29,0)),"")</f>
        <v>عضو 1</v>
      </c>
      <c r="I126" s="29"/>
      <c r="J126" s="29"/>
      <c r="K126" s="29"/>
      <c r="L126" s="29"/>
      <c r="M126" s="29"/>
      <c r="N126" s="29"/>
      <c r="O126" s="27" t="str">
        <f aca="false">IF(I126="","",IF(I126="غير متوفر",0,COUNTIF(J126:N126,"نعم")))</f>
        <v/>
      </c>
      <c r="P126" s="27" t="str">
        <f aca="false">IF(I126="","لم يُفحص",IF(I126="غير متوفر","غير موجود",IF(AND(O126=5,I126="متوفر"),"مكتمل",IF(O126&gt;=3,"مقبول","ضعيف"))))</f>
        <v>لم يُفحص</v>
      </c>
      <c r="Q126" s="27" t="str">
        <f aca="false">IF(I126="","",IF(AND(I126="متوفر",O126=5),"لا","نعم"))</f>
        <v/>
      </c>
      <c r="R126" s="27" t="str">
        <f aca="false">IF(Q126&lt;&gt;"نعم","",IF(OR(E126="نعم",I126="غير متوفر"),"عالية",IF(O126&gt;=3,"منخفضة","متوسطة")))</f>
        <v/>
      </c>
      <c r="S126" s="30"/>
      <c r="T126" s="30"/>
      <c r="U126" s="27" t="str">
        <f aca="false">IFERROR(INDEX('الإعدادات واللجنة'!$G$22:$G$29,MATCH(C126,'الإعدادات واللجنة'!$B$22:$B$29,0)),"")</f>
        <v>عضو 5</v>
      </c>
      <c r="V126" s="29"/>
      <c r="W126" s="30"/>
    </row>
    <row r="127" customFormat="false" ht="32.8" hidden="false" customHeight="false" outlineLevel="0" collapsed="false">
      <c r="A127" s="31" t="s">
        <v>418</v>
      </c>
      <c r="B127" s="32" t="s">
        <v>144</v>
      </c>
      <c r="C127" s="32" t="s">
        <v>124</v>
      </c>
      <c r="D127" s="32" t="s">
        <v>419</v>
      </c>
      <c r="E127" s="31" t="s">
        <v>185</v>
      </c>
      <c r="F127" s="31" t="n">
        <v>1</v>
      </c>
      <c r="G127" s="32" t="s">
        <v>420</v>
      </c>
      <c r="H127" s="27" t="str">
        <f aca="false">IFERROR(INDEX('الإعدادات واللجنة'!$E$22:$E$29,MATCH(C127,'الإعدادات واللجنة'!$B$22:$B$29,0)),"")</f>
        <v>عضو 1</v>
      </c>
      <c r="I127" s="29"/>
      <c r="J127" s="29"/>
      <c r="K127" s="29"/>
      <c r="L127" s="29"/>
      <c r="M127" s="29"/>
      <c r="N127" s="29"/>
      <c r="O127" s="27" t="str">
        <f aca="false">IF(I127="","",IF(I127="غير متوفر",0,COUNTIF(J127:N127,"نعم")))</f>
        <v/>
      </c>
      <c r="P127" s="27" t="str">
        <f aca="false">IF(I127="","لم يُفحص",IF(I127="غير متوفر","غير موجود",IF(AND(O127=5,I127="متوفر"),"مكتمل",IF(O127&gt;=3,"مقبول","ضعيف"))))</f>
        <v>لم يُفحص</v>
      </c>
      <c r="Q127" s="27" t="str">
        <f aca="false">IF(I127="","",IF(AND(I127="متوفر",O127=5),"لا","نعم"))</f>
        <v/>
      </c>
      <c r="R127" s="27" t="str">
        <f aca="false">IF(Q127&lt;&gt;"نعم","",IF(OR(E127="نعم",I127="غير متوفر"),"عالية",IF(O127&gt;=3,"منخفضة","متوسطة")))</f>
        <v/>
      </c>
      <c r="S127" s="30"/>
      <c r="T127" s="30"/>
      <c r="U127" s="27" t="str">
        <f aca="false">IFERROR(INDEX('الإعدادات واللجنة'!$G$22:$G$29,MATCH(C127,'الإعدادات واللجنة'!$B$22:$B$29,0)),"")</f>
        <v>عضو 5</v>
      </c>
      <c r="V127" s="29"/>
      <c r="W127" s="30"/>
    </row>
    <row r="128" customFormat="false" ht="32.8" hidden="false" customHeight="false" outlineLevel="0" collapsed="false">
      <c r="A128" s="31" t="s">
        <v>418</v>
      </c>
      <c r="B128" s="32" t="s">
        <v>144</v>
      </c>
      <c r="C128" s="32" t="s">
        <v>124</v>
      </c>
      <c r="D128" s="32" t="s">
        <v>419</v>
      </c>
      <c r="E128" s="31" t="s">
        <v>185</v>
      </c>
      <c r="F128" s="31" t="n">
        <v>2</v>
      </c>
      <c r="G128" s="32" t="s">
        <v>421</v>
      </c>
      <c r="H128" s="27" t="str">
        <f aca="false">IFERROR(INDEX('الإعدادات واللجنة'!$E$22:$E$29,MATCH(C128,'الإعدادات واللجنة'!$B$22:$B$29,0)),"")</f>
        <v>عضو 1</v>
      </c>
      <c r="I128" s="29"/>
      <c r="J128" s="29"/>
      <c r="K128" s="29"/>
      <c r="L128" s="29"/>
      <c r="M128" s="29"/>
      <c r="N128" s="29"/>
      <c r="O128" s="27" t="str">
        <f aca="false">IF(I128="","",IF(I128="غير متوفر",0,COUNTIF(J128:N128,"نعم")))</f>
        <v/>
      </c>
      <c r="P128" s="27" t="str">
        <f aca="false">IF(I128="","لم يُفحص",IF(I128="غير متوفر","غير موجود",IF(AND(O128=5,I128="متوفر"),"مكتمل",IF(O128&gt;=3,"مقبول","ضعيف"))))</f>
        <v>لم يُفحص</v>
      </c>
      <c r="Q128" s="27" t="str">
        <f aca="false">IF(I128="","",IF(AND(I128="متوفر",O128=5),"لا","نعم"))</f>
        <v/>
      </c>
      <c r="R128" s="27" t="str">
        <f aca="false">IF(Q128&lt;&gt;"نعم","",IF(OR(E128="نعم",I128="غير متوفر"),"عالية",IF(O128&gt;=3,"منخفضة","متوسطة")))</f>
        <v/>
      </c>
      <c r="S128" s="30"/>
      <c r="T128" s="30"/>
      <c r="U128" s="27" t="str">
        <f aca="false">IFERROR(INDEX('الإعدادات واللجنة'!$G$22:$G$29,MATCH(C128,'الإعدادات واللجنة'!$B$22:$B$29,0)),"")</f>
        <v>عضو 5</v>
      </c>
      <c r="V128" s="29"/>
      <c r="W128" s="30"/>
    </row>
    <row r="129" customFormat="false" ht="32.8" hidden="false" customHeight="false" outlineLevel="0" collapsed="false">
      <c r="A129" s="31" t="s">
        <v>418</v>
      </c>
      <c r="B129" s="32" t="s">
        <v>144</v>
      </c>
      <c r="C129" s="32" t="s">
        <v>124</v>
      </c>
      <c r="D129" s="32" t="s">
        <v>419</v>
      </c>
      <c r="E129" s="31" t="s">
        <v>185</v>
      </c>
      <c r="F129" s="31" t="n">
        <v>3</v>
      </c>
      <c r="G129" s="32" t="s">
        <v>422</v>
      </c>
      <c r="H129" s="27" t="str">
        <f aca="false">IFERROR(INDEX('الإعدادات واللجنة'!$E$22:$E$29,MATCH(C129,'الإعدادات واللجنة'!$B$22:$B$29,0)),"")</f>
        <v>عضو 1</v>
      </c>
      <c r="I129" s="29"/>
      <c r="J129" s="29"/>
      <c r="K129" s="29"/>
      <c r="L129" s="29"/>
      <c r="M129" s="29"/>
      <c r="N129" s="29"/>
      <c r="O129" s="27" t="str">
        <f aca="false">IF(I129="","",IF(I129="غير متوفر",0,COUNTIF(J129:N129,"نعم")))</f>
        <v/>
      </c>
      <c r="P129" s="27" t="str">
        <f aca="false">IF(I129="","لم يُفحص",IF(I129="غير متوفر","غير موجود",IF(AND(O129=5,I129="متوفر"),"مكتمل",IF(O129&gt;=3,"مقبول","ضعيف"))))</f>
        <v>لم يُفحص</v>
      </c>
      <c r="Q129" s="27" t="str">
        <f aca="false">IF(I129="","",IF(AND(I129="متوفر",O129=5),"لا","نعم"))</f>
        <v/>
      </c>
      <c r="R129" s="27" t="str">
        <f aca="false">IF(Q129&lt;&gt;"نعم","",IF(OR(E129="نعم",I129="غير متوفر"),"عالية",IF(O129&gt;=3,"منخفضة","متوسطة")))</f>
        <v/>
      </c>
      <c r="S129" s="30"/>
      <c r="T129" s="30"/>
      <c r="U129" s="27" t="str">
        <f aca="false">IFERROR(INDEX('الإعدادات واللجنة'!$G$22:$G$29,MATCH(C129,'الإعدادات واللجنة'!$B$22:$B$29,0)),"")</f>
        <v>عضو 5</v>
      </c>
      <c r="V129" s="29"/>
      <c r="W129" s="30"/>
    </row>
    <row r="130" customFormat="false" ht="32.8" hidden="false" customHeight="false" outlineLevel="0" collapsed="false">
      <c r="A130" s="31" t="s">
        <v>418</v>
      </c>
      <c r="B130" s="32" t="s">
        <v>144</v>
      </c>
      <c r="C130" s="32" t="s">
        <v>124</v>
      </c>
      <c r="D130" s="32" t="s">
        <v>419</v>
      </c>
      <c r="E130" s="31" t="s">
        <v>185</v>
      </c>
      <c r="F130" s="31" t="n">
        <v>4</v>
      </c>
      <c r="G130" s="32" t="s">
        <v>423</v>
      </c>
      <c r="H130" s="27" t="str">
        <f aca="false">IFERROR(INDEX('الإعدادات واللجنة'!$E$22:$E$29,MATCH(C130,'الإعدادات واللجنة'!$B$22:$B$29,0)),"")</f>
        <v>عضو 1</v>
      </c>
      <c r="I130" s="29"/>
      <c r="J130" s="29"/>
      <c r="K130" s="29"/>
      <c r="L130" s="29"/>
      <c r="M130" s="29"/>
      <c r="N130" s="29"/>
      <c r="O130" s="27" t="str">
        <f aca="false">IF(I130="","",IF(I130="غير متوفر",0,COUNTIF(J130:N130,"نعم")))</f>
        <v/>
      </c>
      <c r="P130" s="27" t="str">
        <f aca="false">IF(I130="","لم يُفحص",IF(I130="غير متوفر","غير موجود",IF(AND(O130=5,I130="متوفر"),"مكتمل",IF(O130&gt;=3,"مقبول","ضعيف"))))</f>
        <v>لم يُفحص</v>
      </c>
      <c r="Q130" s="27" t="str">
        <f aca="false">IF(I130="","",IF(AND(I130="متوفر",O130=5),"لا","نعم"))</f>
        <v/>
      </c>
      <c r="R130" s="27" t="str">
        <f aca="false">IF(Q130&lt;&gt;"نعم","",IF(OR(E130="نعم",I130="غير متوفر"),"عالية",IF(O130&gt;=3,"منخفضة","متوسطة")))</f>
        <v/>
      </c>
      <c r="S130" s="30"/>
      <c r="T130" s="30"/>
      <c r="U130" s="27" t="str">
        <f aca="false">IFERROR(INDEX('الإعدادات واللجنة'!$G$22:$G$29,MATCH(C130,'الإعدادات واللجنة'!$B$22:$B$29,0)),"")</f>
        <v>عضو 5</v>
      </c>
      <c r="V130" s="29"/>
      <c r="W130" s="30"/>
    </row>
    <row r="131" customFormat="false" ht="32.8" hidden="false" customHeight="false" outlineLevel="0" collapsed="false">
      <c r="A131" s="31" t="s">
        <v>418</v>
      </c>
      <c r="B131" s="32" t="s">
        <v>144</v>
      </c>
      <c r="C131" s="32" t="s">
        <v>124</v>
      </c>
      <c r="D131" s="32" t="s">
        <v>419</v>
      </c>
      <c r="E131" s="31" t="s">
        <v>185</v>
      </c>
      <c r="F131" s="31" t="n">
        <v>5</v>
      </c>
      <c r="G131" s="32" t="s">
        <v>424</v>
      </c>
      <c r="H131" s="27" t="str">
        <f aca="false">IFERROR(INDEX('الإعدادات واللجنة'!$E$22:$E$29,MATCH(C131,'الإعدادات واللجنة'!$B$22:$B$29,0)),"")</f>
        <v>عضو 1</v>
      </c>
      <c r="I131" s="29"/>
      <c r="J131" s="29"/>
      <c r="K131" s="29"/>
      <c r="L131" s="29"/>
      <c r="M131" s="29"/>
      <c r="N131" s="29"/>
      <c r="O131" s="27" t="str">
        <f aca="false">IF(I131="","",IF(I131="غير متوفر",0,COUNTIF(J131:N131,"نعم")))</f>
        <v/>
      </c>
      <c r="P131" s="27" t="str">
        <f aca="false">IF(I131="","لم يُفحص",IF(I131="غير متوفر","غير موجود",IF(AND(O131=5,I131="متوفر"),"مكتمل",IF(O131&gt;=3,"مقبول","ضعيف"))))</f>
        <v>لم يُفحص</v>
      </c>
      <c r="Q131" s="27" t="str">
        <f aca="false">IF(I131="","",IF(AND(I131="متوفر",O131=5),"لا","نعم"))</f>
        <v/>
      </c>
      <c r="R131" s="27" t="str">
        <f aca="false">IF(Q131&lt;&gt;"نعم","",IF(OR(E131="نعم",I131="غير متوفر"),"عالية",IF(O131&gt;=3,"منخفضة","متوسطة")))</f>
        <v/>
      </c>
      <c r="S131" s="30"/>
      <c r="T131" s="30"/>
      <c r="U131" s="27" t="str">
        <f aca="false">IFERROR(INDEX('الإعدادات واللجنة'!$G$22:$G$29,MATCH(C131,'الإعدادات واللجنة'!$B$22:$B$29,0)),"")</f>
        <v>عضو 5</v>
      </c>
      <c r="V131" s="29"/>
      <c r="W131" s="30"/>
    </row>
    <row r="132" customFormat="false" ht="32.8" hidden="false" customHeight="false" outlineLevel="0" collapsed="false">
      <c r="A132" s="27" t="s">
        <v>425</v>
      </c>
      <c r="B132" s="28" t="s">
        <v>145</v>
      </c>
      <c r="C132" s="28" t="s">
        <v>125</v>
      </c>
      <c r="D132" s="28" t="s">
        <v>426</v>
      </c>
      <c r="E132" s="27"/>
      <c r="F132" s="27" t="n">
        <v>1</v>
      </c>
      <c r="G132" s="28" t="s">
        <v>427</v>
      </c>
      <c r="H132" s="27" t="str">
        <f aca="false">IFERROR(INDEX('الإعدادات واللجنة'!$E$22:$E$29,MATCH(C132,'الإعدادات واللجنة'!$B$22:$B$29,0)),"")</f>
        <v>عضو 7</v>
      </c>
      <c r="I132" s="29"/>
      <c r="J132" s="29"/>
      <c r="K132" s="29"/>
      <c r="L132" s="29"/>
      <c r="M132" s="29"/>
      <c r="N132" s="29"/>
      <c r="O132" s="27" t="str">
        <f aca="false">IF(I132="","",IF(I132="غير متوفر",0,COUNTIF(J132:N132,"نعم")))</f>
        <v/>
      </c>
      <c r="P132" s="27" t="str">
        <f aca="false">IF(I132="","لم يُفحص",IF(I132="غير متوفر","غير موجود",IF(AND(O132=5,I132="متوفر"),"مكتمل",IF(O132&gt;=3,"مقبول","ضعيف"))))</f>
        <v>لم يُفحص</v>
      </c>
      <c r="Q132" s="27" t="str">
        <f aca="false">IF(I132="","",IF(AND(I132="متوفر",O132=5),"لا","نعم"))</f>
        <v/>
      </c>
      <c r="R132" s="27" t="str">
        <f aca="false">IF(Q132&lt;&gt;"نعم","",IF(OR(E132="نعم",I132="غير متوفر"),"عالية",IF(O132&gt;=3,"منخفضة","متوسطة")))</f>
        <v/>
      </c>
      <c r="S132" s="30"/>
      <c r="T132" s="30"/>
      <c r="U132" s="27" t="str">
        <f aca="false">IFERROR(INDEX('الإعدادات واللجنة'!$G$22:$G$29,MATCH(C132,'الإعدادات واللجنة'!$B$22:$B$29,0)),"")</f>
        <v>عضو 8</v>
      </c>
      <c r="V132" s="29"/>
      <c r="W132" s="30"/>
    </row>
    <row r="133" customFormat="false" ht="32.8" hidden="false" customHeight="false" outlineLevel="0" collapsed="false">
      <c r="A133" s="27" t="s">
        <v>425</v>
      </c>
      <c r="B133" s="28" t="s">
        <v>145</v>
      </c>
      <c r="C133" s="28" t="s">
        <v>125</v>
      </c>
      <c r="D133" s="28" t="s">
        <v>426</v>
      </c>
      <c r="E133" s="27"/>
      <c r="F133" s="27" t="n">
        <v>2</v>
      </c>
      <c r="G133" s="28" t="s">
        <v>428</v>
      </c>
      <c r="H133" s="27" t="str">
        <f aca="false">IFERROR(INDEX('الإعدادات واللجنة'!$E$22:$E$29,MATCH(C133,'الإعدادات واللجنة'!$B$22:$B$29,0)),"")</f>
        <v>عضو 7</v>
      </c>
      <c r="I133" s="29"/>
      <c r="J133" s="29"/>
      <c r="K133" s="29"/>
      <c r="L133" s="29"/>
      <c r="M133" s="29"/>
      <c r="N133" s="29"/>
      <c r="O133" s="27" t="str">
        <f aca="false">IF(I133="","",IF(I133="غير متوفر",0,COUNTIF(J133:N133,"نعم")))</f>
        <v/>
      </c>
      <c r="P133" s="27" t="str">
        <f aca="false">IF(I133="","لم يُفحص",IF(I133="غير متوفر","غير موجود",IF(AND(O133=5,I133="متوفر"),"مكتمل",IF(O133&gt;=3,"مقبول","ضعيف"))))</f>
        <v>لم يُفحص</v>
      </c>
      <c r="Q133" s="27" t="str">
        <f aca="false">IF(I133="","",IF(AND(I133="متوفر",O133=5),"لا","نعم"))</f>
        <v/>
      </c>
      <c r="R133" s="27" t="str">
        <f aca="false">IF(Q133&lt;&gt;"نعم","",IF(OR(E133="نعم",I133="غير متوفر"),"عالية",IF(O133&gt;=3,"منخفضة","متوسطة")))</f>
        <v/>
      </c>
      <c r="S133" s="30"/>
      <c r="T133" s="30"/>
      <c r="U133" s="27" t="str">
        <f aca="false">IFERROR(INDEX('الإعدادات واللجنة'!$G$22:$G$29,MATCH(C133,'الإعدادات واللجنة'!$B$22:$B$29,0)),"")</f>
        <v>عضو 8</v>
      </c>
      <c r="V133" s="29"/>
      <c r="W133" s="30"/>
    </row>
    <row r="134" customFormat="false" ht="32.8" hidden="false" customHeight="false" outlineLevel="0" collapsed="false">
      <c r="A134" s="27" t="s">
        <v>425</v>
      </c>
      <c r="B134" s="28" t="s">
        <v>145</v>
      </c>
      <c r="C134" s="28" t="s">
        <v>125</v>
      </c>
      <c r="D134" s="28" t="s">
        <v>426</v>
      </c>
      <c r="E134" s="27"/>
      <c r="F134" s="27" t="n">
        <v>3</v>
      </c>
      <c r="G134" s="28" t="s">
        <v>429</v>
      </c>
      <c r="H134" s="27" t="str">
        <f aca="false">IFERROR(INDEX('الإعدادات واللجنة'!$E$22:$E$29,MATCH(C134,'الإعدادات واللجنة'!$B$22:$B$29,0)),"")</f>
        <v>عضو 7</v>
      </c>
      <c r="I134" s="29"/>
      <c r="J134" s="29"/>
      <c r="K134" s="29"/>
      <c r="L134" s="29"/>
      <c r="M134" s="29"/>
      <c r="N134" s="29"/>
      <c r="O134" s="27" t="str">
        <f aca="false">IF(I134="","",IF(I134="غير متوفر",0,COUNTIF(J134:N134,"نعم")))</f>
        <v/>
      </c>
      <c r="P134" s="27" t="str">
        <f aca="false">IF(I134="","لم يُفحص",IF(I134="غير متوفر","غير موجود",IF(AND(O134=5,I134="متوفر"),"مكتمل",IF(O134&gt;=3,"مقبول","ضعيف"))))</f>
        <v>لم يُفحص</v>
      </c>
      <c r="Q134" s="27" t="str">
        <f aca="false">IF(I134="","",IF(AND(I134="متوفر",O134=5),"لا","نعم"))</f>
        <v/>
      </c>
      <c r="R134" s="27" t="str">
        <f aca="false">IF(Q134&lt;&gt;"نعم","",IF(OR(E134="نعم",I134="غير متوفر"),"عالية",IF(O134&gt;=3,"منخفضة","متوسطة")))</f>
        <v/>
      </c>
      <c r="S134" s="30"/>
      <c r="T134" s="30"/>
      <c r="U134" s="27" t="str">
        <f aca="false">IFERROR(INDEX('الإعدادات واللجنة'!$G$22:$G$29,MATCH(C134,'الإعدادات واللجنة'!$B$22:$B$29,0)),"")</f>
        <v>عضو 8</v>
      </c>
      <c r="V134" s="29"/>
      <c r="W134" s="30"/>
    </row>
    <row r="135" customFormat="false" ht="32.8" hidden="false" customHeight="false" outlineLevel="0" collapsed="false">
      <c r="A135" s="27" t="s">
        <v>425</v>
      </c>
      <c r="B135" s="28" t="s">
        <v>145</v>
      </c>
      <c r="C135" s="28" t="s">
        <v>125</v>
      </c>
      <c r="D135" s="28" t="s">
        <v>426</v>
      </c>
      <c r="E135" s="27"/>
      <c r="F135" s="27" t="n">
        <v>4</v>
      </c>
      <c r="G135" s="28" t="s">
        <v>430</v>
      </c>
      <c r="H135" s="27" t="str">
        <f aca="false">IFERROR(INDEX('الإعدادات واللجنة'!$E$22:$E$29,MATCH(C135,'الإعدادات واللجنة'!$B$22:$B$29,0)),"")</f>
        <v>عضو 7</v>
      </c>
      <c r="I135" s="29"/>
      <c r="J135" s="29"/>
      <c r="K135" s="29"/>
      <c r="L135" s="29"/>
      <c r="M135" s="29"/>
      <c r="N135" s="29"/>
      <c r="O135" s="27" t="str">
        <f aca="false">IF(I135="","",IF(I135="غير متوفر",0,COUNTIF(J135:N135,"نعم")))</f>
        <v/>
      </c>
      <c r="P135" s="27" t="str">
        <f aca="false">IF(I135="","لم يُفحص",IF(I135="غير متوفر","غير موجود",IF(AND(O135=5,I135="متوفر"),"مكتمل",IF(O135&gt;=3,"مقبول","ضعيف"))))</f>
        <v>لم يُفحص</v>
      </c>
      <c r="Q135" s="27" t="str">
        <f aca="false">IF(I135="","",IF(AND(I135="متوفر",O135=5),"لا","نعم"))</f>
        <v/>
      </c>
      <c r="R135" s="27" t="str">
        <f aca="false">IF(Q135&lt;&gt;"نعم","",IF(OR(E135="نعم",I135="غير متوفر"),"عالية",IF(O135&gt;=3,"منخفضة","متوسطة")))</f>
        <v/>
      </c>
      <c r="S135" s="30"/>
      <c r="T135" s="30"/>
      <c r="U135" s="27" t="str">
        <f aca="false">IFERROR(INDEX('الإعدادات واللجنة'!$G$22:$G$29,MATCH(C135,'الإعدادات واللجنة'!$B$22:$B$29,0)),"")</f>
        <v>عضو 8</v>
      </c>
      <c r="V135" s="29"/>
      <c r="W135" s="30"/>
    </row>
    <row r="136" customFormat="false" ht="32.8" hidden="false" customHeight="false" outlineLevel="0" collapsed="false">
      <c r="A136" s="27" t="s">
        <v>425</v>
      </c>
      <c r="B136" s="28" t="s">
        <v>145</v>
      </c>
      <c r="C136" s="28" t="s">
        <v>125</v>
      </c>
      <c r="D136" s="28" t="s">
        <v>426</v>
      </c>
      <c r="E136" s="27"/>
      <c r="F136" s="27" t="n">
        <v>5</v>
      </c>
      <c r="G136" s="28" t="s">
        <v>431</v>
      </c>
      <c r="H136" s="27" t="str">
        <f aca="false">IFERROR(INDEX('الإعدادات واللجنة'!$E$22:$E$29,MATCH(C136,'الإعدادات واللجنة'!$B$22:$B$29,0)),"")</f>
        <v>عضو 7</v>
      </c>
      <c r="I136" s="29"/>
      <c r="J136" s="29"/>
      <c r="K136" s="29"/>
      <c r="L136" s="29"/>
      <c r="M136" s="29"/>
      <c r="N136" s="29"/>
      <c r="O136" s="27" t="str">
        <f aca="false">IF(I136="","",IF(I136="غير متوفر",0,COUNTIF(J136:N136,"نعم")))</f>
        <v/>
      </c>
      <c r="P136" s="27" t="str">
        <f aca="false">IF(I136="","لم يُفحص",IF(I136="غير متوفر","غير موجود",IF(AND(O136=5,I136="متوفر"),"مكتمل",IF(O136&gt;=3,"مقبول","ضعيف"))))</f>
        <v>لم يُفحص</v>
      </c>
      <c r="Q136" s="27" t="str">
        <f aca="false">IF(I136="","",IF(AND(I136="متوفر",O136=5),"لا","نعم"))</f>
        <v/>
      </c>
      <c r="R136" s="27" t="str">
        <f aca="false">IF(Q136&lt;&gt;"نعم","",IF(OR(E136="نعم",I136="غير متوفر"),"عالية",IF(O136&gt;=3,"منخفضة","متوسطة")))</f>
        <v/>
      </c>
      <c r="S136" s="30"/>
      <c r="T136" s="30"/>
      <c r="U136" s="27" t="str">
        <f aca="false">IFERROR(INDEX('الإعدادات واللجنة'!$G$22:$G$29,MATCH(C136,'الإعدادات واللجنة'!$B$22:$B$29,0)),"")</f>
        <v>عضو 8</v>
      </c>
      <c r="V136" s="29"/>
      <c r="W136" s="30"/>
    </row>
    <row r="137" customFormat="false" ht="22.35" hidden="false" customHeight="false" outlineLevel="0" collapsed="false">
      <c r="A137" s="31" t="s">
        <v>432</v>
      </c>
      <c r="B137" s="32" t="s">
        <v>145</v>
      </c>
      <c r="C137" s="32" t="s">
        <v>125</v>
      </c>
      <c r="D137" s="32" t="s">
        <v>433</v>
      </c>
      <c r="E137" s="31" t="s">
        <v>185</v>
      </c>
      <c r="F137" s="31" t="n">
        <v>1</v>
      </c>
      <c r="G137" s="32" t="s">
        <v>434</v>
      </c>
      <c r="H137" s="27" t="str">
        <f aca="false">IFERROR(INDEX('الإعدادات واللجنة'!$E$22:$E$29,MATCH(C137,'الإعدادات واللجنة'!$B$22:$B$29,0)),"")</f>
        <v>عضو 7</v>
      </c>
      <c r="I137" s="29"/>
      <c r="J137" s="29"/>
      <c r="K137" s="29"/>
      <c r="L137" s="29"/>
      <c r="M137" s="29"/>
      <c r="N137" s="29"/>
      <c r="O137" s="27" t="str">
        <f aca="false">IF(I137="","",IF(I137="غير متوفر",0,COUNTIF(J137:N137,"نعم")))</f>
        <v/>
      </c>
      <c r="P137" s="27" t="str">
        <f aca="false">IF(I137="","لم يُفحص",IF(I137="غير متوفر","غير موجود",IF(AND(O137=5,I137="متوفر"),"مكتمل",IF(O137&gt;=3,"مقبول","ضعيف"))))</f>
        <v>لم يُفحص</v>
      </c>
      <c r="Q137" s="27" t="str">
        <f aca="false">IF(I137="","",IF(AND(I137="متوفر",O137=5),"لا","نعم"))</f>
        <v/>
      </c>
      <c r="R137" s="27" t="str">
        <f aca="false">IF(Q137&lt;&gt;"نعم","",IF(OR(E137="نعم",I137="غير متوفر"),"عالية",IF(O137&gt;=3,"منخفضة","متوسطة")))</f>
        <v/>
      </c>
      <c r="S137" s="30"/>
      <c r="T137" s="30"/>
      <c r="U137" s="27" t="str">
        <f aca="false">IFERROR(INDEX('الإعدادات واللجنة'!$G$22:$G$29,MATCH(C137,'الإعدادات واللجنة'!$B$22:$B$29,0)),"")</f>
        <v>عضو 8</v>
      </c>
      <c r="V137" s="29"/>
      <c r="W137" s="30"/>
    </row>
    <row r="138" customFormat="false" ht="22.35" hidden="false" customHeight="false" outlineLevel="0" collapsed="false">
      <c r="A138" s="31" t="s">
        <v>432</v>
      </c>
      <c r="B138" s="32" t="s">
        <v>145</v>
      </c>
      <c r="C138" s="32" t="s">
        <v>125</v>
      </c>
      <c r="D138" s="32" t="s">
        <v>433</v>
      </c>
      <c r="E138" s="31" t="s">
        <v>185</v>
      </c>
      <c r="F138" s="31" t="n">
        <v>2</v>
      </c>
      <c r="G138" s="32" t="s">
        <v>435</v>
      </c>
      <c r="H138" s="27" t="str">
        <f aca="false">IFERROR(INDEX('الإعدادات واللجنة'!$E$22:$E$29,MATCH(C138,'الإعدادات واللجنة'!$B$22:$B$29,0)),"")</f>
        <v>عضو 7</v>
      </c>
      <c r="I138" s="29"/>
      <c r="J138" s="29"/>
      <c r="K138" s="29"/>
      <c r="L138" s="29"/>
      <c r="M138" s="29"/>
      <c r="N138" s="29"/>
      <c r="O138" s="27" t="str">
        <f aca="false">IF(I138="","",IF(I138="غير متوفر",0,COUNTIF(J138:N138,"نعم")))</f>
        <v/>
      </c>
      <c r="P138" s="27" t="str">
        <f aca="false">IF(I138="","لم يُفحص",IF(I138="غير متوفر","غير موجود",IF(AND(O138=5,I138="متوفر"),"مكتمل",IF(O138&gt;=3,"مقبول","ضعيف"))))</f>
        <v>لم يُفحص</v>
      </c>
      <c r="Q138" s="27" t="str">
        <f aca="false">IF(I138="","",IF(AND(I138="متوفر",O138=5),"لا","نعم"))</f>
        <v/>
      </c>
      <c r="R138" s="27" t="str">
        <f aca="false">IF(Q138&lt;&gt;"نعم","",IF(OR(E138="نعم",I138="غير متوفر"),"عالية",IF(O138&gt;=3,"منخفضة","متوسطة")))</f>
        <v/>
      </c>
      <c r="S138" s="30"/>
      <c r="T138" s="30"/>
      <c r="U138" s="27" t="str">
        <f aca="false">IFERROR(INDEX('الإعدادات واللجنة'!$G$22:$G$29,MATCH(C138,'الإعدادات واللجنة'!$B$22:$B$29,0)),"")</f>
        <v>عضو 8</v>
      </c>
      <c r="V138" s="29"/>
      <c r="W138" s="30"/>
    </row>
    <row r="139" customFormat="false" ht="22.35" hidden="false" customHeight="false" outlineLevel="0" collapsed="false">
      <c r="A139" s="31" t="s">
        <v>432</v>
      </c>
      <c r="B139" s="32" t="s">
        <v>145</v>
      </c>
      <c r="C139" s="32" t="s">
        <v>125</v>
      </c>
      <c r="D139" s="32" t="s">
        <v>433</v>
      </c>
      <c r="E139" s="31" t="s">
        <v>185</v>
      </c>
      <c r="F139" s="31" t="n">
        <v>3</v>
      </c>
      <c r="G139" s="32" t="s">
        <v>436</v>
      </c>
      <c r="H139" s="27" t="str">
        <f aca="false">IFERROR(INDEX('الإعدادات واللجنة'!$E$22:$E$29,MATCH(C139,'الإعدادات واللجنة'!$B$22:$B$29,0)),"")</f>
        <v>عضو 7</v>
      </c>
      <c r="I139" s="29"/>
      <c r="J139" s="29"/>
      <c r="K139" s="29"/>
      <c r="L139" s="29"/>
      <c r="M139" s="29"/>
      <c r="N139" s="29"/>
      <c r="O139" s="27" t="str">
        <f aca="false">IF(I139="","",IF(I139="غير متوفر",0,COUNTIF(J139:N139,"نعم")))</f>
        <v/>
      </c>
      <c r="P139" s="27" t="str">
        <f aca="false">IF(I139="","لم يُفحص",IF(I139="غير متوفر","غير موجود",IF(AND(O139=5,I139="متوفر"),"مكتمل",IF(O139&gt;=3,"مقبول","ضعيف"))))</f>
        <v>لم يُفحص</v>
      </c>
      <c r="Q139" s="27" t="str">
        <f aca="false">IF(I139="","",IF(AND(I139="متوفر",O139=5),"لا","نعم"))</f>
        <v/>
      </c>
      <c r="R139" s="27" t="str">
        <f aca="false">IF(Q139&lt;&gt;"نعم","",IF(OR(E139="نعم",I139="غير متوفر"),"عالية",IF(O139&gt;=3,"منخفضة","متوسطة")))</f>
        <v/>
      </c>
      <c r="S139" s="30"/>
      <c r="T139" s="30"/>
      <c r="U139" s="27" t="str">
        <f aca="false">IFERROR(INDEX('الإعدادات واللجنة'!$G$22:$G$29,MATCH(C139,'الإعدادات واللجنة'!$B$22:$B$29,0)),"")</f>
        <v>عضو 8</v>
      </c>
      <c r="V139" s="29"/>
      <c r="W139" s="30"/>
    </row>
    <row r="140" customFormat="false" ht="22.35" hidden="false" customHeight="false" outlineLevel="0" collapsed="false">
      <c r="A140" s="31" t="s">
        <v>437</v>
      </c>
      <c r="B140" s="32" t="s">
        <v>145</v>
      </c>
      <c r="C140" s="32" t="s">
        <v>125</v>
      </c>
      <c r="D140" s="32" t="s">
        <v>438</v>
      </c>
      <c r="E140" s="31" t="s">
        <v>185</v>
      </c>
      <c r="F140" s="31" t="n">
        <v>1</v>
      </c>
      <c r="G140" s="32" t="s">
        <v>439</v>
      </c>
      <c r="H140" s="27" t="str">
        <f aca="false">IFERROR(INDEX('الإعدادات واللجنة'!$E$22:$E$29,MATCH(C140,'الإعدادات واللجنة'!$B$22:$B$29,0)),"")</f>
        <v>عضو 7</v>
      </c>
      <c r="I140" s="29"/>
      <c r="J140" s="29"/>
      <c r="K140" s="29"/>
      <c r="L140" s="29"/>
      <c r="M140" s="29"/>
      <c r="N140" s="29"/>
      <c r="O140" s="27" t="str">
        <f aca="false">IF(I140="","",IF(I140="غير متوفر",0,COUNTIF(J140:N140,"نعم")))</f>
        <v/>
      </c>
      <c r="P140" s="27" t="str">
        <f aca="false">IF(I140="","لم يُفحص",IF(I140="غير متوفر","غير موجود",IF(AND(O140=5,I140="متوفر"),"مكتمل",IF(O140&gt;=3,"مقبول","ضعيف"))))</f>
        <v>لم يُفحص</v>
      </c>
      <c r="Q140" s="27" t="str">
        <f aca="false">IF(I140="","",IF(AND(I140="متوفر",O140=5),"لا","نعم"))</f>
        <v/>
      </c>
      <c r="R140" s="27" t="str">
        <f aca="false">IF(Q140&lt;&gt;"نعم","",IF(OR(E140="نعم",I140="غير متوفر"),"عالية",IF(O140&gt;=3,"منخفضة","متوسطة")))</f>
        <v/>
      </c>
      <c r="S140" s="30"/>
      <c r="T140" s="30"/>
      <c r="U140" s="27" t="str">
        <f aca="false">IFERROR(INDEX('الإعدادات واللجنة'!$G$22:$G$29,MATCH(C140,'الإعدادات واللجنة'!$B$22:$B$29,0)),"")</f>
        <v>عضو 8</v>
      </c>
      <c r="V140" s="29"/>
      <c r="W140" s="30"/>
    </row>
    <row r="141" customFormat="false" ht="22.35" hidden="false" customHeight="false" outlineLevel="0" collapsed="false">
      <c r="A141" s="31" t="s">
        <v>437</v>
      </c>
      <c r="B141" s="32" t="s">
        <v>145</v>
      </c>
      <c r="C141" s="32" t="s">
        <v>125</v>
      </c>
      <c r="D141" s="32" t="s">
        <v>438</v>
      </c>
      <c r="E141" s="31" t="s">
        <v>185</v>
      </c>
      <c r="F141" s="31" t="n">
        <v>2</v>
      </c>
      <c r="G141" s="32" t="s">
        <v>440</v>
      </c>
      <c r="H141" s="27" t="str">
        <f aca="false">IFERROR(INDEX('الإعدادات واللجنة'!$E$22:$E$29,MATCH(C141,'الإعدادات واللجنة'!$B$22:$B$29,0)),"")</f>
        <v>عضو 7</v>
      </c>
      <c r="I141" s="29"/>
      <c r="J141" s="29"/>
      <c r="K141" s="29"/>
      <c r="L141" s="29"/>
      <c r="M141" s="29"/>
      <c r="N141" s="29"/>
      <c r="O141" s="27" t="str">
        <f aca="false">IF(I141="","",IF(I141="غير متوفر",0,COUNTIF(J141:N141,"نعم")))</f>
        <v/>
      </c>
      <c r="P141" s="27" t="str">
        <f aca="false">IF(I141="","لم يُفحص",IF(I141="غير متوفر","غير موجود",IF(AND(O141=5,I141="متوفر"),"مكتمل",IF(O141&gt;=3,"مقبول","ضعيف"))))</f>
        <v>لم يُفحص</v>
      </c>
      <c r="Q141" s="27" t="str">
        <f aca="false">IF(I141="","",IF(AND(I141="متوفر",O141=5),"لا","نعم"))</f>
        <v/>
      </c>
      <c r="R141" s="27" t="str">
        <f aca="false">IF(Q141&lt;&gt;"نعم","",IF(OR(E141="نعم",I141="غير متوفر"),"عالية",IF(O141&gt;=3,"منخفضة","متوسطة")))</f>
        <v/>
      </c>
      <c r="S141" s="30"/>
      <c r="T141" s="30"/>
      <c r="U141" s="27" t="str">
        <f aca="false">IFERROR(INDEX('الإعدادات واللجنة'!$G$22:$G$29,MATCH(C141,'الإعدادات واللجنة'!$B$22:$B$29,0)),"")</f>
        <v>عضو 8</v>
      </c>
      <c r="V141" s="29"/>
      <c r="W141" s="30"/>
    </row>
    <row r="142" customFormat="false" ht="22.35" hidden="false" customHeight="false" outlineLevel="0" collapsed="false">
      <c r="A142" s="31" t="s">
        <v>437</v>
      </c>
      <c r="B142" s="32" t="s">
        <v>145</v>
      </c>
      <c r="C142" s="32" t="s">
        <v>125</v>
      </c>
      <c r="D142" s="32" t="s">
        <v>438</v>
      </c>
      <c r="E142" s="31" t="s">
        <v>185</v>
      </c>
      <c r="F142" s="31" t="n">
        <v>3</v>
      </c>
      <c r="G142" s="32" t="s">
        <v>441</v>
      </c>
      <c r="H142" s="27" t="str">
        <f aca="false">IFERROR(INDEX('الإعدادات واللجنة'!$E$22:$E$29,MATCH(C142,'الإعدادات واللجنة'!$B$22:$B$29,0)),"")</f>
        <v>عضو 7</v>
      </c>
      <c r="I142" s="29"/>
      <c r="J142" s="29"/>
      <c r="K142" s="29"/>
      <c r="L142" s="29"/>
      <c r="M142" s="29"/>
      <c r="N142" s="29"/>
      <c r="O142" s="27" t="str">
        <f aca="false">IF(I142="","",IF(I142="غير متوفر",0,COUNTIF(J142:N142,"نعم")))</f>
        <v/>
      </c>
      <c r="P142" s="27" t="str">
        <f aca="false">IF(I142="","لم يُفحص",IF(I142="غير متوفر","غير موجود",IF(AND(O142=5,I142="متوفر"),"مكتمل",IF(O142&gt;=3,"مقبول","ضعيف"))))</f>
        <v>لم يُفحص</v>
      </c>
      <c r="Q142" s="27" t="str">
        <f aca="false">IF(I142="","",IF(AND(I142="متوفر",O142=5),"لا","نعم"))</f>
        <v/>
      </c>
      <c r="R142" s="27" t="str">
        <f aca="false">IF(Q142&lt;&gt;"نعم","",IF(OR(E142="نعم",I142="غير متوفر"),"عالية",IF(O142&gt;=3,"منخفضة","متوسطة")))</f>
        <v/>
      </c>
      <c r="S142" s="30"/>
      <c r="T142" s="30"/>
      <c r="U142" s="27" t="str">
        <f aca="false">IFERROR(INDEX('الإعدادات واللجنة'!$G$22:$G$29,MATCH(C142,'الإعدادات واللجنة'!$B$22:$B$29,0)),"")</f>
        <v>عضو 8</v>
      </c>
      <c r="V142" s="29"/>
      <c r="W142" s="30"/>
    </row>
    <row r="143" customFormat="false" ht="22.35" hidden="false" customHeight="false" outlineLevel="0" collapsed="false">
      <c r="A143" s="31" t="s">
        <v>437</v>
      </c>
      <c r="B143" s="32" t="s">
        <v>145</v>
      </c>
      <c r="C143" s="32" t="s">
        <v>125</v>
      </c>
      <c r="D143" s="32" t="s">
        <v>438</v>
      </c>
      <c r="E143" s="31" t="s">
        <v>185</v>
      </c>
      <c r="F143" s="31" t="n">
        <v>4</v>
      </c>
      <c r="G143" s="32" t="s">
        <v>442</v>
      </c>
      <c r="H143" s="27" t="str">
        <f aca="false">IFERROR(INDEX('الإعدادات واللجنة'!$E$22:$E$29,MATCH(C143,'الإعدادات واللجنة'!$B$22:$B$29,0)),"")</f>
        <v>عضو 7</v>
      </c>
      <c r="I143" s="29"/>
      <c r="J143" s="29"/>
      <c r="K143" s="29"/>
      <c r="L143" s="29"/>
      <c r="M143" s="29"/>
      <c r="N143" s="29"/>
      <c r="O143" s="27" t="str">
        <f aca="false">IF(I143="","",IF(I143="غير متوفر",0,COUNTIF(J143:N143,"نعم")))</f>
        <v/>
      </c>
      <c r="P143" s="27" t="str">
        <f aca="false">IF(I143="","لم يُفحص",IF(I143="غير متوفر","غير موجود",IF(AND(O143=5,I143="متوفر"),"مكتمل",IF(O143&gt;=3,"مقبول","ضعيف"))))</f>
        <v>لم يُفحص</v>
      </c>
      <c r="Q143" s="27" t="str">
        <f aca="false">IF(I143="","",IF(AND(I143="متوفر",O143=5),"لا","نعم"))</f>
        <v/>
      </c>
      <c r="R143" s="27" t="str">
        <f aca="false">IF(Q143&lt;&gt;"نعم","",IF(OR(E143="نعم",I143="غير متوفر"),"عالية",IF(O143&gt;=3,"منخفضة","متوسطة")))</f>
        <v/>
      </c>
      <c r="S143" s="30"/>
      <c r="T143" s="30"/>
      <c r="U143" s="27" t="str">
        <f aca="false">IFERROR(INDEX('الإعدادات واللجنة'!$G$22:$G$29,MATCH(C143,'الإعدادات واللجنة'!$B$22:$B$29,0)),"")</f>
        <v>عضو 8</v>
      </c>
      <c r="V143" s="29"/>
      <c r="W143" s="30"/>
    </row>
    <row r="144" customFormat="false" ht="22.35" hidden="false" customHeight="false" outlineLevel="0" collapsed="false">
      <c r="A144" s="31" t="s">
        <v>437</v>
      </c>
      <c r="B144" s="32" t="s">
        <v>145</v>
      </c>
      <c r="C144" s="32" t="s">
        <v>125</v>
      </c>
      <c r="D144" s="32" t="s">
        <v>438</v>
      </c>
      <c r="E144" s="31" t="s">
        <v>185</v>
      </c>
      <c r="F144" s="31" t="n">
        <v>5</v>
      </c>
      <c r="G144" s="32" t="s">
        <v>443</v>
      </c>
      <c r="H144" s="27" t="str">
        <f aca="false">IFERROR(INDEX('الإعدادات واللجنة'!$E$22:$E$29,MATCH(C144,'الإعدادات واللجنة'!$B$22:$B$29,0)),"")</f>
        <v>عضو 7</v>
      </c>
      <c r="I144" s="29"/>
      <c r="J144" s="29"/>
      <c r="K144" s="29"/>
      <c r="L144" s="29"/>
      <c r="M144" s="29"/>
      <c r="N144" s="29"/>
      <c r="O144" s="27" t="str">
        <f aca="false">IF(I144="","",IF(I144="غير متوفر",0,COUNTIF(J144:N144,"نعم")))</f>
        <v/>
      </c>
      <c r="P144" s="27" t="str">
        <f aca="false">IF(I144="","لم يُفحص",IF(I144="غير متوفر","غير موجود",IF(AND(O144=5,I144="متوفر"),"مكتمل",IF(O144&gt;=3,"مقبول","ضعيف"))))</f>
        <v>لم يُفحص</v>
      </c>
      <c r="Q144" s="27" t="str">
        <f aca="false">IF(I144="","",IF(AND(I144="متوفر",O144=5),"لا","نعم"))</f>
        <v/>
      </c>
      <c r="R144" s="27" t="str">
        <f aca="false">IF(Q144&lt;&gt;"نعم","",IF(OR(E144="نعم",I144="غير متوفر"),"عالية",IF(O144&gt;=3,"منخفضة","متوسطة")))</f>
        <v/>
      </c>
      <c r="S144" s="30"/>
      <c r="T144" s="30"/>
      <c r="U144" s="27" t="str">
        <f aca="false">IFERROR(INDEX('الإعدادات واللجنة'!$G$22:$G$29,MATCH(C144,'الإعدادات واللجنة'!$B$22:$B$29,0)),"")</f>
        <v>عضو 8</v>
      </c>
      <c r="V144" s="29"/>
      <c r="W144" s="30"/>
    </row>
    <row r="145" customFormat="false" ht="22.35" hidden="false" customHeight="false" outlineLevel="0" collapsed="false">
      <c r="A145" s="31" t="s">
        <v>437</v>
      </c>
      <c r="B145" s="32" t="s">
        <v>145</v>
      </c>
      <c r="C145" s="32" t="s">
        <v>125</v>
      </c>
      <c r="D145" s="32" t="s">
        <v>438</v>
      </c>
      <c r="E145" s="31" t="s">
        <v>185</v>
      </c>
      <c r="F145" s="31" t="n">
        <v>6</v>
      </c>
      <c r="G145" s="32" t="s">
        <v>444</v>
      </c>
      <c r="H145" s="27" t="str">
        <f aca="false">IFERROR(INDEX('الإعدادات واللجنة'!$E$22:$E$29,MATCH(C145,'الإعدادات واللجنة'!$B$22:$B$29,0)),"")</f>
        <v>عضو 7</v>
      </c>
      <c r="I145" s="29"/>
      <c r="J145" s="29"/>
      <c r="K145" s="29"/>
      <c r="L145" s="29"/>
      <c r="M145" s="29"/>
      <c r="N145" s="29"/>
      <c r="O145" s="27" t="str">
        <f aca="false">IF(I145="","",IF(I145="غير متوفر",0,COUNTIF(J145:N145,"نعم")))</f>
        <v/>
      </c>
      <c r="P145" s="27" t="str">
        <f aca="false">IF(I145="","لم يُفحص",IF(I145="غير متوفر","غير موجود",IF(AND(O145=5,I145="متوفر"),"مكتمل",IF(O145&gt;=3,"مقبول","ضعيف"))))</f>
        <v>لم يُفحص</v>
      </c>
      <c r="Q145" s="27" t="str">
        <f aca="false">IF(I145="","",IF(AND(I145="متوفر",O145=5),"لا","نعم"))</f>
        <v/>
      </c>
      <c r="R145" s="27" t="str">
        <f aca="false">IF(Q145&lt;&gt;"نعم","",IF(OR(E145="نعم",I145="غير متوفر"),"عالية",IF(O145&gt;=3,"منخفضة","متوسطة")))</f>
        <v/>
      </c>
      <c r="S145" s="30"/>
      <c r="T145" s="30"/>
      <c r="U145" s="27" t="str">
        <f aca="false">IFERROR(INDEX('الإعدادات واللجنة'!$G$22:$G$29,MATCH(C145,'الإعدادات واللجنة'!$B$22:$B$29,0)),"")</f>
        <v>عضو 8</v>
      </c>
      <c r="V145" s="29"/>
      <c r="W145" s="30"/>
    </row>
    <row r="146" customFormat="false" ht="22.35" hidden="false" customHeight="false" outlineLevel="0" collapsed="false">
      <c r="A146" s="31" t="s">
        <v>437</v>
      </c>
      <c r="B146" s="32" t="s">
        <v>145</v>
      </c>
      <c r="C146" s="32" t="s">
        <v>125</v>
      </c>
      <c r="D146" s="32" t="s">
        <v>438</v>
      </c>
      <c r="E146" s="31" t="s">
        <v>185</v>
      </c>
      <c r="F146" s="31" t="n">
        <v>7</v>
      </c>
      <c r="G146" s="32" t="s">
        <v>445</v>
      </c>
      <c r="H146" s="27" t="str">
        <f aca="false">IFERROR(INDEX('الإعدادات واللجنة'!$E$22:$E$29,MATCH(C146,'الإعدادات واللجنة'!$B$22:$B$29,0)),"")</f>
        <v>عضو 7</v>
      </c>
      <c r="I146" s="29"/>
      <c r="J146" s="29"/>
      <c r="K146" s="29"/>
      <c r="L146" s="29"/>
      <c r="M146" s="29"/>
      <c r="N146" s="29"/>
      <c r="O146" s="27" t="str">
        <f aca="false">IF(I146="","",IF(I146="غير متوفر",0,COUNTIF(J146:N146,"نعم")))</f>
        <v/>
      </c>
      <c r="P146" s="27" t="str">
        <f aca="false">IF(I146="","لم يُفحص",IF(I146="غير متوفر","غير موجود",IF(AND(O146=5,I146="متوفر"),"مكتمل",IF(O146&gt;=3,"مقبول","ضعيف"))))</f>
        <v>لم يُفحص</v>
      </c>
      <c r="Q146" s="27" t="str">
        <f aca="false">IF(I146="","",IF(AND(I146="متوفر",O146=5),"لا","نعم"))</f>
        <v/>
      </c>
      <c r="R146" s="27" t="str">
        <f aca="false">IF(Q146&lt;&gt;"نعم","",IF(OR(E146="نعم",I146="غير متوفر"),"عالية",IF(O146&gt;=3,"منخفضة","متوسطة")))</f>
        <v/>
      </c>
      <c r="S146" s="30"/>
      <c r="T146" s="30"/>
      <c r="U146" s="27" t="str">
        <f aca="false">IFERROR(INDEX('الإعدادات واللجنة'!$G$22:$G$29,MATCH(C146,'الإعدادات واللجنة'!$B$22:$B$29,0)),"")</f>
        <v>عضو 8</v>
      </c>
      <c r="V146" s="29"/>
      <c r="W146" s="30"/>
    </row>
    <row r="147" customFormat="false" ht="22.35" hidden="false" customHeight="false" outlineLevel="0" collapsed="false">
      <c r="A147" s="27" t="s">
        <v>446</v>
      </c>
      <c r="B147" s="28" t="s">
        <v>145</v>
      </c>
      <c r="C147" s="28" t="s">
        <v>125</v>
      </c>
      <c r="D147" s="28" t="s">
        <v>447</v>
      </c>
      <c r="E147" s="27"/>
      <c r="F147" s="27" t="n">
        <v>1</v>
      </c>
      <c r="G147" s="28" t="s">
        <v>448</v>
      </c>
      <c r="H147" s="27" t="str">
        <f aca="false">IFERROR(INDEX('الإعدادات واللجنة'!$E$22:$E$29,MATCH(C147,'الإعدادات واللجنة'!$B$22:$B$29,0)),"")</f>
        <v>عضو 7</v>
      </c>
      <c r="I147" s="29"/>
      <c r="J147" s="29"/>
      <c r="K147" s="29"/>
      <c r="L147" s="29"/>
      <c r="M147" s="29"/>
      <c r="N147" s="29"/>
      <c r="O147" s="27" t="str">
        <f aca="false">IF(I147="","",IF(I147="غير متوفر",0,COUNTIF(J147:N147,"نعم")))</f>
        <v/>
      </c>
      <c r="P147" s="27" t="str">
        <f aca="false">IF(I147="","لم يُفحص",IF(I147="غير متوفر","غير موجود",IF(AND(O147=5,I147="متوفر"),"مكتمل",IF(O147&gt;=3,"مقبول","ضعيف"))))</f>
        <v>لم يُفحص</v>
      </c>
      <c r="Q147" s="27" t="str">
        <f aca="false">IF(I147="","",IF(AND(I147="متوفر",O147=5),"لا","نعم"))</f>
        <v/>
      </c>
      <c r="R147" s="27" t="str">
        <f aca="false">IF(Q147&lt;&gt;"نعم","",IF(OR(E147="نعم",I147="غير متوفر"),"عالية",IF(O147&gt;=3,"منخفضة","متوسطة")))</f>
        <v/>
      </c>
      <c r="S147" s="30"/>
      <c r="T147" s="30"/>
      <c r="U147" s="27" t="str">
        <f aca="false">IFERROR(INDEX('الإعدادات واللجنة'!$G$22:$G$29,MATCH(C147,'الإعدادات واللجنة'!$B$22:$B$29,0)),"")</f>
        <v>عضو 8</v>
      </c>
      <c r="V147" s="29"/>
      <c r="W147" s="30"/>
    </row>
    <row r="148" customFormat="false" ht="22.35" hidden="false" customHeight="false" outlineLevel="0" collapsed="false">
      <c r="A148" s="27" t="s">
        <v>446</v>
      </c>
      <c r="B148" s="28" t="s">
        <v>145</v>
      </c>
      <c r="C148" s="28" t="s">
        <v>125</v>
      </c>
      <c r="D148" s="28" t="s">
        <v>447</v>
      </c>
      <c r="E148" s="27"/>
      <c r="F148" s="27" t="n">
        <v>2</v>
      </c>
      <c r="G148" s="28" t="s">
        <v>449</v>
      </c>
      <c r="H148" s="27" t="str">
        <f aca="false">IFERROR(INDEX('الإعدادات واللجنة'!$E$22:$E$29,MATCH(C148,'الإعدادات واللجنة'!$B$22:$B$29,0)),"")</f>
        <v>عضو 7</v>
      </c>
      <c r="I148" s="29"/>
      <c r="J148" s="29"/>
      <c r="K148" s="29"/>
      <c r="L148" s="29"/>
      <c r="M148" s="29"/>
      <c r="N148" s="29"/>
      <c r="O148" s="27" t="str">
        <f aca="false">IF(I148="","",IF(I148="غير متوفر",0,COUNTIF(J148:N148,"نعم")))</f>
        <v/>
      </c>
      <c r="P148" s="27" t="str">
        <f aca="false">IF(I148="","لم يُفحص",IF(I148="غير متوفر","غير موجود",IF(AND(O148=5,I148="متوفر"),"مكتمل",IF(O148&gt;=3,"مقبول","ضعيف"))))</f>
        <v>لم يُفحص</v>
      </c>
      <c r="Q148" s="27" t="str">
        <f aca="false">IF(I148="","",IF(AND(I148="متوفر",O148=5),"لا","نعم"))</f>
        <v/>
      </c>
      <c r="R148" s="27" t="str">
        <f aca="false">IF(Q148&lt;&gt;"نعم","",IF(OR(E148="نعم",I148="غير متوفر"),"عالية",IF(O148&gt;=3,"منخفضة","متوسطة")))</f>
        <v/>
      </c>
      <c r="S148" s="30"/>
      <c r="T148" s="30"/>
      <c r="U148" s="27" t="str">
        <f aca="false">IFERROR(INDEX('الإعدادات واللجنة'!$G$22:$G$29,MATCH(C148,'الإعدادات واللجنة'!$B$22:$B$29,0)),"")</f>
        <v>عضو 8</v>
      </c>
      <c r="V148" s="29"/>
      <c r="W148" s="30"/>
    </row>
    <row r="149" customFormat="false" ht="22.35" hidden="false" customHeight="false" outlineLevel="0" collapsed="false">
      <c r="A149" s="27" t="s">
        <v>446</v>
      </c>
      <c r="B149" s="28" t="s">
        <v>145</v>
      </c>
      <c r="C149" s="28" t="s">
        <v>125</v>
      </c>
      <c r="D149" s="28" t="s">
        <v>447</v>
      </c>
      <c r="E149" s="27"/>
      <c r="F149" s="27" t="n">
        <v>3</v>
      </c>
      <c r="G149" s="28" t="s">
        <v>450</v>
      </c>
      <c r="H149" s="27" t="str">
        <f aca="false">IFERROR(INDEX('الإعدادات واللجنة'!$E$22:$E$29,MATCH(C149,'الإعدادات واللجنة'!$B$22:$B$29,0)),"")</f>
        <v>عضو 7</v>
      </c>
      <c r="I149" s="29"/>
      <c r="J149" s="29"/>
      <c r="K149" s="29"/>
      <c r="L149" s="29"/>
      <c r="M149" s="29"/>
      <c r="N149" s="29"/>
      <c r="O149" s="27" t="str">
        <f aca="false">IF(I149="","",IF(I149="غير متوفر",0,COUNTIF(J149:N149,"نعم")))</f>
        <v/>
      </c>
      <c r="P149" s="27" t="str">
        <f aca="false">IF(I149="","لم يُفحص",IF(I149="غير متوفر","غير موجود",IF(AND(O149=5,I149="متوفر"),"مكتمل",IF(O149&gt;=3,"مقبول","ضعيف"))))</f>
        <v>لم يُفحص</v>
      </c>
      <c r="Q149" s="27" t="str">
        <f aca="false">IF(I149="","",IF(AND(I149="متوفر",O149=5),"لا","نعم"))</f>
        <v/>
      </c>
      <c r="R149" s="27" t="str">
        <f aca="false">IF(Q149&lt;&gt;"نعم","",IF(OR(E149="نعم",I149="غير متوفر"),"عالية",IF(O149&gt;=3,"منخفضة","متوسطة")))</f>
        <v/>
      </c>
      <c r="S149" s="30"/>
      <c r="T149" s="30"/>
      <c r="U149" s="27" t="str">
        <f aca="false">IFERROR(INDEX('الإعدادات واللجنة'!$G$22:$G$29,MATCH(C149,'الإعدادات واللجنة'!$B$22:$B$29,0)),"")</f>
        <v>عضو 8</v>
      </c>
      <c r="V149" s="29"/>
      <c r="W149" s="30"/>
    </row>
    <row r="150" customFormat="false" ht="22.35" hidden="false" customHeight="false" outlineLevel="0" collapsed="false">
      <c r="A150" s="27" t="s">
        <v>446</v>
      </c>
      <c r="B150" s="28" t="s">
        <v>145</v>
      </c>
      <c r="C150" s="28" t="s">
        <v>125</v>
      </c>
      <c r="D150" s="28" t="s">
        <v>447</v>
      </c>
      <c r="E150" s="27"/>
      <c r="F150" s="27" t="n">
        <v>4</v>
      </c>
      <c r="G150" s="28" t="s">
        <v>451</v>
      </c>
      <c r="H150" s="27" t="str">
        <f aca="false">IFERROR(INDEX('الإعدادات واللجنة'!$E$22:$E$29,MATCH(C150,'الإعدادات واللجنة'!$B$22:$B$29,0)),"")</f>
        <v>عضو 7</v>
      </c>
      <c r="I150" s="29"/>
      <c r="J150" s="29"/>
      <c r="K150" s="29"/>
      <c r="L150" s="29"/>
      <c r="M150" s="29"/>
      <c r="N150" s="29"/>
      <c r="O150" s="27" t="str">
        <f aca="false">IF(I150="","",IF(I150="غير متوفر",0,COUNTIF(J150:N150,"نعم")))</f>
        <v/>
      </c>
      <c r="P150" s="27" t="str">
        <f aca="false">IF(I150="","لم يُفحص",IF(I150="غير متوفر","غير موجود",IF(AND(O150=5,I150="متوفر"),"مكتمل",IF(O150&gt;=3,"مقبول","ضعيف"))))</f>
        <v>لم يُفحص</v>
      </c>
      <c r="Q150" s="27" t="str">
        <f aca="false">IF(I150="","",IF(AND(I150="متوفر",O150=5),"لا","نعم"))</f>
        <v/>
      </c>
      <c r="R150" s="27" t="str">
        <f aca="false">IF(Q150&lt;&gt;"نعم","",IF(OR(E150="نعم",I150="غير متوفر"),"عالية",IF(O150&gt;=3,"منخفضة","متوسطة")))</f>
        <v/>
      </c>
      <c r="S150" s="30"/>
      <c r="T150" s="30"/>
      <c r="U150" s="27" t="str">
        <f aca="false">IFERROR(INDEX('الإعدادات واللجنة'!$G$22:$G$29,MATCH(C150,'الإعدادات واللجنة'!$B$22:$B$29,0)),"")</f>
        <v>عضو 8</v>
      </c>
      <c r="V150" s="29"/>
      <c r="W150" s="30"/>
    </row>
    <row r="151" customFormat="false" ht="22.35" hidden="false" customHeight="false" outlineLevel="0" collapsed="false">
      <c r="A151" s="27" t="s">
        <v>452</v>
      </c>
      <c r="B151" s="28" t="s">
        <v>145</v>
      </c>
      <c r="C151" s="28" t="s">
        <v>125</v>
      </c>
      <c r="D151" s="28" t="s">
        <v>453</v>
      </c>
      <c r="E151" s="27"/>
      <c r="F151" s="27" t="n">
        <v>1</v>
      </c>
      <c r="G151" s="28" t="s">
        <v>454</v>
      </c>
      <c r="H151" s="27" t="str">
        <f aca="false">IFERROR(INDEX('الإعدادات واللجنة'!$E$22:$E$29,MATCH(C151,'الإعدادات واللجنة'!$B$22:$B$29,0)),"")</f>
        <v>عضو 7</v>
      </c>
      <c r="I151" s="29"/>
      <c r="J151" s="29"/>
      <c r="K151" s="29"/>
      <c r="L151" s="29"/>
      <c r="M151" s="29"/>
      <c r="N151" s="29"/>
      <c r="O151" s="27" t="str">
        <f aca="false">IF(I151="","",IF(I151="غير متوفر",0,COUNTIF(J151:N151,"نعم")))</f>
        <v/>
      </c>
      <c r="P151" s="27" t="str">
        <f aca="false">IF(I151="","لم يُفحص",IF(I151="غير متوفر","غير موجود",IF(AND(O151=5,I151="متوفر"),"مكتمل",IF(O151&gt;=3,"مقبول","ضعيف"))))</f>
        <v>لم يُفحص</v>
      </c>
      <c r="Q151" s="27" t="str">
        <f aca="false">IF(I151="","",IF(AND(I151="متوفر",O151=5),"لا","نعم"))</f>
        <v/>
      </c>
      <c r="R151" s="27" t="str">
        <f aca="false">IF(Q151&lt;&gt;"نعم","",IF(OR(E151="نعم",I151="غير متوفر"),"عالية",IF(O151&gt;=3,"منخفضة","متوسطة")))</f>
        <v/>
      </c>
      <c r="S151" s="30"/>
      <c r="T151" s="30"/>
      <c r="U151" s="27" t="str">
        <f aca="false">IFERROR(INDEX('الإعدادات واللجنة'!$G$22:$G$29,MATCH(C151,'الإعدادات واللجنة'!$B$22:$B$29,0)),"")</f>
        <v>عضو 8</v>
      </c>
      <c r="V151" s="29"/>
      <c r="W151" s="30"/>
    </row>
    <row r="152" customFormat="false" ht="22.35" hidden="false" customHeight="false" outlineLevel="0" collapsed="false">
      <c r="A152" s="27" t="s">
        <v>452</v>
      </c>
      <c r="B152" s="28" t="s">
        <v>145</v>
      </c>
      <c r="C152" s="28" t="s">
        <v>125</v>
      </c>
      <c r="D152" s="28" t="s">
        <v>453</v>
      </c>
      <c r="E152" s="27"/>
      <c r="F152" s="27" t="n">
        <v>2</v>
      </c>
      <c r="G152" s="28" t="s">
        <v>455</v>
      </c>
      <c r="H152" s="27" t="str">
        <f aca="false">IFERROR(INDEX('الإعدادات واللجنة'!$E$22:$E$29,MATCH(C152,'الإعدادات واللجنة'!$B$22:$B$29,0)),"")</f>
        <v>عضو 7</v>
      </c>
      <c r="I152" s="29"/>
      <c r="J152" s="29"/>
      <c r="K152" s="29"/>
      <c r="L152" s="29"/>
      <c r="M152" s="29"/>
      <c r="N152" s="29"/>
      <c r="O152" s="27" t="str">
        <f aca="false">IF(I152="","",IF(I152="غير متوفر",0,COUNTIF(J152:N152,"نعم")))</f>
        <v/>
      </c>
      <c r="P152" s="27" t="str">
        <f aca="false">IF(I152="","لم يُفحص",IF(I152="غير متوفر","غير موجود",IF(AND(O152=5,I152="متوفر"),"مكتمل",IF(O152&gt;=3,"مقبول","ضعيف"))))</f>
        <v>لم يُفحص</v>
      </c>
      <c r="Q152" s="27" t="str">
        <f aca="false">IF(I152="","",IF(AND(I152="متوفر",O152=5),"لا","نعم"))</f>
        <v/>
      </c>
      <c r="R152" s="27" t="str">
        <f aca="false">IF(Q152&lt;&gt;"نعم","",IF(OR(E152="نعم",I152="غير متوفر"),"عالية",IF(O152&gt;=3,"منخفضة","متوسطة")))</f>
        <v/>
      </c>
      <c r="S152" s="30"/>
      <c r="T152" s="30"/>
      <c r="U152" s="27" t="str">
        <f aca="false">IFERROR(INDEX('الإعدادات واللجنة'!$G$22:$G$29,MATCH(C152,'الإعدادات واللجنة'!$B$22:$B$29,0)),"")</f>
        <v>عضو 8</v>
      </c>
      <c r="V152" s="29"/>
      <c r="W152" s="30"/>
    </row>
    <row r="153" customFormat="false" ht="22.35" hidden="false" customHeight="false" outlineLevel="0" collapsed="false">
      <c r="A153" s="27" t="s">
        <v>452</v>
      </c>
      <c r="B153" s="28" t="s">
        <v>145</v>
      </c>
      <c r="C153" s="28" t="s">
        <v>125</v>
      </c>
      <c r="D153" s="28" t="s">
        <v>453</v>
      </c>
      <c r="E153" s="27"/>
      <c r="F153" s="27" t="n">
        <v>3</v>
      </c>
      <c r="G153" s="28" t="s">
        <v>456</v>
      </c>
      <c r="H153" s="27" t="str">
        <f aca="false">IFERROR(INDEX('الإعدادات واللجنة'!$E$22:$E$29,MATCH(C153,'الإعدادات واللجنة'!$B$22:$B$29,0)),"")</f>
        <v>عضو 7</v>
      </c>
      <c r="I153" s="29"/>
      <c r="J153" s="29"/>
      <c r="K153" s="29"/>
      <c r="L153" s="29"/>
      <c r="M153" s="29"/>
      <c r="N153" s="29"/>
      <c r="O153" s="27" t="str">
        <f aca="false">IF(I153="","",IF(I153="غير متوفر",0,COUNTIF(J153:N153,"نعم")))</f>
        <v/>
      </c>
      <c r="P153" s="27" t="str">
        <f aca="false">IF(I153="","لم يُفحص",IF(I153="غير متوفر","غير موجود",IF(AND(O153=5,I153="متوفر"),"مكتمل",IF(O153&gt;=3,"مقبول","ضعيف"))))</f>
        <v>لم يُفحص</v>
      </c>
      <c r="Q153" s="27" t="str">
        <f aca="false">IF(I153="","",IF(AND(I153="متوفر",O153=5),"لا","نعم"))</f>
        <v/>
      </c>
      <c r="R153" s="27" t="str">
        <f aca="false">IF(Q153&lt;&gt;"نعم","",IF(OR(E153="نعم",I153="غير متوفر"),"عالية",IF(O153&gt;=3,"منخفضة","متوسطة")))</f>
        <v/>
      </c>
      <c r="S153" s="30"/>
      <c r="T153" s="30"/>
      <c r="U153" s="27" t="str">
        <f aca="false">IFERROR(INDEX('الإعدادات واللجنة'!$G$22:$G$29,MATCH(C153,'الإعدادات واللجنة'!$B$22:$B$29,0)),"")</f>
        <v>عضو 8</v>
      </c>
      <c r="V153" s="29"/>
      <c r="W153" s="30"/>
    </row>
    <row r="154" customFormat="false" ht="22.35" hidden="false" customHeight="false" outlineLevel="0" collapsed="false">
      <c r="A154" s="27" t="s">
        <v>452</v>
      </c>
      <c r="B154" s="28" t="s">
        <v>145</v>
      </c>
      <c r="C154" s="28" t="s">
        <v>125</v>
      </c>
      <c r="D154" s="28" t="s">
        <v>453</v>
      </c>
      <c r="E154" s="27"/>
      <c r="F154" s="27" t="n">
        <v>4</v>
      </c>
      <c r="G154" s="28" t="s">
        <v>457</v>
      </c>
      <c r="H154" s="27" t="str">
        <f aca="false">IFERROR(INDEX('الإعدادات واللجنة'!$E$22:$E$29,MATCH(C154,'الإعدادات واللجنة'!$B$22:$B$29,0)),"")</f>
        <v>عضو 7</v>
      </c>
      <c r="I154" s="29"/>
      <c r="J154" s="29"/>
      <c r="K154" s="29"/>
      <c r="L154" s="29"/>
      <c r="M154" s="29"/>
      <c r="N154" s="29"/>
      <c r="O154" s="27" t="str">
        <f aca="false">IF(I154="","",IF(I154="غير متوفر",0,COUNTIF(J154:N154,"نعم")))</f>
        <v/>
      </c>
      <c r="P154" s="27" t="str">
        <f aca="false">IF(I154="","لم يُفحص",IF(I154="غير متوفر","غير موجود",IF(AND(O154=5,I154="متوفر"),"مكتمل",IF(O154&gt;=3,"مقبول","ضعيف"))))</f>
        <v>لم يُفحص</v>
      </c>
      <c r="Q154" s="27" t="str">
        <f aca="false">IF(I154="","",IF(AND(I154="متوفر",O154=5),"لا","نعم"))</f>
        <v/>
      </c>
      <c r="R154" s="27" t="str">
        <f aca="false">IF(Q154&lt;&gt;"نعم","",IF(OR(E154="نعم",I154="غير متوفر"),"عالية",IF(O154&gt;=3,"منخفضة","متوسطة")))</f>
        <v/>
      </c>
      <c r="S154" s="30"/>
      <c r="T154" s="30"/>
      <c r="U154" s="27" t="str">
        <f aca="false">IFERROR(INDEX('الإعدادات واللجنة'!$G$22:$G$29,MATCH(C154,'الإعدادات واللجنة'!$B$22:$B$29,0)),"")</f>
        <v>عضو 8</v>
      </c>
      <c r="V154" s="29"/>
      <c r="W154" s="30"/>
    </row>
    <row r="155" customFormat="false" ht="32.8" hidden="false" customHeight="false" outlineLevel="0" collapsed="false">
      <c r="A155" s="27" t="s">
        <v>458</v>
      </c>
      <c r="B155" s="28" t="s">
        <v>145</v>
      </c>
      <c r="C155" s="28" t="s">
        <v>125</v>
      </c>
      <c r="D155" s="28" t="s">
        <v>459</v>
      </c>
      <c r="E155" s="27"/>
      <c r="F155" s="27" t="n">
        <v>1</v>
      </c>
      <c r="G155" s="28" t="s">
        <v>460</v>
      </c>
      <c r="H155" s="27" t="str">
        <f aca="false">IFERROR(INDEX('الإعدادات واللجنة'!$E$22:$E$29,MATCH(C155,'الإعدادات واللجنة'!$B$22:$B$29,0)),"")</f>
        <v>عضو 7</v>
      </c>
      <c r="I155" s="29"/>
      <c r="J155" s="29"/>
      <c r="K155" s="29"/>
      <c r="L155" s="29"/>
      <c r="M155" s="29"/>
      <c r="N155" s="29"/>
      <c r="O155" s="27" t="str">
        <f aca="false">IF(I155="","",IF(I155="غير متوفر",0,COUNTIF(J155:N155,"نعم")))</f>
        <v/>
      </c>
      <c r="P155" s="27" t="str">
        <f aca="false">IF(I155="","لم يُفحص",IF(I155="غير متوفر","غير موجود",IF(AND(O155=5,I155="متوفر"),"مكتمل",IF(O155&gt;=3,"مقبول","ضعيف"))))</f>
        <v>لم يُفحص</v>
      </c>
      <c r="Q155" s="27" t="str">
        <f aca="false">IF(I155="","",IF(AND(I155="متوفر",O155=5),"لا","نعم"))</f>
        <v/>
      </c>
      <c r="R155" s="27" t="str">
        <f aca="false">IF(Q155&lt;&gt;"نعم","",IF(OR(E155="نعم",I155="غير متوفر"),"عالية",IF(O155&gt;=3,"منخفضة","متوسطة")))</f>
        <v/>
      </c>
      <c r="S155" s="30"/>
      <c r="T155" s="30"/>
      <c r="U155" s="27" t="str">
        <f aca="false">IFERROR(INDEX('الإعدادات واللجنة'!$G$22:$G$29,MATCH(C155,'الإعدادات واللجنة'!$B$22:$B$29,0)),"")</f>
        <v>عضو 8</v>
      </c>
      <c r="V155" s="29"/>
      <c r="W155" s="30"/>
    </row>
    <row r="156" customFormat="false" ht="32.8" hidden="false" customHeight="false" outlineLevel="0" collapsed="false">
      <c r="A156" s="27" t="s">
        <v>458</v>
      </c>
      <c r="B156" s="28" t="s">
        <v>145</v>
      </c>
      <c r="C156" s="28" t="s">
        <v>125</v>
      </c>
      <c r="D156" s="28" t="s">
        <v>459</v>
      </c>
      <c r="E156" s="27"/>
      <c r="F156" s="27" t="n">
        <v>2</v>
      </c>
      <c r="G156" s="28" t="s">
        <v>461</v>
      </c>
      <c r="H156" s="27" t="str">
        <f aca="false">IFERROR(INDEX('الإعدادات واللجنة'!$E$22:$E$29,MATCH(C156,'الإعدادات واللجنة'!$B$22:$B$29,0)),"")</f>
        <v>عضو 7</v>
      </c>
      <c r="I156" s="29"/>
      <c r="J156" s="29"/>
      <c r="K156" s="29"/>
      <c r="L156" s="29"/>
      <c r="M156" s="29"/>
      <c r="N156" s="29"/>
      <c r="O156" s="27" t="str">
        <f aca="false">IF(I156="","",IF(I156="غير متوفر",0,COUNTIF(J156:N156,"نعم")))</f>
        <v/>
      </c>
      <c r="P156" s="27" t="str">
        <f aca="false">IF(I156="","لم يُفحص",IF(I156="غير متوفر","غير موجود",IF(AND(O156=5,I156="متوفر"),"مكتمل",IF(O156&gt;=3,"مقبول","ضعيف"))))</f>
        <v>لم يُفحص</v>
      </c>
      <c r="Q156" s="27" t="str">
        <f aca="false">IF(I156="","",IF(AND(I156="متوفر",O156=5),"لا","نعم"))</f>
        <v/>
      </c>
      <c r="R156" s="27" t="str">
        <f aca="false">IF(Q156&lt;&gt;"نعم","",IF(OR(E156="نعم",I156="غير متوفر"),"عالية",IF(O156&gt;=3,"منخفضة","متوسطة")))</f>
        <v/>
      </c>
      <c r="S156" s="30"/>
      <c r="T156" s="30"/>
      <c r="U156" s="27" t="str">
        <f aca="false">IFERROR(INDEX('الإعدادات واللجنة'!$G$22:$G$29,MATCH(C156,'الإعدادات واللجنة'!$B$22:$B$29,0)),"")</f>
        <v>عضو 8</v>
      </c>
      <c r="V156" s="29"/>
      <c r="W156" s="30"/>
    </row>
    <row r="157" customFormat="false" ht="32.8" hidden="false" customHeight="false" outlineLevel="0" collapsed="false">
      <c r="A157" s="27" t="s">
        <v>458</v>
      </c>
      <c r="B157" s="28" t="s">
        <v>145</v>
      </c>
      <c r="C157" s="28" t="s">
        <v>125</v>
      </c>
      <c r="D157" s="28" t="s">
        <v>459</v>
      </c>
      <c r="E157" s="27"/>
      <c r="F157" s="27" t="n">
        <v>3</v>
      </c>
      <c r="G157" s="28" t="s">
        <v>462</v>
      </c>
      <c r="H157" s="27" t="str">
        <f aca="false">IFERROR(INDEX('الإعدادات واللجنة'!$E$22:$E$29,MATCH(C157,'الإعدادات واللجنة'!$B$22:$B$29,0)),"")</f>
        <v>عضو 7</v>
      </c>
      <c r="I157" s="29"/>
      <c r="J157" s="29"/>
      <c r="K157" s="29"/>
      <c r="L157" s="29"/>
      <c r="M157" s="29"/>
      <c r="N157" s="29"/>
      <c r="O157" s="27" t="str">
        <f aca="false">IF(I157="","",IF(I157="غير متوفر",0,COUNTIF(J157:N157,"نعم")))</f>
        <v/>
      </c>
      <c r="P157" s="27" t="str">
        <f aca="false">IF(I157="","لم يُفحص",IF(I157="غير متوفر","غير موجود",IF(AND(O157=5,I157="متوفر"),"مكتمل",IF(O157&gt;=3,"مقبول","ضعيف"))))</f>
        <v>لم يُفحص</v>
      </c>
      <c r="Q157" s="27" t="str">
        <f aca="false">IF(I157="","",IF(AND(I157="متوفر",O157=5),"لا","نعم"))</f>
        <v/>
      </c>
      <c r="R157" s="27" t="str">
        <f aca="false">IF(Q157&lt;&gt;"نعم","",IF(OR(E157="نعم",I157="غير متوفر"),"عالية",IF(O157&gt;=3,"منخفضة","متوسطة")))</f>
        <v/>
      </c>
      <c r="S157" s="30"/>
      <c r="T157" s="30"/>
      <c r="U157" s="27" t="str">
        <f aca="false">IFERROR(INDEX('الإعدادات واللجنة'!$G$22:$G$29,MATCH(C157,'الإعدادات واللجنة'!$B$22:$B$29,0)),"")</f>
        <v>عضو 8</v>
      </c>
      <c r="V157" s="29"/>
      <c r="W157" s="30"/>
    </row>
    <row r="158" customFormat="false" ht="32.8" hidden="false" customHeight="false" outlineLevel="0" collapsed="false">
      <c r="A158" s="27" t="s">
        <v>458</v>
      </c>
      <c r="B158" s="28" t="s">
        <v>145</v>
      </c>
      <c r="C158" s="28" t="s">
        <v>125</v>
      </c>
      <c r="D158" s="28" t="s">
        <v>459</v>
      </c>
      <c r="E158" s="27"/>
      <c r="F158" s="27" t="n">
        <v>4</v>
      </c>
      <c r="G158" s="28" t="s">
        <v>463</v>
      </c>
      <c r="H158" s="27" t="str">
        <f aca="false">IFERROR(INDEX('الإعدادات واللجنة'!$E$22:$E$29,MATCH(C158,'الإعدادات واللجنة'!$B$22:$B$29,0)),"")</f>
        <v>عضو 7</v>
      </c>
      <c r="I158" s="29"/>
      <c r="J158" s="29"/>
      <c r="K158" s="29"/>
      <c r="L158" s="29"/>
      <c r="M158" s="29"/>
      <c r="N158" s="29"/>
      <c r="O158" s="27" t="str">
        <f aca="false">IF(I158="","",IF(I158="غير متوفر",0,COUNTIF(J158:N158,"نعم")))</f>
        <v/>
      </c>
      <c r="P158" s="27" t="str">
        <f aca="false">IF(I158="","لم يُفحص",IF(I158="غير متوفر","غير موجود",IF(AND(O158=5,I158="متوفر"),"مكتمل",IF(O158&gt;=3,"مقبول","ضعيف"))))</f>
        <v>لم يُفحص</v>
      </c>
      <c r="Q158" s="27" t="str">
        <f aca="false">IF(I158="","",IF(AND(I158="متوفر",O158=5),"لا","نعم"))</f>
        <v/>
      </c>
      <c r="R158" s="27" t="str">
        <f aca="false">IF(Q158&lt;&gt;"نعم","",IF(OR(E158="نعم",I158="غير متوفر"),"عالية",IF(O158&gt;=3,"منخفضة","متوسطة")))</f>
        <v/>
      </c>
      <c r="S158" s="30"/>
      <c r="T158" s="30"/>
      <c r="U158" s="27" t="str">
        <f aca="false">IFERROR(INDEX('الإعدادات واللجنة'!$G$22:$G$29,MATCH(C158,'الإعدادات واللجنة'!$B$22:$B$29,0)),"")</f>
        <v>عضو 8</v>
      </c>
      <c r="V158" s="29"/>
      <c r="W158" s="30"/>
    </row>
    <row r="159" customFormat="false" ht="32.8" hidden="false" customHeight="false" outlineLevel="0" collapsed="false">
      <c r="A159" s="27" t="s">
        <v>458</v>
      </c>
      <c r="B159" s="28" t="s">
        <v>145</v>
      </c>
      <c r="C159" s="28" t="s">
        <v>125</v>
      </c>
      <c r="D159" s="28" t="s">
        <v>459</v>
      </c>
      <c r="E159" s="27"/>
      <c r="F159" s="27" t="n">
        <v>5</v>
      </c>
      <c r="G159" s="28" t="s">
        <v>464</v>
      </c>
      <c r="H159" s="27" t="str">
        <f aca="false">IFERROR(INDEX('الإعدادات واللجنة'!$E$22:$E$29,MATCH(C159,'الإعدادات واللجنة'!$B$22:$B$29,0)),"")</f>
        <v>عضو 7</v>
      </c>
      <c r="I159" s="29"/>
      <c r="J159" s="29"/>
      <c r="K159" s="29"/>
      <c r="L159" s="29"/>
      <c r="M159" s="29"/>
      <c r="N159" s="29"/>
      <c r="O159" s="27" t="str">
        <f aca="false">IF(I159="","",IF(I159="غير متوفر",0,COUNTIF(J159:N159,"نعم")))</f>
        <v/>
      </c>
      <c r="P159" s="27" t="str">
        <f aca="false">IF(I159="","لم يُفحص",IF(I159="غير متوفر","غير موجود",IF(AND(O159=5,I159="متوفر"),"مكتمل",IF(O159&gt;=3,"مقبول","ضعيف"))))</f>
        <v>لم يُفحص</v>
      </c>
      <c r="Q159" s="27" t="str">
        <f aca="false">IF(I159="","",IF(AND(I159="متوفر",O159=5),"لا","نعم"))</f>
        <v/>
      </c>
      <c r="R159" s="27" t="str">
        <f aca="false">IF(Q159&lt;&gt;"نعم","",IF(OR(E159="نعم",I159="غير متوفر"),"عالية",IF(O159&gt;=3,"منخفضة","متوسطة")))</f>
        <v/>
      </c>
      <c r="S159" s="30"/>
      <c r="T159" s="30"/>
      <c r="U159" s="27" t="str">
        <f aca="false">IFERROR(INDEX('الإعدادات واللجنة'!$G$22:$G$29,MATCH(C159,'الإعدادات واللجنة'!$B$22:$B$29,0)),"")</f>
        <v>عضو 8</v>
      </c>
      <c r="V159" s="29"/>
      <c r="W159" s="30"/>
    </row>
    <row r="160" customFormat="false" ht="32.8" hidden="false" customHeight="false" outlineLevel="0" collapsed="false">
      <c r="A160" s="27" t="s">
        <v>458</v>
      </c>
      <c r="B160" s="28" t="s">
        <v>145</v>
      </c>
      <c r="C160" s="28" t="s">
        <v>125</v>
      </c>
      <c r="D160" s="28" t="s">
        <v>459</v>
      </c>
      <c r="E160" s="27"/>
      <c r="F160" s="27" t="n">
        <v>6</v>
      </c>
      <c r="G160" s="28" t="s">
        <v>465</v>
      </c>
      <c r="H160" s="27" t="str">
        <f aca="false">IFERROR(INDEX('الإعدادات واللجنة'!$E$22:$E$29,MATCH(C160,'الإعدادات واللجنة'!$B$22:$B$29,0)),"")</f>
        <v>عضو 7</v>
      </c>
      <c r="I160" s="29"/>
      <c r="J160" s="29"/>
      <c r="K160" s="29"/>
      <c r="L160" s="29"/>
      <c r="M160" s="29"/>
      <c r="N160" s="29"/>
      <c r="O160" s="27" t="str">
        <f aca="false">IF(I160="","",IF(I160="غير متوفر",0,COUNTIF(J160:N160,"نعم")))</f>
        <v/>
      </c>
      <c r="P160" s="27" t="str">
        <f aca="false">IF(I160="","لم يُفحص",IF(I160="غير متوفر","غير موجود",IF(AND(O160=5,I160="متوفر"),"مكتمل",IF(O160&gt;=3,"مقبول","ضعيف"))))</f>
        <v>لم يُفحص</v>
      </c>
      <c r="Q160" s="27" t="str">
        <f aca="false">IF(I160="","",IF(AND(I160="متوفر",O160=5),"لا","نعم"))</f>
        <v/>
      </c>
      <c r="R160" s="27" t="str">
        <f aca="false">IF(Q160&lt;&gt;"نعم","",IF(OR(E160="نعم",I160="غير متوفر"),"عالية",IF(O160&gt;=3,"منخفضة","متوسطة")))</f>
        <v/>
      </c>
      <c r="S160" s="30"/>
      <c r="T160" s="30"/>
      <c r="U160" s="27" t="str">
        <f aca="false">IFERROR(INDEX('الإعدادات واللجنة'!$G$22:$G$29,MATCH(C160,'الإعدادات واللجنة'!$B$22:$B$29,0)),"")</f>
        <v>عضو 8</v>
      </c>
      <c r="V160" s="29"/>
      <c r="W160" s="30"/>
    </row>
    <row r="161" customFormat="false" ht="22.35" hidden="false" customHeight="false" outlineLevel="0" collapsed="false">
      <c r="A161" s="31" t="s">
        <v>466</v>
      </c>
      <c r="B161" s="32" t="s">
        <v>145</v>
      </c>
      <c r="C161" s="32" t="s">
        <v>125</v>
      </c>
      <c r="D161" s="32" t="s">
        <v>467</v>
      </c>
      <c r="E161" s="31" t="s">
        <v>185</v>
      </c>
      <c r="F161" s="31" t="n">
        <v>1</v>
      </c>
      <c r="G161" s="32" t="s">
        <v>468</v>
      </c>
      <c r="H161" s="27" t="str">
        <f aca="false">IFERROR(INDEX('الإعدادات واللجنة'!$E$22:$E$29,MATCH(C161,'الإعدادات واللجنة'!$B$22:$B$29,0)),"")</f>
        <v>عضو 7</v>
      </c>
      <c r="I161" s="29"/>
      <c r="J161" s="29"/>
      <c r="K161" s="29"/>
      <c r="L161" s="29"/>
      <c r="M161" s="29"/>
      <c r="N161" s="29"/>
      <c r="O161" s="27" t="str">
        <f aca="false">IF(I161="","",IF(I161="غير متوفر",0,COUNTIF(J161:N161,"نعم")))</f>
        <v/>
      </c>
      <c r="P161" s="27" t="str">
        <f aca="false">IF(I161="","لم يُفحص",IF(I161="غير متوفر","غير موجود",IF(AND(O161=5,I161="متوفر"),"مكتمل",IF(O161&gt;=3,"مقبول","ضعيف"))))</f>
        <v>لم يُفحص</v>
      </c>
      <c r="Q161" s="27" t="str">
        <f aca="false">IF(I161="","",IF(AND(I161="متوفر",O161=5),"لا","نعم"))</f>
        <v/>
      </c>
      <c r="R161" s="27" t="str">
        <f aca="false">IF(Q161&lt;&gt;"نعم","",IF(OR(E161="نعم",I161="غير متوفر"),"عالية",IF(O161&gt;=3,"منخفضة","متوسطة")))</f>
        <v/>
      </c>
      <c r="S161" s="30"/>
      <c r="T161" s="30"/>
      <c r="U161" s="27" t="str">
        <f aca="false">IFERROR(INDEX('الإعدادات واللجنة'!$G$22:$G$29,MATCH(C161,'الإعدادات واللجنة'!$B$22:$B$29,0)),"")</f>
        <v>عضو 8</v>
      </c>
      <c r="V161" s="29"/>
      <c r="W161" s="30"/>
    </row>
    <row r="162" customFormat="false" ht="22.35" hidden="false" customHeight="false" outlineLevel="0" collapsed="false">
      <c r="A162" s="31" t="s">
        <v>466</v>
      </c>
      <c r="B162" s="32" t="s">
        <v>145</v>
      </c>
      <c r="C162" s="32" t="s">
        <v>125</v>
      </c>
      <c r="D162" s="32" t="s">
        <v>467</v>
      </c>
      <c r="E162" s="31" t="s">
        <v>185</v>
      </c>
      <c r="F162" s="31" t="n">
        <v>2</v>
      </c>
      <c r="G162" s="32" t="s">
        <v>469</v>
      </c>
      <c r="H162" s="27" t="str">
        <f aca="false">IFERROR(INDEX('الإعدادات واللجنة'!$E$22:$E$29,MATCH(C162,'الإعدادات واللجنة'!$B$22:$B$29,0)),"")</f>
        <v>عضو 7</v>
      </c>
      <c r="I162" s="29"/>
      <c r="J162" s="29"/>
      <c r="K162" s="29"/>
      <c r="L162" s="29"/>
      <c r="M162" s="29"/>
      <c r="N162" s="29"/>
      <c r="O162" s="27" t="str">
        <f aca="false">IF(I162="","",IF(I162="غير متوفر",0,COUNTIF(J162:N162,"نعم")))</f>
        <v/>
      </c>
      <c r="P162" s="27" t="str">
        <f aca="false">IF(I162="","لم يُفحص",IF(I162="غير متوفر","غير موجود",IF(AND(O162=5,I162="متوفر"),"مكتمل",IF(O162&gt;=3,"مقبول","ضعيف"))))</f>
        <v>لم يُفحص</v>
      </c>
      <c r="Q162" s="27" t="str">
        <f aca="false">IF(I162="","",IF(AND(I162="متوفر",O162=5),"لا","نعم"))</f>
        <v/>
      </c>
      <c r="R162" s="27" t="str">
        <f aca="false">IF(Q162&lt;&gt;"نعم","",IF(OR(E162="نعم",I162="غير متوفر"),"عالية",IF(O162&gt;=3,"منخفضة","متوسطة")))</f>
        <v/>
      </c>
      <c r="S162" s="30"/>
      <c r="T162" s="30"/>
      <c r="U162" s="27" t="str">
        <f aca="false">IFERROR(INDEX('الإعدادات واللجنة'!$G$22:$G$29,MATCH(C162,'الإعدادات واللجنة'!$B$22:$B$29,0)),"")</f>
        <v>عضو 8</v>
      </c>
      <c r="V162" s="29"/>
      <c r="W162" s="30"/>
    </row>
    <row r="163" customFormat="false" ht="22.35" hidden="false" customHeight="false" outlineLevel="0" collapsed="false">
      <c r="A163" s="31" t="s">
        <v>466</v>
      </c>
      <c r="B163" s="32" t="s">
        <v>145</v>
      </c>
      <c r="C163" s="32" t="s">
        <v>125</v>
      </c>
      <c r="D163" s="32" t="s">
        <v>467</v>
      </c>
      <c r="E163" s="31" t="s">
        <v>185</v>
      </c>
      <c r="F163" s="31" t="n">
        <v>3</v>
      </c>
      <c r="G163" s="32" t="s">
        <v>470</v>
      </c>
      <c r="H163" s="27" t="str">
        <f aca="false">IFERROR(INDEX('الإعدادات واللجنة'!$E$22:$E$29,MATCH(C163,'الإعدادات واللجنة'!$B$22:$B$29,0)),"")</f>
        <v>عضو 7</v>
      </c>
      <c r="I163" s="29"/>
      <c r="J163" s="29"/>
      <c r="K163" s="29"/>
      <c r="L163" s="29"/>
      <c r="M163" s="29"/>
      <c r="N163" s="29"/>
      <c r="O163" s="27" t="str">
        <f aca="false">IF(I163="","",IF(I163="غير متوفر",0,COUNTIF(J163:N163,"نعم")))</f>
        <v/>
      </c>
      <c r="P163" s="27" t="str">
        <f aca="false">IF(I163="","لم يُفحص",IF(I163="غير متوفر","غير موجود",IF(AND(O163=5,I163="متوفر"),"مكتمل",IF(O163&gt;=3,"مقبول","ضعيف"))))</f>
        <v>لم يُفحص</v>
      </c>
      <c r="Q163" s="27" t="str">
        <f aca="false">IF(I163="","",IF(AND(I163="متوفر",O163=5),"لا","نعم"))</f>
        <v/>
      </c>
      <c r="R163" s="27" t="str">
        <f aca="false">IF(Q163&lt;&gt;"نعم","",IF(OR(E163="نعم",I163="غير متوفر"),"عالية",IF(O163&gt;=3,"منخفضة","متوسطة")))</f>
        <v/>
      </c>
      <c r="S163" s="30"/>
      <c r="T163" s="30"/>
      <c r="U163" s="27" t="str">
        <f aca="false">IFERROR(INDEX('الإعدادات واللجنة'!$G$22:$G$29,MATCH(C163,'الإعدادات واللجنة'!$B$22:$B$29,0)),"")</f>
        <v>عضو 8</v>
      </c>
      <c r="V163" s="29"/>
      <c r="W163" s="30"/>
    </row>
    <row r="164" customFormat="false" ht="22.35" hidden="false" customHeight="false" outlineLevel="0" collapsed="false">
      <c r="A164" s="31" t="s">
        <v>471</v>
      </c>
      <c r="B164" s="32" t="s">
        <v>146</v>
      </c>
      <c r="C164" s="32" t="s">
        <v>126</v>
      </c>
      <c r="D164" s="32" t="s">
        <v>472</v>
      </c>
      <c r="E164" s="31" t="s">
        <v>185</v>
      </c>
      <c r="F164" s="31" t="n">
        <v>1</v>
      </c>
      <c r="G164" s="32" t="s">
        <v>473</v>
      </c>
      <c r="H164" s="27" t="str">
        <f aca="false">IFERROR(INDEX('الإعدادات واللجنة'!$E$22:$E$29,MATCH(C164,'الإعدادات واللجنة'!$B$22:$B$29,0)),"")</f>
        <v>عضو 7</v>
      </c>
      <c r="I164" s="29"/>
      <c r="J164" s="29"/>
      <c r="K164" s="29"/>
      <c r="L164" s="29"/>
      <c r="M164" s="29"/>
      <c r="N164" s="29"/>
      <c r="O164" s="27" t="str">
        <f aca="false">IF(I164="","",IF(I164="غير متوفر",0,COUNTIF(J164:N164,"نعم")))</f>
        <v/>
      </c>
      <c r="P164" s="27" t="str">
        <f aca="false">IF(I164="","لم يُفحص",IF(I164="غير متوفر","غير موجود",IF(AND(O164=5,I164="متوفر"),"مكتمل",IF(O164&gt;=3,"مقبول","ضعيف"))))</f>
        <v>لم يُفحص</v>
      </c>
      <c r="Q164" s="27" t="str">
        <f aca="false">IF(I164="","",IF(AND(I164="متوفر",O164=5),"لا","نعم"))</f>
        <v/>
      </c>
      <c r="R164" s="27" t="str">
        <f aca="false">IF(Q164&lt;&gt;"نعم","",IF(OR(E164="نعم",I164="غير متوفر"),"عالية",IF(O164&gt;=3,"منخفضة","متوسطة")))</f>
        <v/>
      </c>
      <c r="S164" s="30"/>
      <c r="T164" s="30"/>
      <c r="U164" s="27" t="str">
        <f aca="false">IFERROR(INDEX('الإعدادات واللجنة'!$G$22:$G$29,MATCH(C164,'الإعدادات واللجنة'!$B$22:$B$29,0)),"")</f>
        <v>عضو 8</v>
      </c>
      <c r="V164" s="29"/>
      <c r="W164" s="30"/>
    </row>
    <row r="165" customFormat="false" ht="22.35" hidden="false" customHeight="false" outlineLevel="0" collapsed="false">
      <c r="A165" s="31" t="s">
        <v>471</v>
      </c>
      <c r="B165" s="32" t="s">
        <v>146</v>
      </c>
      <c r="C165" s="32" t="s">
        <v>126</v>
      </c>
      <c r="D165" s="32" t="s">
        <v>472</v>
      </c>
      <c r="E165" s="31" t="s">
        <v>185</v>
      </c>
      <c r="F165" s="31" t="n">
        <v>2</v>
      </c>
      <c r="G165" s="32" t="s">
        <v>474</v>
      </c>
      <c r="H165" s="27" t="str">
        <f aca="false">IFERROR(INDEX('الإعدادات واللجنة'!$E$22:$E$29,MATCH(C165,'الإعدادات واللجنة'!$B$22:$B$29,0)),"")</f>
        <v>عضو 7</v>
      </c>
      <c r="I165" s="29"/>
      <c r="J165" s="29"/>
      <c r="K165" s="29"/>
      <c r="L165" s="29"/>
      <c r="M165" s="29"/>
      <c r="N165" s="29"/>
      <c r="O165" s="27" t="str">
        <f aca="false">IF(I165="","",IF(I165="غير متوفر",0,COUNTIF(J165:N165,"نعم")))</f>
        <v/>
      </c>
      <c r="P165" s="27" t="str">
        <f aca="false">IF(I165="","لم يُفحص",IF(I165="غير متوفر","غير موجود",IF(AND(O165=5,I165="متوفر"),"مكتمل",IF(O165&gt;=3,"مقبول","ضعيف"))))</f>
        <v>لم يُفحص</v>
      </c>
      <c r="Q165" s="27" t="str">
        <f aca="false">IF(I165="","",IF(AND(I165="متوفر",O165=5),"لا","نعم"))</f>
        <v/>
      </c>
      <c r="R165" s="27" t="str">
        <f aca="false">IF(Q165&lt;&gt;"نعم","",IF(OR(E165="نعم",I165="غير متوفر"),"عالية",IF(O165&gt;=3,"منخفضة","متوسطة")))</f>
        <v/>
      </c>
      <c r="S165" s="30"/>
      <c r="T165" s="30"/>
      <c r="U165" s="27" t="str">
        <f aca="false">IFERROR(INDEX('الإعدادات واللجنة'!$G$22:$G$29,MATCH(C165,'الإعدادات واللجنة'!$B$22:$B$29,0)),"")</f>
        <v>عضو 8</v>
      </c>
      <c r="V165" s="29"/>
      <c r="W165" s="30"/>
    </row>
    <row r="166" customFormat="false" ht="22.35" hidden="false" customHeight="false" outlineLevel="0" collapsed="false">
      <c r="A166" s="31" t="s">
        <v>471</v>
      </c>
      <c r="B166" s="32" t="s">
        <v>146</v>
      </c>
      <c r="C166" s="32" t="s">
        <v>126</v>
      </c>
      <c r="D166" s="32" t="s">
        <v>472</v>
      </c>
      <c r="E166" s="31" t="s">
        <v>185</v>
      </c>
      <c r="F166" s="31" t="n">
        <v>3</v>
      </c>
      <c r="G166" s="32" t="s">
        <v>475</v>
      </c>
      <c r="H166" s="27" t="str">
        <f aca="false">IFERROR(INDEX('الإعدادات واللجنة'!$E$22:$E$29,MATCH(C166,'الإعدادات واللجنة'!$B$22:$B$29,0)),"")</f>
        <v>عضو 7</v>
      </c>
      <c r="I166" s="29"/>
      <c r="J166" s="29"/>
      <c r="K166" s="29"/>
      <c r="L166" s="29"/>
      <c r="M166" s="29"/>
      <c r="N166" s="29"/>
      <c r="O166" s="27" t="str">
        <f aca="false">IF(I166="","",IF(I166="غير متوفر",0,COUNTIF(J166:N166,"نعم")))</f>
        <v/>
      </c>
      <c r="P166" s="27" t="str">
        <f aca="false">IF(I166="","لم يُفحص",IF(I166="غير متوفر","غير موجود",IF(AND(O166=5,I166="متوفر"),"مكتمل",IF(O166&gt;=3,"مقبول","ضعيف"))))</f>
        <v>لم يُفحص</v>
      </c>
      <c r="Q166" s="27" t="str">
        <f aca="false">IF(I166="","",IF(AND(I166="متوفر",O166=5),"لا","نعم"))</f>
        <v/>
      </c>
      <c r="R166" s="27" t="str">
        <f aca="false">IF(Q166&lt;&gt;"نعم","",IF(OR(E166="نعم",I166="غير متوفر"),"عالية",IF(O166&gt;=3,"منخفضة","متوسطة")))</f>
        <v/>
      </c>
      <c r="S166" s="30"/>
      <c r="T166" s="30"/>
      <c r="U166" s="27" t="str">
        <f aca="false">IFERROR(INDEX('الإعدادات واللجنة'!$G$22:$G$29,MATCH(C166,'الإعدادات واللجنة'!$B$22:$B$29,0)),"")</f>
        <v>عضو 8</v>
      </c>
      <c r="V166" s="29"/>
      <c r="W166" s="30"/>
    </row>
    <row r="167" customFormat="false" ht="22.35" hidden="false" customHeight="false" outlineLevel="0" collapsed="false">
      <c r="A167" s="31" t="s">
        <v>471</v>
      </c>
      <c r="B167" s="32" t="s">
        <v>146</v>
      </c>
      <c r="C167" s="32" t="s">
        <v>126</v>
      </c>
      <c r="D167" s="32" t="s">
        <v>472</v>
      </c>
      <c r="E167" s="31" t="s">
        <v>185</v>
      </c>
      <c r="F167" s="31" t="n">
        <v>4</v>
      </c>
      <c r="G167" s="32" t="s">
        <v>476</v>
      </c>
      <c r="H167" s="27" t="str">
        <f aca="false">IFERROR(INDEX('الإعدادات واللجنة'!$E$22:$E$29,MATCH(C167,'الإعدادات واللجنة'!$B$22:$B$29,0)),"")</f>
        <v>عضو 7</v>
      </c>
      <c r="I167" s="29"/>
      <c r="J167" s="29"/>
      <c r="K167" s="29"/>
      <c r="L167" s="29"/>
      <c r="M167" s="29"/>
      <c r="N167" s="29"/>
      <c r="O167" s="27" t="str">
        <f aca="false">IF(I167="","",IF(I167="غير متوفر",0,COUNTIF(J167:N167,"نعم")))</f>
        <v/>
      </c>
      <c r="P167" s="27" t="str">
        <f aca="false">IF(I167="","لم يُفحص",IF(I167="غير متوفر","غير موجود",IF(AND(O167=5,I167="متوفر"),"مكتمل",IF(O167&gt;=3,"مقبول","ضعيف"))))</f>
        <v>لم يُفحص</v>
      </c>
      <c r="Q167" s="27" t="str">
        <f aca="false">IF(I167="","",IF(AND(I167="متوفر",O167=5),"لا","نعم"))</f>
        <v/>
      </c>
      <c r="R167" s="27" t="str">
        <f aca="false">IF(Q167&lt;&gt;"نعم","",IF(OR(E167="نعم",I167="غير متوفر"),"عالية",IF(O167&gt;=3,"منخفضة","متوسطة")))</f>
        <v/>
      </c>
      <c r="S167" s="30"/>
      <c r="T167" s="30"/>
      <c r="U167" s="27" t="str">
        <f aca="false">IFERROR(INDEX('الإعدادات واللجنة'!$G$22:$G$29,MATCH(C167,'الإعدادات واللجنة'!$B$22:$B$29,0)),"")</f>
        <v>عضو 8</v>
      </c>
      <c r="V167" s="29"/>
      <c r="W167" s="30"/>
    </row>
    <row r="168" customFormat="false" ht="22.35" hidden="false" customHeight="false" outlineLevel="0" collapsed="false">
      <c r="A168" s="27" t="s">
        <v>477</v>
      </c>
      <c r="B168" s="28" t="s">
        <v>146</v>
      </c>
      <c r="C168" s="28" t="s">
        <v>126</v>
      </c>
      <c r="D168" s="28" t="s">
        <v>478</v>
      </c>
      <c r="E168" s="27"/>
      <c r="F168" s="27" t="n">
        <v>1</v>
      </c>
      <c r="G168" s="28" t="s">
        <v>479</v>
      </c>
      <c r="H168" s="27" t="str">
        <f aca="false">IFERROR(INDEX('الإعدادات واللجنة'!$E$22:$E$29,MATCH(C168,'الإعدادات واللجنة'!$B$22:$B$29,0)),"")</f>
        <v>عضو 7</v>
      </c>
      <c r="I168" s="29"/>
      <c r="J168" s="29"/>
      <c r="K168" s="29"/>
      <c r="L168" s="29"/>
      <c r="M168" s="29"/>
      <c r="N168" s="29"/>
      <c r="O168" s="27" t="str">
        <f aca="false">IF(I168="","",IF(I168="غير متوفر",0,COUNTIF(J168:N168,"نعم")))</f>
        <v/>
      </c>
      <c r="P168" s="27" t="str">
        <f aca="false">IF(I168="","لم يُفحص",IF(I168="غير متوفر","غير موجود",IF(AND(O168=5,I168="متوفر"),"مكتمل",IF(O168&gt;=3,"مقبول","ضعيف"))))</f>
        <v>لم يُفحص</v>
      </c>
      <c r="Q168" s="27" t="str">
        <f aca="false">IF(I168="","",IF(AND(I168="متوفر",O168=5),"لا","نعم"))</f>
        <v/>
      </c>
      <c r="R168" s="27" t="str">
        <f aca="false">IF(Q168&lt;&gt;"نعم","",IF(OR(E168="نعم",I168="غير متوفر"),"عالية",IF(O168&gt;=3,"منخفضة","متوسطة")))</f>
        <v/>
      </c>
      <c r="S168" s="30"/>
      <c r="T168" s="30"/>
      <c r="U168" s="27" t="str">
        <f aca="false">IFERROR(INDEX('الإعدادات واللجنة'!$G$22:$G$29,MATCH(C168,'الإعدادات واللجنة'!$B$22:$B$29,0)),"")</f>
        <v>عضو 8</v>
      </c>
      <c r="V168" s="29"/>
      <c r="W168" s="30"/>
    </row>
    <row r="169" customFormat="false" ht="22.35" hidden="false" customHeight="false" outlineLevel="0" collapsed="false">
      <c r="A169" s="27" t="s">
        <v>477</v>
      </c>
      <c r="B169" s="28" t="s">
        <v>146</v>
      </c>
      <c r="C169" s="28" t="s">
        <v>126</v>
      </c>
      <c r="D169" s="28" t="s">
        <v>478</v>
      </c>
      <c r="E169" s="27"/>
      <c r="F169" s="27" t="n">
        <v>2</v>
      </c>
      <c r="G169" s="28" t="s">
        <v>480</v>
      </c>
      <c r="H169" s="27" t="str">
        <f aca="false">IFERROR(INDEX('الإعدادات واللجنة'!$E$22:$E$29,MATCH(C169,'الإعدادات واللجنة'!$B$22:$B$29,0)),"")</f>
        <v>عضو 7</v>
      </c>
      <c r="I169" s="29"/>
      <c r="J169" s="29"/>
      <c r="K169" s="29"/>
      <c r="L169" s="29"/>
      <c r="M169" s="29"/>
      <c r="N169" s="29"/>
      <c r="O169" s="27" t="str">
        <f aca="false">IF(I169="","",IF(I169="غير متوفر",0,COUNTIF(J169:N169,"نعم")))</f>
        <v/>
      </c>
      <c r="P169" s="27" t="str">
        <f aca="false">IF(I169="","لم يُفحص",IF(I169="غير متوفر","غير موجود",IF(AND(O169=5,I169="متوفر"),"مكتمل",IF(O169&gt;=3,"مقبول","ضعيف"))))</f>
        <v>لم يُفحص</v>
      </c>
      <c r="Q169" s="27" t="str">
        <f aca="false">IF(I169="","",IF(AND(I169="متوفر",O169=5),"لا","نعم"))</f>
        <v/>
      </c>
      <c r="R169" s="27" t="str">
        <f aca="false">IF(Q169&lt;&gt;"نعم","",IF(OR(E169="نعم",I169="غير متوفر"),"عالية",IF(O169&gt;=3,"منخفضة","متوسطة")))</f>
        <v/>
      </c>
      <c r="S169" s="30"/>
      <c r="T169" s="30"/>
      <c r="U169" s="27" t="str">
        <f aca="false">IFERROR(INDEX('الإعدادات واللجنة'!$G$22:$G$29,MATCH(C169,'الإعدادات واللجنة'!$B$22:$B$29,0)),"")</f>
        <v>عضو 8</v>
      </c>
      <c r="V169" s="29"/>
      <c r="W169" s="30"/>
    </row>
    <row r="170" customFormat="false" ht="22.35" hidden="false" customHeight="false" outlineLevel="0" collapsed="false">
      <c r="A170" s="27" t="s">
        <v>481</v>
      </c>
      <c r="B170" s="28" t="s">
        <v>146</v>
      </c>
      <c r="C170" s="28" t="s">
        <v>126</v>
      </c>
      <c r="D170" s="28" t="s">
        <v>482</v>
      </c>
      <c r="E170" s="27"/>
      <c r="F170" s="27" t="n">
        <v>1</v>
      </c>
      <c r="G170" s="28" t="s">
        <v>483</v>
      </c>
      <c r="H170" s="27" t="str">
        <f aca="false">IFERROR(INDEX('الإعدادات واللجنة'!$E$22:$E$29,MATCH(C170,'الإعدادات واللجنة'!$B$22:$B$29,0)),"")</f>
        <v>عضو 7</v>
      </c>
      <c r="I170" s="29"/>
      <c r="J170" s="29"/>
      <c r="K170" s="29"/>
      <c r="L170" s="29"/>
      <c r="M170" s="29"/>
      <c r="N170" s="29"/>
      <c r="O170" s="27" t="str">
        <f aca="false">IF(I170="","",IF(I170="غير متوفر",0,COUNTIF(J170:N170,"نعم")))</f>
        <v/>
      </c>
      <c r="P170" s="27" t="str">
        <f aca="false">IF(I170="","لم يُفحص",IF(I170="غير متوفر","غير موجود",IF(AND(O170=5,I170="متوفر"),"مكتمل",IF(O170&gt;=3,"مقبول","ضعيف"))))</f>
        <v>لم يُفحص</v>
      </c>
      <c r="Q170" s="27" t="str">
        <f aca="false">IF(I170="","",IF(AND(I170="متوفر",O170=5),"لا","نعم"))</f>
        <v/>
      </c>
      <c r="R170" s="27" t="str">
        <f aca="false">IF(Q170&lt;&gt;"نعم","",IF(OR(E170="نعم",I170="غير متوفر"),"عالية",IF(O170&gt;=3,"منخفضة","متوسطة")))</f>
        <v/>
      </c>
      <c r="S170" s="30"/>
      <c r="T170" s="30"/>
      <c r="U170" s="27" t="str">
        <f aca="false">IFERROR(INDEX('الإعدادات واللجنة'!$G$22:$G$29,MATCH(C170,'الإعدادات واللجنة'!$B$22:$B$29,0)),"")</f>
        <v>عضو 8</v>
      </c>
      <c r="V170" s="29"/>
      <c r="W170" s="30"/>
    </row>
    <row r="171" customFormat="false" ht="22.35" hidden="false" customHeight="false" outlineLevel="0" collapsed="false">
      <c r="A171" s="27" t="s">
        <v>481</v>
      </c>
      <c r="B171" s="28" t="s">
        <v>146</v>
      </c>
      <c r="C171" s="28" t="s">
        <v>126</v>
      </c>
      <c r="D171" s="28" t="s">
        <v>482</v>
      </c>
      <c r="E171" s="27"/>
      <c r="F171" s="27" t="n">
        <v>2</v>
      </c>
      <c r="G171" s="28" t="s">
        <v>484</v>
      </c>
      <c r="H171" s="27" t="str">
        <f aca="false">IFERROR(INDEX('الإعدادات واللجنة'!$E$22:$E$29,MATCH(C171,'الإعدادات واللجنة'!$B$22:$B$29,0)),"")</f>
        <v>عضو 7</v>
      </c>
      <c r="I171" s="29"/>
      <c r="J171" s="29"/>
      <c r="K171" s="29"/>
      <c r="L171" s="29"/>
      <c r="M171" s="29"/>
      <c r="N171" s="29"/>
      <c r="O171" s="27" t="str">
        <f aca="false">IF(I171="","",IF(I171="غير متوفر",0,COUNTIF(J171:N171,"نعم")))</f>
        <v/>
      </c>
      <c r="P171" s="27" t="str">
        <f aca="false">IF(I171="","لم يُفحص",IF(I171="غير متوفر","غير موجود",IF(AND(O171=5,I171="متوفر"),"مكتمل",IF(O171&gt;=3,"مقبول","ضعيف"))))</f>
        <v>لم يُفحص</v>
      </c>
      <c r="Q171" s="27" t="str">
        <f aca="false">IF(I171="","",IF(AND(I171="متوفر",O171=5),"لا","نعم"))</f>
        <v/>
      </c>
      <c r="R171" s="27" t="str">
        <f aca="false">IF(Q171&lt;&gt;"نعم","",IF(OR(E171="نعم",I171="غير متوفر"),"عالية",IF(O171&gt;=3,"منخفضة","متوسطة")))</f>
        <v/>
      </c>
      <c r="S171" s="30"/>
      <c r="T171" s="30"/>
      <c r="U171" s="27" t="str">
        <f aca="false">IFERROR(INDEX('الإعدادات واللجنة'!$G$22:$G$29,MATCH(C171,'الإعدادات واللجنة'!$B$22:$B$29,0)),"")</f>
        <v>عضو 8</v>
      </c>
      <c r="V171" s="29"/>
      <c r="W171" s="30"/>
    </row>
    <row r="172" customFormat="false" ht="22.35" hidden="false" customHeight="false" outlineLevel="0" collapsed="false">
      <c r="A172" s="27" t="s">
        <v>481</v>
      </c>
      <c r="B172" s="28" t="s">
        <v>146</v>
      </c>
      <c r="C172" s="28" t="s">
        <v>126</v>
      </c>
      <c r="D172" s="28" t="s">
        <v>482</v>
      </c>
      <c r="E172" s="27"/>
      <c r="F172" s="27" t="n">
        <v>3</v>
      </c>
      <c r="G172" s="28" t="s">
        <v>485</v>
      </c>
      <c r="H172" s="27" t="str">
        <f aca="false">IFERROR(INDEX('الإعدادات واللجنة'!$E$22:$E$29,MATCH(C172,'الإعدادات واللجنة'!$B$22:$B$29,0)),"")</f>
        <v>عضو 7</v>
      </c>
      <c r="I172" s="29"/>
      <c r="J172" s="29"/>
      <c r="K172" s="29"/>
      <c r="L172" s="29"/>
      <c r="M172" s="29"/>
      <c r="N172" s="29"/>
      <c r="O172" s="27" t="str">
        <f aca="false">IF(I172="","",IF(I172="غير متوفر",0,COUNTIF(J172:N172,"نعم")))</f>
        <v/>
      </c>
      <c r="P172" s="27" t="str">
        <f aca="false">IF(I172="","لم يُفحص",IF(I172="غير متوفر","غير موجود",IF(AND(O172=5,I172="متوفر"),"مكتمل",IF(O172&gt;=3,"مقبول","ضعيف"))))</f>
        <v>لم يُفحص</v>
      </c>
      <c r="Q172" s="27" t="str">
        <f aca="false">IF(I172="","",IF(AND(I172="متوفر",O172=5),"لا","نعم"))</f>
        <v/>
      </c>
      <c r="R172" s="27" t="str">
        <f aca="false">IF(Q172&lt;&gt;"نعم","",IF(OR(E172="نعم",I172="غير متوفر"),"عالية",IF(O172&gt;=3,"منخفضة","متوسطة")))</f>
        <v/>
      </c>
      <c r="S172" s="30"/>
      <c r="T172" s="30"/>
      <c r="U172" s="27" t="str">
        <f aca="false">IFERROR(INDEX('الإعدادات واللجنة'!$G$22:$G$29,MATCH(C172,'الإعدادات واللجنة'!$B$22:$B$29,0)),"")</f>
        <v>عضو 8</v>
      </c>
      <c r="V172" s="29"/>
      <c r="W172" s="30"/>
    </row>
    <row r="173" customFormat="false" ht="22.35" hidden="false" customHeight="false" outlineLevel="0" collapsed="false">
      <c r="A173" s="27" t="s">
        <v>481</v>
      </c>
      <c r="B173" s="28" t="s">
        <v>146</v>
      </c>
      <c r="C173" s="28" t="s">
        <v>126</v>
      </c>
      <c r="D173" s="28" t="s">
        <v>482</v>
      </c>
      <c r="E173" s="27"/>
      <c r="F173" s="27" t="n">
        <v>4</v>
      </c>
      <c r="G173" s="28" t="s">
        <v>486</v>
      </c>
      <c r="H173" s="27" t="str">
        <f aca="false">IFERROR(INDEX('الإعدادات واللجنة'!$E$22:$E$29,MATCH(C173,'الإعدادات واللجنة'!$B$22:$B$29,0)),"")</f>
        <v>عضو 7</v>
      </c>
      <c r="I173" s="29"/>
      <c r="J173" s="29"/>
      <c r="K173" s="29"/>
      <c r="L173" s="29"/>
      <c r="M173" s="29"/>
      <c r="N173" s="29"/>
      <c r="O173" s="27" t="str">
        <f aca="false">IF(I173="","",IF(I173="غير متوفر",0,COUNTIF(J173:N173,"نعم")))</f>
        <v/>
      </c>
      <c r="P173" s="27" t="str">
        <f aca="false">IF(I173="","لم يُفحص",IF(I173="غير متوفر","غير موجود",IF(AND(O173=5,I173="متوفر"),"مكتمل",IF(O173&gt;=3,"مقبول","ضعيف"))))</f>
        <v>لم يُفحص</v>
      </c>
      <c r="Q173" s="27" t="str">
        <f aca="false">IF(I173="","",IF(AND(I173="متوفر",O173=5),"لا","نعم"))</f>
        <v/>
      </c>
      <c r="R173" s="27" t="str">
        <f aca="false">IF(Q173&lt;&gt;"نعم","",IF(OR(E173="نعم",I173="غير متوفر"),"عالية",IF(O173&gt;=3,"منخفضة","متوسطة")))</f>
        <v/>
      </c>
      <c r="S173" s="30"/>
      <c r="T173" s="30"/>
      <c r="U173" s="27" t="str">
        <f aca="false">IFERROR(INDEX('الإعدادات واللجنة'!$G$22:$G$29,MATCH(C173,'الإعدادات واللجنة'!$B$22:$B$29,0)),"")</f>
        <v>عضو 8</v>
      </c>
      <c r="V173" s="29"/>
      <c r="W173" s="30"/>
    </row>
    <row r="174" customFormat="false" ht="22.35" hidden="false" customHeight="false" outlineLevel="0" collapsed="false">
      <c r="A174" s="27" t="s">
        <v>481</v>
      </c>
      <c r="B174" s="28" t="s">
        <v>146</v>
      </c>
      <c r="C174" s="28" t="s">
        <v>126</v>
      </c>
      <c r="D174" s="28" t="s">
        <v>482</v>
      </c>
      <c r="E174" s="27"/>
      <c r="F174" s="27" t="n">
        <v>5</v>
      </c>
      <c r="G174" s="28" t="s">
        <v>487</v>
      </c>
      <c r="H174" s="27" t="str">
        <f aca="false">IFERROR(INDEX('الإعدادات واللجنة'!$E$22:$E$29,MATCH(C174,'الإعدادات واللجنة'!$B$22:$B$29,0)),"")</f>
        <v>عضو 7</v>
      </c>
      <c r="I174" s="29"/>
      <c r="J174" s="29"/>
      <c r="K174" s="29"/>
      <c r="L174" s="29"/>
      <c r="M174" s="29"/>
      <c r="N174" s="29"/>
      <c r="O174" s="27" t="str">
        <f aca="false">IF(I174="","",IF(I174="غير متوفر",0,COUNTIF(J174:N174,"نعم")))</f>
        <v/>
      </c>
      <c r="P174" s="27" t="str">
        <f aca="false">IF(I174="","لم يُفحص",IF(I174="غير متوفر","غير موجود",IF(AND(O174=5,I174="متوفر"),"مكتمل",IF(O174&gt;=3,"مقبول","ضعيف"))))</f>
        <v>لم يُفحص</v>
      </c>
      <c r="Q174" s="27" t="str">
        <f aca="false">IF(I174="","",IF(AND(I174="متوفر",O174=5),"لا","نعم"))</f>
        <v/>
      </c>
      <c r="R174" s="27" t="str">
        <f aca="false">IF(Q174&lt;&gt;"نعم","",IF(OR(E174="نعم",I174="غير متوفر"),"عالية",IF(O174&gt;=3,"منخفضة","متوسطة")))</f>
        <v/>
      </c>
      <c r="S174" s="30"/>
      <c r="T174" s="30"/>
      <c r="U174" s="27" t="str">
        <f aca="false">IFERROR(INDEX('الإعدادات واللجنة'!$G$22:$G$29,MATCH(C174,'الإعدادات واللجنة'!$B$22:$B$29,0)),"")</f>
        <v>عضو 8</v>
      </c>
      <c r="V174" s="29"/>
      <c r="W174" s="30"/>
    </row>
    <row r="175" customFormat="false" ht="22.35" hidden="false" customHeight="false" outlineLevel="0" collapsed="false">
      <c r="A175" s="27" t="s">
        <v>481</v>
      </c>
      <c r="B175" s="28" t="s">
        <v>146</v>
      </c>
      <c r="C175" s="28" t="s">
        <v>126</v>
      </c>
      <c r="D175" s="28" t="s">
        <v>482</v>
      </c>
      <c r="E175" s="27"/>
      <c r="F175" s="27" t="n">
        <v>6</v>
      </c>
      <c r="G175" s="28" t="s">
        <v>488</v>
      </c>
      <c r="H175" s="27" t="str">
        <f aca="false">IFERROR(INDEX('الإعدادات واللجنة'!$E$22:$E$29,MATCH(C175,'الإعدادات واللجنة'!$B$22:$B$29,0)),"")</f>
        <v>عضو 7</v>
      </c>
      <c r="I175" s="29"/>
      <c r="J175" s="29"/>
      <c r="K175" s="29"/>
      <c r="L175" s="29"/>
      <c r="M175" s="29"/>
      <c r="N175" s="29"/>
      <c r="O175" s="27" t="str">
        <f aca="false">IF(I175="","",IF(I175="غير متوفر",0,COUNTIF(J175:N175,"نعم")))</f>
        <v/>
      </c>
      <c r="P175" s="27" t="str">
        <f aca="false">IF(I175="","لم يُفحص",IF(I175="غير متوفر","غير موجود",IF(AND(O175=5,I175="متوفر"),"مكتمل",IF(O175&gt;=3,"مقبول","ضعيف"))))</f>
        <v>لم يُفحص</v>
      </c>
      <c r="Q175" s="27" t="str">
        <f aca="false">IF(I175="","",IF(AND(I175="متوفر",O175=5),"لا","نعم"))</f>
        <v/>
      </c>
      <c r="R175" s="27" t="str">
        <f aca="false">IF(Q175&lt;&gt;"نعم","",IF(OR(E175="نعم",I175="غير متوفر"),"عالية",IF(O175&gt;=3,"منخفضة","متوسطة")))</f>
        <v/>
      </c>
      <c r="S175" s="30"/>
      <c r="T175" s="30"/>
      <c r="U175" s="27" t="str">
        <f aca="false">IFERROR(INDEX('الإعدادات واللجنة'!$G$22:$G$29,MATCH(C175,'الإعدادات واللجنة'!$B$22:$B$29,0)),"")</f>
        <v>عضو 8</v>
      </c>
      <c r="V175" s="29"/>
      <c r="W175" s="30"/>
    </row>
    <row r="176" customFormat="false" ht="22.35" hidden="false" customHeight="false" outlineLevel="0" collapsed="false">
      <c r="A176" s="27" t="s">
        <v>481</v>
      </c>
      <c r="B176" s="28" t="s">
        <v>146</v>
      </c>
      <c r="C176" s="28" t="s">
        <v>126</v>
      </c>
      <c r="D176" s="28" t="s">
        <v>482</v>
      </c>
      <c r="E176" s="27"/>
      <c r="F176" s="27" t="n">
        <v>7</v>
      </c>
      <c r="G176" s="28" t="s">
        <v>489</v>
      </c>
      <c r="H176" s="27" t="str">
        <f aca="false">IFERROR(INDEX('الإعدادات واللجنة'!$E$22:$E$29,MATCH(C176,'الإعدادات واللجنة'!$B$22:$B$29,0)),"")</f>
        <v>عضو 7</v>
      </c>
      <c r="I176" s="29"/>
      <c r="J176" s="29"/>
      <c r="K176" s="29"/>
      <c r="L176" s="29"/>
      <c r="M176" s="29"/>
      <c r="N176" s="29"/>
      <c r="O176" s="27" t="str">
        <f aca="false">IF(I176="","",IF(I176="غير متوفر",0,COUNTIF(J176:N176,"نعم")))</f>
        <v/>
      </c>
      <c r="P176" s="27" t="str">
        <f aca="false">IF(I176="","لم يُفحص",IF(I176="غير متوفر","غير موجود",IF(AND(O176=5,I176="متوفر"),"مكتمل",IF(O176&gt;=3,"مقبول","ضعيف"))))</f>
        <v>لم يُفحص</v>
      </c>
      <c r="Q176" s="27" t="str">
        <f aca="false">IF(I176="","",IF(AND(I176="متوفر",O176=5),"لا","نعم"))</f>
        <v/>
      </c>
      <c r="R176" s="27" t="str">
        <f aca="false">IF(Q176&lt;&gt;"نعم","",IF(OR(E176="نعم",I176="غير متوفر"),"عالية",IF(O176&gt;=3,"منخفضة","متوسطة")))</f>
        <v/>
      </c>
      <c r="S176" s="30"/>
      <c r="T176" s="30"/>
      <c r="U176" s="27" t="str">
        <f aca="false">IFERROR(INDEX('الإعدادات واللجنة'!$G$22:$G$29,MATCH(C176,'الإعدادات واللجنة'!$B$22:$B$29,0)),"")</f>
        <v>عضو 8</v>
      </c>
      <c r="V176" s="29"/>
      <c r="W176" s="30"/>
    </row>
    <row r="177" customFormat="false" ht="22.35" hidden="false" customHeight="false" outlineLevel="0" collapsed="false">
      <c r="A177" s="27" t="s">
        <v>490</v>
      </c>
      <c r="B177" s="28" t="s">
        <v>146</v>
      </c>
      <c r="C177" s="28" t="s">
        <v>126</v>
      </c>
      <c r="D177" s="28" t="s">
        <v>491</v>
      </c>
      <c r="E177" s="27"/>
      <c r="F177" s="27" t="n">
        <v>1</v>
      </c>
      <c r="G177" s="28" t="s">
        <v>492</v>
      </c>
      <c r="H177" s="27" t="str">
        <f aca="false">IFERROR(INDEX('الإعدادات واللجنة'!$E$22:$E$29,MATCH(C177,'الإعدادات واللجنة'!$B$22:$B$29,0)),"")</f>
        <v>عضو 7</v>
      </c>
      <c r="I177" s="29"/>
      <c r="J177" s="29"/>
      <c r="K177" s="29"/>
      <c r="L177" s="29"/>
      <c r="M177" s="29"/>
      <c r="N177" s="29"/>
      <c r="O177" s="27" t="str">
        <f aca="false">IF(I177="","",IF(I177="غير متوفر",0,COUNTIF(J177:N177,"نعم")))</f>
        <v/>
      </c>
      <c r="P177" s="27" t="str">
        <f aca="false">IF(I177="","لم يُفحص",IF(I177="غير متوفر","غير موجود",IF(AND(O177=5,I177="متوفر"),"مكتمل",IF(O177&gt;=3,"مقبول","ضعيف"))))</f>
        <v>لم يُفحص</v>
      </c>
      <c r="Q177" s="27" t="str">
        <f aca="false">IF(I177="","",IF(AND(I177="متوفر",O177=5),"لا","نعم"))</f>
        <v/>
      </c>
      <c r="R177" s="27" t="str">
        <f aca="false">IF(Q177&lt;&gt;"نعم","",IF(OR(E177="نعم",I177="غير متوفر"),"عالية",IF(O177&gt;=3,"منخفضة","متوسطة")))</f>
        <v/>
      </c>
      <c r="S177" s="30"/>
      <c r="T177" s="30"/>
      <c r="U177" s="27" t="str">
        <f aca="false">IFERROR(INDEX('الإعدادات واللجنة'!$G$22:$G$29,MATCH(C177,'الإعدادات واللجنة'!$B$22:$B$29,0)),"")</f>
        <v>عضو 8</v>
      </c>
      <c r="V177" s="29"/>
      <c r="W177" s="30"/>
    </row>
    <row r="178" customFormat="false" ht="22.35" hidden="false" customHeight="false" outlineLevel="0" collapsed="false">
      <c r="A178" s="27" t="s">
        <v>490</v>
      </c>
      <c r="B178" s="28" t="s">
        <v>146</v>
      </c>
      <c r="C178" s="28" t="s">
        <v>126</v>
      </c>
      <c r="D178" s="28" t="s">
        <v>491</v>
      </c>
      <c r="E178" s="27"/>
      <c r="F178" s="27" t="n">
        <v>2</v>
      </c>
      <c r="G178" s="28" t="s">
        <v>493</v>
      </c>
      <c r="H178" s="27" t="str">
        <f aca="false">IFERROR(INDEX('الإعدادات واللجنة'!$E$22:$E$29,MATCH(C178,'الإعدادات واللجنة'!$B$22:$B$29,0)),"")</f>
        <v>عضو 7</v>
      </c>
      <c r="I178" s="29"/>
      <c r="J178" s="29"/>
      <c r="K178" s="29"/>
      <c r="L178" s="29"/>
      <c r="M178" s="29"/>
      <c r="N178" s="29"/>
      <c r="O178" s="27" t="str">
        <f aca="false">IF(I178="","",IF(I178="غير متوفر",0,COUNTIF(J178:N178,"نعم")))</f>
        <v/>
      </c>
      <c r="P178" s="27" t="str">
        <f aca="false">IF(I178="","لم يُفحص",IF(I178="غير متوفر","غير موجود",IF(AND(O178=5,I178="متوفر"),"مكتمل",IF(O178&gt;=3,"مقبول","ضعيف"))))</f>
        <v>لم يُفحص</v>
      </c>
      <c r="Q178" s="27" t="str">
        <f aca="false">IF(I178="","",IF(AND(I178="متوفر",O178=5),"لا","نعم"))</f>
        <v/>
      </c>
      <c r="R178" s="27" t="str">
        <f aca="false">IF(Q178&lt;&gt;"نعم","",IF(OR(E178="نعم",I178="غير متوفر"),"عالية",IF(O178&gt;=3,"منخفضة","متوسطة")))</f>
        <v/>
      </c>
      <c r="S178" s="30"/>
      <c r="T178" s="30"/>
      <c r="U178" s="27" t="str">
        <f aca="false">IFERROR(INDEX('الإعدادات واللجنة'!$G$22:$G$29,MATCH(C178,'الإعدادات واللجنة'!$B$22:$B$29,0)),"")</f>
        <v>عضو 8</v>
      </c>
      <c r="V178" s="29"/>
      <c r="W178" s="30"/>
    </row>
    <row r="179" customFormat="false" ht="22.35" hidden="false" customHeight="false" outlineLevel="0" collapsed="false">
      <c r="A179" s="27" t="s">
        <v>490</v>
      </c>
      <c r="B179" s="28" t="s">
        <v>146</v>
      </c>
      <c r="C179" s="28" t="s">
        <v>126</v>
      </c>
      <c r="D179" s="28" t="s">
        <v>491</v>
      </c>
      <c r="E179" s="27"/>
      <c r="F179" s="27" t="n">
        <v>3</v>
      </c>
      <c r="G179" s="28" t="s">
        <v>494</v>
      </c>
      <c r="H179" s="27" t="str">
        <f aca="false">IFERROR(INDEX('الإعدادات واللجنة'!$E$22:$E$29,MATCH(C179,'الإعدادات واللجنة'!$B$22:$B$29,0)),"")</f>
        <v>عضو 7</v>
      </c>
      <c r="I179" s="29"/>
      <c r="J179" s="29"/>
      <c r="K179" s="29"/>
      <c r="L179" s="29"/>
      <c r="M179" s="29"/>
      <c r="N179" s="29"/>
      <c r="O179" s="27" t="str">
        <f aca="false">IF(I179="","",IF(I179="غير متوفر",0,COUNTIF(J179:N179,"نعم")))</f>
        <v/>
      </c>
      <c r="P179" s="27" t="str">
        <f aca="false">IF(I179="","لم يُفحص",IF(I179="غير متوفر","غير موجود",IF(AND(O179=5,I179="متوفر"),"مكتمل",IF(O179&gt;=3,"مقبول","ضعيف"))))</f>
        <v>لم يُفحص</v>
      </c>
      <c r="Q179" s="27" t="str">
        <f aca="false">IF(I179="","",IF(AND(I179="متوفر",O179=5),"لا","نعم"))</f>
        <v/>
      </c>
      <c r="R179" s="27" t="str">
        <f aca="false">IF(Q179&lt;&gt;"نعم","",IF(OR(E179="نعم",I179="غير متوفر"),"عالية",IF(O179&gt;=3,"منخفضة","متوسطة")))</f>
        <v/>
      </c>
      <c r="S179" s="30"/>
      <c r="T179" s="30"/>
      <c r="U179" s="27" t="str">
        <f aca="false">IFERROR(INDEX('الإعدادات واللجنة'!$G$22:$G$29,MATCH(C179,'الإعدادات واللجنة'!$B$22:$B$29,0)),"")</f>
        <v>عضو 8</v>
      </c>
      <c r="V179" s="29"/>
      <c r="W179" s="30"/>
    </row>
    <row r="180" customFormat="false" ht="22.35" hidden="false" customHeight="false" outlineLevel="0" collapsed="false">
      <c r="A180" s="27" t="s">
        <v>495</v>
      </c>
      <c r="B180" s="28" t="s">
        <v>146</v>
      </c>
      <c r="C180" s="28" t="s">
        <v>126</v>
      </c>
      <c r="D180" s="28" t="s">
        <v>496</v>
      </c>
      <c r="E180" s="27"/>
      <c r="F180" s="27" t="n">
        <v>1</v>
      </c>
      <c r="G180" s="28" t="s">
        <v>497</v>
      </c>
      <c r="H180" s="27" t="str">
        <f aca="false">IFERROR(INDEX('الإعدادات واللجنة'!$E$22:$E$29,MATCH(C180,'الإعدادات واللجنة'!$B$22:$B$29,0)),"")</f>
        <v>عضو 7</v>
      </c>
      <c r="I180" s="29"/>
      <c r="J180" s="29"/>
      <c r="K180" s="29"/>
      <c r="L180" s="29"/>
      <c r="M180" s="29"/>
      <c r="N180" s="29"/>
      <c r="O180" s="27" t="str">
        <f aca="false">IF(I180="","",IF(I180="غير متوفر",0,COUNTIF(J180:N180,"نعم")))</f>
        <v/>
      </c>
      <c r="P180" s="27" t="str">
        <f aca="false">IF(I180="","لم يُفحص",IF(I180="غير متوفر","غير موجود",IF(AND(O180=5,I180="متوفر"),"مكتمل",IF(O180&gt;=3,"مقبول","ضعيف"))))</f>
        <v>لم يُفحص</v>
      </c>
      <c r="Q180" s="27" t="str">
        <f aca="false">IF(I180="","",IF(AND(I180="متوفر",O180=5),"لا","نعم"))</f>
        <v/>
      </c>
      <c r="R180" s="27" t="str">
        <f aca="false">IF(Q180&lt;&gt;"نعم","",IF(OR(E180="نعم",I180="غير متوفر"),"عالية",IF(O180&gt;=3,"منخفضة","متوسطة")))</f>
        <v/>
      </c>
      <c r="S180" s="30"/>
      <c r="T180" s="30"/>
      <c r="U180" s="27" t="str">
        <f aca="false">IFERROR(INDEX('الإعدادات واللجنة'!$G$22:$G$29,MATCH(C180,'الإعدادات واللجنة'!$B$22:$B$29,0)),"")</f>
        <v>عضو 8</v>
      </c>
      <c r="V180" s="29"/>
      <c r="W180" s="30"/>
    </row>
    <row r="181" customFormat="false" ht="22.35" hidden="false" customHeight="false" outlineLevel="0" collapsed="false">
      <c r="A181" s="27" t="s">
        <v>495</v>
      </c>
      <c r="B181" s="28" t="s">
        <v>146</v>
      </c>
      <c r="C181" s="28" t="s">
        <v>126</v>
      </c>
      <c r="D181" s="28" t="s">
        <v>496</v>
      </c>
      <c r="E181" s="27"/>
      <c r="F181" s="27" t="n">
        <v>2</v>
      </c>
      <c r="G181" s="28" t="s">
        <v>498</v>
      </c>
      <c r="H181" s="27" t="str">
        <f aca="false">IFERROR(INDEX('الإعدادات واللجنة'!$E$22:$E$29,MATCH(C181,'الإعدادات واللجنة'!$B$22:$B$29,0)),"")</f>
        <v>عضو 7</v>
      </c>
      <c r="I181" s="29"/>
      <c r="J181" s="29"/>
      <c r="K181" s="29"/>
      <c r="L181" s="29"/>
      <c r="M181" s="29"/>
      <c r="N181" s="29"/>
      <c r="O181" s="27" t="str">
        <f aca="false">IF(I181="","",IF(I181="غير متوفر",0,COUNTIF(J181:N181,"نعم")))</f>
        <v/>
      </c>
      <c r="P181" s="27" t="str">
        <f aca="false">IF(I181="","لم يُفحص",IF(I181="غير متوفر","غير موجود",IF(AND(O181=5,I181="متوفر"),"مكتمل",IF(O181&gt;=3,"مقبول","ضعيف"))))</f>
        <v>لم يُفحص</v>
      </c>
      <c r="Q181" s="27" t="str">
        <f aca="false">IF(I181="","",IF(AND(I181="متوفر",O181=5),"لا","نعم"))</f>
        <v/>
      </c>
      <c r="R181" s="27" t="str">
        <f aca="false">IF(Q181&lt;&gt;"نعم","",IF(OR(E181="نعم",I181="غير متوفر"),"عالية",IF(O181&gt;=3,"منخفضة","متوسطة")))</f>
        <v/>
      </c>
      <c r="S181" s="30"/>
      <c r="T181" s="30"/>
      <c r="U181" s="27" t="str">
        <f aca="false">IFERROR(INDEX('الإعدادات واللجنة'!$G$22:$G$29,MATCH(C181,'الإعدادات واللجنة'!$B$22:$B$29,0)),"")</f>
        <v>عضو 8</v>
      </c>
      <c r="V181" s="29"/>
      <c r="W181" s="30"/>
    </row>
    <row r="182" customFormat="false" ht="22.35" hidden="false" customHeight="false" outlineLevel="0" collapsed="false">
      <c r="A182" s="27" t="s">
        <v>495</v>
      </c>
      <c r="B182" s="28" t="s">
        <v>146</v>
      </c>
      <c r="C182" s="28" t="s">
        <v>126</v>
      </c>
      <c r="D182" s="28" t="s">
        <v>496</v>
      </c>
      <c r="E182" s="27"/>
      <c r="F182" s="27" t="n">
        <v>3</v>
      </c>
      <c r="G182" s="28" t="s">
        <v>499</v>
      </c>
      <c r="H182" s="27" t="str">
        <f aca="false">IFERROR(INDEX('الإعدادات واللجنة'!$E$22:$E$29,MATCH(C182,'الإعدادات واللجنة'!$B$22:$B$29,0)),"")</f>
        <v>عضو 7</v>
      </c>
      <c r="I182" s="29"/>
      <c r="J182" s="29"/>
      <c r="K182" s="29"/>
      <c r="L182" s="29"/>
      <c r="M182" s="29"/>
      <c r="N182" s="29"/>
      <c r="O182" s="27" t="str">
        <f aca="false">IF(I182="","",IF(I182="غير متوفر",0,COUNTIF(J182:N182,"نعم")))</f>
        <v/>
      </c>
      <c r="P182" s="27" t="str">
        <f aca="false">IF(I182="","لم يُفحص",IF(I182="غير متوفر","غير موجود",IF(AND(O182=5,I182="متوفر"),"مكتمل",IF(O182&gt;=3,"مقبول","ضعيف"))))</f>
        <v>لم يُفحص</v>
      </c>
      <c r="Q182" s="27" t="str">
        <f aca="false">IF(I182="","",IF(AND(I182="متوفر",O182=5),"لا","نعم"))</f>
        <v/>
      </c>
      <c r="R182" s="27" t="str">
        <f aca="false">IF(Q182&lt;&gt;"نعم","",IF(OR(E182="نعم",I182="غير متوفر"),"عالية",IF(O182&gt;=3,"منخفضة","متوسطة")))</f>
        <v/>
      </c>
      <c r="S182" s="30"/>
      <c r="T182" s="30"/>
      <c r="U182" s="27" t="str">
        <f aca="false">IFERROR(INDEX('الإعدادات واللجنة'!$G$22:$G$29,MATCH(C182,'الإعدادات واللجنة'!$B$22:$B$29,0)),"")</f>
        <v>عضو 8</v>
      </c>
      <c r="V182" s="29"/>
      <c r="W182" s="30"/>
    </row>
    <row r="183" customFormat="false" ht="22.35" hidden="false" customHeight="false" outlineLevel="0" collapsed="false">
      <c r="A183" s="27" t="s">
        <v>495</v>
      </c>
      <c r="B183" s="28" t="s">
        <v>146</v>
      </c>
      <c r="C183" s="28" t="s">
        <v>126</v>
      </c>
      <c r="D183" s="28" t="s">
        <v>496</v>
      </c>
      <c r="E183" s="27"/>
      <c r="F183" s="27" t="n">
        <v>4</v>
      </c>
      <c r="G183" s="28" t="s">
        <v>500</v>
      </c>
      <c r="H183" s="27" t="str">
        <f aca="false">IFERROR(INDEX('الإعدادات واللجنة'!$E$22:$E$29,MATCH(C183,'الإعدادات واللجنة'!$B$22:$B$29,0)),"")</f>
        <v>عضو 7</v>
      </c>
      <c r="I183" s="29"/>
      <c r="J183" s="29"/>
      <c r="K183" s="29"/>
      <c r="L183" s="29"/>
      <c r="M183" s="29"/>
      <c r="N183" s="29"/>
      <c r="O183" s="27" t="str">
        <f aca="false">IF(I183="","",IF(I183="غير متوفر",0,COUNTIF(J183:N183,"نعم")))</f>
        <v/>
      </c>
      <c r="P183" s="27" t="str">
        <f aca="false">IF(I183="","لم يُفحص",IF(I183="غير متوفر","غير موجود",IF(AND(O183=5,I183="متوفر"),"مكتمل",IF(O183&gt;=3,"مقبول","ضعيف"))))</f>
        <v>لم يُفحص</v>
      </c>
      <c r="Q183" s="27" t="str">
        <f aca="false">IF(I183="","",IF(AND(I183="متوفر",O183=5),"لا","نعم"))</f>
        <v/>
      </c>
      <c r="R183" s="27" t="str">
        <f aca="false">IF(Q183&lt;&gt;"نعم","",IF(OR(E183="نعم",I183="غير متوفر"),"عالية",IF(O183&gt;=3,"منخفضة","متوسطة")))</f>
        <v/>
      </c>
      <c r="S183" s="30"/>
      <c r="T183" s="30"/>
      <c r="U183" s="27" t="str">
        <f aca="false">IFERROR(INDEX('الإعدادات واللجنة'!$G$22:$G$29,MATCH(C183,'الإعدادات واللجنة'!$B$22:$B$29,0)),"")</f>
        <v>عضو 8</v>
      </c>
      <c r="V183" s="29"/>
      <c r="W183" s="30"/>
    </row>
    <row r="184" customFormat="false" ht="22.35" hidden="false" customHeight="false" outlineLevel="0" collapsed="false">
      <c r="A184" s="27" t="s">
        <v>495</v>
      </c>
      <c r="B184" s="28" t="s">
        <v>146</v>
      </c>
      <c r="C184" s="28" t="s">
        <v>126</v>
      </c>
      <c r="D184" s="28" t="s">
        <v>496</v>
      </c>
      <c r="E184" s="27"/>
      <c r="F184" s="27" t="n">
        <v>5</v>
      </c>
      <c r="G184" s="28" t="s">
        <v>501</v>
      </c>
      <c r="H184" s="27" t="str">
        <f aca="false">IFERROR(INDEX('الإعدادات واللجنة'!$E$22:$E$29,MATCH(C184,'الإعدادات واللجنة'!$B$22:$B$29,0)),"")</f>
        <v>عضو 7</v>
      </c>
      <c r="I184" s="29"/>
      <c r="J184" s="29"/>
      <c r="K184" s="29"/>
      <c r="L184" s="29"/>
      <c r="M184" s="29"/>
      <c r="N184" s="29"/>
      <c r="O184" s="27" t="str">
        <f aca="false">IF(I184="","",IF(I184="غير متوفر",0,COUNTIF(J184:N184,"نعم")))</f>
        <v/>
      </c>
      <c r="P184" s="27" t="str">
        <f aca="false">IF(I184="","لم يُفحص",IF(I184="غير متوفر","غير موجود",IF(AND(O184=5,I184="متوفر"),"مكتمل",IF(O184&gt;=3,"مقبول","ضعيف"))))</f>
        <v>لم يُفحص</v>
      </c>
      <c r="Q184" s="27" t="str">
        <f aca="false">IF(I184="","",IF(AND(I184="متوفر",O184=5),"لا","نعم"))</f>
        <v/>
      </c>
      <c r="R184" s="27" t="str">
        <f aca="false">IF(Q184&lt;&gt;"نعم","",IF(OR(E184="نعم",I184="غير متوفر"),"عالية",IF(O184&gt;=3,"منخفضة","متوسطة")))</f>
        <v/>
      </c>
      <c r="S184" s="30"/>
      <c r="T184" s="30"/>
      <c r="U184" s="27" t="str">
        <f aca="false">IFERROR(INDEX('الإعدادات واللجنة'!$G$22:$G$29,MATCH(C184,'الإعدادات واللجنة'!$B$22:$B$29,0)),"")</f>
        <v>عضو 8</v>
      </c>
      <c r="V184" s="29"/>
      <c r="W184" s="30"/>
    </row>
    <row r="185" customFormat="false" ht="22.35" hidden="false" customHeight="false" outlineLevel="0" collapsed="false">
      <c r="A185" s="27" t="s">
        <v>502</v>
      </c>
      <c r="B185" s="28" t="s">
        <v>146</v>
      </c>
      <c r="C185" s="28" t="s">
        <v>126</v>
      </c>
      <c r="D185" s="28" t="s">
        <v>503</v>
      </c>
      <c r="E185" s="27"/>
      <c r="F185" s="27" t="n">
        <v>1</v>
      </c>
      <c r="G185" s="28" t="s">
        <v>504</v>
      </c>
      <c r="H185" s="27" t="str">
        <f aca="false">IFERROR(INDEX('الإعدادات واللجنة'!$E$22:$E$29,MATCH(C185,'الإعدادات واللجنة'!$B$22:$B$29,0)),"")</f>
        <v>عضو 7</v>
      </c>
      <c r="I185" s="29"/>
      <c r="J185" s="29"/>
      <c r="K185" s="29"/>
      <c r="L185" s="29"/>
      <c r="M185" s="29"/>
      <c r="N185" s="29"/>
      <c r="O185" s="27" t="str">
        <f aca="false">IF(I185="","",IF(I185="غير متوفر",0,COUNTIF(J185:N185,"نعم")))</f>
        <v/>
      </c>
      <c r="P185" s="27" t="str">
        <f aca="false">IF(I185="","لم يُفحص",IF(I185="غير متوفر","غير موجود",IF(AND(O185=5,I185="متوفر"),"مكتمل",IF(O185&gt;=3,"مقبول","ضعيف"))))</f>
        <v>لم يُفحص</v>
      </c>
      <c r="Q185" s="27" t="str">
        <f aca="false">IF(I185="","",IF(AND(I185="متوفر",O185=5),"لا","نعم"))</f>
        <v/>
      </c>
      <c r="R185" s="27" t="str">
        <f aca="false">IF(Q185&lt;&gt;"نعم","",IF(OR(E185="نعم",I185="غير متوفر"),"عالية",IF(O185&gt;=3,"منخفضة","متوسطة")))</f>
        <v/>
      </c>
      <c r="S185" s="30"/>
      <c r="T185" s="30"/>
      <c r="U185" s="27" t="str">
        <f aca="false">IFERROR(INDEX('الإعدادات واللجنة'!$G$22:$G$29,MATCH(C185,'الإعدادات واللجنة'!$B$22:$B$29,0)),"")</f>
        <v>عضو 8</v>
      </c>
      <c r="V185" s="29"/>
      <c r="W185" s="30"/>
    </row>
    <row r="186" customFormat="false" ht="22.35" hidden="false" customHeight="false" outlineLevel="0" collapsed="false">
      <c r="A186" s="27" t="s">
        <v>502</v>
      </c>
      <c r="B186" s="28" t="s">
        <v>146</v>
      </c>
      <c r="C186" s="28" t="s">
        <v>126</v>
      </c>
      <c r="D186" s="28" t="s">
        <v>503</v>
      </c>
      <c r="E186" s="27"/>
      <c r="F186" s="27" t="n">
        <v>2</v>
      </c>
      <c r="G186" s="28" t="s">
        <v>505</v>
      </c>
      <c r="H186" s="27" t="str">
        <f aca="false">IFERROR(INDEX('الإعدادات واللجنة'!$E$22:$E$29,MATCH(C186,'الإعدادات واللجنة'!$B$22:$B$29,0)),"")</f>
        <v>عضو 7</v>
      </c>
      <c r="I186" s="29"/>
      <c r="J186" s="29"/>
      <c r="K186" s="29"/>
      <c r="L186" s="29"/>
      <c r="M186" s="29"/>
      <c r="N186" s="29"/>
      <c r="O186" s="27" t="str">
        <f aca="false">IF(I186="","",IF(I186="غير متوفر",0,COUNTIF(J186:N186,"نعم")))</f>
        <v/>
      </c>
      <c r="P186" s="27" t="str">
        <f aca="false">IF(I186="","لم يُفحص",IF(I186="غير متوفر","غير موجود",IF(AND(O186=5,I186="متوفر"),"مكتمل",IF(O186&gt;=3,"مقبول","ضعيف"))))</f>
        <v>لم يُفحص</v>
      </c>
      <c r="Q186" s="27" t="str">
        <f aca="false">IF(I186="","",IF(AND(I186="متوفر",O186=5),"لا","نعم"))</f>
        <v/>
      </c>
      <c r="R186" s="27" t="str">
        <f aca="false">IF(Q186&lt;&gt;"نعم","",IF(OR(E186="نعم",I186="غير متوفر"),"عالية",IF(O186&gt;=3,"منخفضة","متوسطة")))</f>
        <v/>
      </c>
      <c r="S186" s="30"/>
      <c r="T186" s="30"/>
      <c r="U186" s="27" t="str">
        <f aca="false">IFERROR(INDEX('الإعدادات واللجنة'!$G$22:$G$29,MATCH(C186,'الإعدادات واللجنة'!$B$22:$B$29,0)),"")</f>
        <v>عضو 8</v>
      </c>
      <c r="V186" s="29"/>
      <c r="W186" s="30"/>
    </row>
    <row r="187" customFormat="false" ht="22.35" hidden="false" customHeight="false" outlineLevel="0" collapsed="false">
      <c r="A187" s="27" t="s">
        <v>502</v>
      </c>
      <c r="B187" s="28" t="s">
        <v>146</v>
      </c>
      <c r="C187" s="28" t="s">
        <v>126</v>
      </c>
      <c r="D187" s="28" t="s">
        <v>503</v>
      </c>
      <c r="E187" s="27"/>
      <c r="F187" s="27" t="n">
        <v>3</v>
      </c>
      <c r="G187" s="28" t="s">
        <v>506</v>
      </c>
      <c r="H187" s="27" t="str">
        <f aca="false">IFERROR(INDEX('الإعدادات واللجنة'!$E$22:$E$29,MATCH(C187,'الإعدادات واللجنة'!$B$22:$B$29,0)),"")</f>
        <v>عضو 7</v>
      </c>
      <c r="I187" s="29"/>
      <c r="J187" s="29"/>
      <c r="K187" s="29"/>
      <c r="L187" s="29"/>
      <c r="M187" s="29"/>
      <c r="N187" s="29"/>
      <c r="O187" s="27" t="str">
        <f aca="false">IF(I187="","",IF(I187="غير متوفر",0,COUNTIF(J187:N187,"نعم")))</f>
        <v/>
      </c>
      <c r="P187" s="27" t="str">
        <f aca="false">IF(I187="","لم يُفحص",IF(I187="غير متوفر","غير موجود",IF(AND(O187=5,I187="متوفر"),"مكتمل",IF(O187&gt;=3,"مقبول","ضعيف"))))</f>
        <v>لم يُفحص</v>
      </c>
      <c r="Q187" s="27" t="str">
        <f aca="false">IF(I187="","",IF(AND(I187="متوفر",O187=5),"لا","نعم"))</f>
        <v/>
      </c>
      <c r="R187" s="27" t="str">
        <f aca="false">IF(Q187&lt;&gt;"نعم","",IF(OR(E187="نعم",I187="غير متوفر"),"عالية",IF(O187&gt;=3,"منخفضة","متوسطة")))</f>
        <v/>
      </c>
      <c r="S187" s="30"/>
      <c r="T187" s="30"/>
      <c r="U187" s="27" t="str">
        <f aca="false">IFERROR(INDEX('الإعدادات واللجنة'!$G$22:$G$29,MATCH(C187,'الإعدادات واللجنة'!$B$22:$B$29,0)),"")</f>
        <v>عضو 8</v>
      </c>
      <c r="V187" s="29"/>
      <c r="W187" s="30"/>
    </row>
    <row r="188" customFormat="false" ht="43.25" hidden="false" customHeight="false" outlineLevel="0" collapsed="false">
      <c r="A188" s="27" t="s">
        <v>502</v>
      </c>
      <c r="B188" s="28" t="s">
        <v>146</v>
      </c>
      <c r="C188" s="28" t="s">
        <v>126</v>
      </c>
      <c r="D188" s="28" t="s">
        <v>503</v>
      </c>
      <c r="E188" s="27"/>
      <c r="F188" s="27" t="n">
        <v>4</v>
      </c>
      <c r="G188" s="28" t="s">
        <v>507</v>
      </c>
      <c r="H188" s="27" t="str">
        <f aca="false">IFERROR(INDEX('الإعدادات واللجنة'!$E$22:$E$29,MATCH(C188,'الإعدادات واللجنة'!$B$22:$B$29,0)),"")</f>
        <v>عضو 7</v>
      </c>
      <c r="I188" s="29"/>
      <c r="J188" s="29"/>
      <c r="K188" s="29"/>
      <c r="L188" s="29"/>
      <c r="M188" s="29"/>
      <c r="N188" s="29"/>
      <c r="O188" s="27" t="str">
        <f aca="false">IF(I188="","",IF(I188="غير متوفر",0,COUNTIF(J188:N188,"نعم")))</f>
        <v/>
      </c>
      <c r="P188" s="27" t="str">
        <f aca="false">IF(I188="","لم يُفحص",IF(I188="غير متوفر","غير موجود",IF(AND(O188=5,I188="متوفر"),"مكتمل",IF(O188&gt;=3,"مقبول","ضعيف"))))</f>
        <v>لم يُفحص</v>
      </c>
      <c r="Q188" s="27" t="str">
        <f aca="false">IF(I188="","",IF(AND(I188="متوفر",O188=5),"لا","نعم"))</f>
        <v/>
      </c>
      <c r="R188" s="27" t="str">
        <f aca="false">IF(Q188&lt;&gt;"نعم","",IF(OR(E188="نعم",I188="غير متوفر"),"عالية",IF(O188&gt;=3,"منخفضة","متوسطة")))</f>
        <v/>
      </c>
      <c r="S188" s="30"/>
      <c r="T188" s="30"/>
      <c r="U188" s="27" t="str">
        <f aca="false">IFERROR(INDEX('الإعدادات واللجنة'!$G$22:$G$29,MATCH(C188,'الإعدادات واللجنة'!$B$22:$B$29,0)),"")</f>
        <v>عضو 8</v>
      </c>
      <c r="V188" s="29"/>
      <c r="W188" s="30"/>
    </row>
    <row r="189" customFormat="false" ht="22.35" hidden="false" customHeight="false" outlineLevel="0" collapsed="false">
      <c r="A189" s="27" t="s">
        <v>502</v>
      </c>
      <c r="B189" s="28" t="s">
        <v>146</v>
      </c>
      <c r="C189" s="28" t="s">
        <v>126</v>
      </c>
      <c r="D189" s="28" t="s">
        <v>503</v>
      </c>
      <c r="E189" s="27"/>
      <c r="F189" s="27" t="n">
        <v>5</v>
      </c>
      <c r="G189" s="28" t="s">
        <v>508</v>
      </c>
      <c r="H189" s="27" t="str">
        <f aca="false">IFERROR(INDEX('الإعدادات واللجنة'!$E$22:$E$29,MATCH(C189,'الإعدادات واللجنة'!$B$22:$B$29,0)),"")</f>
        <v>عضو 7</v>
      </c>
      <c r="I189" s="29"/>
      <c r="J189" s="29"/>
      <c r="K189" s="29"/>
      <c r="L189" s="29"/>
      <c r="M189" s="29"/>
      <c r="N189" s="29"/>
      <c r="O189" s="27" t="str">
        <f aca="false">IF(I189="","",IF(I189="غير متوفر",0,COUNTIF(J189:N189,"نعم")))</f>
        <v/>
      </c>
      <c r="P189" s="27" t="str">
        <f aca="false">IF(I189="","لم يُفحص",IF(I189="غير متوفر","غير موجود",IF(AND(O189=5,I189="متوفر"),"مكتمل",IF(O189&gt;=3,"مقبول","ضعيف"))))</f>
        <v>لم يُفحص</v>
      </c>
      <c r="Q189" s="27" t="str">
        <f aca="false">IF(I189="","",IF(AND(I189="متوفر",O189=5),"لا","نعم"))</f>
        <v/>
      </c>
      <c r="R189" s="27" t="str">
        <f aca="false">IF(Q189&lt;&gt;"نعم","",IF(OR(E189="نعم",I189="غير متوفر"),"عالية",IF(O189&gt;=3,"منخفضة","متوسطة")))</f>
        <v/>
      </c>
      <c r="S189" s="30"/>
      <c r="T189" s="30"/>
      <c r="U189" s="27" t="str">
        <f aca="false">IFERROR(INDEX('الإعدادات واللجنة'!$G$22:$G$29,MATCH(C189,'الإعدادات واللجنة'!$B$22:$B$29,0)),"")</f>
        <v>عضو 8</v>
      </c>
      <c r="V189" s="29"/>
      <c r="W189" s="30"/>
    </row>
    <row r="190" customFormat="false" ht="22.35" hidden="false" customHeight="false" outlineLevel="0" collapsed="false">
      <c r="A190" s="27" t="s">
        <v>509</v>
      </c>
      <c r="B190" s="28" t="s">
        <v>147</v>
      </c>
      <c r="C190" s="28" t="s">
        <v>127</v>
      </c>
      <c r="D190" s="28" t="s">
        <v>510</v>
      </c>
      <c r="E190" s="27"/>
      <c r="F190" s="27" t="n">
        <v>1</v>
      </c>
      <c r="G190" s="28" t="s">
        <v>511</v>
      </c>
      <c r="H190" s="27" t="str">
        <f aca="false">IFERROR(INDEX('الإعدادات واللجنة'!$E$22:$E$29,MATCH(C190,'الإعدادات واللجنة'!$B$22:$B$29,0)),"")</f>
        <v>عضو 2</v>
      </c>
      <c r="I190" s="29"/>
      <c r="J190" s="29"/>
      <c r="K190" s="29"/>
      <c r="L190" s="29"/>
      <c r="M190" s="29"/>
      <c r="N190" s="29"/>
      <c r="O190" s="27" t="str">
        <f aca="false">IF(I190="","",IF(I190="غير متوفر",0,COUNTIF(J190:N190,"نعم")))</f>
        <v/>
      </c>
      <c r="P190" s="27" t="str">
        <f aca="false">IF(I190="","لم يُفحص",IF(I190="غير متوفر","غير موجود",IF(AND(O190=5,I190="متوفر"),"مكتمل",IF(O190&gt;=3,"مقبول","ضعيف"))))</f>
        <v>لم يُفحص</v>
      </c>
      <c r="Q190" s="27" t="str">
        <f aca="false">IF(I190="","",IF(AND(I190="متوفر",O190=5),"لا","نعم"))</f>
        <v/>
      </c>
      <c r="R190" s="27" t="str">
        <f aca="false">IF(Q190&lt;&gt;"نعم","",IF(OR(E190="نعم",I190="غير متوفر"),"عالية",IF(O190&gt;=3,"منخفضة","متوسطة")))</f>
        <v/>
      </c>
      <c r="S190" s="30"/>
      <c r="T190" s="30"/>
      <c r="U190" s="27" t="str">
        <f aca="false">IFERROR(INDEX('الإعدادات واللجنة'!$G$22:$G$29,MATCH(C190,'الإعدادات واللجنة'!$B$22:$B$29,0)),"")</f>
        <v>عضو 1</v>
      </c>
      <c r="V190" s="29"/>
      <c r="W190" s="30"/>
    </row>
    <row r="191" customFormat="false" ht="22.35" hidden="false" customHeight="false" outlineLevel="0" collapsed="false">
      <c r="A191" s="27" t="s">
        <v>509</v>
      </c>
      <c r="B191" s="28" t="s">
        <v>147</v>
      </c>
      <c r="C191" s="28" t="s">
        <v>127</v>
      </c>
      <c r="D191" s="28" t="s">
        <v>510</v>
      </c>
      <c r="E191" s="27"/>
      <c r="F191" s="27" t="n">
        <v>2</v>
      </c>
      <c r="G191" s="28" t="s">
        <v>512</v>
      </c>
      <c r="H191" s="27" t="str">
        <f aca="false">IFERROR(INDEX('الإعدادات واللجنة'!$E$22:$E$29,MATCH(C191,'الإعدادات واللجنة'!$B$22:$B$29,0)),"")</f>
        <v>عضو 2</v>
      </c>
      <c r="I191" s="29"/>
      <c r="J191" s="29"/>
      <c r="K191" s="29"/>
      <c r="L191" s="29"/>
      <c r="M191" s="29"/>
      <c r="N191" s="29"/>
      <c r="O191" s="27" t="str">
        <f aca="false">IF(I191="","",IF(I191="غير متوفر",0,COUNTIF(J191:N191,"نعم")))</f>
        <v/>
      </c>
      <c r="P191" s="27" t="str">
        <f aca="false">IF(I191="","لم يُفحص",IF(I191="غير متوفر","غير موجود",IF(AND(O191=5,I191="متوفر"),"مكتمل",IF(O191&gt;=3,"مقبول","ضعيف"))))</f>
        <v>لم يُفحص</v>
      </c>
      <c r="Q191" s="27" t="str">
        <f aca="false">IF(I191="","",IF(AND(I191="متوفر",O191=5),"لا","نعم"))</f>
        <v/>
      </c>
      <c r="R191" s="27" t="str">
        <f aca="false">IF(Q191&lt;&gt;"نعم","",IF(OR(E191="نعم",I191="غير متوفر"),"عالية",IF(O191&gt;=3,"منخفضة","متوسطة")))</f>
        <v/>
      </c>
      <c r="S191" s="30"/>
      <c r="T191" s="30"/>
      <c r="U191" s="27" t="str">
        <f aca="false">IFERROR(INDEX('الإعدادات واللجنة'!$G$22:$G$29,MATCH(C191,'الإعدادات واللجنة'!$B$22:$B$29,0)),"")</f>
        <v>عضو 1</v>
      </c>
      <c r="V191" s="29"/>
      <c r="W191" s="30"/>
    </row>
    <row r="192" customFormat="false" ht="22.35" hidden="false" customHeight="false" outlineLevel="0" collapsed="false">
      <c r="A192" s="27" t="s">
        <v>509</v>
      </c>
      <c r="B192" s="28" t="s">
        <v>147</v>
      </c>
      <c r="C192" s="28" t="s">
        <v>127</v>
      </c>
      <c r="D192" s="28" t="s">
        <v>510</v>
      </c>
      <c r="E192" s="27"/>
      <c r="F192" s="27" t="n">
        <v>3</v>
      </c>
      <c r="G192" s="28" t="s">
        <v>513</v>
      </c>
      <c r="H192" s="27" t="str">
        <f aca="false">IFERROR(INDEX('الإعدادات واللجنة'!$E$22:$E$29,MATCH(C192,'الإعدادات واللجنة'!$B$22:$B$29,0)),"")</f>
        <v>عضو 2</v>
      </c>
      <c r="I192" s="29"/>
      <c r="J192" s="29"/>
      <c r="K192" s="29"/>
      <c r="L192" s="29"/>
      <c r="M192" s="29"/>
      <c r="N192" s="29"/>
      <c r="O192" s="27" t="str">
        <f aca="false">IF(I192="","",IF(I192="غير متوفر",0,COUNTIF(J192:N192,"نعم")))</f>
        <v/>
      </c>
      <c r="P192" s="27" t="str">
        <f aca="false">IF(I192="","لم يُفحص",IF(I192="غير متوفر","غير موجود",IF(AND(O192=5,I192="متوفر"),"مكتمل",IF(O192&gt;=3,"مقبول","ضعيف"))))</f>
        <v>لم يُفحص</v>
      </c>
      <c r="Q192" s="27" t="str">
        <f aca="false">IF(I192="","",IF(AND(I192="متوفر",O192=5),"لا","نعم"))</f>
        <v/>
      </c>
      <c r="R192" s="27" t="str">
        <f aca="false">IF(Q192&lt;&gt;"نعم","",IF(OR(E192="نعم",I192="غير متوفر"),"عالية",IF(O192&gt;=3,"منخفضة","متوسطة")))</f>
        <v/>
      </c>
      <c r="S192" s="30"/>
      <c r="T192" s="30"/>
      <c r="U192" s="27" t="str">
        <f aca="false">IFERROR(INDEX('الإعدادات واللجنة'!$G$22:$G$29,MATCH(C192,'الإعدادات واللجنة'!$B$22:$B$29,0)),"")</f>
        <v>عضو 1</v>
      </c>
      <c r="V192" s="29"/>
      <c r="W192" s="30"/>
    </row>
    <row r="193" customFormat="false" ht="32.8" hidden="false" customHeight="false" outlineLevel="0" collapsed="false">
      <c r="A193" s="27" t="s">
        <v>514</v>
      </c>
      <c r="B193" s="28" t="s">
        <v>147</v>
      </c>
      <c r="C193" s="28" t="s">
        <v>127</v>
      </c>
      <c r="D193" s="28" t="s">
        <v>515</v>
      </c>
      <c r="E193" s="27"/>
      <c r="F193" s="27" t="n">
        <v>1</v>
      </c>
      <c r="G193" s="28" t="s">
        <v>516</v>
      </c>
      <c r="H193" s="27" t="str">
        <f aca="false">IFERROR(INDEX('الإعدادات واللجنة'!$E$22:$E$29,MATCH(C193,'الإعدادات واللجنة'!$B$22:$B$29,0)),"")</f>
        <v>عضو 2</v>
      </c>
      <c r="I193" s="29"/>
      <c r="J193" s="29"/>
      <c r="K193" s="29"/>
      <c r="L193" s="29"/>
      <c r="M193" s="29"/>
      <c r="N193" s="29"/>
      <c r="O193" s="27" t="str">
        <f aca="false">IF(I193="","",IF(I193="غير متوفر",0,COUNTIF(J193:N193,"نعم")))</f>
        <v/>
      </c>
      <c r="P193" s="27" t="str">
        <f aca="false">IF(I193="","لم يُفحص",IF(I193="غير متوفر","غير موجود",IF(AND(O193=5,I193="متوفر"),"مكتمل",IF(O193&gt;=3,"مقبول","ضعيف"))))</f>
        <v>لم يُفحص</v>
      </c>
      <c r="Q193" s="27" t="str">
        <f aca="false">IF(I193="","",IF(AND(I193="متوفر",O193=5),"لا","نعم"))</f>
        <v/>
      </c>
      <c r="R193" s="27" t="str">
        <f aca="false">IF(Q193&lt;&gt;"نعم","",IF(OR(E193="نعم",I193="غير متوفر"),"عالية",IF(O193&gt;=3,"منخفضة","متوسطة")))</f>
        <v/>
      </c>
      <c r="S193" s="30"/>
      <c r="T193" s="30"/>
      <c r="U193" s="27" t="str">
        <f aca="false">IFERROR(INDEX('الإعدادات واللجنة'!$G$22:$G$29,MATCH(C193,'الإعدادات واللجنة'!$B$22:$B$29,0)),"")</f>
        <v>عضو 1</v>
      </c>
      <c r="V193" s="29"/>
      <c r="W193" s="30"/>
    </row>
    <row r="194" customFormat="false" ht="22.35" hidden="false" customHeight="false" outlineLevel="0" collapsed="false">
      <c r="A194" s="27" t="s">
        <v>514</v>
      </c>
      <c r="B194" s="28" t="s">
        <v>147</v>
      </c>
      <c r="C194" s="28" t="s">
        <v>127</v>
      </c>
      <c r="D194" s="28" t="s">
        <v>515</v>
      </c>
      <c r="E194" s="27"/>
      <c r="F194" s="27" t="n">
        <v>2</v>
      </c>
      <c r="G194" s="28" t="s">
        <v>517</v>
      </c>
      <c r="H194" s="27" t="str">
        <f aca="false">IFERROR(INDEX('الإعدادات واللجنة'!$E$22:$E$29,MATCH(C194,'الإعدادات واللجنة'!$B$22:$B$29,0)),"")</f>
        <v>عضو 2</v>
      </c>
      <c r="I194" s="29"/>
      <c r="J194" s="29"/>
      <c r="K194" s="29"/>
      <c r="L194" s="29"/>
      <c r="M194" s="29"/>
      <c r="N194" s="29"/>
      <c r="O194" s="27" t="str">
        <f aca="false">IF(I194="","",IF(I194="غير متوفر",0,COUNTIF(J194:N194,"نعم")))</f>
        <v/>
      </c>
      <c r="P194" s="27" t="str">
        <f aca="false">IF(I194="","لم يُفحص",IF(I194="غير متوفر","غير موجود",IF(AND(O194=5,I194="متوفر"),"مكتمل",IF(O194&gt;=3,"مقبول","ضعيف"))))</f>
        <v>لم يُفحص</v>
      </c>
      <c r="Q194" s="27" t="str">
        <f aca="false">IF(I194="","",IF(AND(I194="متوفر",O194=5),"لا","نعم"))</f>
        <v/>
      </c>
      <c r="R194" s="27" t="str">
        <f aca="false">IF(Q194&lt;&gt;"نعم","",IF(OR(E194="نعم",I194="غير متوفر"),"عالية",IF(O194&gt;=3,"منخفضة","متوسطة")))</f>
        <v/>
      </c>
      <c r="S194" s="30"/>
      <c r="T194" s="30"/>
      <c r="U194" s="27" t="str">
        <f aca="false">IFERROR(INDEX('الإعدادات واللجنة'!$G$22:$G$29,MATCH(C194,'الإعدادات واللجنة'!$B$22:$B$29,0)),"")</f>
        <v>عضو 1</v>
      </c>
      <c r="V194" s="29"/>
      <c r="W194" s="30"/>
    </row>
    <row r="195" customFormat="false" ht="22.35" hidden="false" customHeight="false" outlineLevel="0" collapsed="false">
      <c r="A195" s="27" t="s">
        <v>514</v>
      </c>
      <c r="B195" s="28" t="s">
        <v>147</v>
      </c>
      <c r="C195" s="28" t="s">
        <v>127</v>
      </c>
      <c r="D195" s="28" t="s">
        <v>515</v>
      </c>
      <c r="E195" s="27"/>
      <c r="F195" s="27" t="n">
        <v>3</v>
      </c>
      <c r="G195" s="28" t="s">
        <v>518</v>
      </c>
      <c r="H195" s="27" t="str">
        <f aca="false">IFERROR(INDEX('الإعدادات واللجنة'!$E$22:$E$29,MATCH(C195,'الإعدادات واللجنة'!$B$22:$B$29,0)),"")</f>
        <v>عضو 2</v>
      </c>
      <c r="I195" s="29"/>
      <c r="J195" s="29"/>
      <c r="K195" s="29"/>
      <c r="L195" s="29"/>
      <c r="M195" s="29"/>
      <c r="N195" s="29"/>
      <c r="O195" s="27" t="str">
        <f aca="false">IF(I195="","",IF(I195="غير متوفر",0,COUNTIF(J195:N195,"نعم")))</f>
        <v/>
      </c>
      <c r="P195" s="27" t="str">
        <f aca="false">IF(I195="","لم يُفحص",IF(I195="غير متوفر","غير موجود",IF(AND(O195=5,I195="متوفر"),"مكتمل",IF(O195&gt;=3,"مقبول","ضعيف"))))</f>
        <v>لم يُفحص</v>
      </c>
      <c r="Q195" s="27" t="str">
        <f aca="false">IF(I195="","",IF(AND(I195="متوفر",O195=5),"لا","نعم"))</f>
        <v/>
      </c>
      <c r="R195" s="27" t="str">
        <f aca="false">IF(Q195&lt;&gt;"نعم","",IF(OR(E195="نعم",I195="غير متوفر"),"عالية",IF(O195&gt;=3,"منخفضة","متوسطة")))</f>
        <v/>
      </c>
      <c r="S195" s="30"/>
      <c r="T195" s="30"/>
      <c r="U195" s="27" t="str">
        <f aca="false">IFERROR(INDEX('الإعدادات واللجنة'!$G$22:$G$29,MATCH(C195,'الإعدادات واللجنة'!$B$22:$B$29,0)),"")</f>
        <v>عضو 1</v>
      </c>
      <c r="V195" s="29"/>
      <c r="W195" s="30"/>
    </row>
    <row r="196" customFormat="false" ht="32.8" hidden="false" customHeight="false" outlineLevel="0" collapsed="false">
      <c r="A196" s="31" t="s">
        <v>519</v>
      </c>
      <c r="B196" s="32" t="s">
        <v>147</v>
      </c>
      <c r="C196" s="32" t="s">
        <v>127</v>
      </c>
      <c r="D196" s="32" t="s">
        <v>520</v>
      </c>
      <c r="E196" s="31" t="s">
        <v>185</v>
      </c>
      <c r="F196" s="31" t="n">
        <v>1</v>
      </c>
      <c r="G196" s="32" t="s">
        <v>521</v>
      </c>
      <c r="H196" s="27" t="str">
        <f aca="false">IFERROR(INDEX('الإعدادات واللجنة'!$E$22:$E$29,MATCH(C196,'الإعدادات واللجنة'!$B$22:$B$29,0)),"")</f>
        <v>عضو 2</v>
      </c>
      <c r="I196" s="29"/>
      <c r="J196" s="29"/>
      <c r="K196" s="29"/>
      <c r="L196" s="29"/>
      <c r="M196" s="29"/>
      <c r="N196" s="29"/>
      <c r="O196" s="27" t="str">
        <f aca="false">IF(I196="","",IF(I196="غير متوفر",0,COUNTIF(J196:N196,"نعم")))</f>
        <v/>
      </c>
      <c r="P196" s="27" t="str">
        <f aca="false">IF(I196="","لم يُفحص",IF(I196="غير متوفر","غير موجود",IF(AND(O196=5,I196="متوفر"),"مكتمل",IF(O196&gt;=3,"مقبول","ضعيف"))))</f>
        <v>لم يُفحص</v>
      </c>
      <c r="Q196" s="27" t="str">
        <f aca="false">IF(I196="","",IF(AND(I196="متوفر",O196=5),"لا","نعم"))</f>
        <v/>
      </c>
      <c r="R196" s="27" t="str">
        <f aca="false">IF(Q196&lt;&gt;"نعم","",IF(OR(E196="نعم",I196="غير متوفر"),"عالية",IF(O196&gt;=3,"منخفضة","متوسطة")))</f>
        <v/>
      </c>
      <c r="S196" s="30"/>
      <c r="T196" s="30"/>
      <c r="U196" s="27" t="str">
        <f aca="false">IFERROR(INDEX('الإعدادات واللجنة'!$G$22:$G$29,MATCH(C196,'الإعدادات واللجنة'!$B$22:$B$29,0)),"")</f>
        <v>عضو 1</v>
      </c>
      <c r="V196" s="29"/>
      <c r="W196" s="30"/>
    </row>
    <row r="197" customFormat="false" ht="32.8" hidden="false" customHeight="false" outlineLevel="0" collapsed="false">
      <c r="A197" s="31" t="s">
        <v>519</v>
      </c>
      <c r="B197" s="32" t="s">
        <v>147</v>
      </c>
      <c r="C197" s="32" t="s">
        <v>127</v>
      </c>
      <c r="D197" s="32" t="s">
        <v>520</v>
      </c>
      <c r="E197" s="31" t="s">
        <v>185</v>
      </c>
      <c r="F197" s="31" t="n">
        <v>2</v>
      </c>
      <c r="G197" s="32" t="s">
        <v>522</v>
      </c>
      <c r="H197" s="27" t="str">
        <f aca="false">IFERROR(INDEX('الإعدادات واللجنة'!$E$22:$E$29,MATCH(C197,'الإعدادات واللجنة'!$B$22:$B$29,0)),"")</f>
        <v>عضو 2</v>
      </c>
      <c r="I197" s="29"/>
      <c r="J197" s="29"/>
      <c r="K197" s="29"/>
      <c r="L197" s="29"/>
      <c r="M197" s="29"/>
      <c r="N197" s="29"/>
      <c r="O197" s="27" t="str">
        <f aca="false">IF(I197="","",IF(I197="غير متوفر",0,COUNTIF(J197:N197,"نعم")))</f>
        <v/>
      </c>
      <c r="P197" s="27" t="str">
        <f aca="false">IF(I197="","لم يُفحص",IF(I197="غير متوفر","غير موجود",IF(AND(O197=5,I197="متوفر"),"مكتمل",IF(O197&gt;=3,"مقبول","ضعيف"))))</f>
        <v>لم يُفحص</v>
      </c>
      <c r="Q197" s="27" t="str">
        <f aca="false">IF(I197="","",IF(AND(I197="متوفر",O197=5),"لا","نعم"))</f>
        <v/>
      </c>
      <c r="R197" s="27" t="str">
        <f aca="false">IF(Q197&lt;&gt;"نعم","",IF(OR(E197="نعم",I197="غير متوفر"),"عالية",IF(O197&gt;=3,"منخفضة","متوسطة")))</f>
        <v/>
      </c>
      <c r="S197" s="30"/>
      <c r="T197" s="30"/>
      <c r="U197" s="27" t="str">
        <f aca="false">IFERROR(INDEX('الإعدادات واللجنة'!$G$22:$G$29,MATCH(C197,'الإعدادات واللجنة'!$B$22:$B$29,0)),"")</f>
        <v>عضو 1</v>
      </c>
      <c r="V197" s="29"/>
      <c r="W197" s="30"/>
    </row>
    <row r="198" customFormat="false" ht="32.8" hidden="false" customHeight="false" outlineLevel="0" collapsed="false">
      <c r="A198" s="31" t="s">
        <v>519</v>
      </c>
      <c r="B198" s="32" t="s">
        <v>147</v>
      </c>
      <c r="C198" s="32" t="s">
        <v>127</v>
      </c>
      <c r="D198" s="32" t="s">
        <v>520</v>
      </c>
      <c r="E198" s="31" t="s">
        <v>185</v>
      </c>
      <c r="F198" s="31" t="n">
        <v>3</v>
      </c>
      <c r="G198" s="32" t="s">
        <v>523</v>
      </c>
      <c r="H198" s="27" t="str">
        <f aca="false">IFERROR(INDEX('الإعدادات واللجنة'!$E$22:$E$29,MATCH(C198,'الإعدادات واللجنة'!$B$22:$B$29,0)),"")</f>
        <v>عضو 2</v>
      </c>
      <c r="I198" s="29"/>
      <c r="J198" s="29"/>
      <c r="K198" s="29"/>
      <c r="L198" s="29"/>
      <c r="M198" s="29"/>
      <c r="N198" s="29"/>
      <c r="O198" s="27" t="str">
        <f aca="false">IF(I198="","",IF(I198="غير متوفر",0,COUNTIF(J198:N198,"نعم")))</f>
        <v/>
      </c>
      <c r="P198" s="27" t="str">
        <f aca="false">IF(I198="","لم يُفحص",IF(I198="غير متوفر","غير موجود",IF(AND(O198=5,I198="متوفر"),"مكتمل",IF(O198&gt;=3,"مقبول","ضعيف"))))</f>
        <v>لم يُفحص</v>
      </c>
      <c r="Q198" s="27" t="str">
        <f aca="false">IF(I198="","",IF(AND(I198="متوفر",O198=5),"لا","نعم"))</f>
        <v/>
      </c>
      <c r="R198" s="27" t="str">
        <f aca="false">IF(Q198&lt;&gt;"نعم","",IF(OR(E198="نعم",I198="غير متوفر"),"عالية",IF(O198&gt;=3,"منخفضة","متوسطة")))</f>
        <v/>
      </c>
      <c r="S198" s="30"/>
      <c r="T198" s="30"/>
      <c r="U198" s="27" t="str">
        <f aca="false">IFERROR(INDEX('الإعدادات واللجنة'!$G$22:$G$29,MATCH(C198,'الإعدادات واللجنة'!$B$22:$B$29,0)),"")</f>
        <v>عضو 1</v>
      </c>
      <c r="V198" s="29"/>
      <c r="W198" s="30"/>
    </row>
    <row r="199" customFormat="false" ht="32.8" hidden="false" customHeight="false" outlineLevel="0" collapsed="false">
      <c r="A199" s="31" t="s">
        <v>519</v>
      </c>
      <c r="B199" s="32" t="s">
        <v>147</v>
      </c>
      <c r="C199" s="32" t="s">
        <v>127</v>
      </c>
      <c r="D199" s="32" t="s">
        <v>520</v>
      </c>
      <c r="E199" s="31" t="s">
        <v>185</v>
      </c>
      <c r="F199" s="31" t="n">
        <v>4</v>
      </c>
      <c r="G199" s="32" t="s">
        <v>524</v>
      </c>
      <c r="H199" s="27" t="str">
        <f aca="false">IFERROR(INDEX('الإعدادات واللجنة'!$E$22:$E$29,MATCH(C199,'الإعدادات واللجنة'!$B$22:$B$29,0)),"")</f>
        <v>عضو 2</v>
      </c>
      <c r="I199" s="29"/>
      <c r="J199" s="29"/>
      <c r="K199" s="29"/>
      <c r="L199" s="29"/>
      <c r="M199" s="29"/>
      <c r="N199" s="29"/>
      <c r="O199" s="27" t="str">
        <f aca="false">IF(I199="","",IF(I199="غير متوفر",0,COUNTIF(J199:N199,"نعم")))</f>
        <v/>
      </c>
      <c r="P199" s="27" t="str">
        <f aca="false">IF(I199="","لم يُفحص",IF(I199="غير متوفر","غير موجود",IF(AND(O199=5,I199="متوفر"),"مكتمل",IF(O199&gt;=3,"مقبول","ضعيف"))))</f>
        <v>لم يُفحص</v>
      </c>
      <c r="Q199" s="27" t="str">
        <f aca="false">IF(I199="","",IF(AND(I199="متوفر",O199=5),"لا","نعم"))</f>
        <v/>
      </c>
      <c r="R199" s="27" t="str">
        <f aca="false">IF(Q199&lt;&gt;"نعم","",IF(OR(E199="نعم",I199="غير متوفر"),"عالية",IF(O199&gt;=3,"منخفضة","متوسطة")))</f>
        <v/>
      </c>
      <c r="S199" s="30"/>
      <c r="T199" s="30"/>
      <c r="U199" s="27" t="str">
        <f aca="false">IFERROR(INDEX('الإعدادات واللجنة'!$G$22:$G$29,MATCH(C199,'الإعدادات واللجنة'!$B$22:$B$29,0)),"")</f>
        <v>عضو 1</v>
      </c>
      <c r="V199" s="29"/>
      <c r="W199" s="30"/>
    </row>
    <row r="200" customFormat="false" ht="32.8" hidden="false" customHeight="false" outlineLevel="0" collapsed="false">
      <c r="A200" s="31" t="s">
        <v>519</v>
      </c>
      <c r="B200" s="32" t="s">
        <v>147</v>
      </c>
      <c r="C200" s="32" t="s">
        <v>127</v>
      </c>
      <c r="D200" s="32" t="s">
        <v>520</v>
      </c>
      <c r="E200" s="31" t="s">
        <v>185</v>
      </c>
      <c r="F200" s="31" t="n">
        <v>5</v>
      </c>
      <c r="G200" s="32" t="s">
        <v>525</v>
      </c>
      <c r="H200" s="27" t="str">
        <f aca="false">IFERROR(INDEX('الإعدادات واللجنة'!$E$22:$E$29,MATCH(C200,'الإعدادات واللجنة'!$B$22:$B$29,0)),"")</f>
        <v>عضو 2</v>
      </c>
      <c r="I200" s="29"/>
      <c r="J200" s="29"/>
      <c r="K200" s="29"/>
      <c r="L200" s="29"/>
      <c r="M200" s="29"/>
      <c r="N200" s="29"/>
      <c r="O200" s="27" t="str">
        <f aca="false">IF(I200="","",IF(I200="غير متوفر",0,COUNTIF(J200:N200,"نعم")))</f>
        <v/>
      </c>
      <c r="P200" s="27" t="str">
        <f aca="false">IF(I200="","لم يُفحص",IF(I200="غير متوفر","غير موجود",IF(AND(O200=5,I200="متوفر"),"مكتمل",IF(O200&gt;=3,"مقبول","ضعيف"))))</f>
        <v>لم يُفحص</v>
      </c>
      <c r="Q200" s="27" t="str">
        <f aca="false">IF(I200="","",IF(AND(I200="متوفر",O200=5),"لا","نعم"))</f>
        <v/>
      </c>
      <c r="R200" s="27" t="str">
        <f aca="false">IF(Q200&lt;&gt;"نعم","",IF(OR(E200="نعم",I200="غير متوفر"),"عالية",IF(O200&gt;=3,"منخفضة","متوسطة")))</f>
        <v/>
      </c>
      <c r="S200" s="30"/>
      <c r="T200" s="30"/>
      <c r="U200" s="27" t="str">
        <f aca="false">IFERROR(INDEX('الإعدادات واللجنة'!$G$22:$G$29,MATCH(C200,'الإعدادات واللجنة'!$B$22:$B$29,0)),"")</f>
        <v>عضو 1</v>
      </c>
      <c r="V200" s="29"/>
      <c r="W200" s="30"/>
    </row>
    <row r="201" customFormat="false" ht="32.8" hidden="false" customHeight="false" outlineLevel="0" collapsed="false">
      <c r="A201" s="31" t="s">
        <v>519</v>
      </c>
      <c r="B201" s="32" t="s">
        <v>147</v>
      </c>
      <c r="C201" s="32" t="s">
        <v>127</v>
      </c>
      <c r="D201" s="32" t="s">
        <v>520</v>
      </c>
      <c r="E201" s="31" t="s">
        <v>185</v>
      </c>
      <c r="F201" s="31" t="n">
        <v>6</v>
      </c>
      <c r="G201" s="32" t="s">
        <v>526</v>
      </c>
      <c r="H201" s="27" t="str">
        <f aca="false">IFERROR(INDEX('الإعدادات واللجنة'!$E$22:$E$29,MATCH(C201,'الإعدادات واللجنة'!$B$22:$B$29,0)),"")</f>
        <v>عضو 2</v>
      </c>
      <c r="I201" s="29"/>
      <c r="J201" s="29"/>
      <c r="K201" s="29"/>
      <c r="L201" s="29"/>
      <c r="M201" s="29"/>
      <c r="N201" s="29"/>
      <c r="O201" s="27" t="str">
        <f aca="false">IF(I201="","",IF(I201="غير متوفر",0,COUNTIF(J201:N201,"نعم")))</f>
        <v/>
      </c>
      <c r="P201" s="27" t="str">
        <f aca="false">IF(I201="","لم يُفحص",IF(I201="غير متوفر","غير موجود",IF(AND(O201=5,I201="متوفر"),"مكتمل",IF(O201&gt;=3,"مقبول","ضعيف"))))</f>
        <v>لم يُفحص</v>
      </c>
      <c r="Q201" s="27" t="str">
        <f aca="false">IF(I201="","",IF(AND(I201="متوفر",O201=5),"لا","نعم"))</f>
        <v/>
      </c>
      <c r="R201" s="27" t="str">
        <f aca="false">IF(Q201&lt;&gt;"نعم","",IF(OR(E201="نعم",I201="غير متوفر"),"عالية",IF(O201&gt;=3,"منخفضة","متوسطة")))</f>
        <v/>
      </c>
      <c r="S201" s="30"/>
      <c r="T201" s="30"/>
      <c r="U201" s="27" t="str">
        <f aca="false">IFERROR(INDEX('الإعدادات واللجنة'!$G$22:$G$29,MATCH(C201,'الإعدادات واللجنة'!$B$22:$B$29,0)),"")</f>
        <v>عضو 1</v>
      </c>
      <c r="V201" s="29"/>
      <c r="W201" s="30"/>
    </row>
    <row r="202" customFormat="false" ht="22.35" hidden="false" customHeight="false" outlineLevel="0" collapsed="false">
      <c r="A202" s="27" t="s">
        <v>527</v>
      </c>
      <c r="B202" s="28" t="s">
        <v>147</v>
      </c>
      <c r="C202" s="28" t="s">
        <v>127</v>
      </c>
      <c r="D202" s="28" t="s">
        <v>528</v>
      </c>
      <c r="E202" s="27"/>
      <c r="F202" s="27" t="n">
        <v>1</v>
      </c>
      <c r="G202" s="28" t="s">
        <v>529</v>
      </c>
      <c r="H202" s="27" t="str">
        <f aca="false">IFERROR(INDEX('الإعدادات واللجنة'!$E$22:$E$29,MATCH(C202,'الإعدادات واللجنة'!$B$22:$B$29,0)),"")</f>
        <v>عضو 2</v>
      </c>
      <c r="I202" s="29"/>
      <c r="J202" s="29"/>
      <c r="K202" s="29"/>
      <c r="L202" s="29"/>
      <c r="M202" s="29"/>
      <c r="N202" s="29"/>
      <c r="O202" s="27" t="str">
        <f aca="false">IF(I202="","",IF(I202="غير متوفر",0,COUNTIF(J202:N202,"نعم")))</f>
        <v/>
      </c>
      <c r="P202" s="27" t="str">
        <f aca="false">IF(I202="","لم يُفحص",IF(I202="غير متوفر","غير موجود",IF(AND(O202=5,I202="متوفر"),"مكتمل",IF(O202&gt;=3,"مقبول","ضعيف"))))</f>
        <v>لم يُفحص</v>
      </c>
      <c r="Q202" s="27" t="str">
        <f aca="false">IF(I202="","",IF(AND(I202="متوفر",O202=5),"لا","نعم"))</f>
        <v/>
      </c>
      <c r="R202" s="27" t="str">
        <f aca="false">IF(Q202&lt;&gt;"نعم","",IF(OR(E202="نعم",I202="غير متوفر"),"عالية",IF(O202&gt;=3,"منخفضة","متوسطة")))</f>
        <v/>
      </c>
      <c r="S202" s="30"/>
      <c r="T202" s="30"/>
      <c r="U202" s="27" t="str">
        <f aca="false">IFERROR(INDEX('الإعدادات واللجنة'!$G$22:$G$29,MATCH(C202,'الإعدادات واللجنة'!$B$22:$B$29,0)),"")</f>
        <v>عضو 1</v>
      </c>
      <c r="V202" s="29"/>
      <c r="W202" s="30"/>
    </row>
    <row r="203" customFormat="false" ht="22.35" hidden="false" customHeight="false" outlineLevel="0" collapsed="false">
      <c r="A203" s="27" t="s">
        <v>527</v>
      </c>
      <c r="B203" s="28" t="s">
        <v>147</v>
      </c>
      <c r="C203" s="28" t="s">
        <v>127</v>
      </c>
      <c r="D203" s="28" t="s">
        <v>528</v>
      </c>
      <c r="E203" s="27"/>
      <c r="F203" s="27" t="n">
        <v>2</v>
      </c>
      <c r="G203" s="28" t="s">
        <v>530</v>
      </c>
      <c r="H203" s="27" t="str">
        <f aca="false">IFERROR(INDEX('الإعدادات واللجنة'!$E$22:$E$29,MATCH(C203,'الإعدادات واللجنة'!$B$22:$B$29,0)),"")</f>
        <v>عضو 2</v>
      </c>
      <c r="I203" s="29"/>
      <c r="J203" s="29"/>
      <c r="K203" s="29"/>
      <c r="L203" s="29"/>
      <c r="M203" s="29"/>
      <c r="N203" s="29"/>
      <c r="O203" s="27" t="str">
        <f aca="false">IF(I203="","",IF(I203="غير متوفر",0,COUNTIF(J203:N203,"نعم")))</f>
        <v/>
      </c>
      <c r="P203" s="27" t="str">
        <f aca="false">IF(I203="","لم يُفحص",IF(I203="غير متوفر","غير موجود",IF(AND(O203=5,I203="متوفر"),"مكتمل",IF(O203&gt;=3,"مقبول","ضعيف"))))</f>
        <v>لم يُفحص</v>
      </c>
      <c r="Q203" s="27" t="str">
        <f aca="false">IF(I203="","",IF(AND(I203="متوفر",O203=5),"لا","نعم"))</f>
        <v/>
      </c>
      <c r="R203" s="27" t="str">
        <f aca="false">IF(Q203&lt;&gt;"نعم","",IF(OR(E203="نعم",I203="غير متوفر"),"عالية",IF(O203&gt;=3,"منخفضة","متوسطة")))</f>
        <v/>
      </c>
      <c r="S203" s="30"/>
      <c r="T203" s="30"/>
      <c r="U203" s="27" t="str">
        <f aca="false">IFERROR(INDEX('الإعدادات واللجنة'!$G$22:$G$29,MATCH(C203,'الإعدادات واللجنة'!$B$22:$B$29,0)),"")</f>
        <v>عضو 1</v>
      </c>
      <c r="V203" s="29"/>
      <c r="W203" s="30"/>
    </row>
    <row r="204" customFormat="false" ht="22.35" hidden="false" customHeight="false" outlineLevel="0" collapsed="false">
      <c r="A204" s="27" t="s">
        <v>527</v>
      </c>
      <c r="B204" s="28" t="s">
        <v>147</v>
      </c>
      <c r="C204" s="28" t="s">
        <v>127</v>
      </c>
      <c r="D204" s="28" t="s">
        <v>528</v>
      </c>
      <c r="E204" s="27"/>
      <c r="F204" s="27" t="n">
        <v>3</v>
      </c>
      <c r="G204" s="28" t="s">
        <v>531</v>
      </c>
      <c r="H204" s="27" t="str">
        <f aca="false">IFERROR(INDEX('الإعدادات واللجنة'!$E$22:$E$29,MATCH(C204,'الإعدادات واللجنة'!$B$22:$B$29,0)),"")</f>
        <v>عضو 2</v>
      </c>
      <c r="I204" s="29"/>
      <c r="J204" s="29"/>
      <c r="K204" s="29"/>
      <c r="L204" s="29"/>
      <c r="M204" s="29"/>
      <c r="N204" s="29"/>
      <c r="O204" s="27" t="str">
        <f aca="false">IF(I204="","",IF(I204="غير متوفر",0,COUNTIF(J204:N204,"نعم")))</f>
        <v/>
      </c>
      <c r="P204" s="27" t="str">
        <f aca="false">IF(I204="","لم يُفحص",IF(I204="غير متوفر","غير موجود",IF(AND(O204=5,I204="متوفر"),"مكتمل",IF(O204&gt;=3,"مقبول","ضعيف"))))</f>
        <v>لم يُفحص</v>
      </c>
      <c r="Q204" s="27" t="str">
        <f aca="false">IF(I204="","",IF(AND(I204="متوفر",O204=5),"لا","نعم"))</f>
        <v/>
      </c>
      <c r="R204" s="27" t="str">
        <f aca="false">IF(Q204&lt;&gt;"نعم","",IF(OR(E204="نعم",I204="غير متوفر"),"عالية",IF(O204&gt;=3,"منخفضة","متوسطة")))</f>
        <v/>
      </c>
      <c r="S204" s="30"/>
      <c r="T204" s="30"/>
      <c r="U204" s="27" t="str">
        <f aca="false">IFERROR(INDEX('الإعدادات واللجنة'!$G$22:$G$29,MATCH(C204,'الإعدادات واللجنة'!$B$22:$B$29,0)),"")</f>
        <v>عضو 1</v>
      </c>
      <c r="V204" s="29"/>
      <c r="W204" s="30"/>
    </row>
    <row r="205" customFormat="false" ht="22.35" hidden="false" customHeight="false" outlineLevel="0" collapsed="false">
      <c r="A205" s="27" t="s">
        <v>527</v>
      </c>
      <c r="B205" s="28" t="s">
        <v>147</v>
      </c>
      <c r="C205" s="28" t="s">
        <v>127</v>
      </c>
      <c r="D205" s="28" t="s">
        <v>528</v>
      </c>
      <c r="E205" s="27"/>
      <c r="F205" s="27" t="n">
        <v>4</v>
      </c>
      <c r="G205" s="28" t="s">
        <v>532</v>
      </c>
      <c r="H205" s="27" t="str">
        <f aca="false">IFERROR(INDEX('الإعدادات واللجنة'!$E$22:$E$29,MATCH(C205,'الإعدادات واللجنة'!$B$22:$B$29,0)),"")</f>
        <v>عضو 2</v>
      </c>
      <c r="I205" s="29"/>
      <c r="J205" s="29"/>
      <c r="K205" s="29"/>
      <c r="L205" s="29"/>
      <c r="M205" s="29"/>
      <c r="N205" s="29"/>
      <c r="O205" s="27" t="str">
        <f aca="false">IF(I205="","",IF(I205="غير متوفر",0,COUNTIF(J205:N205,"نعم")))</f>
        <v/>
      </c>
      <c r="P205" s="27" t="str">
        <f aca="false">IF(I205="","لم يُفحص",IF(I205="غير متوفر","غير موجود",IF(AND(O205=5,I205="متوفر"),"مكتمل",IF(O205&gt;=3,"مقبول","ضعيف"))))</f>
        <v>لم يُفحص</v>
      </c>
      <c r="Q205" s="27" t="str">
        <f aca="false">IF(I205="","",IF(AND(I205="متوفر",O205=5),"لا","نعم"))</f>
        <v/>
      </c>
      <c r="R205" s="27" t="str">
        <f aca="false">IF(Q205&lt;&gt;"نعم","",IF(OR(E205="نعم",I205="غير متوفر"),"عالية",IF(O205&gt;=3,"منخفضة","متوسطة")))</f>
        <v/>
      </c>
      <c r="S205" s="30"/>
      <c r="T205" s="30"/>
      <c r="U205" s="27" t="str">
        <f aca="false">IFERROR(INDEX('الإعدادات واللجنة'!$G$22:$G$29,MATCH(C205,'الإعدادات واللجنة'!$B$22:$B$29,0)),"")</f>
        <v>عضو 1</v>
      </c>
      <c r="V205" s="29"/>
      <c r="W205" s="30"/>
    </row>
    <row r="206" customFormat="false" ht="22.35" hidden="false" customHeight="false" outlineLevel="0" collapsed="false">
      <c r="A206" s="27" t="s">
        <v>527</v>
      </c>
      <c r="B206" s="28" t="s">
        <v>147</v>
      </c>
      <c r="C206" s="28" t="s">
        <v>127</v>
      </c>
      <c r="D206" s="28" t="s">
        <v>528</v>
      </c>
      <c r="E206" s="27"/>
      <c r="F206" s="27" t="n">
        <v>5</v>
      </c>
      <c r="G206" s="28" t="s">
        <v>533</v>
      </c>
      <c r="H206" s="27" t="str">
        <f aca="false">IFERROR(INDEX('الإعدادات واللجنة'!$E$22:$E$29,MATCH(C206,'الإعدادات واللجنة'!$B$22:$B$29,0)),"")</f>
        <v>عضو 2</v>
      </c>
      <c r="I206" s="29"/>
      <c r="J206" s="29"/>
      <c r="K206" s="29"/>
      <c r="L206" s="29"/>
      <c r="M206" s="29"/>
      <c r="N206" s="29"/>
      <c r="O206" s="27" t="str">
        <f aca="false">IF(I206="","",IF(I206="غير متوفر",0,COUNTIF(J206:N206,"نعم")))</f>
        <v/>
      </c>
      <c r="P206" s="27" t="str">
        <f aca="false">IF(I206="","لم يُفحص",IF(I206="غير متوفر","غير موجود",IF(AND(O206=5,I206="متوفر"),"مكتمل",IF(O206&gt;=3,"مقبول","ضعيف"))))</f>
        <v>لم يُفحص</v>
      </c>
      <c r="Q206" s="27" t="str">
        <f aca="false">IF(I206="","",IF(AND(I206="متوفر",O206=5),"لا","نعم"))</f>
        <v/>
      </c>
      <c r="R206" s="27" t="str">
        <f aca="false">IF(Q206&lt;&gt;"نعم","",IF(OR(E206="نعم",I206="غير متوفر"),"عالية",IF(O206&gt;=3,"منخفضة","متوسطة")))</f>
        <v/>
      </c>
      <c r="S206" s="30"/>
      <c r="T206" s="30"/>
      <c r="U206" s="27" t="str">
        <f aca="false">IFERROR(INDEX('الإعدادات واللجنة'!$G$22:$G$29,MATCH(C206,'الإعدادات واللجنة'!$B$22:$B$29,0)),"")</f>
        <v>عضو 1</v>
      </c>
      <c r="V206" s="29"/>
      <c r="W206" s="30"/>
    </row>
    <row r="207" customFormat="false" ht="22.35" hidden="false" customHeight="false" outlineLevel="0" collapsed="false">
      <c r="A207" s="27" t="s">
        <v>534</v>
      </c>
      <c r="B207" s="28" t="s">
        <v>147</v>
      </c>
      <c r="C207" s="28" t="s">
        <v>127</v>
      </c>
      <c r="D207" s="28" t="s">
        <v>535</v>
      </c>
      <c r="E207" s="27"/>
      <c r="F207" s="27" t="n">
        <v>1</v>
      </c>
      <c r="G207" s="28" t="s">
        <v>536</v>
      </c>
      <c r="H207" s="27" t="str">
        <f aca="false">IFERROR(INDEX('الإعدادات واللجنة'!$E$22:$E$29,MATCH(C207,'الإعدادات واللجنة'!$B$22:$B$29,0)),"")</f>
        <v>عضو 2</v>
      </c>
      <c r="I207" s="29"/>
      <c r="J207" s="29"/>
      <c r="K207" s="29"/>
      <c r="L207" s="29"/>
      <c r="M207" s="29"/>
      <c r="N207" s="29"/>
      <c r="O207" s="27" t="str">
        <f aca="false">IF(I207="","",IF(I207="غير متوفر",0,COUNTIF(J207:N207,"نعم")))</f>
        <v/>
      </c>
      <c r="P207" s="27" t="str">
        <f aca="false">IF(I207="","لم يُفحص",IF(I207="غير متوفر","غير موجود",IF(AND(O207=5,I207="متوفر"),"مكتمل",IF(O207&gt;=3,"مقبول","ضعيف"))))</f>
        <v>لم يُفحص</v>
      </c>
      <c r="Q207" s="27" t="str">
        <f aca="false">IF(I207="","",IF(AND(I207="متوفر",O207=5),"لا","نعم"))</f>
        <v/>
      </c>
      <c r="R207" s="27" t="str">
        <f aca="false">IF(Q207&lt;&gt;"نعم","",IF(OR(E207="نعم",I207="غير متوفر"),"عالية",IF(O207&gt;=3,"منخفضة","متوسطة")))</f>
        <v/>
      </c>
      <c r="S207" s="30"/>
      <c r="T207" s="30"/>
      <c r="U207" s="27" t="str">
        <f aca="false">IFERROR(INDEX('الإعدادات واللجنة'!$G$22:$G$29,MATCH(C207,'الإعدادات واللجنة'!$B$22:$B$29,0)),"")</f>
        <v>عضو 1</v>
      </c>
      <c r="V207" s="29"/>
      <c r="W207" s="30"/>
    </row>
    <row r="208" customFormat="false" ht="22.35" hidden="false" customHeight="false" outlineLevel="0" collapsed="false">
      <c r="A208" s="27" t="s">
        <v>534</v>
      </c>
      <c r="B208" s="28" t="s">
        <v>147</v>
      </c>
      <c r="C208" s="28" t="s">
        <v>127</v>
      </c>
      <c r="D208" s="28" t="s">
        <v>535</v>
      </c>
      <c r="E208" s="27"/>
      <c r="F208" s="27" t="n">
        <v>2</v>
      </c>
      <c r="G208" s="28" t="s">
        <v>537</v>
      </c>
      <c r="H208" s="27" t="str">
        <f aca="false">IFERROR(INDEX('الإعدادات واللجنة'!$E$22:$E$29,MATCH(C208,'الإعدادات واللجنة'!$B$22:$B$29,0)),"")</f>
        <v>عضو 2</v>
      </c>
      <c r="I208" s="29"/>
      <c r="J208" s="29"/>
      <c r="K208" s="29"/>
      <c r="L208" s="29"/>
      <c r="M208" s="29"/>
      <c r="N208" s="29"/>
      <c r="O208" s="27" t="str">
        <f aca="false">IF(I208="","",IF(I208="غير متوفر",0,COUNTIF(J208:N208,"نعم")))</f>
        <v/>
      </c>
      <c r="P208" s="27" t="str">
        <f aca="false">IF(I208="","لم يُفحص",IF(I208="غير متوفر","غير موجود",IF(AND(O208=5,I208="متوفر"),"مكتمل",IF(O208&gt;=3,"مقبول","ضعيف"))))</f>
        <v>لم يُفحص</v>
      </c>
      <c r="Q208" s="27" t="str">
        <f aca="false">IF(I208="","",IF(AND(I208="متوفر",O208=5),"لا","نعم"))</f>
        <v/>
      </c>
      <c r="R208" s="27" t="str">
        <f aca="false">IF(Q208&lt;&gt;"نعم","",IF(OR(E208="نعم",I208="غير متوفر"),"عالية",IF(O208&gt;=3,"منخفضة","متوسطة")))</f>
        <v/>
      </c>
      <c r="S208" s="30"/>
      <c r="T208" s="30"/>
      <c r="U208" s="27" t="str">
        <f aca="false">IFERROR(INDEX('الإعدادات واللجنة'!$G$22:$G$29,MATCH(C208,'الإعدادات واللجنة'!$B$22:$B$29,0)),"")</f>
        <v>عضو 1</v>
      </c>
      <c r="V208" s="29"/>
      <c r="W208" s="30"/>
    </row>
  </sheetData>
  <autoFilter ref="A4:W208"/>
  <mergeCells count="2">
    <mergeCell ref="A1:H1"/>
    <mergeCell ref="A2:N2"/>
  </mergeCells>
  <conditionalFormatting sqref="P5:P208">
    <cfRule type="cellIs" priority="2" operator="equal" aboveAverage="0" equalAverage="0" bottom="0" percent="0" rank="0" text="" dxfId="8">
      <formula>"مكتمل"</formula>
    </cfRule>
    <cfRule type="cellIs" priority="3" operator="equal" aboveAverage="0" equalAverage="0" bottom="0" percent="0" rank="0" text="" dxfId="9">
      <formula>"مقبول"</formula>
    </cfRule>
    <cfRule type="cellIs" priority="4" operator="equal" aboveAverage="0" equalAverage="0" bottom="0" percent="0" rank="0" text="" dxfId="10">
      <formula>"ضعيف"</formula>
    </cfRule>
    <cfRule type="cellIs" priority="5" operator="equal" aboveAverage="0" equalAverage="0" bottom="0" percent="0" rank="0" text="" dxfId="11">
      <formula>"غير موجود"</formula>
    </cfRule>
  </conditionalFormatting>
  <conditionalFormatting sqref="R5:R208">
    <cfRule type="cellIs" priority="6" operator="equal" aboveAverage="0" equalAverage="0" bottom="0" percent="0" rank="0" text="" dxfId="12">
      <formula>"عالية"</formula>
    </cfRule>
    <cfRule type="cellIs" priority="7" operator="equal" aboveAverage="0" equalAverage="0" bottom="0" percent="0" rank="0" text="" dxfId="13">
      <formula>"متوسطة"</formula>
    </cfRule>
  </conditionalFormatting>
  <dataValidations count="3">
    <dataValidation allowBlank="true" errorStyle="stop" operator="between" showDropDown="false" showErrorMessage="false" showInputMessage="false" sqref="I5:I208" type="list">
      <formula1>"متوفر,متوفر جزئياً,غير متوفر"</formula1>
      <formula2>0</formula2>
    </dataValidation>
    <dataValidation allowBlank="true" errorStyle="stop" operator="between" showDropDown="false" showErrorMessage="false" showInputMessage="false" sqref="J5:N208" type="list">
      <formula1>"نعم,لا"</formula1>
      <formula2>0</formula2>
    </dataValidation>
    <dataValidation allowBlank="true" errorStyle="stop" operator="between" showDropDown="false" showErrorMessage="false" showInputMessage="false" sqref="V5:V208" type="list">
      <formula1>"تمت – معتمد,تحتاج تعديل"</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W20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7" ySplit="4" topLeftCell="H5" activePane="bottomRight" state="frozen"/>
      <selection pane="topLeft" activeCell="A1" activeCellId="0" sqref="A1"/>
      <selection pane="topRight" activeCell="H1" activeCellId="0" sqref="H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18"/>
    <col collapsed="false" customWidth="true" hidden="false" outlineLevel="0" max="4" min="4" style="0" width="45"/>
    <col collapsed="false" customWidth="true" hidden="false" outlineLevel="0" max="5" min="5" style="0" width="7"/>
    <col collapsed="false" customWidth="true" hidden="false" outlineLevel="0" max="6" min="6" style="0" width="4"/>
    <col collapsed="false" customWidth="true" hidden="false" outlineLevel="0" max="7" min="7" style="0" width="45"/>
    <col collapsed="false" customWidth="true" hidden="false" outlineLevel="0" max="8" min="8" style="0" width="14"/>
    <col collapsed="false" customWidth="true" hidden="false" outlineLevel="0" max="9" min="9" style="0" width="13"/>
    <col collapsed="false" customWidth="true" hidden="false" outlineLevel="0" max="11" min="10" style="0" width="8"/>
    <col collapsed="false" customWidth="true" hidden="false" outlineLevel="0" max="13" min="12" style="0" width="9"/>
    <col collapsed="false" customWidth="true" hidden="false" outlineLevel="0" max="16" min="14" style="0" width="10"/>
    <col collapsed="false" customWidth="true" hidden="false" outlineLevel="0" max="17" min="17" style="0" width="7"/>
    <col collapsed="false" customWidth="true" hidden="false" outlineLevel="0" max="18" min="18" style="0" width="9"/>
    <col collapsed="false" customWidth="true" hidden="false" outlineLevel="0" max="19" min="19" style="0" width="28"/>
    <col collapsed="false" customWidth="true" hidden="false" outlineLevel="0" max="20" min="20" style="0" width="32"/>
    <col collapsed="false" customWidth="true" hidden="false" outlineLevel="0" max="21" min="21" style="0" width="14"/>
    <col collapsed="false" customWidth="true" hidden="false" outlineLevel="0" max="22" min="22" style="0" width="13"/>
    <col collapsed="false" customWidth="true" hidden="false" outlineLevel="0" max="23" min="23" style="0" width="28"/>
  </cols>
  <sheetData>
    <row r="1" customFormat="false" ht="17.15" hidden="false" customHeight="false" outlineLevel="0" collapsed="false">
      <c r="A1" s="25" t="str">
        <f aca="false">"أداة فحص الأدلة وتحليل الفجوات – "&amp;'الإعدادات واللجنة'!$B$5</f>
        <v>أداة فحص الأدلة وتحليل الفجوات – بكالوريوس ... (البرنامج الثاني)</v>
      </c>
      <c r="B1" s="25"/>
      <c r="C1" s="25"/>
      <c r="D1" s="25"/>
      <c r="E1" s="25"/>
      <c r="F1" s="25"/>
      <c r="G1" s="25"/>
      <c r="H1" s="25"/>
    </row>
    <row r="2" customFormat="false" ht="15" hidden="false" customHeight="false" outlineLevel="0" collapsed="false">
      <c r="A2" s="26" t="s">
        <v>226</v>
      </c>
      <c r="B2" s="26"/>
      <c r="C2" s="26"/>
      <c r="D2" s="26"/>
      <c r="E2" s="26"/>
      <c r="F2" s="26"/>
      <c r="G2" s="26"/>
      <c r="H2" s="26"/>
      <c r="I2" s="26"/>
      <c r="J2" s="26"/>
      <c r="K2" s="26"/>
      <c r="L2" s="26"/>
      <c r="M2" s="26"/>
      <c r="N2" s="26"/>
    </row>
    <row r="4" customFormat="false" ht="33.75" hidden="false" customHeight="true" outlineLevel="0" collapsed="false">
      <c r="A4" s="3" t="s">
        <v>211</v>
      </c>
      <c r="B4" s="3" t="s">
        <v>227</v>
      </c>
      <c r="C4" s="3" t="s">
        <v>113</v>
      </c>
      <c r="D4" s="3" t="s">
        <v>228</v>
      </c>
      <c r="E4" s="3" t="s">
        <v>229</v>
      </c>
      <c r="F4" s="3" t="s">
        <v>2</v>
      </c>
      <c r="G4" s="3" t="s">
        <v>230</v>
      </c>
      <c r="H4" s="3" t="s">
        <v>231</v>
      </c>
      <c r="I4" s="3" t="s">
        <v>215</v>
      </c>
      <c r="J4" s="3" t="s">
        <v>232</v>
      </c>
      <c r="K4" s="3" t="s">
        <v>161</v>
      </c>
      <c r="L4" s="3" t="s">
        <v>233</v>
      </c>
      <c r="M4" s="3" t="s">
        <v>234</v>
      </c>
      <c r="N4" s="3" t="s">
        <v>235</v>
      </c>
      <c r="O4" s="3" t="s">
        <v>236</v>
      </c>
      <c r="P4" s="3" t="s">
        <v>178</v>
      </c>
      <c r="Q4" s="3" t="s">
        <v>237</v>
      </c>
      <c r="R4" s="3" t="s">
        <v>238</v>
      </c>
      <c r="S4" s="3" t="s">
        <v>239</v>
      </c>
      <c r="T4" s="3" t="s">
        <v>240</v>
      </c>
      <c r="U4" s="3" t="s">
        <v>241</v>
      </c>
      <c r="V4" s="3" t="s">
        <v>242</v>
      </c>
      <c r="W4" s="3" t="s">
        <v>224</v>
      </c>
    </row>
    <row r="5" customFormat="false" ht="22.35" hidden="false" customHeight="false" outlineLevel="0" collapsed="false">
      <c r="A5" s="27" t="s">
        <v>212</v>
      </c>
      <c r="B5" s="28" t="s">
        <v>143</v>
      </c>
      <c r="C5" s="28" t="s">
        <v>120</v>
      </c>
      <c r="D5" s="28" t="s">
        <v>243</v>
      </c>
      <c r="E5" s="27"/>
      <c r="F5" s="27" t="n">
        <v>1</v>
      </c>
      <c r="G5" s="28" t="s">
        <v>214</v>
      </c>
      <c r="H5" s="27" t="str">
        <f aca="false">IFERROR(INDEX('الإعدادات واللجنة'!$F$22:$F$29,MATCH(C5,'الإعدادات واللجنة'!$B$22:$B$29,0)),"")</f>
        <v>عضو 4</v>
      </c>
      <c r="I5" s="29"/>
      <c r="J5" s="29"/>
      <c r="K5" s="29"/>
      <c r="L5" s="29"/>
      <c r="M5" s="29"/>
      <c r="N5" s="29"/>
      <c r="O5" s="27" t="str">
        <f aca="false">IF(I5="","",IF(I5="غير متوفر",0,COUNTIF(J5:N5,"نعم")))</f>
        <v/>
      </c>
      <c r="P5" s="27" t="str">
        <f aca="false">IF(I5="","لم يُفحص",IF(I5="غير متوفر","غير موجود",IF(AND(O5=5,I5="متوفر"),"مكتمل",IF(O5&gt;=3,"مقبول","ضعيف"))))</f>
        <v>لم يُفحص</v>
      </c>
      <c r="Q5" s="27" t="str">
        <f aca="false">IF(I5="","",IF(AND(I5="متوفر",O5=5),"لا","نعم"))</f>
        <v/>
      </c>
      <c r="R5" s="27" t="str">
        <f aca="false">IF(Q5&lt;&gt;"نعم","",IF(OR(E5="نعم",I5="غير متوفر"),"عالية",IF(O5&gt;=3,"منخفضة","متوسطة")))</f>
        <v/>
      </c>
      <c r="S5" s="30"/>
      <c r="T5" s="30"/>
      <c r="U5" s="27" t="str">
        <f aca="false">IFERROR(INDEX('الإعدادات واللجنة'!$H$22:$H$29,MATCH(C5,'الإعدادات واللجنة'!$B$22:$B$29,0)),"")</f>
        <v>عضو 3</v>
      </c>
      <c r="V5" s="29"/>
      <c r="W5" s="30"/>
    </row>
    <row r="6" customFormat="false" ht="22.35" hidden="false" customHeight="false" outlineLevel="0" collapsed="false">
      <c r="A6" s="27" t="s">
        <v>212</v>
      </c>
      <c r="B6" s="28" t="s">
        <v>143</v>
      </c>
      <c r="C6" s="28" t="s">
        <v>120</v>
      </c>
      <c r="D6" s="28" t="s">
        <v>243</v>
      </c>
      <c r="E6" s="27"/>
      <c r="F6" s="27" t="n">
        <v>2</v>
      </c>
      <c r="G6" s="28" t="s">
        <v>244</v>
      </c>
      <c r="H6" s="27" t="str">
        <f aca="false">IFERROR(INDEX('الإعدادات واللجنة'!$F$22:$F$29,MATCH(C6,'الإعدادات واللجنة'!$B$22:$B$29,0)),"")</f>
        <v>عضو 4</v>
      </c>
      <c r="I6" s="29"/>
      <c r="J6" s="29"/>
      <c r="K6" s="29"/>
      <c r="L6" s="29"/>
      <c r="M6" s="29"/>
      <c r="N6" s="29"/>
      <c r="O6" s="27" t="str">
        <f aca="false">IF(I6="","",IF(I6="غير متوفر",0,COUNTIF(J6:N6,"نعم")))</f>
        <v/>
      </c>
      <c r="P6" s="27" t="str">
        <f aca="false">IF(I6="","لم يُفحص",IF(I6="غير متوفر","غير موجود",IF(AND(O6=5,I6="متوفر"),"مكتمل",IF(O6&gt;=3,"مقبول","ضعيف"))))</f>
        <v>لم يُفحص</v>
      </c>
      <c r="Q6" s="27" t="str">
        <f aca="false">IF(I6="","",IF(AND(I6="متوفر",O6=5),"لا","نعم"))</f>
        <v/>
      </c>
      <c r="R6" s="27" t="str">
        <f aca="false">IF(Q6&lt;&gt;"نعم","",IF(OR(E6="نعم",I6="غير متوفر"),"عالية",IF(O6&gt;=3,"منخفضة","متوسطة")))</f>
        <v/>
      </c>
      <c r="S6" s="30"/>
      <c r="T6" s="30"/>
      <c r="U6" s="27" t="str">
        <f aca="false">IFERROR(INDEX('الإعدادات واللجنة'!$H$22:$H$29,MATCH(C6,'الإعدادات واللجنة'!$B$22:$B$29,0)),"")</f>
        <v>عضو 3</v>
      </c>
      <c r="V6" s="29"/>
      <c r="W6" s="30"/>
    </row>
    <row r="7" customFormat="false" ht="22.35" hidden="false" customHeight="false" outlineLevel="0" collapsed="false">
      <c r="A7" s="27" t="s">
        <v>212</v>
      </c>
      <c r="B7" s="28" t="s">
        <v>143</v>
      </c>
      <c r="C7" s="28" t="s">
        <v>120</v>
      </c>
      <c r="D7" s="28" t="s">
        <v>243</v>
      </c>
      <c r="E7" s="27"/>
      <c r="F7" s="27" t="n">
        <v>3</v>
      </c>
      <c r="G7" s="28" t="s">
        <v>245</v>
      </c>
      <c r="H7" s="27" t="str">
        <f aca="false">IFERROR(INDEX('الإعدادات واللجنة'!$F$22:$F$29,MATCH(C7,'الإعدادات واللجنة'!$B$22:$B$29,0)),"")</f>
        <v>عضو 4</v>
      </c>
      <c r="I7" s="29"/>
      <c r="J7" s="29"/>
      <c r="K7" s="29"/>
      <c r="L7" s="29"/>
      <c r="M7" s="29"/>
      <c r="N7" s="29"/>
      <c r="O7" s="27" t="str">
        <f aca="false">IF(I7="","",IF(I7="غير متوفر",0,COUNTIF(J7:N7,"نعم")))</f>
        <v/>
      </c>
      <c r="P7" s="27" t="str">
        <f aca="false">IF(I7="","لم يُفحص",IF(I7="غير متوفر","غير موجود",IF(AND(O7=5,I7="متوفر"),"مكتمل",IF(O7&gt;=3,"مقبول","ضعيف"))))</f>
        <v>لم يُفحص</v>
      </c>
      <c r="Q7" s="27" t="str">
        <f aca="false">IF(I7="","",IF(AND(I7="متوفر",O7=5),"لا","نعم"))</f>
        <v/>
      </c>
      <c r="R7" s="27" t="str">
        <f aca="false">IF(Q7&lt;&gt;"نعم","",IF(OR(E7="نعم",I7="غير متوفر"),"عالية",IF(O7&gt;=3,"منخفضة","متوسطة")))</f>
        <v/>
      </c>
      <c r="S7" s="30"/>
      <c r="T7" s="30"/>
      <c r="U7" s="27" t="str">
        <f aca="false">IFERROR(INDEX('الإعدادات واللجنة'!$H$22:$H$29,MATCH(C7,'الإعدادات واللجنة'!$B$22:$B$29,0)),"")</f>
        <v>عضو 3</v>
      </c>
      <c r="V7" s="29"/>
      <c r="W7" s="30"/>
    </row>
    <row r="8" customFormat="false" ht="22.35" hidden="false" customHeight="false" outlineLevel="0" collapsed="false">
      <c r="A8" s="27" t="s">
        <v>212</v>
      </c>
      <c r="B8" s="28" t="s">
        <v>143</v>
      </c>
      <c r="C8" s="28" t="s">
        <v>120</v>
      </c>
      <c r="D8" s="28" t="s">
        <v>243</v>
      </c>
      <c r="E8" s="27"/>
      <c r="F8" s="27" t="n">
        <v>4</v>
      </c>
      <c r="G8" s="28" t="s">
        <v>246</v>
      </c>
      <c r="H8" s="27" t="str">
        <f aca="false">IFERROR(INDEX('الإعدادات واللجنة'!$F$22:$F$29,MATCH(C8,'الإعدادات واللجنة'!$B$22:$B$29,0)),"")</f>
        <v>عضو 4</v>
      </c>
      <c r="I8" s="29"/>
      <c r="J8" s="29"/>
      <c r="K8" s="29"/>
      <c r="L8" s="29"/>
      <c r="M8" s="29"/>
      <c r="N8" s="29"/>
      <c r="O8" s="27" t="str">
        <f aca="false">IF(I8="","",IF(I8="غير متوفر",0,COUNTIF(J8:N8,"نعم")))</f>
        <v/>
      </c>
      <c r="P8" s="27" t="str">
        <f aca="false">IF(I8="","لم يُفحص",IF(I8="غير متوفر","غير موجود",IF(AND(O8=5,I8="متوفر"),"مكتمل",IF(O8&gt;=3,"مقبول","ضعيف"))))</f>
        <v>لم يُفحص</v>
      </c>
      <c r="Q8" s="27" t="str">
        <f aca="false">IF(I8="","",IF(AND(I8="متوفر",O8=5),"لا","نعم"))</f>
        <v/>
      </c>
      <c r="R8" s="27" t="str">
        <f aca="false">IF(Q8&lt;&gt;"نعم","",IF(OR(E8="نعم",I8="غير متوفر"),"عالية",IF(O8&gt;=3,"منخفضة","متوسطة")))</f>
        <v/>
      </c>
      <c r="S8" s="30"/>
      <c r="T8" s="30"/>
      <c r="U8" s="27" t="str">
        <f aca="false">IFERROR(INDEX('الإعدادات واللجنة'!$H$22:$H$29,MATCH(C8,'الإعدادات واللجنة'!$B$22:$B$29,0)),"")</f>
        <v>عضو 3</v>
      </c>
      <c r="V8" s="29"/>
      <c r="W8" s="30"/>
    </row>
    <row r="9" customFormat="false" ht="22.35" hidden="false" customHeight="false" outlineLevel="0" collapsed="false">
      <c r="A9" s="31" t="s">
        <v>247</v>
      </c>
      <c r="B9" s="32" t="s">
        <v>143</v>
      </c>
      <c r="C9" s="32" t="s">
        <v>120</v>
      </c>
      <c r="D9" s="32" t="s">
        <v>248</v>
      </c>
      <c r="E9" s="31" t="s">
        <v>185</v>
      </c>
      <c r="F9" s="31" t="n">
        <v>1</v>
      </c>
      <c r="G9" s="32" t="s">
        <v>249</v>
      </c>
      <c r="H9" s="27" t="str">
        <f aca="false">IFERROR(INDEX('الإعدادات واللجنة'!$F$22:$F$29,MATCH(C9,'الإعدادات واللجنة'!$B$22:$B$29,0)),"")</f>
        <v>عضو 4</v>
      </c>
      <c r="I9" s="29"/>
      <c r="J9" s="29"/>
      <c r="K9" s="29"/>
      <c r="L9" s="29"/>
      <c r="M9" s="29"/>
      <c r="N9" s="29"/>
      <c r="O9" s="27" t="str">
        <f aca="false">IF(I9="","",IF(I9="غير متوفر",0,COUNTIF(J9:N9,"نعم")))</f>
        <v/>
      </c>
      <c r="P9" s="27" t="str">
        <f aca="false">IF(I9="","لم يُفحص",IF(I9="غير متوفر","غير موجود",IF(AND(O9=5,I9="متوفر"),"مكتمل",IF(O9&gt;=3,"مقبول","ضعيف"))))</f>
        <v>لم يُفحص</v>
      </c>
      <c r="Q9" s="27" t="str">
        <f aca="false">IF(I9="","",IF(AND(I9="متوفر",O9=5),"لا","نعم"))</f>
        <v/>
      </c>
      <c r="R9" s="27" t="str">
        <f aca="false">IF(Q9&lt;&gt;"نعم","",IF(OR(E9="نعم",I9="غير متوفر"),"عالية",IF(O9&gt;=3,"منخفضة","متوسطة")))</f>
        <v/>
      </c>
      <c r="S9" s="30"/>
      <c r="T9" s="30"/>
      <c r="U9" s="27" t="str">
        <f aca="false">IFERROR(INDEX('الإعدادات واللجنة'!$H$22:$H$29,MATCH(C9,'الإعدادات واللجنة'!$B$22:$B$29,0)),"")</f>
        <v>عضو 3</v>
      </c>
      <c r="V9" s="29"/>
      <c r="W9" s="30"/>
    </row>
    <row r="10" customFormat="false" ht="22.35" hidden="false" customHeight="false" outlineLevel="0" collapsed="false">
      <c r="A10" s="31" t="s">
        <v>247</v>
      </c>
      <c r="B10" s="32" t="s">
        <v>143</v>
      </c>
      <c r="C10" s="32" t="s">
        <v>120</v>
      </c>
      <c r="D10" s="32" t="s">
        <v>248</v>
      </c>
      <c r="E10" s="31" t="s">
        <v>185</v>
      </c>
      <c r="F10" s="31" t="n">
        <v>2</v>
      </c>
      <c r="G10" s="32" t="s">
        <v>250</v>
      </c>
      <c r="H10" s="27" t="str">
        <f aca="false">IFERROR(INDEX('الإعدادات واللجنة'!$F$22:$F$29,MATCH(C10,'الإعدادات واللجنة'!$B$22:$B$29,0)),"")</f>
        <v>عضو 4</v>
      </c>
      <c r="I10" s="29"/>
      <c r="J10" s="29"/>
      <c r="K10" s="29"/>
      <c r="L10" s="29"/>
      <c r="M10" s="29"/>
      <c r="N10" s="29"/>
      <c r="O10" s="27" t="str">
        <f aca="false">IF(I10="","",IF(I10="غير متوفر",0,COUNTIF(J10:N10,"نعم")))</f>
        <v/>
      </c>
      <c r="P10" s="27" t="str">
        <f aca="false">IF(I10="","لم يُفحص",IF(I10="غير متوفر","غير موجود",IF(AND(O10=5,I10="متوفر"),"مكتمل",IF(O10&gt;=3,"مقبول","ضعيف"))))</f>
        <v>لم يُفحص</v>
      </c>
      <c r="Q10" s="27" t="str">
        <f aca="false">IF(I10="","",IF(AND(I10="متوفر",O10=5),"لا","نعم"))</f>
        <v/>
      </c>
      <c r="R10" s="27" t="str">
        <f aca="false">IF(Q10&lt;&gt;"نعم","",IF(OR(E10="نعم",I10="غير متوفر"),"عالية",IF(O10&gt;=3,"منخفضة","متوسطة")))</f>
        <v/>
      </c>
      <c r="S10" s="30"/>
      <c r="T10" s="30"/>
      <c r="U10" s="27" t="str">
        <f aca="false">IFERROR(INDEX('الإعدادات واللجنة'!$H$22:$H$29,MATCH(C10,'الإعدادات واللجنة'!$B$22:$B$29,0)),"")</f>
        <v>عضو 3</v>
      </c>
      <c r="V10" s="29"/>
      <c r="W10" s="30"/>
    </row>
    <row r="11" customFormat="false" ht="22.35" hidden="false" customHeight="false" outlineLevel="0" collapsed="false">
      <c r="A11" s="31" t="s">
        <v>247</v>
      </c>
      <c r="B11" s="32" t="s">
        <v>143</v>
      </c>
      <c r="C11" s="32" t="s">
        <v>120</v>
      </c>
      <c r="D11" s="32" t="s">
        <v>248</v>
      </c>
      <c r="E11" s="31" t="s">
        <v>185</v>
      </c>
      <c r="F11" s="31" t="n">
        <v>3</v>
      </c>
      <c r="G11" s="32" t="s">
        <v>251</v>
      </c>
      <c r="H11" s="27" t="str">
        <f aca="false">IFERROR(INDEX('الإعدادات واللجنة'!$F$22:$F$29,MATCH(C11,'الإعدادات واللجنة'!$B$22:$B$29,0)),"")</f>
        <v>عضو 4</v>
      </c>
      <c r="I11" s="29"/>
      <c r="J11" s="29"/>
      <c r="K11" s="29"/>
      <c r="L11" s="29"/>
      <c r="M11" s="29"/>
      <c r="N11" s="29"/>
      <c r="O11" s="27" t="str">
        <f aca="false">IF(I11="","",IF(I11="غير متوفر",0,COUNTIF(J11:N11,"نعم")))</f>
        <v/>
      </c>
      <c r="P11" s="27" t="str">
        <f aca="false">IF(I11="","لم يُفحص",IF(I11="غير متوفر","غير موجود",IF(AND(O11=5,I11="متوفر"),"مكتمل",IF(O11&gt;=3,"مقبول","ضعيف"))))</f>
        <v>لم يُفحص</v>
      </c>
      <c r="Q11" s="27" t="str">
        <f aca="false">IF(I11="","",IF(AND(I11="متوفر",O11=5),"لا","نعم"))</f>
        <v/>
      </c>
      <c r="R11" s="27" t="str">
        <f aca="false">IF(Q11&lt;&gt;"نعم","",IF(OR(E11="نعم",I11="غير متوفر"),"عالية",IF(O11&gt;=3,"منخفضة","متوسطة")))</f>
        <v/>
      </c>
      <c r="S11" s="30"/>
      <c r="T11" s="30"/>
      <c r="U11" s="27" t="str">
        <f aca="false">IFERROR(INDEX('الإعدادات واللجنة'!$H$22:$H$29,MATCH(C11,'الإعدادات واللجنة'!$B$22:$B$29,0)),"")</f>
        <v>عضو 3</v>
      </c>
      <c r="V11" s="29"/>
      <c r="W11" s="30"/>
    </row>
    <row r="12" customFormat="false" ht="22.35" hidden="false" customHeight="false" outlineLevel="0" collapsed="false">
      <c r="A12" s="31" t="s">
        <v>247</v>
      </c>
      <c r="B12" s="32" t="s">
        <v>143</v>
      </c>
      <c r="C12" s="32" t="s">
        <v>120</v>
      </c>
      <c r="D12" s="32" t="s">
        <v>248</v>
      </c>
      <c r="E12" s="31" t="s">
        <v>185</v>
      </c>
      <c r="F12" s="31" t="n">
        <v>4</v>
      </c>
      <c r="G12" s="32" t="s">
        <v>252</v>
      </c>
      <c r="H12" s="27" t="str">
        <f aca="false">IFERROR(INDEX('الإعدادات واللجنة'!$F$22:$F$29,MATCH(C12,'الإعدادات واللجنة'!$B$22:$B$29,0)),"")</f>
        <v>عضو 4</v>
      </c>
      <c r="I12" s="29"/>
      <c r="J12" s="29"/>
      <c r="K12" s="29"/>
      <c r="L12" s="29"/>
      <c r="M12" s="29"/>
      <c r="N12" s="29"/>
      <c r="O12" s="27" t="str">
        <f aca="false">IF(I12="","",IF(I12="غير متوفر",0,COUNTIF(J12:N12,"نعم")))</f>
        <v/>
      </c>
      <c r="P12" s="27" t="str">
        <f aca="false">IF(I12="","لم يُفحص",IF(I12="غير متوفر","غير موجود",IF(AND(O12=5,I12="متوفر"),"مكتمل",IF(O12&gt;=3,"مقبول","ضعيف"))))</f>
        <v>لم يُفحص</v>
      </c>
      <c r="Q12" s="27" t="str">
        <f aca="false">IF(I12="","",IF(AND(I12="متوفر",O12=5),"لا","نعم"))</f>
        <v/>
      </c>
      <c r="R12" s="27" t="str">
        <f aca="false">IF(Q12&lt;&gt;"نعم","",IF(OR(E12="نعم",I12="غير متوفر"),"عالية",IF(O12&gt;=3,"منخفضة","متوسطة")))</f>
        <v/>
      </c>
      <c r="S12" s="30"/>
      <c r="T12" s="30"/>
      <c r="U12" s="27" t="str">
        <f aca="false">IFERROR(INDEX('الإعدادات واللجنة'!$H$22:$H$29,MATCH(C12,'الإعدادات واللجنة'!$B$22:$B$29,0)),"")</f>
        <v>عضو 3</v>
      </c>
      <c r="V12" s="29"/>
      <c r="W12" s="30"/>
    </row>
    <row r="13" customFormat="false" ht="22.35" hidden="false" customHeight="false" outlineLevel="0" collapsed="false">
      <c r="A13" s="31" t="s">
        <v>247</v>
      </c>
      <c r="B13" s="32" t="s">
        <v>143</v>
      </c>
      <c r="C13" s="32" t="s">
        <v>120</v>
      </c>
      <c r="D13" s="32" t="s">
        <v>248</v>
      </c>
      <c r="E13" s="31" t="s">
        <v>185</v>
      </c>
      <c r="F13" s="31" t="n">
        <v>5</v>
      </c>
      <c r="G13" s="32" t="s">
        <v>253</v>
      </c>
      <c r="H13" s="27" t="str">
        <f aca="false">IFERROR(INDEX('الإعدادات واللجنة'!$F$22:$F$29,MATCH(C13,'الإعدادات واللجنة'!$B$22:$B$29,0)),"")</f>
        <v>عضو 4</v>
      </c>
      <c r="I13" s="29"/>
      <c r="J13" s="29"/>
      <c r="K13" s="29"/>
      <c r="L13" s="29"/>
      <c r="M13" s="29"/>
      <c r="N13" s="29"/>
      <c r="O13" s="27" t="str">
        <f aca="false">IF(I13="","",IF(I13="غير متوفر",0,COUNTIF(J13:N13,"نعم")))</f>
        <v/>
      </c>
      <c r="P13" s="27" t="str">
        <f aca="false">IF(I13="","لم يُفحص",IF(I13="غير متوفر","غير موجود",IF(AND(O13=5,I13="متوفر"),"مكتمل",IF(O13&gt;=3,"مقبول","ضعيف"))))</f>
        <v>لم يُفحص</v>
      </c>
      <c r="Q13" s="27" t="str">
        <f aca="false">IF(I13="","",IF(AND(I13="متوفر",O13=5),"لا","نعم"))</f>
        <v/>
      </c>
      <c r="R13" s="27" t="str">
        <f aca="false">IF(Q13&lt;&gt;"نعم","",IF(OR(E13="نعم",I13="غير متوفر"),"عالية",IF(O13&gt;=3,"منخفضة","متوسطة")))</f>
        <v/>
      </c>
      <c r="S13" s="30"/>
      <c r="T13" s="30"/>
      <c r="U13" s="27" t="str">
        <f aca="false">IFERROR(INDEX('الإعدادات واللجنة'!$H$22:$H$29,MATCH(C13,'الإعدادات واللجنة'!$B$22:$B$29,0)),"")</f>
        <v>عضو 3</v>
      </c>
      <c r="V13" s="29"/>
      <c r="W13" s="30"/>
    </row>
    <row r="14" customFormat="false" ht="15" hidden="false" customHeight="false" outlineLevel="0" collapsed="false">
      <c r="A14" s="27" t="s">
        <v>254</v>
      </c>
      <c r="B14" s="28" t="s">
        <v>143</v>
      </c>
      <c r="C14" s="28" t="s">
        <v>120</v>
      </c>
      <c r="D14" s="28" t="s">
        <v>255</v>
      </c>
      <c r="E14" s="27"/>
      <c r="F14" s="27" t="n">
        <v>1</v>
      </c>
      <c r="G14" s="28" t="s">
        <v>256</v>
      </c>
      <c r="H14" s="27" t="str">
        <f aca="false">IFERROR(INDEX('الإعدادات واللجنة'!$F$22:$F$29,MATCH(C14,'الإعدادات واللجنة'!$B$22:$B$29,0)),"")</f>
        <v>عضو 4</v>
      </c>
      <c r="I14" s="29"/>
      <c r="J14" s="29"/>
      <c r="K14" s="29"/>
      <c r="L14" s="29"/>
      <c r="M14" s="29"/>
      <c r="N14" s="29"/>
      <c r="O14" s="27" t="str">
        <f aca="false">IF(I14="","",IF(I14="غير متوفر",0,COUNTIF(J14:N14,"نعم")))</f>
        <v/>
      </c>
      <c r="P14" s="27" t="str">
        <f aca="false">IF(I14="","لم يُفحص",IF(I14="غير متوفر","غير موجود",IF(AND(O14=5,I14="متوفر"),"مكتمل",IF(O14&gt;=3,"مقبول","ضعيف"))))</f>
        <v>لم يُفحص</v>
      </c>
      <c r="Q14" s="27" t="str">
        <f aca="false">IF(I14="","",IF(AND(I14="متوفر",O14=5),"لا","نعم"))</f>
        <v/>
      </c>
      <c r="R14" s="27" t="str">
        <f aca="false">IF(Q14&lt;&gt;"نعم","",IF(OR(E14="نعم",I14="غير متوفر"),"عالية",IF(O14&gt;=3,"منخفضة","متوسطة")))</f>
        <v/>
      </c>
      <c r="S14" s="30"/>
      <c r="T14" s="30"/>
      <c r="U14" s="27" t="str">
        <f aca="false">IFERROR(INDEX('الإعدادات واللجنة'!$H$22:$H$29,MATCH(C14,'الإعدادات واللجنة'!$B$22:$B$29,0)),"")</f>
        <v>عضو 3</v>
      </c>
      <c r="V14" s="29"/>
      <c r="W14" s="30"/>
    </row>
    <row r="15" customFormat="false" ht="15" hidden="false" customHeight="false" outlineLevel="0" collapsed="false">
      <c r="A15" s="27" t="s">
        <v>254</v>
      </c>
      <c r="B15" s="28" t="s">
        <v>143</v>
      </c>
      <c r="C15" s="28" t="s">
        <v>120</v>
      </c>
      <c r="D15" s="28" t="s">
        <v>255</v>
      </c>
      <c r="E15" s="27"/>
      <c r="F15" s="27" t="n">
        <v>2</v>
      </c>
      <c r="G15" s="28" t="s">
        <v>257</v>
      </c>
      <c r="H15" s="27" t="str">
        <f aca="false">IFERROR(INDEX('الإعدادات واللجنة'!$F$22:$F$29,MATCH(C15,'الإعدادات واللجنة'!$B$22:$B$29,0)),"")</f>
        <v>عضو 4</v>
      </c>
      <c r="I15" s="29"/>
      <c r="J15" s="29"/>
      <c r="K15" s="29"/>
      <c r="L15" s="29"/>
      <c r="M15" s="29"/>
      <c r="N15" s="29"/>
      <c r="O15" s="27" t="str">
        <f aca="false">IF(I15="","",IF(I15="غير متوفر",0,COUNTIF(J15:N15,"نعم")))</f>
        <v/>
      </c>
      <c r="P15" s="27" t="str">
        <f aca="false">IF(I15="","لم يُفحص",IF(I15="غير متوفر","غير موجود",IF(AND(O15=5,I15="متوفر"),"مكتمل",IF(O15&gt;=3,"مقبول","ضعيف"))))</f>
        <v>لم يُفحص</v>
      </c>
      <c r="Q15" s="27" t="str">
        <f aca="false">IF(I15="","",IF(AND(I15="متوفر",O15=5),"لا","نعم"))</f>
        <v/>
      </c>
      <c r="R15" s="27" t="str">
        <f aca="false">IF(Q15&lt;&gt;"نعم","",IF(OR(E15="نعم",I15="غير متوفر"),"عالية",IF(O15&gt;=3,"منخفضة","متوسطة")))</f>
        <v/>
      </c>
      <c r="S15" s="30"/>
      <c r="T15" s="30"/>
      <c r="U15" s="27" t="str">
        <f aca="false">IFERROR(INDEX('الإعدادات واللجنة'!$H$22:$H$29,MATCH(C15,'الإعدادات واللجنة'!$B$22:$B$29,0)),"")</f>
        <v>عضو 3</v>
      </c>
      <c r="V15" s="29"/>
      <c r="W15" s="30"/>
    </row>
    <row r="16" customFormat="false" ht="15" hidden="false" customHeight="false" outlineLevel="0" collapsed="false">
      <c r="A16" s="27" t="s">
        <v>254</v>
      </c>
      <c r="B16" s="28" t="s">
        <v>143</v>
      </c>
      <c r="C16" s="28" t="s">
        <v>120</v>
      </c>
      <c r="D16" s="28" t="s">
        <v>255</v>
      </c>
      <c r="E16" s="27"/>
      <c r="F16" s="27" t="n">
        <v>3</v>
      </c>
      <c r="G16" s="28" t="s">
        <v>258</v>
      </c>
      <c r="H16" s="27" t="str">
        <f aca="false">IFERROR(INDEX('الإعدادات واللجنة'!$F$22:$F$29,MATCH(C16,'الإعدادات واللجنة'!$B$22:$B$29,0)),"")</f>
        <v>عضو 4</v>
      </c>
      <c r="I16" s="29"/>
      <c r="J16" s="29"/>
      <c r="K16" s="29"/>
      <c r="L16" s="29"/>
      <c r="M16" s="29"/>
      <c r="N16" s="29"/>
      <c r="O16" s="27" t="str">
        <f aca="false">IF(I16="","",IF(I16="غير متوفر",0,COUNTIF(J16:N16,"نعم")))</f>
        <v/>
      </c>
      <c r="P16" s="27" t="str">
        <f aca="false">IF(I16="","لم يُفحص",IF(I16="غير متوفر","غير موجود",IF(AND(O16=5,I16="متوفر"),"مكتمل",IF(O16&gt;=3,"مقبول","ضعيف"))))</f>
        <v>لم يُفحص</v>
      </c>
      <c r="Q16" s="27" t="str">
        <f aca="false">IF(I16="","",IF(AND(I16="متوفر",O16=5),"لا","نعم"))</f>
        <v/>
      </c>
      <c r="R16" s="27" t="str">
        <f aca="false">IF(Q16&lt;&gt;"نعم","",IF(OR(E16="نعم",I16="غير متوفر"),"عالية",IF(O16&gt;=3,"منخفضة","متوسطة")))</f>
        <v/>
      </c>
      <c r="S16" s="30"/>
      <c r="T16" s="30"/>
      <c r="U16" s="27" t="str">
        <f aca="false">IFERROR(INDEX('الإعدادات واللجنة'!$H$22:$H$29,MATCH(C16,'الإعدادات واللجنة'!$B$22:$B$29,0)),"")</f>
        <v>عضو 3</v>
      </c>
      <c r="V16" s="29"/>
      <c r="W16" s="30"/>
    </row>
    <row r="17" customFormat="false" ht="15" hidden="false" customHeight="false" outlineLevel="0" collapsed="false">
      <c r="A17" s="27" t="s">
        <v>254</v>
      </c>
      <c r="B17" s="28" t="s">
        <v>143</v>
      </c>
      <c r="C17" s="28" t="s">
        <v>120</v>
      </c>
      <c r="D17" s="28" t="s">
        <v>255</v>
      </c>
      <c r="E17" s="27"/>
      <c r="F17" s="27" t="n">
        <v>4</v>
      </c>
      <c r="G17" s="28" t="s">
        <v>259</v>
      </c>
      <c r="H17" s="27" t="str">
        <f aca="false">IFERROR(INDEX('الإعدادات واللجنة'!$F$22:$F$29,MATCH(C17,'الإعدادات واللجنة'!$B$22:$B$29,0)),"")</f>
        <v>عضو 4</v>
      </c>
      <c r="I17" s="29"/>
      <c r="J17" s="29"/>
      <c r="K17" s="29"/>
      <c r="L17" s="29"/>
      <c r="M17" s="29"/>
      <c r="N17" s="29"/>
      <c r="O17" s="27" t="str">
        <f aca="false">IF(I17="","",IF(I17="غير متوفر",0,COUNTIF(J17:N17,"نعم")))</f>
        <v/>
      </c>
      <c r="P17" s="27" t="str">
        <f aca="false">IF(I17="","لم يُفحص",IF(I17="غير متوفر","غير موجود",IF(AND(O17=5,I17="متوفر"),"مكتمل",IF(O17&gt;=3,"مقبول","ضعيف"))))</f>
        <v>لم يُفحص</v>
      </c>
      <c r="Q17" s="27" t="str">
        <f aca="false">IF(I17="","",IF(AND(I17="متوفر",O17=5),"لا","نعم"))</f>
        <v/>
      </c>
      <c r="R17" s="27" t="str">
        <f aca="false">IF(Q17&lt;&gt;"نعم","",IF(OR(E17="نعم",I17="غير متوفر"),"عالية",IF(O17&gt;=3,"منخفضة","متوسطة")))</f>
        <v/>
      </c>
      <c r="S17" s="30"/>
      <c r="T17" s="30"/>
      <c r="U17" s="27" t="str">
        <f aca="false">IFERROR(INDEX('الإعدادات واللجنة'!$H$22:$H$29,MATCH(C17,'الإعدادات واللجنة'!$B$22:$B$29,0)),"")</f>
        <v>عضو 3</v>
      </c>
      <c r="V17" s="29"/>
      <c r="W17" s="30"/>
    </row>
    <row r="18" customFormat="false" ht="22.35" hidden="false" customHeight="false" outlineLevel="0" collapsed="false">
      <c r="A18" s="27" t="s">
        <v>254</v>
      </c>
      <c r="B18" s="28" t="s">
        <v>143</v>
      </c>
      <c r="C18" s="28" t="s">
        <v>120</v>
      </c>
      <c r="D18" s="28" t="s">
        <v>255</v>
      </c>
      <c r="E18" s="27"/>
      <c r="F18" s="27" t="n">
        <v>5</v>
      </c>
      <c r="G18" s="28" t="s">
        <v>260</v>
      </c>
      <c r="H18" s="27" t="str">
        <f aca="false">IFERROR(INDEX('الإعدادات واللجنة'!$F$22:$F$29,MATCH(C18,'الإعدادات واللجنة'!$B$22:$B$29,0)),"")</f>
        <v>عضو 4</v>
      </c>
      <c r="I18" s="29"/>
      <c r="J18" s="29"/>
      <c r="K18" s="29"/>
      <c r="L18" s="29"/>
      <c r="M18" s="29"/>
      <c r="N18" s="29"/>
      <c r="O18" s="27" t="str">
        <f aca="false">IF(I18="","",IF(I18="غير متوفر",0,COUNTIF(J18:N18,"نعم")))</f>
        <v/>
      </c>
      <c r="P18" s="27" t="str">
        <f aca="false">IF(I18="","لم يُفحص",IF(I18="غير متوفر","غير موجود",IF(AND(O18=5,I18="متوفر"),"مكتمل",IF(O18&gt;=3,"مقبول","ضعيف"))))</f>
        <v>لم يُفحص</v>
      </c>
      <c r="Q18" s="27" t="str">
        <f aca="false">IF(I18="","",IF(AND(I18="متوفر",O18=5),"لا","نعم"))</f>
        <v/>
      </c>
      <c r="R18" s="27" t="str">
        <f aca="false">IF(Q18&lt;&gt;"نعم","",IF(OR(E18="نعم",I18="غير متوفر"),"عالية",IF(O18&gt;=3,"منخفضة","متوسطة")))</f>
        <v/>
      </c>
      <c r="S18" s="30"/>
      <c r="T18" s="30"/>
      <c r="U18" s="27" t="str">
        <f aca="false">IFERROR(INDEX('الإعدادات واللجنة'!$H$22:$H$29,MATCH(C18,'الإعدادات واللجنة'!$B$22:$B$29,0)),"")</f>
        <v>عضو 3</v>
      </c>
      <c r="V18" s="29"/>
      <c r="W18" s="30"/>
    </row>
    <row r="19" customFormat="false" ht="22.35" hidden="false" customHeight="false" outlineLevel="0" collapsed="false">
      <c r="A19" s="27" t="s">
        <v>261</v>
      </c>
      <c r="B19" s="28" t="s">
        <v>143</v>
      </c>
      <c r="C19" s="28" t="s">
        <v>120</v>
      </c>
      <c r="D19" s="28" t="s">
        <v>262</v>
      </c>
      <c r="E19" s="27"/>
      <c r="F19" s="27" t="n">
        <v>1</v>
      </c>
      <c r="G19" s="28" t="s">
        <v>263</v>
      </c>
      <c r="H19" s="27" t="str">
        <f aca="false">IFERROR(INDEX('الإعدادات واللجنة'!$F$22:$F$29,MATCH(C19,'الإعدادات واللجنة'!$B$22:$B$29,0)),"")</f>
        <v>عضو 4</v>
      </c>
      <c r="I19" s="29"/>
      <c r="J19" s="29"/>
      <c r="K19" s="29"/>
      <c r="L19" s="29"/>
      <c r="M19" s="29"/>
      <c r="N19" s="29"/>
      <c r="O19" s="27" t="str">
        <f aca="false">IF(I19="","",IF(I19="غير متوفر",0,COUNTIF(J19:N19,"نعم")))</f>
        <v/>
      </c>
      <c r="P19" s="27" t="str">
        <f aca="false">IF(I19="","لم يُفحص",IF(I19="غير متوفر","غير موجود",IF(AND(O19=5,I19="متوفر"),"مكتمل",IF(O19&gt;=3,"مقبول","ضعيف"))))</f>
        <v>لم يُفحص</v>
      </c>
      <c r="Q19" s="27" t="str">
        <f aca="false">IF(I19="","",IF(AND(I19="متوفر",O19=5),"لا","نعم"))</f>
        <v/>
      </c>
      <c r="R19" s="27" t="str">
        <f aca="false">IF(Q19&lt;&gt;"نعم","",IF(OR(E19="نعم",I19="غير متوفر"),"عالية",IF(O19&gt;=3,"منخفضة","متوسطة")))</f>
        <v/>
      </c>
      <c r="S19" s="30"/>
      <c r="T19" s="30"/>
      <c r="U19" s="27" t="str">
        <f aca="false">IFERROR(INDEX('الإعدادات واللجنة'!$H$22:$H$29,MATCH(C19,'الإعدادات واللجنة'!$B$22:$B$29,0)),"")</f>
        <v>عضو 3</v>
      </c>
      <c r="V19" s="29"/>
      <c r="W19" s="30"/>
    </row>
    <row r="20" customFormat="false" ht="22.35" hidden="false" customHeight="false" outlineLevel="0" collapsed="false">
      <c r="A20" s="27" t="s">
        <v>261</v>
      </c>
      <c r="B20" s="28" t="s">
        <v>143</v>
      </c>
      <c r="C20" s="28" t="s">
        <v>120</v>
      </c>
      <c r="D20" s="28" t="s">
        <v>262</v>
      </c>
      <c r="E20" s="27"/>
      <c r="F20" s="27" t="n">
        <v>2</v>
      </c>
      <c r="G20" s="28" t="s">
        <v>264</v>
      </c>
      <c r="H20" s="27" t="str">
        <f aca="false">IFERROR(INDEX('الإعدادات واللجنة'!$F$22:$F$29,MATCH(C20,'الإعدادات واللجنة'!$B$22:$B$29,0)),"")</f>
        <v>عضو 4</v>
      </c>
      <c r="I20" s="29"/>
      <c r="J20" s="29"/>
      <c r="K20" s="29"/>
      <c r="L20" s="29"/>
      <c r="M20" s="29"/>
      <c r="N20" s="29"/>
      <c r="O20" s="27" t="str">
        <f aca="false">IF(I20="","",IF(I20="غير متوفر",0,COUNTIF(J20:N20,"نعم")))</f>
        <v/>
      </c>
      <c r="P20" s="27" t="str">
        <f aca="false">IF(I20="","لم يُفحص",IF(I20="غير متوفر","غير موجود",IF(AND(O20=5,I20="متوفر"),"مكتمل",IF(O20&gt;=3,"مقبول","ضعيف"))))</f>
        <v>لم يُفحص</v>
      </c>
      <c r="Q20" s="27" t="str">
        <f aca="false">IF(I20="","",IF(AND(I20="متوفر",O20=5),"لا","نعم"))</f>
        <v/>
      </c>
      <c r="R20" s="27" t="str">
        <f aca="false">IF(Q20&lt;&gt;"نعم","",IF(OR(E20="نعم",I20="غير متوفر"),"عالية",IF(O20&gt;=3,"منخفضة","متوسطة")))</f>
        <v/>
      </c>
      <c r="S20" s="30"/>
      <c r="T20" s="30"/>
      <c r="U20" s="27" t="str">
        <f aca="false">IFERROR(INDEX('الإعدادات واللجنة'!$H$22:$H$29,MATCH(C20,'الإعدادات واللجنة'!$B$22:$B$29,0)),"")</f>
        <v>عضو 3</v>
      </c>
      <c r="V20" s="29"/>
      <c r="W20" s="30"/>
    </row>
    <row r="21" customFormat="false" ht="32.8" hidden="false" customHeight="false" outlineLevel="0" collapsed="false">
      <c r="A21" s="27" t="s">
        <v>265</v>
      </c>
      <c r="B21" s="28" t="s">
        <v>143</v>
      </c>
      <c r="C21" s="28" t="s">
        <v>120</v>
      </c>
      <c r="D21" s="28" t="s">
        <v>266</v>
      </c>
      <c r="E21" s="27"/>
      <c r="F21" s="27" t="n">
        <v>1</v>
      </c>
      <c r="G21" s="28" t="s">
        <v>267</v>
      </c>
      <c r="H21" s="27" t="str">
        <f aca="false">IFERROR(INDEX('الإعدادات واللجنة'!$F$22:$F$29,MATCH(C21,'الإعدادات واللجنة'!$B$22:$B$29,0)),"")</f>
        <v>عضو 4</v>
      </c>
      <c r="I21" s="29"/>
      <c r="J21" s="29"/>
      <c r="K21" s="29"/>
      <c r="L21" s="29"/>
      <c r="M21" s="29"/>
      <c r="N21" s="29"/>
      <c r="O21" s="27" t="str">
        <f aca="false">IF(I21="","",IF(I21="غير متوفر",0,COUNTIF(J21:N21,"نعم")))</f>
        <v/>
      </c>
      <c r="P21" s="27" t="str">
        <f aca="false">IF(I21="","لم يُفحص",IF(I21="غير متوفر","غير موجود",IF(AND(O21=5,I21="متوفر"),"مكتمل",IF(O21&gt;=3,"مقبول","ضعيف"))))</f>
        <v>لم يُفحص</v>
      </c>
      <c r="Q21" s="27" t="str">
        <f aca="false">IF(I21="","",IF(AND(I21="متوفر",O21=5),"لا","نعم"))</f>
        <v/>
      </c>
      <c r="R21" s="27" t="str">
        <f aca="false">IF(Q21&lt;&gt;"نعم","",IF(OR(E21="نعم",I21="غير متوفر"),"عالية",IF(O21&gt;=3,"منخفضة","متوسطة")))</f>
        <v/>
      </c>
      <c r="S21" s="30"/>
      <c r="T21" s="30"/>
      <c r="U21" s="27" t="str">
        <f aca="false">IFERROR(INDEX('الإعدادات واللجنة'!$H$22:$H$29,MATCH(C21,'الإعدادات واللجنة'!$B$22:$B$29,0)),"")</f>
        <v>عضو 3</v>
      </c>
      <c r="V21" s="29"/>
      <c r="W21" s="30"/>
    </row>
    <row r="22" customFormat="false" ht="32.8" hidden="false" customHeight="false" outlineLevel="0" collapsed="false">
      <c r="A22" s="27" t="s">
        <v>265</v>
      </c>
      <c r="B22" s="28" t="s">
        <v>143</v>
      </c>
      <c r="C22" s="28" t="s">
        <v>120</v>
      </c>
      <c r="D22" s="28" t="s">
        <v>266</v>
      </c>
      <c r="E22" s="27"/>
      <c r="F22" s="27" t="n">
        <v>2</v>
      </c>
      <c r="G22" s="28" t="s">
        <v>268</v>
      </c>
      <c r="H22" s="27" t="str">
        <f aca="false">IFERROR(INDEX('الإعدادات واللجنة'!$F$22:$F$29,MATCH(C22,'الإعدادات واللجنة'!$B$22:$B$29,0)),"")</f>
        <v>عضو 4</v>
      </c>
      <c r="I22" s="29"/>
      <c r="J22" s="29"/>
      <c r="K22" s="29"/>
      <c r="L22" s="29"/>
      <c r="M22" s="29"/>
      <c r="N22" s="29"/>
      <c r="O22" s="27" t="str">
        <f aca="false">IF(I22="","",IF(I22="غير متوفر",0,COUNTIF(J22:N22,"نعم")))</f>
        <v/>
      </c>
      <c r="P22" s="27" t="str">
        <f aca="false">IF(I22="","لم يُفحص",IF(I22="غير متوفر","غير موجود",IF(AND(O22=5,I22="متوفر"),"مكتمل",IF(O22&gt;=3,"مقبول","ضعيف"))))</f>
        <v>لم يُفحص</v>
      </c>
      <c r="Q22" s="27" t="str">
        <f aca="false">IF(I22="","",IF(AND(I22="متوفر",O22=5),"لا","نعم"))</f>
        <v/>
      </c>
      <c r="R22" s="27" t="str">
        <f aca="false">IF(Q22&lt;&gt;"نعم","",IF(OR(E22="نعم",I22="غير متوفر"),"عالية",IF(O22&gt;=3,"منخفضة","متوسطة")))</f>
        <v/>
      </c>
      <c r="S22" s="30"/>
      <c r="T22" s="30"/>
      <c r="U22" s="27" t="str">
        <f aca="false">IFERROR(INDEX('الإعدادات واللجنة'!$H$22:$H$29,MATCH(C22,'الإعدادات واللجنة'!$B$22:$B$29,0)),"")</f>
        <v>عضو 3</v>
      </c>
      <c r="V22" s="29"/>
      <c r="W22" s="30"/>
    </row>
    <row r="23" customFormat="false" ht="32.8" hidden="false" customHeight="false" outlineLevel="0" collapsed="false">
      <c r="A23" s="27" t="s">
        <v>265</v>
      </c>
      <c r="B23" s="28" t="s">
        <v>143</v>
      </c>
      <c r="C23" s="28" t="s">
        <v>120</v>
      </c>
      <c r="D23" s="28" t="s">
        <v>266</v>
      </c>
      <c r="E23" s="27"/>
      <c r="F23" s="27" t="n">
        <v>3</v>
      </c>
      <c r="G23" s="28" t="s">
        <v>269</v>
      </c>
      <c r="H23" s="27" t="str">
        <f aca="false">IFERROR(INDEX('الإعدادات واللجنة'!$F$22:$F$29,MATCH(C23,'الإعدادات واللجنة'!$B$22:$B$29,0)),"")</f>
        <v>عضو 4</v>
      </c>
      <c r="I23" s="29"/>
      <c r="J23" s="29"/>
      <c r="K23" s="29"/>
      <c r="L23" s="29"/>
      <c r="M23" s="29"/>
      <c r="N23" s="29"/>
      <c r="O23" s="27" t="str">
        <f aca="false">IF(I23="","",IF(I23="غير متوفر",0,COUNTIF(J23:N23,"نعم")))</f>
        <v/>
      </c>
      <c r="P23" s="27" t="str">
        <f aca="false">IF(I23="","لم يُفحص",IF(I23="غير متوفر","غير موجود",IF(AND(O23=5,I23="متوفر"),"مكتمل",IF(O23&gt;=3,"مقبول","ضعيف"))))</f>
        <v>لم يُفحص</v>
      </c>
      <c r="Q23" s="27" t="str">
        <f aca="false">IF(I23="","",IF(AND(I23="متوفر",O23=5),"لا","نعم"))</f>
        <v/>
      </c>
      <c r="R23" s="27" t="str">
        <f aca="false">IF(Q23&lt;&gt;"نعم","",IF(OR(E23="نعم",I23="غير متوفر"),"عالية",IF(O23&gt;=3,"منخفضة","متوسطة")))</f>
        <v/>
      </c>
      <c r="S23" s="30"/>
      <c r="T23" s="30"/>
      <c r="U23" s="27" t="str">
        <f aca="false">IFERROR(INDEX('الإعدادات واللجنة'!$H$22:$H$29,MATCH(C23,'الإعدادات واللجنة'!$B$22:$B$29,0)),"")</f>
        <v>عضو 3</v>
      </c>
      <c r="V23" s="29"/>
      <c r="W23" s="30"/>
    </row>
    <row r="24" customFormat="false" ht="32.8" hidden="false" customHeight="false" outlineLevel="0" collapsed="false">
      <c r="A24" s="27" t="s">
        <v>265</v>
      </c>
      <c r="B24" s="28" t="s">
        <v>143</v>
      </c>
      <c r="C24" s="28" t="s">
        <v>120</v>
      </c>
      <c r="D24" s="28" t="s">
        <v>266</v>
      </c>
      <c r="E24" s="27"/>
      <c r="F24" s="27" t="n">
        <v>4</v>
      </c>
      <c r="G24" s="28" t="s">
        <v>270</v>
      </c>
      <c r="H24" s="27" t="str">
        <f aca="false">IFERROR(INDEX('الإعدادات واللجنة'!$F$22:$F$29,MATCH(C24,'الإعدادات واللجنة'!$B$22:$B$29,0)),"")</f>
        <v>عضو 4</v>
      </c>
      <c r="I24" s="29"/>
      <c r="J24" s="29"/>
      <c r="K24" s="29"/>
      <c r="L24" s="29"/>
      <c r="M24" s="29"/>
      <c r="N24" s="29"/>
      <c r="O24" s="27" t="str">
        <f aca="false">IF(I24="","",IF(I24="غير متوفر",0,COUNTIF(J24:N24,"نعم")))</f>
        <v/>
      </c>
      <c r="P24" s="27" t="str">
        <f aca="false">IF(I24="","لم يُفحص",IF(I24="غير متوفر","غير موجود",IF(AND(O24=5,I24="متوفر"),"مكتمل",IF(O24&gt;=3,"مقبول","ضعيف"))))</f>
        <v>لم يُفحص</v>
      </c>
      <c r="Q24" s="27" t="str">
        <f aca="false">IF(I24="","",IF(AND(I24="متوفر",O24=5),"لا","نعم"))</f>
        <v/>
      </c>
      <c r="R24" s="27" t="str">
        <f aca="false">IF(Q24&lt;&gt;"نعم","",IF(OR(E24="نعم",I24="غير متوفر"),"عالية",IF(O24&gt;=3,"منخفضة","متوسطة")))</f>
        <v/>
      </c>
      <c r="S24" s="30"/>
      <c r="T24" s="30"/>
      <c r="U24" s="27" t="str">
        <f aca="false">IFERROR(INDEX('الإعدادات واللجنة'!$H$22:$H$29,MATCH(C24,'الإعدادات واللجنة'!$B$22:$B$29,0)),"")</f>
        <v>عضو 3</v>
      </c>
      <c r="V24" s="29"/>
      <c r="W24" s="30"/>
    </row>
    <row r="25" customFormat="false" ht="32.8" hidden="false" customHeight="false" outlineLevel="0" collapsed="false">
      <c r="A25" s="27" t="s">
        <v>271</v>
      </c>
      <c r="B25" s="28" t="s">
        <v>143</v>
      </c>
      <c r="C25" s="28" t="s">
        <v>120</v>
      </c>
      <c r="D25" s="28" t="s">
        <v>272</v>
      </c>
      <c r="E25" s="27"/>
      <c r="F25" s="27" t="n">
        <v>1</v>
      </c>
      <c r="G25" s="28" t="s">
        <v>273</v>
      </c>
      <c r="H25" s="27" t="str">
        <f aca="false">IFERROR(INDEX('الإعدادات واللجنة'!$F$22:$F$29,MATCH(C25,'الإعدادات واللجنة'!$B$22:$B$29,0)),"")</f>
        <v>عضو 4</v>
      </c>
      <c r="I25" s="29"/>
      <c r="J25" s="29"/>
      <c r="K25" s="29"/>
      <c r="L25" s="29"/>
      <c r="M25" s="29"/>
      <c r="N25" s="29"/>
      <c r="O25" s="27" t="str">
        <f aca="false">IF(I25="","",IF(I25="غير متوفر",0,COUNTIF(J25:N25,"نعم")))</f>
        <v/>
      </c>
      <c r="P25" s="27" t="str">
        <f aca="false">IF(I25="","لم يُفحص",IF(I25="غير متوفر","غير موجود",IF(AND(O25=5,I25="متوفر"),"مكتمل",IF(O25&gt;=3,"مقبول","ضعيف"))))</f>
        <v>لم يُفحص</v>
      </c>
      <c r="Q25" s="27" t="str">
        <f aca="false">IF(I25="","",IF(AND(I25="متوفر",O25=5),"لا","نعم"))</f>
        <v/>
      </c>
      <c r="R25" s="27" t="str">
        <f aca="false">IF(Q25&lt;&gt;"نعم","",IF(OR(E25="نعم",I25="غير متوفر"),"عالية",IF(O25&gt;=3,"منخفضة","متوسطة")))</f>
        <v/>
      </c>
      <c r="S25" s="30"/>
      <c r="T25" s="30"/>
      <c r="U25" s="27" t="str">
        <f aca="false">IFERROR(INDEX('الإعدادات واللجنة'!$H$22:$H$29,MATCH(C25,'الإعدادات واللجنة'!$B$22:$B$29,0)),"")</f>
        <v>عضو 3</v>
      </c>
      <c r="V25" s="29"/>
      <c r="W25" s="30"/>
    </row>
    <row r="26" customFormat="false" ht="32.8" hidden="false" customHeight="false" outlineLevel="0" collapsed="false">
      <c r="A26" s="27" t="s">
        <v>271</v>
      </c>
      <c r="B26" s="28" t="s">
        <v>143</v>
      </c>
      <c r="C26" s="28" t="s">
        <v>120</v>
      </c>
      <c r="D26" s="28" t="s">
        <v>272</v>
      </c>
      <c r="E26" s="27"/>
      <c r="F26" s="27" t="n">
        <v>2</v>
      </c>
      <c r="G26" s="28" t="s">
        <v>274</v>
      </c>
      <c r="H26" s="27" t="str">
        <f aca="false">IFERROR(INDEX('الإعدادات واللجنة'!$F$22:$F$29,MATCH(C26,'الإعدادات واللجنة'!$B$22:$B$29,0)),"")</f>
        <v>عضو 4</v>
      </c>
      <c r="I26" s="29"/>
      <c r="J26" s="29"/>
      <c r="K26" s="29"/>
      <c r="L26" s="29"/>
      <c r="M26" s="29"/>
      <c r="N26" s="29"/>
      <c r="O26" s="27" t="str">
        <f aca="false">IF(I26="","",IF(I26="غير متوفر",0,COUNTIF(J26:N26,"نعم")))</f>
        <v/>
      </c>
      <c r="P26" s="27" t="str">
        <f aca="false">IF(I26="","لم يُفحص",IF(I26="غير متوفر","غير موجود",IF(AND(O26=5,I26="متوفر"),"مكتمل",IF(O26&gt;=3,"مقبول","ضعيف"))))</f>
        <v>لم يُفحص</v>
      </c>
      <c r="Q26" s="27" t="str">
        <f aca="false">IF(I26="","",IF(AND(I26="متوفر",O26=5),"لا","نعم"))</f>
        <v/>
      </c>
      <c r="R26" s="27" t="str">
        <f aca="false">IF(Q26&lt;&gt;"نعم","",IF(OR(E26="نعم",I26="غير متوفر"),"عالية",IF(O26&gt;=3,"منخفضة","متوسطة")))</f>
        <v/>
      </c>
      <c r="S26" s="30"/>
      <c r="T26" s="30"/>
      <c r="U26" s="27" t="str">
        <f aca="false">IFERROR(INDEX('الإعدادات واللجنة'!$H$22:$H$29,MATCH(C26,'الإعدادات واللجنة'!$B$22:$B$29,0)),"")</f>
        <v>عضو 3</v>
      </c>
      <c r="V26" s="29"/>
      <c r="W26" s="30"/>
    </row>
    <row r="27" customFormat="false" ht="32.8" hidden="false" customHeight="false" outlineLevel="0" collapsed="false">
      <c r="A27" s="27" t="s">
        <v>271</v>
      </c>
      <c r="B27" s="28" t="s">
        <v>143</v>
      </c>
      <c r="C27" s="28" t="s">
        <v>120</v>
      </c>
      <c r="D27" s="28" t="s">
        <v>272</v>
      </c>
      <c r="E27" s="27"/>
      <c r="F27" s="27" t="n">
        <v>3</v>
      </c>
      <c r="G27" s="28" t="s">
        <v>275</v>
      </c>
      <c r="H27" s="27" t="str">
        <f aca="false">IFERROR(INDEX('الإعدادات واللجنة'!$F$22:$F$29,MATCH(C27,'الإعدادات واللجنة'!$B$22:$B$29,0)),"")</f>
        <v>عضو 4</v>
      </c>
      <c r="I27" s="29"/>
      <c r="J27" s="29"/>
      <c r="K27" s="29"/>
      <c r="L27" s="29"/>
      <c r="M27" s="29"/>
      <c r="N27" s="29"/>
      <c r="O27" s="27" t="str">
        <f aca="false">IF(I27="","",IF(I27="غير متوفر",0,COUNTIF(J27:N27,"نعم")))</f>
        <v/>
      </c>
      <c r="P27" s="27" t="str">
        <f aca="false">IF(I27="","لم يُفحص",IF(I27="غير متوفر","غير موجود",IF(AND(O27=5,I27="متوفر"),"مكتمل",IF(O27&gt;=3,"مقبول","ضعيف"))))</f>
        <v>لم يُفحص</v>
      </c>
      <c r="Q27" s="27" t="str">
        <f aca="false">IF(I27="","",IF(AND(I27="متوفر",O27=5),"لا","نعم"))</f>
        <v/>
      </c>
      <c r="R27" s="27" t="str">
        <f aca="false">IF(Q27&lt;&gt;"نعم","",IF(OR(E27="نعم",I27="غير متوفر"),"عالية",IF(O27&gt;=3,"منخفضة","متوسطة")))</f>
        <v/>
      </c>
      <c r="S27" s="30"/>
      <c r="T27" s="30"/>
      <c r="U27" s="27" t="str">
        <f aca="false">IFERROR(INDEX('الإعدادات واللجنة'!$H$22:$H$29,MATCH(C27,'الإعدادات واللجنة'!$B$22:$B$29,0)),"")</f>
        <v>عضو 3</v>
      </c>
      <c r="V27" s="29"/>
      <c r="W27" s="30"/>
    </row>
    <row r="28" customFormat="false" ht="32.8" hidden="false" customHeight="false" outlineLevel="0" collapsed="false">
      <c r="A28" s="27" t="s">
        <v>271</v>
      </c>
      <c r="B28" s="28" t="s">
        <v>143</v>
      </c>
      <c r="C28" s="28" t="s">
        <v>120</v>
      </c>
      <c r="D28" s="28" t="s">
        <v>272</v>
      </c>
      <c r="E28" s="27"/>
      <c r="F28" s="27" t="n">
        <v>4</v>
      </c>
      <c r="G28" s="28" t="s">
        <v>276</v>
      </c>
      <c r="H28" s="27" t="str">
        <f aca="false">IFERROR(INDEX('الإعدادات واللجنة'!$F$22:$F$29,MATCH(C28,'الإعدادات واللجنة'!$B$22:$B$29,0)),"")</f>
        <v>عضو 4</v>
      </c>
      <c r="I28" s="29"/>
      <c r="J28" s="29"/>
      <c r="K28" s="29"/>
      <c r="L28" s="29"/>
      <c r="M28" s="29"/>
      <c r="N28" s="29"/>
      <c r="O28" s="27" t="str">
        <f aca="false">IF(I28="","",IF(I28="غير متوفر",0,COUNTIF(J28:N28,"نعم")))</f>
        <v/>
      </c>
      <c r="P28" s="27" t="str">
        <f aca="false">IF(I28="","لم يُفحص",IF(I28="غير متوفر","غير موجود",IF(AND(O28=5,I28="متوفر"),"مكتمل",IF(O28&gt;=3,"مقبول","ضعيف"))))</f>
        <v>لم يُفحص</v>
      </c>
      <c r="Q28" s="27" t="str">
        <f aca="false">IF(I28="","",IF(AND(I28="متوفر",O28=5),"لا","نعم"))</f>
        <v/>
      </c>
      <c r="R28" s="27" t="str">
        <f aca="false">IF(Q28&lt;&gt;"نعم","",IF(OR(E28="نعم",I28="غير متوفر"),"عالية",IF(O28&gt;=3,"منخفضة","متوسطة")))</f>
        <v/>
      </c>
      <c r="S28" s="30"/>
      <c r="T28" s="30"/>
      <c r="U28" s="27" t="str">
        <f aca="false">IFERROR(INDEX('الإعدادات واللجنة'!$H$22:$H$29,MATCH(C28,'الإعدادات واللجنة'!$B$22:$B$29,0)),"")</f>
        <v>عضو 3</v>
      </c>
      <c r="V28" s="29"/>
      <c r="W28" s="30"/>
    </row>
    <row r="29" customFormat="false" ht="22.35" hidden="false" customHeight="false" outlineLevel="0" collapsed="false">
      <c r="A29" s="27" t="s">
        <v>277</v>
      </c>
      <c r="B29" s="28" t="s">
        <v>143</v>
      </c>
      <c r="C29" s="28" t="s">
        <v>120</v>
      </c>
      <c r="D29" s="28" t="s">
        <v>278</v>
      </c>
      <c r="E29" s="27"/>
      <c r="F29" s="27" t="n">
        <v>1</v>
      </c>
      <c r="G29" s="28" t="s">
        <v>279</v>
      </c>
      <c r="H29" s="27" t="str">
        <f aca="false">IFERROR(INDEX('الإعدادات واللجنة'!$F$22:$F$29,MATCH(C29,'الإعدادات واللجنة'!$B$22:$B$29,0)),"")</f>
        <v>عضو 4</v>
      </c>
      <c r="I29" s="29"/>
      <c r="J29" s="29"/>
      <c r="K29" s="29"/>
      <c r="L29" s="29"/>
      <c r="M29" s="29"/>
      <c r="N29" s="29"/>
      <c r="O29" s="27" t="str">
        <f aca="false">IF(I29="","",IF(I29="غير متوفر",0,COUNTIF(J29:N29,"نعم")))</f>
        <v/>
      </c>
      <c r="P29" s="27" t="str">
        <f aca="false">IF(I29="","لم يُفحص",IF(I29="غير متوفر","غير موجود",IF(AND(O29=5,I29="متوفر"),"مكتمل",IF(O29&gt;=3,"مقبول","ضعيف"))))</f>
        <v>لم يُفحص</v>
      </c>
      <c r="Q29" s="27" t="str">
        <f aca="false">IF(I29="","",IF(AND(I29="متوفر",O29=5),"لا","نعم"))</f>
        <v/>
      </c>
      <c r="R29" s="27" t="str">
        <f aca="false">IF(Q29&lt;&gt;"نعم","",IF(OR(E29="نعم",I29="غير متوفر"),"عالية",IF(O29&gt;=3,"منخفضة","متوسطة")))</f>
        <v/>
      </c>
      <c r="S29" s="30"/>
      <c r="T29" s="30"/>
      <c r="U29" s="27" t="str">
        <f aca="false">IFERROR(INDEX('الإعدادات واللجنة'!$H$22:$H$29,MATCH(C29,'الإعدادات واللجنة'!$B$22:$B$29,0)),"")</f>
        <v>عضو 3</v>
      </c>
      <c r="V29" s="29"/>
      <c r="W29" s="30"/>
    </row>
    <row r="30" customFormat="false" ht="22.35" hidden="false" customHeight="false" outlineLevel="0" collapsed="false">
      <c r="A30" s="27" t="s">
        <v>277</v>
      </c>
      <c r="B30" s="28" t="s">
        <v>143</v>
      </c>
      <c r="C30" s="28" t="s">
        <v>120</v>
      </c>
      <c r="D30" s="28" t="s">
        <v>278</v>
      </c>
      <c r="E30" s="27"/>
      <c r="F30" s="27" t="n">
        <v>2</v>
      </c>
      <c r="G30" s="28" t="s">
        <v>280</v>
      </c>
      <c r="H30" s="27" t="str">
        <f aca="false">IFERROR(INDEX('الإعدادات واللجنة'!$F$22:$F$29,MATCH(C30,'الإعدادات واللجنة'!$B$22:$B$29,0)),"")</f>
        <v>عضو 4</v>
      </c>
      <c r="I30" s="29"/>
      <c r="J30" s="29"/>
      <c r="K30" s="29"/>
      <c r="L30" s="29"/>
      <c r="M30" s="29"/>
      <c r="N30" s="29"/>
      <c r="O30" s="27" t="str">
        <f aca="false">IF(I30="","",IF(I30="غير متوفر",0,COUNTIF(J30:N30,"نعم")))</f>
        <v/>
      </c>
      <c r="P30" s="27" t="str">
        <f aca="false">IF(I30="","لم يُفحص",IF(I30="غير متوفر","غير موجود",IF(AND(O30=5,I30="متوفر"),"مكتمل",IF(O30&gt;=3,"مقبول","ضعيف"))))</f>
        <v>لم يُفحص</v>
      </c>
      <c r="Q30" s="27" t="str">
        <f aca="false">IF(I30="","",IF(AND(I30="متوفر",O30=5),"لا","نعم"))</f>
        <v/>
      </c>
      <c r="R30" s="27" t="str">
        <f aca="false">IF(Q30&lt;&gt;"نعم","",IF(OR(E30="نعم",I30="غير متوفر"),"عالية",IF(O30&gt;=3,"منخفضة","متوسطة")))</f>
        <v/>
      </c>
      <c r="S30" s="30"/>
      <c r="T30" s="30"/>
      <c r="U30" s="27" t="str">
        <f aca="false">IFERROR(INDEX('الإعدادات واللجنة'!$H$22:$H$29,MATCH(C30,'الإعدادات واللجنة'!$B$22:$B$29,0)),"")</f>
        <v>عضو 3</v>
      </c>
      <c r="V30" s="29"/>
      <c r="W30" s="30"/>
    </row>
    <row r="31" customFormat="false" ht="22.35" hidden="false" customHeight="false" outlineLevel="0" collapsed="false">
      <c r="A31" s="27" t="s">
        <v>277</v>
      </c>
      <c r="B31" s="28" t="s">
        <v>143</v>
      </c>
      <c r="C31" s="28" t="s">
        <v>120</v>
      </c>
      <c r="D31" s="28" t="s">
        <v>278</v>
      </c>
      <c r="E31" s="27"/>
      <c r="F31" s="27" t="n">
        <v>3</v>
      </c>
      <c r="G31" s="28" t="s">
        <v>281</v>
      </c>
      <c r="H31" s="27" t="str">
        <f aca="false">IFERROR(INDEX('الإعدادات واللجنة'!$F$22:$F$29,MATCH(C31,'الإعدادات واللجنة'!$B$22:$B$29,0)),"")</f>
        <v>عضو 4</v>
      </c>
      <c r="I31" s="29"/>
      <c r="J31" s="29"/>
      <c r="K31" s="29"/>
      <c r="L31" s="29"/>
      <c r="M31" s="29"/>
      <c r="N31" s="29"/>
      <c r="O31" s="27" t="str">
        <f aca="false">IF(I31="","",IF(I31="غير متوفر",0,COUNTIF(J31:N31,"نعم")))</f>
        <v/>
      </c>
      <c r="P31" s="27" t="str">
        <f aca="false">IF(I31="","لم يُفحص",IF(I31="غير متوفر","غير موجود",IF(AND(O31=5,I31="متوفر"),"مكتمل",IF(O31&gt;=3,"مقبول","ضعيف"))))</f>
        <v>لم يُفحص</v>
      </c>
      <c r="Q31" s="27" t="str">
        <f aca="false">IF(I31="","",IF(AND(I31="متوفر",O31=5),"لا","نعم"))</f>
        <v/>
      </c>
      <c r="R31" s="27" t="str">
        <f aca="false">IF(Q31&lt;&gt;"نعم","",IF(OR(E31="نعم",I31="غير متوفر"),"عالية",IF(O31&gt;=3,"منخفضة","متوسطة")))</f>
        <v/>
      </c>
      <c r="S31" s="30"/>
      <c r="T31" s="30"/>
      <c r="U31" s="27" t="str">
        <f aca="false">IFERROR(INDEX('الإعدادات واللجنة'!$H$22:$H$29,MATCH(C31,'الإعدادات واللجنة'!$B$22:$B$29,0)),"")</f>
        <v>عضو 3</v>
      </c>
      <c r="V31" s="29"/>
      <c r="W31" s="30"/>
    </row>
    <row r="32" customFormat="false" ht="22.35" hidden="false" customHeight="false" outlineLevel="0" collapsed="false">
      <c r="A32" s="27" t="s">
        <v>277</v>
      </c>
      <c r="B32" s="28" t="s">
        <v>143</v>
      </c>
      <c r="C32" s="28" t="s">
        <v>120</v>
      </c>
      <c r="D32" s="28" t="s">
        <v>278</v>
      </c>
      <c r="E32" s="27"/>
      <c r="F32" s="27" t="n">
        <v>4</v>
      </c>
      <c r="G32" s="28" t="s">
        <v>282</v>
      </c>
      <c r="H32" s="27" t="str">
        <f aca="false">IFERROR(INDEX('الإعدادات واللجنة'!$F$22:$F$29,MATCH(C32,'الإعدادات واللجنة'!$B$22:$B$29,0)),"")</f>
        <v>عضو 4</v>
      </c>
      <c r="I32" s="29"/>
      <c r="J32" s="29"/>
      <c r="K32" s="29"/>
      <c r="L32" s="29"/>
      <c r="M32" s="29"/>
      <c r="N32" s="29"/>
      <c r="O32" s="27" t="str">
        <f aca="false">IF(I32="","",IF(I32="غير متوفر",0,COUNTIF(J32:N32,"نعم")))</f>
        <v/>
      </c>
      <c r="P32" s="27" t="str">
        <f aca="false">IF(I32="","لم يُفحص",IF(I32="غير متوفر","غير موجود",IF(AND(O32=5,I32="متوفر"),"مكتمل",IF(O32&gt;=3,"مقبول","ضعيف"))))</f>
        <v>لم يُفحص</v>
      </c>
      <c r="Q32" s="27" t="str">
        <f aca="false">IF(I32="","",IF(AND(I32="متوفر",O32=5),"لا","نعم"))</f>
        <v/>
      </c>
      <c r="R32" s="27" t="str">
        <f aca="false">IF(Q32&lt;&gt;"نعم","",IF(OR(E32="نعم",I32="غير متوفر"),"عالية",IF(O32&gt;=3,"منخفضة","متوسطة")))</f>
        <v/>
      </c>
      <c r="S32" s="30"/>
      <c r="T32" s="30"/>
      <c r="U32" s="27" t="str">
        <f aca="false">IFERROR(INDEX('الإعدادات واللجنة'!$H$22:$H$29,MATCH(C32,'الإعدادات واللجنة'!$B$22:$B$29,0)),"")</f>
        <v>عضو 3</v>
      </c>
      <c r="V32" s="29"/>
      <c r="W32" s="30"/>
    </row>
    <row r="33" customFormat="false" ht="22.35" hidden="false" customHeight="false" outlineLevel="0" collapsed="false">
      <c r="A33" s="27" t="s">
        <v>277</v>
      </c>
      <c r="B33" s="28" t="s">
        <v>143</v>
      </c>
      <c r="C33" s="28" t="s">
        <v>120</v>
      </c>
      <c r="D33" s="28" t="s">
        <v>278</v>
      </c>
      <c r="E33" s="27"/>
      <c r="F33" s="27" t="n">
        <v>5</v>
      </c>
      <c r="G33" s="28" t="s">
        <v>283</v>
      </c>
      <c r="H33" s="27" t="str">
        <f aca="false">IFERROR(INDEX('الإعدادات واللجنة'!$F$22:$F$29,MATCH(C33,'الإعدادات واللجنة'!$B$22:$B$29,0)),"")</f>
        <v>عضو 4</v>
      </c>
      <c r="I33" s="29"/>
      <c r="J33" s="29"/>
      <c r="K33" s="29"/>
      <c r="L33" s="29"/>
      <c r="M33" s="29"/>
      <c r="N33" s="29"/>
      <c r="O33" s="27" t="str">
        <f aca="false">IF(I33="","",IF(I33="غير متوفر",0,COUNTIF(J33:N33,"نعم")))</f>
        <v/>
      </c>
      <c r="P33" s="27" t="str">
        <f aca="false">IF(I33="","لم يُفحص",IF(I33="غير متوفر","غير موجود",IF(AND(O33=5,I33="متوفر"),"مكتمل",IF(O33&gt;=3,"مقبول","ضعيف"))))</f>
        <v>لم يُفحص</v>
      </c>
      <c r="Q33" s="27" t="str">
        <f aca="false">IF(I33="","",IF(AND(I33="متوفر",O33=5),"لا","نعم"))</f>
        <v/>
      </c>
      <c r="R33" s="27" t="str">
        <f aca="false">IF(Q33&lt;&gt;"نعم","",IF(OR(E33="نعم",I33="غير متوفر"),"عالية",IF(O33&gt;=3,"منخفضة","متوسطة")))</f>
        <v/>
      </c>
      <c r="S33" s="30"/>
      <c r="T33" s="30"/>
      <c r="U33" s="27" t="str">
        <f aca="false">IFERROR(INDEX('الإعدادات واللجنة'!$H$22:$H$29,MATCH(C33,'الإعدادات واللجنة'!$B$22:$B$29,0)),"")</f>
        <v>عضو 3</v>
      </c>
      <c r="V33" s="29"/>
      <c r="W33" s="30"/>
    </row>
    <row r="34" customFormat="false" ht="32.8" hidden="false" customHeight="false" outlineLevel="0" collapsed="false">
      <c r="A34" s="31" t="s">
        <v>284</v>
      </c>
      <c r="B34" s="32" t="s">
        <v>143</v>
      </c>
      <c r="C34" s="32" t="s">
        <v>120</v>
      </c>
      <c r="D34" s="32" t="s">
        <v>285</v>
      </c>
      <c r="E34" s="31" t="s">
        <v>185</v>
      </c>
      <c r="F34" s="31" t="n">
        <v>1</v>
      </c>
      <c r="G34" s="32" t="s">
        <v>286</v>
      </c>
      <c r="H34" s="27" t="str">
        <f aca="false">IFERROR(INDEX('الإعدادات واللجنة'!$F$22:$F$29,MATCH(C34,'الإعدادات واللجنة'!$B$22:$B$29,0)),"")</f>
        <v>عضو 4</v>
      </c>
      <c r="I34" s="29"/>
      <c r="J34" s="29"/>
      <c r="K34" s="29"/>
      <c r="L34" s="29"/>
      <c r="M34" s="29"/>
      <c r="N34" s="29"/>
      <c r="O34" s="27" t="str">
        <f aca="false">IF(I34="","",IF(I34="غير متوفر",0,COUNTIF(J34:N34,"نعم")))</f>
        <v/>
      </c>
      <c r="P34" s="27" t="str">
        <f aca="false">IF(I34="","لم يُفحص",IF(I34="غير متوفر","غير موجود",IF(AND(O34=5,I34="متوفر"),"مكتمل",IF(O34&gt;=3,"مقبول","ضعيف"))))</f>
        <v>لم يُفحص</v>
      </c>
      <c r="Q34" s="27" t="str">
        <f aca="false">IF(I34="","",IF(AND(I34="متوفر",O34=5),"لا","نعم"))</f>
        <v/>
      </c>
      <c r="R34" s="27" t="str">
        <f aca="false">IF(Q34&lt;&gt;"نعم","",IF(OR(E34="نعم",I34="غير متوفر"),"عالية",IF(O34&gt;=3,"منخفضة","متوسطة")))</f>
        <v/>
      </c>
      <c r="S34" s="30"/>
      <c r="T34" s="30"/>
      <c r="U34" s="27" t="str">
        <f aca="false">IFERROR(INDEX('الإعدادات واللجنة'!$H$22:$H$29,MATCH(C34,'الإعدادات واللجنة'!$B$22:$B$29,0)),"")</f>
        <v>عضو 3</v>
      </c>
      <c r="V34" s="29"/>
      <c r="W34" s="30"/>
    </row>
    <row r="35" customFormat="false" ht="32.8" hidden="false" customHeight="false" outlineLevel="0" collapsed="false">
      <c r="A35" s="31" t="s">
        <v>284</v>
      </c>
      <c r="B35" s="32" t="s">
        <v>143</v>
      </c>
      <c r="C35" s="32" t="s">
        <v>120</v>
      </c>
      <c r="D35" s="32" t="s">
        <v>285</v>
      </c>
      <c r="E35" s="31" t="s">
        <v>185</v>
      </c>
      <c r="F35" s="31" t="n">
        <v>2</v>
      </c>
      <c r="G35" s="32" t="s">
        <v>287</v>
      </c>
      <c r="H35" s="27" t="str">
        <f aca="false">IFERROR(INDEX('الإعدادات واللجنة'!$F$22:$F$29,MATCH(C35,'الإعدادات واللجنة'!$B$22:$B$29,0)),"")</f>
        <v>عضو 4</v>
      </c>
      <c r="I35" s="29"/>
      <c r="J35" s="29"/>
      <c r="K35" s="29"/>
      <c r="L35" s="29"/>
      <c r="M35" s="29"/>
      <c r="N35" s="29"/>
      <c r="O35" s="27" t="str">
        <f aca="false">IF(I35="","",IF(I35="غير متوفر",0,COUNTIF(J35:N35,"نعم")))</f>
        <v/>
      </c>
      <c r="P35" s="27" t="str">
        <f aca="false">IF(I35="","لم يُفحص",IF(I35="غير متوفر","غير موجود",IF(AND(O35=5,I35="متوفر"),"مكتمل",IF(O35&gt;=3,"مقبول","ضعيف"))))</f>
        <v>لم يُفحص</v>
      </c>
      <c r="Q35" s="27" t="str">
        <f aca="false">IF(I35="","",IF(AND(I35="متوفر",O35=5),"لا","نعم"))</f>
        <v/>
      </c>
      <c r="R35" s="27" t="str">
        <f aca="false">IF(Q35&lt;&gt;"نعم","",IF(OR(E35="نعم",I35="غير متوفر"),"عالية",IF(O35&gt;=3,"منخفضة","متوسطة")))</f>
        <v/>
      </c>
      <c r="S35" s="30"/>
      <c r="T35" s="30"/>
      <c r="U35" s="27" t="str">
        <f aca="false">IFERROR(INDEX('الإعدادات واللجنة'!$H$22:$H$29,MATCH(C35,'الإعدادات واللجنة'!$B$22:$B$29,0)),"")</f>
        <v>عضو 3</v>
      </c>
      <c r="V35" s="29"/>
      <c r="W35" s="30"/>
    </row>
    <row r="36" customFormat="false" ht="32.8" hidden="false" customHeight="false" outlineLevel="0" collapsed="false">
      <c r="A36" s="31" t="s">
        <v>284</v>
      </c>
      <c r="B36" s="32" t="s">
        <v>143</v>
      </c>
      <c r="C36" s="32" t="s">
        <v>120</v>
      </c>
      <c r="D36" s="32" t="s">
        <v>285</v>
      </c>
      <c r="E36" s="31" t="s">
        <v>185</v>
      </c>
      <c r="F36" s="31" t="n">
        <v>3</v>
      </c>
      <c r="G36" s="32" t="s">
        <v>288</v>
      </c>
      <c r="H36" s="27" t="str">
        <f aca="false">IFERROR(INDEX('الإعدادات واللجنة'!$F$22:$F$29,MATCH(C36,'الإعدادات واللجنة'!$B$22:$B$29,0)),"")</f>
        <v>عضو 4</v>
      </c>
      <c r="I36" s="29"/>
      <c r="J36" s="29"/>
      <c r="K36" s="29"/>
      <c r="L36" s="29"/>
      <c r="M36" s="29"/>
      <c r="N36" s="29"/>
      <c r="O36" s="27" t="str">
        <f aca="false">IF(I36="","",IF(I36="غير متوفر",0,COUNTIF(J36:N36,"نعم")))</f>
        <v/>
      </c>
      <c r="P36" s="27" t="str">
        <f aca="false">IF(I36="","لم يُفحص",IF(I36="غير متوفر","غير موجود",IF(AND(O36=5,I36="متوفر"),"مكتمل",IF(O36&gt;=3,"مقبول","ضعيف"))))</f>
        <v>لم يُفحص</v>
      </c>
      <c r="Q36" s="27" t="str">
        <f aca="false">IF(I36="","",IF(AND(I36="متوفر",O36=5),"لا","نعم"))</f>
        <v/>
      </c>
      <c r="R36" s="27" t="str">
        <f aca="false">IF(Q36&lt;&gt;"نعم","",IF(OR(E36="نعم",I36="غير متوفر"),"عالية",IF(O36&gt;=3,"منخفضة","متوسطة")))</f>
        <v/>
      </c>
      <c r="S36" s="30"/>
      <c r="T36" s="30"/>
      <c r="U36" s="27" t="str">
        <f aca="false">IFERROR(INDEX('الإعدادات واللجنة'!$H$22:$H$29,MATCH(C36,'الإعدادات واللجنة'!$B$22:$B$29,0)),"")</f>
        <v>عضو 3</v>
      </c>
      <c r="V36" s="29"/>
      <c r="W36" s="30"/>
    </row>
    <row r="37" customFormat="false" ht="32.8" hidden="false" customHeight="false" outlineLevel="0" collapsed="false">
      <c r="A37" s="31" t="s">
        <v>284</v>
      </c>
      <c r="B37" s="32" t="s">
        <v>143</v>
      </c>
      <c r="C37" s="32" t="s">
        <v>120</v>
      </c>
      <c r="D37" s="32" t="s">
        <v>285</v>
      </c>
      <c r="E37" s="31" t="s">
        <v>185</v>
      </c>
      <c r="F37" s="31" t="n">
        <v>4</v>
      </c>
      <c r="G37" s="32" t="s">
        <v>289</v>
      </c>
      <c r="H37" s="27" t="str">
        <f aca="false">IFERROR(INDEX('الإعدادات واللجنة'!$F$22:$F$29,MATCH(C37,'الإعدادات واللجنة'!$B$22:$B$29,0)),"")</f>
        <v>عضو 4</v>
      </c>
      <c r="I37" s="29"/>
      <c r="J37" s="29"/>
      <c r="K37" s="29"/>
      <c r="L37" s="29"/>
      <c r="M37" s="29"/>
      <c r="N37" s="29"/>
      <c r="O37" s="27" t="str">
        <f aca="false">IF(I37="","",IF(I37="غير متوفر",0,COUNTIF(J37:N37,"نعم")))</f>
        <v/>
      </c>
      <c r="P37" s="27" t="str">
        <f aca="false">IF(I37="","لم يُفحص",IF(I37="غير متوفر","غير موجود",IF(AND(O37=5,I37="متوفر"),"مكتمل",IF(O37&gt;=3,"مقبول","ضعيف"))))</f>
        <v>لم يُفحص</v>
      </c>
      <c r="Q37" s="27" t="str">
        <f aca="false">IF(I37="","",IF(AND(I37="متوفر",O37=5),"لا","نعم"))</f>
        <v/>
      </c>
      <c r="R37" s="27" t="str">
        <f aca="false">IF(Q37&lt;&gt;"نعم","",IF(OR(E37="نعم",I37="غير متوفر"),"عالية",IF(O37&gt;=3,"منخفضة","متوسطة")))</f>
        <v/>
      </c>
      <c r="S37" s="30"/>
      <c r="T37" s="30"/>
      <c r="U37" s="27" t="str">
        <f aca="false">IFERROR(INDEX('الإعدادات واللجنة'!$H$22:$H$29,MATCH(C37,'الإعدادات واللجنة'!$B$22:$B$29,0)),"")</f>
        <v>عضو 3</v>
      </c>
      <c r="V37" s="29"/>
      <c r="W37" s="30"/>
    </row>
    <row r="38" customFormat="false" ht="32.8" hidden="false" customHeight="false" outlineLevel="0" collapsed="false">
      <c r="A38" s="31" t="s">
        <v>284</v>
      </c>
      <c r="B38" s="32" t="s">
        <v>143</v>
      </c>
      <c r="C38" s="32" t="s">
        <v>120</v>
      </c>
      <c r="D38" s="32" t="s">
        <v>285</v>
      </c>
      <c r="E38" s="31" t="s">
        <v>185</v>
      </c>
      <c r="F38" s="31" t="n">
        <v>5</v>
      </c>
      <c r="G38" s="32" t="s">
        <v>290</v>
      </c>
      <c r="H38" s="27" t="str">
        <f aca="false">IFERROR(INDEX('الإعدادات واللجنة'!$F$22:$F$29,MATCH(C38,'الإعدادات واللجنة'!$B$22:$B$29,0)),"")</f>
        <v>عضو 4</v>
      </c>
      <c r="I38" s="29"/>
      <c r="J38" s="29"/>
      <c r="K38" s="29"/>
      <c r="L38" s="29"/>
      <c r="M38" s="29"/>
      <c r="N38" s="29"/>
      <c r="O38" s="27" t="str">
        <f aca="false">IF(I38="","",IF(I38="غير متوفر",0,COUNTIF(J38:N38,"نعم")))</f>
        <v/>
      </c>
      <c r="P38" s="27" t="str">
        <f aca="false">IF(I38="","لم يُفحص",IF(I38="غير متوفر","غير موجود",IF(AND(O38=5,I38="متوفر"),"مكتمل",IF(O38&gt;=3,"مقبول","ضعيف"))))</f>
        <v>لم يُفحص</v>
      </c>
      <c r="Q38" s="27" t="str">
        <f aca="false">IF(I38="","",IF(AND(I38="متوفر",O38=5),"لا","نعم"))</f>
        <v/>
      </c>
      <c r="R38" s="27" t="str">
        <f aca="false">IF(Q38&lt;&gt;"نعم","",IF(OR(E38="نعم",I38="غير متوفر"),"عالية",IF(O38&gt;=3,"منخفضة","متوسطة")))</f>
        <v/>
      </c>
      <c r="S38" s="30"/>
      <c r="T38" s="30"/>
      <c r="U38" s="27" t="str">
        <f aca="false">IFERROR(INDEX('الإعدادات واللجنة'!$H$22:$H$29,MATCH(C38,'الإعدادات واللجنة'!$B$22:$B$29,0)),"")</f>
        <v>عضو 3</v>
      </c>
      <c r="V38" s="29"/>
      <c r="W38" s="30"/>
    </row>
    <row r="39" customFormat="false" ht="32.8" hidden="false" customHeight="false" outlineLevel="0" collapsed="false">
      <c r="A39" s="31" t="s">
        <v>284</v>
      </c>
      <c r="B39" s="32" t="s">
        <v>143</v>
      </c>
      <c r="C39" s="32" t="s">
        <v>120</v>
      </c>
      <c r="D39" s="32" t="s">
        <v>285</v>
      </c>
      <c r="E39" s="31" t="s">
        <v>185</v>
      </c>
      <c r="F39" s="31" t="n">
        <v>6</v>
      </c>
      <c r="G39" s="32" t="s">
        <v>291</v>
      </c>
      <c r="H39" s="27" t="str">
        <f aca="false">IFERROR(INDEX('الإعدادات واللجنة'!$F$22:$F$29,MATCH(C39,'الإعدادات واللجنة'!$B$22:$B$29,0)),"")</f>
        <v>عضو 4</v>
      </c>
      <c r="I39" s="29"/>
      <c r="J39" s="29"/>
      <c r="K39" s="29"/>
      <c r="L39" s="29"/>
      <c r="M39" s="29"/>
      <c r="N39" s="29"/>
      <c r="O39" s="27" t="str">
        <f aca="false">IF(I39="","",IF(I39="غير متوفر",0,COUNTIF(J39:N39,"نعم")))</f>
        <v/>
      </c>
      <c r="P39" s="27" t="str">
        <f aca="false">IF(I39="","لم يُفحص",IF(I39="غير متوفر","غير موجود",IF(AND(O39=5,I39="متوفر"),"مكتمل",IF(O39&gt;=3,"مقبول","ضعيف"))))</f>
        <v>لم يُفحص</v>
      </c>
      <c r="Q39" s="27" t="str">
        <f aca="false">IF(I39="","",IF(AND(I39="متوفر",O39=5),"لا","نعم"))</f>
        <v/>
      </c>
      <c r="R39" s="27" t="str">
        <f aca="false">IF(Q39&lt;&gt;"نعم","",IF(OR(E39="نعم",I39="غير متوفر"),"عالية",IF(O39&gt;=3,"منخفضة","متوسطة")))</f>
        <v/>
      </c>
      <c r="S39" s="30"/>
      <c r="T39" s="30"/>
      <c r="U39" s="27" t="str">
        <f aca="false">IFERROR(INDEX('الإعدادات واللجنة'!$H$22:$H$29,MATCH(C39,'الإعدادات واللجنة'!$B$22:$B$29,0)),"")</f>
        <v>عضو 3</v>
      </c>
      <c r="V39" s="29"/>
      <c r="W39" s="30"/>
    </row>
    <row r="40" customFormat="false" ht="22.35" hidden="false" customHeight="false" outlineLevel="0" collapsed="false">
      <c r="A40" s="27" t="s">
        <v>292</v>
      </c>
      <c r="B40" s="28" t="s">
        <v>143</v>
      </c>
      <c r="C40" s="28" t="s">
        <v>120</v>
      </c>
      <c r="D40" s="28" t="s">
        <v>293</v>
      </c>
      <c r="E40" s="27"/>
      <c r="F40" s="27" t="n">
        <v>1</v>
      </c>
      <c r="G40" s="28" t="s">
        <v>294</v>
      </c>
      <c r="H40" s="27" t="str">
        <f aca="false">IFERROR(INDEX('الإعدادات واللجنة'!$F$22:$F$29,MATCH(C40,'الإعدادات واللجنة'!$B$22:$B$29,0)),"")</f>
        <v>عضو 4</v>
      </c>
      <c r="I40" s="29"/>
      <c r="J40" s="29"/>
      <c r="K40" s="29"/>
      <c r="L40" s="29"/>
      <c r="M40" s="29"/>
      <c r="N40" s="29"/>
      <c r="O40" s="27" t="str">
        <f aca="false">IF(I40="","",IF(I40="غير متوفر",0,COUNTIF(J40:N40,"نعم")))</f>
        <v/>
      </c>
      <c r="P40" s="27" t="str">
        <f aca="false">IF(I40="","لم يُفحص",IF(I40="غير متوفر","غير موجود",IF(AND(O40=5,I40="متوفر"),"مكتمل",IF(O40&gt;=3,"مقبول","ضعيف"))))</f>
        <v>لم يُفحص</v>
      </c>
      <c r="Q40" s="27" t="str">
        <f aca="false">IF(I40="","",IF(AND(I40="متوفر",O40=5),"لا","نعم"))</f>
        <v/>
      </c>
      <c r="R40" s="27" t="str">
        <f aca="false">IF(Q40&lt;&gt;"نعم","",IF(OR(E40="نعم",I40="غير متوفر"),"عالية",IF(O40&gt;=3,"منخفضة","متوسطة")))</f>
        <v/>
      </c>
      <c r="S40" s="30"/>
      <c r="T40" s="30"/>
      <c r="U40" s="27" t="str">
        <f aca="false">IFERROR(INDEX('الإعدادات واللجنة'!$H$22:$H$29,MATCH(C40,'الإعدادات واللجنة'!$B$22:$B$29,0)),"")</f>
        <v>عضو 3</v>
      </c>
      <c r="V40" s="29"/>
      <c r="W40" s="30"/>
    </row>
    <row r="41" customFormat="false" ht="22.35" hidden="false" customHeight="false" outlineLevel="0" collapsed="false">
      <c r="A41" s="27" t="s">
        <v>292</v>
      </c>
      <c r="B41" s="28" t="s">
        <v>143</v>
      </c>
      <c r="C41" s="28" t="s">
        <v>120</v>
      </c>
      <c r="D41" s="28" t="s">
        <v>293</v>
      </c>
      <c r="E41" s="27"/>
      <c r="F41" s="27" t="n">
        <v>2</v>
      </c>
      <c r="G41" s="28" t="s">
        <v>295</v>
      </c>
      <c r="H41" s="27" t="str">
        <f aca="false">IFERROR(INDEX('الإعدادات واللجنة'!$F$22:$F$29,MATCH(C41,'الإعدادات واللجنة'!$B$22:$B$29,0)),"")</f>
        <v>عضو 4</v>
      </c>
      <c r="I41" s="29"/>
      <c r="J41" s="29"/>
      <c r="K41" s="29"/>
      <c r="L41" s="29"/>
      <c r="M41" s="29"/>
      <c r="N41" s="29"/>
      <c r="O41" s="27" t="str">
        <f aca="false">IF(I41="","",IF(I41="غير متوفر",0,COUNTIF(J41:N41,"نعم")))</f>
        <v/>
      </c>
      <c r="P41" s="27" t="str">
        <f aca="false">IF(I41="","لم يُفحص",IF(I41="غير متوفر","غير موجود",IF(AND(O41=5,I41="متوفر"),"مكتمل",IF(O41&gt;=3,"مقبول","ضعيف"))))</f>
        <v>لم يُفحص</v>
      </c>
      <c r="Q41" s="27" t="str">
        <f aca="false">IF(I41="","",IF(AND(I41="متوفر",O41=5),"لا","نعم"))</f>
        <v/>
      </c>
      <c r="R41" s="27" t="str">
        <f aca="false">IF(Q41&lt;&gt;"نعم","",IF(OR(E41="نعم",I41="غير متوفر"),"عالية",IF(O41&gt;=3,"منخفضة","متوسطة")))</f>
        <v/>
      </c>
      <c r="S41" s="30"/>
      <c r="T41" s="30"/>
      <c r="U41" s="27" t="str">
        <f aca="false">IFERROR(INDEX('الإعدادات واللجنة'!$H$22:$H$29,MATCH(C41,'الإعدادات واللجنة'!$B$22:$B$29,0)),"")</f>
        <v>عضو 3</v>
      </c>
      <c r="V41" s="29"/>
      <c r="W41" s="30"/>
    </row>
    <row r="42" customFormat="false" ht="22.35" hidden="false" customHeight="false" outlineLevel="0" collapsed="false">
      <c r="A42" s="27" t="s">
        <v>292</v>
      </c>
      <c r="B42" s="28" t="s">
        <v>143</v>
      </c>
      <c r="C42" s="28" t="s">
        <v>120</v>
      </c>
      <c r="D42" s="28" t="s">
        <v>293</v>
      </c>
      <c r="E42" s="27"/>
      <c r="F42" s="27" t="n">
        <v>3</v>
      </c>
      <c r="G42" s="28" t="s">
        <v>296</v>
      </c>
      <c r="H42" s="27" t="str">
        <f aca="false">IFERROR(INDEX('الإعدادات واللجنة'!$F$22:$F$29,MATCH(C42,'الإعدادات واللجنة'!$B$22:$B$29,0)),"")</f>
        <v>عضو 4</v>
      </c>
      <c r="I42" s="29"/>
      <c r="J42" s="29"/>
      <c r="K42" s="29"/>
      <c r="L42" s="29"/>
      <c r="M42" s="29"/>
      <c r="N42" s="29"/>
      <c r="O42" s="27" t="str">
        <f aca="false">IF(I42="","",IF(I42="غير متوفر",0,COUNTIF(J42:N42,"نعم")))</f>
        <v/>
      </c>
      <c r="P42" s="27" t="str">
        <f aca="false">IF(I42="","لم يُفحص",IF(I42="غير متوفر","غير موجود",IF(AND(O42=5,I42="متوفر"),"مكتمل",IF(O42&gt;=3,"مقبول","ضعيف"))))</f>
        <v>لم يُفحص</v>
      </c>
      <c r="Q42" s="27" t="str">
        <f aca="false">IF(I42="","",IF(AND(I42="متوفر",O42=5),"لا","نعم"))</f>
        <v/>
      </c>
      <c r="R42" s="27" t="str">
        <f aca="false">IF(Q42&lt;&gt;"نعم","",IF(OR(E42="نعم",I42="غير متوفر"),"عالية",IF(O42&gt;=3,"منخفضة","متوسطة")))</f>
        <v/>
      </c>
      <c r="S42" s="30"/>
      <c r="T42" s="30"/>
      <c r="U42" s="27" t="str">
        <f aca="false">IFERROR(INDEX('الإعدادات واللجنة'!$H$22:$H$29,MATCH(C42,'الإعدادات واللجنة'!$B$22:$B$29,0)),"")</f>
        <v>عضو 3</v>
      </c>
      <c r="V42" s="29"/>
      <c r="W42" s="30"/>
    </row>
    <row r="43" customFormat="false" ht="22.35" hidden="false" customHeight="false" outlineLevel="0" collapsed="false">
      <c r="A43" s="27" t="s">
        <v>292</v>
      </c>
      <c r="B43" s="28" t="s">
        <v>143</v>
      </c>
      <c r="C43" s="28" t="s">
        <v>120</v>
      </c>
      <c r="D43" s="28" t="s">
        <v>293</v>
      </c>
      <c r="E43" s="27"/>
      <c r="F43" s="27" t="n">
        <v>4</v>
      </c>
      <c r="G43" s="28" t="s">
        <v>297</v>
      </c>
      <c r="H43" s="27" t="str">
        <f aca="false">IFERROR(INDEX('الإعدادات واللجنة'!$F$22:$F$29,MATCH(C43,'الإعدادات واللجنة'!$B$22:$B$29,0)),"")</f>
        <v>عضو 4</v>
      </c>
      <c r="I43" s="29"/>
      <c r="J43" s="29"/>
      <c r="K43" s="29"/>
      <c r="L43" s="29"/>
      <c r="M43" s="29"/>
      <c r="N43" s="29"/>
      <c r="O43" s="27" t="str">
        <f aca="false">IF(I43="","",IF(I43="غير متوفر",0,COUNTIF(J43:N43,"نعم")))</f>
        <v/>
      </c>
      <c r="P43" s="27" t="str">
        <f aca="false">IF(I43="","لم يُفحص",IF(I43="غير متوفر","غير موجود",IF(AND(O43=5,I43="متوفر"),"مكتمل",IF(O43&gt;=3,"مقبول","ضعيف"))))</f>
        <v>لم يُفحص</v>
      </c>
      <c r="Q43" s="27" t="str">
        <f aca="false">IF(I43="","",IF(AND(I43="متوفر",O43=5),"لا","نعم"))</f>
        <v/>
      </c>
      <c r="R43" s="27" t="str">
        <f aca="false">IF(Q43&lt;&gt;"نعم","",IF(OR(E43="نعم",I43="غير متوفر"),"عالية",IF(O43&gt;=3,"منخفضة","متوسطة")))</f>
        <v/>
      </c>
      <c r="S43" s="30"/>
      <c r="T43" s="30"/>
      <c r="U43" s="27" t="str">
        <f aca="false">IFERROR(INDEX('الإعدادات واللجنة'!$H$22:$H$29,MATCH(C43,'الإعدادات واللجنة'!$B$22:$B$29,0)),"")</f>
        <v>عضو 3</v>
      </c>
      <c r="V43" s="29"/>
      <c r="W43" s="30"/>
    </row>
    <row r="44" customFormat="false" ht="22.35" hidden="false" customHeight="false" outlineLevel="0" collapsed="false">
      <c r="A44" s="27" t="s">
        <v>298</v>
      </c>
      <c r="B44" s="28" t="s">
        <v>143</v>
      </c>
      <c r="C44" s="28" t="s">
        <v>121</v>
      </c>
      <c r="D44" s="28" t="s">
        <v>299</v>
      </c>
      <c r="E44" s="27"/>
      <c r="F44" s="27" t="n">
        <v>1</v>
      </c>
      <c r="G44" s="28" t="s">
        <v>300</v>
      </c>
      <c r="H44" s="27" t="str">
        <f aca="false">IFERROR(INDEX('الإعدادات واللجنة'!$F$22:$F$29,MATCH(C44,'الإعدادات واللجنة'!$B$22:$B$29,0)),"")</f>
        <v>عضو 4</v>
      </c>
      <c r="I44" s="29"/>
      <c r="J44" s="29"/>
      <c r="K44" s="29"/>
      <c r="L44" s="29"/>
      <c r="M44" s="29"/>
      <c r="N44" s="29"/>
      <c r="O44" s="27" t="str">
        <f aca="false">IF(I44="","",IF(I44="غير متوفر",0,COUNTIF(J44:N44,"نعم")))</f>
        <v/>
      </c>
      <c r="P44" s="27" t="str">
        <f aca="false">IF(I44="","لم يُفحص",IF(I44="غير متوفر","غير موجود",IF(AND(O44=5,I44="متوفر"),"مكتمل",IF(O44&gt;=3,"مقبول","ضعيف"))))</f>
        <v>لم يُفحص</v>
      </c>
      <c r="Q44" s="27" t="str">
        <f aca="false">IF(I44="","",IF(AND(I44="متوفر",O44=5),"لا","نعم"))</f>
        <v/>
      </c>
      <c r="R44" s="27" t="str">
        <f aca="false">IF(Q44&lt;&gt;"نعم","",IF(OR(E44="نعم",I44="غير متوفر"),"عالية",IF(O44&gt;=3,"منخفضة","متوسطة")))</f>
        <v/>
      </c>
      <c r="S44" s="30"/>
      <c r="T44" s="30"/>
      <c r="U44" s="27" t="str">
        <f aca="false">IFERROR(INDEX('الإعدادات واللجنة'!$H$22:$H$29,MATCH(C44,'الإعدادات واللجنة'!$B$22:$B$29,0)),"")</f>
        <v>عضو 3</v>
      </c>
      <c r="V44" s="29"/>
      <c r="W44" s="30"/>
    </row>
    <row r="45" customFormat="false" ht="22.35" hidden="false" customHeight="false" outlineLevel="0" collapsed="false">
      <c r="A45" s="27" t="s">
        <v>298</v>
      </c>
      <c r="B45" s="28" t="s">
        <v>143</v>
      </c>
      <c r="C45" s="28" t="s">
        <v>121</v>
      </c>
      <c r="D45" s="28" t="s">
        <v>299</v>
      </c>
      <c r="E45" s="27"/>
      <c r="F45" s="27" t="n">
        <v>2</v>
      </c>
      <c r="G45" s="28" t="s">
        <v>301</v>
      </c>
      <c r="H45" s="27" t="str">
        <f aca="false">IFERROR(INDEX('الإعدادات واللجنة'!$F$22:$F$29,MATCH(C45,'الإعدادات واللجنة'!$B$22:$B$29,0)),"")</f>
        <v>عضو 4</v>
      </c>
      <c r="I45" s="29"/>
      <c r="J45" s="29"/>
      <c r="K45" s="29"/>
      <c r="L45" s="29"/>
      <c r="M45" s="29"/>
      <c r="N45" s="29"/>
      <c r="O45" s="27" t="str">
        <f aca="false">IF(I45="","",IF(I45="غير متوفر",0,COUNTIF(J45:N45,"نعم")))</f>
        <v/>
      </c>
      <c r="P45" s="27" t="str">
        <f aca="false">IF(I45="","لم يُفحص",IF(I45="غير متوفر","غير موجود",IF(AND(O45=5,I45="متوفر"),"مكتمل",IF(O45&gt;=3,"مقبول","ضعيف"))))</f>
        <v>لم يُفحص</v>
      </c>
      <c r="Q45" s="27" t="str">
        <f aca="false">IF(I45="","",IF(AND(I45="متوفر",O45=5),"لا","نعم"))</f>
        <v/>
      </c>
      <c r="R45" s="27" t="str">
        <f aca="false">IF(Q45&lt;&gt;"نعم","",IF(OR(E45="نعم",I45="غير متوفر"),"عالية",IF(O45&gt;=3,"منخفضة","متوسطة")))</f>
        <v/>
      </c>
      <c r="S45" s="30"/>
      <c r="T45" s="30"/>
      <c r="U45" s="27" t="str">
        <f aca="false">IFERROR(INDEX('الإعدادات واللجنة'!$H$22:$H$29,MATCH(C45,'الإعدادات واللجنة'!$B$22:$B$29,0)),"")</f>
        <v>عضو 3</v>
      </c>
      <c r="V45" s="29"/>
      <c r="W45" s="30"/>
    </row>
    <row r="46" customFormat="false" ht="22.35" hidden="false" customHeight="false" outlineLevel="0" collapsed="false">
      <c r="A46" s="27" t="s">
        <v>298</v>
      </c>
      <c r="B46" s="28" t="s">
        <v>143</v>
      </c>
      <c r="C46" s="28" t="s">
        <v>121</v>
      </c>
      <c r="D46" s="28" t="s">
        <v>299</v>
      </c>
      <c r="E46" s="27"/>
      <c r="F46" s="27" t="n">
        <v>3</v>
      </c>
      <c r="G46" s="28" t="s">
        <v>302</v>
      </c>
      <c r="H46" s="27" t="str">
        <f aca="false">IFERROR(INDEX('الإعدادات واللجنة'!$F$22:$F$29,MATCH(C46,'الإعدادات واللجنة'!$B$22:$B$29,0)),"")</f>
        <v>عضو 4</v>
      </c>
      <c r="I46" s="29"/>
      <c r="J46" s="29"/>
      <c r="K46" s="29"/>
      <c r="L46" s="29"/>
      <c r="M46" s="29"/>
      <c r="N46" s="29"/>
      <c r="O46" s="27" t="str">
        <f aca="false">IF(I46="","",IF(I46="غير متوفر",0,COUNTIF(J46:N46,"نعم")))</f>
        <v/>
      </c>
      <c r="P46" s="27" t="str">
        <f aca="false">IF(I46="","لم يُفحص",IF(I46="غير متوفر","غير موجود",IF(AND(O46=5,I46="متوفر"),"مكتمل",IF(O46&gt;=3,"مقبول","ضعيف"))))</f>
        <v>لم يُفحص</v>
      </c>
      <c r="Q46" s="27" t="str">
        <f aca="false">IF(I46="","",IF(AND(I46="متوفر",O46=5),"لا","نعم"))</f>
        <v/>
      </c>
      <c r="R46" s="27" t="str">
        <f aca="false">IF(Q46&lt;&gt;"نعم","",IF(OR(E46="نعم",I46="غير متوفر"),"عالية",IF(O46&gt;=3,"منخفضة","متوسطة")))</f>
        <v/>
      </c>
      <c r="S46" s="30"/>
      <c r="T46" s="30"/>
      <c r="U46" s="27" t="str">
        <f aca="false">IFERROR(INDEX('الإعدادات واللجنة'!$H$22:$H$29,MATCH(C46,'الإعدادات واللجنة'!$B$22:$B$29,0)),"")</f>
        <v>عضو 3</v>
      </c>
      <c r="V46" s="29"/>
      <c r="W46" s="30"/>
    </row>
    <row r="47" customFormat="false" ht="22.35" hidden="false" customHeight="false" outlineLevel="0" collapsed="false">
      <c r="A47" s="27" t="s">
        <v>298</v>
      </c>
      <c r="B47" s="28" t="s">
        <v>143</v>
      </c>
      <c r="C47" s="28" t="s">
        <v>121</v>
      </c>
      <c r="D47" s="28" t="s">
        <v>299</v>
      </c>
      <c r="E47" s="27"/>
      <c r="F47" s="27" t="n">
        <v>4</v>
      </c>
      <c r="G47" s="28" t="s">
        <v>303</v>
      </c>
      <c r="H47" s="27" t="str">
        <f aca="false">IFERROR(INDEX('الإعدادات واللجنة'!$F$22:$F$29,MATCH(C47,'الإعدادات واللجنة'!$B$22:$B$29,0)),"")</f>
        <v>عضو 4</v>
      </c>
      <c r="I47" s="29"/>
      <c r="J47" s="29"/>
      <c r="K47" s="29"/>
      <c r="L47" s="29"/>
      <c r="M47" s="29"/>
      <c r="N47" s="29"/>
      <c r="O47" s="27" t="str">
        <f aca="false">IF(I47="","",IF(I47="غير متوفر",0,COUNTIF(J47:N47,"نعم")))</f>
        <v/>
      </c>
      <c r="P47" s="27" t="str">
        <f aca="false">IF(I47="","لم يُفحص",IF(I47="غير متوفر","غير موجود",IF(AND(O47=5,I47="متوفر"),"مكتمل",IF(O47&gt;=3,"مقبول","ضعيف"))))</f>
        <v>لم يُفحص</v>
      </c>
      <c r="Q47" s="27" t="str">
        <f aca="false">IF(I47="","",IF(AND(I47="متوفر",O47=5),"لا","نعم"))</f>
        <v/>
      </c>
      <c r="R47" s="27" t="str">
        <f aca="false">IF(Q47&lt;&gt;"نعم","",IF(OR(E47="نعم",I47="غير متوفر"),"عالية",IF(O47&gt;=3,"منخفضة","متوسطة")))</f>
        <v/>
      </c>
      <c r="S47" s="30"/>
      <c r="T47" s="30"/>
      <c r="U47" s="27" t="str">
        <f aca="false">IFERROR(INDEX('الإعدادات واللجنة'!$H$22:$H$29,MATCH(C47,'الإعدادات واللجنة'!$B$22:$B$29,0)),"")</f>
        <v>عضو 3</v>
      </c>
      <c r="V47" s="29"/>
      <c r="W47" s="30"/>
    </row>
    <row r="48" customFormat="false" ht="22.35" hidden="false" customHeight="false" outlineLevel="0" collapsed="false">
      <c r="A48" s="31" t="s">
        <v>304</v>
      </c>
      <c r="B48" s="32" t="s">
        <v>143</v>
      </c>
      <c r="C48" s="32" t="s">
        <v>121</v>
      </c>
      <c r="D48" s="32" t="s">
        <v>305</v>
      </c>
      <c r="E48" s="31" t="s">
        <v>185</v>
      </c>
      <c r="F48" s="31" t="n">
        <v>1</v>
      </c>
      <c r="G48" s="32" t="s">
        <v>306</v>
      </c>
      <c r="H48" s="27" t="str">
        <f aca="false">IFERROR(INDEX('الإعدادات واللجنة'!$F$22:$F$29,MATCH(C48,'الإعدادات واللجنة'!$B$22:$B$29,0)),"")</f>
        <v>عضو 4</v>
      </c>
      <c r="I48" s="29"/>
      <c r="J48" s="29"/>
      <c r="K48" s="29"/>
      <c r="L48" s="29"/>
      <c r="M48" s="29"/>
      <c r="N48" s="29"/>
      <c r="O48" s="27" t="str">
        <f aca="false">IF(I48="","",IF(I48="غير متوفر",0,COUNTIF(J48:N48,"نعم")))</f>
        <v/>
      </c>
      <c r="P48" s="27" t="str">
        <f aca="false">IF(I48="","لم يُفحص",IF(I48="غير متوفر","غير موجود",IF(AND(O48=5,I48="متوفر"),"مكتمل",IF(O48&gt;=3,"مقبول","ضعيف"))))</f>
        <v>لم يُفحص</v>
      </c>
      <c r="Q48" s="27" t="str">
        <f aca="false">IF(I48="","",IF(AND(I48="متوفر",O48=5),"لا","نعم"))</f>
        <v/>
      </c>
      <c r="R48" s="27" t="str">
        <f aca="false">IF(Q48&lt;&gt;"نعم","",IF(OR(E48="نعم",I48="غير متوفر"),"عالية",IF(O48&gt;=3,"منخفضة","متوسطة")))</f>
        <v/>
      </c>
      <c r="S48" s="30"/>
      <c r="T48" s="30"/>
      <c r="U48" s="27" t="str">
        <f aca="false">IFERROR(INDEX('الإعدادات واللجنة'!$H$22:$H$29,MATCH(C48,'الإعدادات واللجنة'!$B$22:$B$29,0)),"")</f>
        <v>عضو 3</v>
      </c>
      <c r="V48" s="29"/>
      <c r="W48" s="30"/>
    </row>
    <row r="49" customFormat="false" ht="22.35" hidden="false" customHeight="false" outlineLevel="0" collapsed="false">
      <c r="A49" s="31" t="s">
        <v>304</v>
      </c>
      <c r="B49" s="32" t="s">
        <v>143</v>
      </c>
      <c r="C49" s="32" t="s">
        <v>121</v>
      </c>
      <c r="D49" s="32" t="s">
        <v>305</v>
      </c>
      <c r="E49" s="31" t="s">
        <v>185</v>
      </c>
      <c r="F49" s="31" t="n">
        <v>2</v>
      </c>
      <c r="G49" s="32" t="s">
        <v>307</v>
      </c>
      <c r="H49" s="27" t="str">
        <f aca="false">IFERROR(INDEX('الإعدادات واللجنة'!$F$22:$F$29,MATCH(C49,'الإعدادات واللجنة'!$B$22:$B$29,0)),"")</f>
        <v>عضو 4</v>
      </c>
      <c r="I49" s="29"/>
      <c r="J49" s="29"/>
      <c r="K49" s="29"/>
      <c r="L49" s="29"/>
      <c r="M49" s="29"/>
      <c r="N49" s="29"/>
      <c r="O49" s="27" t="str">
        <f aca="false">IF(I49="","",IF(I49="غير متوفر",0,COUNTIF(J49:N49,"نعم")))</f>
        <v/>
      </c>
      <c r="P49" s="27" t="str">
        <f aca="false">IF(I49="","لم يُفحص",IF(I49="غير متوفر","غير موجود",IF(AND(O49=5,I49="متوفر"),"مكتمل",IF(O49&gt;=3,"مقبول","ضعيف"))))</f>
        <v>لم يُفحص</v>
      </c>
      <c r="Q49" s="27" t="str">
        <f aca="false">IF(I49="","",IF(AND(I49="متوفر",O49=5),"لا","نعم"))</f>
        <v/>
      </c>
      <c r="R49" s="27" t="str">
        <f aca="false">IF(Q49&lt;&gt;"نعم","",IF(OR(E49="نعم",I49="غير متوفر"),"عالية",IF(O49&gt;=3,"منخفضة","متوسطة")))</f>
        <v/>
      </c>
      <c r="S49" s="30"/>
      <c r="T49" s="30"/>
      <c r="U49" s="27" t="str">
        <f aca="false">IFERROR(INDEX('الإعدادات واللجنة'!$H$22:$H$29,MATCH(C49,'الإعدادات واللجنة'!$B$22:$B$29,0)),"")</f>
        <v>عضو 3</v>
      </c>
      <c r="V49" s="29"/>
      <c r="W49" s="30"/>
    </row>
    <row r="50" customFormat="false" ht="22.35" hidden="false" customHeight="false" outlineLevel="0" collapsed="false">
      <c r="A50" s="31" t="s">
        <v>304</v>
      </c>
      <c r="B50" s="32" t="s">
        <v>143</v>
      </c>
      <c r="C50" s="32" t="s">
        <v>121</v>
      </c>
      <c r="D50" s="32" t="s">
        <v>305</v>
      </c>
      <c r="E50" s="31" t="s">
        <v>185</v>
      </c>
      <c r="F50" s="31" t="n">
        <v>3</v>
      </c>
      <c r="G50" s="32" t="s">
        <v>308</v>
      </c>
      <c r="H50" s="27" t="str">
        <f aca="false">IFERROR(INDEX('الإعدادات واللجنة'!$F$22:$F$29,MATCH(C50,'الإعدادات واللجنة'!$B$22:$B$29,0)),"")</f>
        <v>عضو 4</v>
      </c>
      <c r="I50" s="29"/>
      <c r="J50" s="29"/>
      <c r="K50" s="29"/>
      <c r="L50" s="29"/>
      <c r="M50" s="29"/>
      <c r="N50" s="29"/>
      <c r="O50" s="27" t="str">
        <f aca="false">IF(I50="","",IF(I50="غير متوفر",0,COUNTIF(J50:N50,"نعم")))</f>
        <v/>
      </c>
      <c r="P50" s="27" t="str">
        <f aca="false">IF(I50="","لم يُفحص",IF(I50="غير متوفر","غير موجود",IF(AND(O50=5,I50="متوفر"),"مكتمل",IF(O50&gt;=3,"مقبول","ضعيف"))))</f>
        <v>لم يُفحص</v>
      </c>
      <c r="Q50" s="27" t="str">
        <f aca="false">IF(I50="","",IF(AND(I50="متوفر",O50=5),"لا","نعم"))</f>
        <v/>
      </c>
      <c r="R50" s="27" t="str">
        <f aca="false">IF(Q50&lt;&gt;"نعم","",IF(OR(E50="نعم",I50="غير متوفر"),"عالية",IF(O50&gt;=3,"منخفضة","متوسطة")))</f>
        <v/>
      </c>
      <c r="S50" s="30"/>
      <c r="T50" s="30"/>
      <c r="U50" s="27" t="str">
        <f aca="false">IFERROR(INDEX('الإعدادات واللجنة'!$H$22:$H$29,MATCH(C50,'الإعدادات واللجنة'!$B$22:$B$29,0)),"")</f>
        <v>عضو 3</v>
      </c>
      <c r="V50" s="29"/>
      <c r="W50" s="30"/>
    </row>
    <row r="51" customFormat="false" ht="15" hidden="false" customHeight="false" outlineLevel="0" collapsed="false">
      <c r="A51" s="27" t="s">
        <v>309</v>
      </c>
      <c r="B51" s="28" t="s">
        <v>143</v>
      </c>
      <c r="C51" s="28" t="s">
        <v>121</v>
      </c>
      <c r="D51" s="28" t="s">
        <v>310</v>
      </c>
      <c r="E51" s="27"/>
      <c r="F51" s="27" t="n">
        <v>1</v>
      </c>
      <c r="G51" s="28" t="s">
        <v>311</v>
      </c>
      <c r="H51" s="27" t="str">
        <f aca="false">IFERROR(INDEX('الإعدادات واللجنة'!$F$22:$F$29,MATCH(C51,'الإعدادات واللجنة'!$B$22:$B$29,0)),"")</f>
        <v>عضو 4</v>
      </c>
      <c r="I51" s="29"/>
      <c r="J51" s="29"/>
      <c r="K51" s="29"/>
      <c r="L51" s="29"/>
      <c r="M51" s="29"/>
      <c r="N51" s="29"/>
      <c r="O51" s="27" t="str">
        <f aca="false">IF(I51="","",IF(I51="غير متوفر",0,COUNTIF(J51:N51,"نعم")))</f>
        <v/>
      </c>
      <c r="P51" s="27" t="str">
        <f aca="false">IF(I51="","لم يُفحص",IF(I51="غير متوفر","غير موجود",IF(AND(O51=5,I51="متوفر"),"مكتمل",IF(O51&gt;=3,"مقبول","ضعيف"))))</f>
        <v>لم يُفحص</v>
      </c>
      <c r="Q51" s="27" t="str">
        <f aca="false">IF(I51="","",IF(AND(I51="متوفر",O51=5),"لا","نعم"))</f>
        <v/>
      </c>
      <c r="R51" s="27" t="str">
        <f aca="false">IF(Q51&lt;&gt;"نعم","",IF(OR(E51="نعم",I51="غير متوفر"),"عالية",IF(O51&gt;=3,"منخفضة","متوسطة")))</f>
        <v/>
      </c>
      <c r="S51" s="30"/>
      <c r="T51" s="30"/>
      <c r="U51" s="27" t="str">
        <f aca="false">IFERROR(INDEX('الإعدادات واللجنة'!$H$22:$H$29,MATCH(C51,'الإعدادات واللجنة'!$B$22:$B$29,0)),"")</f>
        <v>عضو 3</v>
      </c>
      <c r="V51" s="29"/>
      <c r="W51" s="30"/>
    </row>
    <row r="52" customFormat="false" ht="15" hidden="false" customHeight="false" outlineLevel="0" collapsed="false">
      <c r="A52" s="27" t="s">
        <v>309</v>
      </c>
      <c r="B52" s="28" t="s">
        <v>143</v>
      </c>
      <c r="C52" s="28" t="s">
        <v>121</v>
      </c>
      <c r="D52" s="28" t="s">
        <v>310</v>
      </c>
      <c r="E52" s="27"/>
      <c r="F52" s="27" t="n">
        <v>2</v>
      </c>
      <c r="G52" s="28" t="s">
        <v>312</v>
      </c>
      <c r="H52" s="27" t="str">
        <f aca="false">IFERROR(INDEX('الإعدادات واللجنة'!$F$22:$F$29,MATCH(C52,'الإعدادات واللجنة'!$B$22:$B$29,0)),"")</f>
        <v>عضو 4</v>
      </c>
      <c r="I52" s="29"/>
      <c r="J52" s="29"/>
      <c r="K52" s="29"/>
      <c r="L52" s="29"/>
      <c r="M52" s="29"/>
      <c r="N52" s="29"/>
      <c r="O52" s="27" t="str">
        <f aca="false">IF(I52="","",IF(I52="غير متوفر",0,COUNTIF(J52:N52,"نعم")))</f>
        <v/>
      </c>
      <c r="P52" s="27" t="str">
        <f aca="false">IF(I52="","لم يُفحص",IF(I52="غير متوفر","غير موجود",IF(AND(O52=5,I52="متوفر"),"مكتمل",IF(O52&gt;=3,"مقبول","ضعيف"))))</f>
        <v>لم يُفحص</v>
      </c>
      <c r="Q52" s="27" t="str">
        <f aca="false">IF(I52="","",IF(AND(I52="متوفر",O52=5),"لا","نعم"))</f>
        <v/>
      </c>
      <c r="R52" s="27" t="str">
        <f aca="false">IF(Q52&lt;&gt;"نعم","",IF(OR(E52="نعم",I52="غير متوفر"),"عالية",IF(O52&gt;=3,"منخفضة","متوسطة")))</f>
        <v/>
      </c>
      <c r="S52" s="30"/>
      <c r="T52" s="30"/>
      <c r="U52" s="27" t="str">
        <f aca="false">IFERROR(INDEX('الإعدادات واللجنة'!$H$22:$H$29,MATCH(C52,'الإعدادات واللجنة'!$B$22:$B$29,0)),"")</f>
        <v>عضو 3</v>
      </c>
      <c r="V52" s="29"/>
      <c r="W52" s="30"/>
    </row>
    <row r="53" customFormat="false" ht="15" hidden="false" customHeight="false" outlineLevel="0" collapsed="false">
      <c r="A53" s="27" t="s">
        <v>309</v>
      </c>
      <c r="B53" s="28" t="s">
        <v>143</v>
      </c>
      <c r="C53" s="28" t="s">
        <v>121</v>
      </c>
      <c r="D53" s="28" t="s">
        <v>310</v>
      </c>
      <c r="E53" s="27"/>
      <c r="F53" s="27" t="n">
        <v>3</v>
      </c>
      <c r="G53" s="28" t="s">
        <v>313</v>
      </c>
      <c r="H53" s="27" t="str">
        <f aca="false">IFERROR(INDEX('الإعدادات واللجنة'!$F$22:$F$29,MATCH(C53,'الإعدادات واللجنة'!$B$22:$B$29,0)),"")</f>
        <v>عضو 4</v>
      </c>
      <c r="I53" s="29"/>
      <c r="J53" s="29"/>
      <c r="K53" s="29"/>
      <c r="L53" s="29"/>
      <c r="M53" s="29"/>
      <c r="N53" s="29"/>
      <c r="O53" s="27" t="str">
        <f aca="false">IF(I53="","",IF(I53="غير متوفر",0,COUNTIF(J53:N53,"نعم")))</f>
        <v/>
      </c>
      <c r="P53" s="27" t="str">
        <f aca="false">IF(I53="","لم يُفحص",IF(I53="غير متوفر","غير موجود",IF(AND(O53=5,I53="متوفر"),"مكتمل",IF(O53&gt;=3,"مقبول","ضعيف"))))</f>
        <v>لم يُفحص</v>
      </c>
      <c r="Q53" s="27" t="str">
        <f aca="false">IF(I53="","",IF(AND(I53="متوفر",O53=5),"لا","نعم"))</f>
        <v/>
      </c>
      <c r="R53" s="27" t="str">
        <f aca="false">IF(Q53&lt;&gt;"نعم","",IF(OR(E53="نعم",I53="غير متوفر"),"عالية",IF(O53&gt;=3,"منخفضة","متوسطة")))</f>
        <v/>
      </c>
      <c r="S53" s="30"/>
      <c r="T53" s="30"/>
      <c r="U53" s="27" t="str">
        <f aca="false">IFERROR(INDEX('الإعدادات واللجنة'!$H$22:$H$29,MATCH(C53,'الإعدادات واللجنة'!$B$22:$B$29,0)),"")</f>
        <v>عضو 3</v>
      </c>
      <c r="V53" s="29"/>
      <c r="W53" s="30"/>
    </row>
    <row r="54" customFormat="false" ht="15" hidden="false" customHeight="false" outlineLevel="0" collapsed="false">
      <c r="A54" s="27" t="s">
        <v>309</v>
      </c>
      <c r="B54" s="28" t="s">
        <v>143</v>
      </c>
      <c r="C54" s="28" t="s">
        <v>121</v>
      </c>
      <c r="D54" s="28" t="s">
        <v>310</v>
      </c>
      <c r="E54" s="27"/>
      <c r="F54" s="27" t="n">
        <v>4</v>
      </c>
      <c r="G54" s="28" t="s">
        <v>314</v>
      </c>
      <c r="H54" s="27" t="str">
        <f aca="false">IFERROR(INDEX('الإعدادات واللجنة'!$F$22:$F$29,MATCH(C54,'الإعدادات واللجنة'!$B$22:$B$29,0)),"")</f>
        <v>عضو 4</v>
      </c>
      <c r="I54" s="29"/>
      <c r="J54" s="29"/>
      <c r="K54" s="29"/>
      <c r="L54" s="29"/>
      <c r="M54" s="29"/>
      <c r="N54" s="29"/>
      <c r="O54" s="27" t="str">
        <f aca="false">IF(I54="","",IF(I54="غير متوفر",0,COUNTIF(J54:N54,"نعم")))</f>
        <v/>
      </c>
      <c r="P54" s="27" t="str">
        <f aca="false">IF(I54="","لم يُفحص",IF(I54="غير متوفر","غير موجود",IF(AND(O54=5,I54="متوفر"),"مكتمل",IF(O54&gt;=3,"مقبول","ضعيف"))))</f>
        <v>لم يُفحص</v>
      </c>
      <c r="Q54" s="27" t="str">
        <f aca="false">IF(I54="","",IF(AND(I54="متوفر",O54=5),"لا","نعم"))</f>
        <v/>
      </c>
      <c r="R54" s="27" t="str">
        <f aca="false">IF(Q54&lt;&gt;"نعم","",IF(OR(E54="نعم",I54="غير متوفر"),"عالية",IF(O54&gt;=3,"منخفضة","متوسطة")))</f>
        <v/>
      </c>
      <c r="S54" s="30"/>
      <c r="T54" s="30"/>
      <c r="U54" s="27" t="str">
        <f aca="false">IFERROR(INDEX('الإعدادات واللجنة'!$H$22:$H$29,MATCH(C54,'الإعدادات واللجنة'!$B$22:$B$29,0)),"")</f>
        <v>عضو 3</v>
      </c>
      <c r="V54" s="29"/>
      <c r="W54" s="30"/>
    </row>
    <row r="55" customFormat="false" ht="15" hidden="false" customHeight="false" outlineLevel="0" collapsed="false">
      <c r="A55" s="27" t="s">
        <v>309</v>
      </c>
      <c r="B55" s="28" t="s">
        <v>143</v>
      </c>
      <c r="C55" s="28" t="s">
        <v>121</v>
      </c>
      <c r="D55" s="28" t="s">
        <v>310</v>
      </c>
      <c r="E55" s="27"/>
      <c r="F55" s="27" t="n">
        <v>5</v>
      </c>
      <c r="G55" s="28" t="s">
        <v>315</v>
      </c>
      <c r="H55" s="27" t="str">
        <f aca="false">IFERROR(INDEX('الإعدادات واللجنة'!$F$22:$F$29,MATCH(C55,'الإعدادات واللجنة'!$B$22:$B$29,0)),"")</f>
        <v>عضو 4</v>
      </c>
      <c r="I55" s="29"/>
      <c r="J55" s="29"/>
      <c r="K55" s="29"/>
      <c r="L55" s="29"/>
      <c r="M55" s="29"/>
      <c r="N55" s="29"/>
      <c r="O55" s="27" t="str">
        <f aca="false">IF(I55="","",IF(I55="غير متوفر",0,COUNTIF(J55:N55,"نعم")))</f>
        <v/>
      </c>
      <c r="P55" s="27" t="str">
        <f aca="false">IF(I55="","لم يُفحص",IF(I55="غير متوفر","غير موجود",IF(AND(O55=5,I55="متوفر"),"مكتمل",IF(O55&gt;=3,"مقبول","ضعيف"))))</f>
        <v>لم يُفحص</v>
      </c>
      <c r="Q55" s="27" t="str">
        <f aca="false">IF(I55="","",IF(AND(I55="متوفر",O55=5),"لا","نعم"))</f>
        <v/>
      </c>
      <c r="R55" s="27" t="str">
        <f aca="false">IF(Q55&lt;&gt;"نعم","",IF(OR(E55="نعم",I55="غير متوفر"),"عالية",IF(O55&gt;=3,"منخفضة","متوسطة")))</f>
        <v/>
      </c>
      <c r="S55" s="30"/>
      <c r="T55" s="30"/>
      <c r="U55" s="27" t="str">
        <f aca="false">IFERROR(INDEX('الإعدادات واللجنة'!$H$22:$H$29,MATCH(C55,'الإعدادات واللجنة'!$B$22:$B$29,0)),"")</f>
        <v>عضو 3</v>
      </c>
      <c r="V55" s="29"/>
      <c r="W55" s="30"/>
    </row>
    <row r="56" customFormat="false" ht="15" hidden="false" customHeight="false" outlineLevel="0" collapsed="false">
      <c r="A56" s="27" t="s">
        <v>309</v>
      </c>
      <c r="B56" s="28" t="s">
        <v>143</v>
      </c>
      <c r="C56" s="28" t="s">
        <v>121</v>
      </c>
      <c r="D56" s="28" t="s">
        <v>310</v>
      </c>
      <c r="E56" s="27"/>
      <c r="F56" s="27" t="n">
        <v>6</v>
      </c>
      <c r="G56" s="28" t="s">
        <v>316</v>
      </c>
      <c r="H56" s="27" t="str">
        <f aca="false">IFERROR(INDEX('الإعدادات واللجنة'!$F$22:$F$29,MATCH(C56,'الإعدادات واللجنة'!$B$22:$B$29,0)),"")</f>
        <v>عضو 4</v>
      </c>
      <c r="I56" s="29"/>
      <c r="J56" s="29"/>
      <c r="K56" s="29"/>
      <c r="L56" s="29"/>
      <c r="M56" s="29"/>
      <c r="N56" s="29"/>
      <c r="O56" s="27" t="str">
        <f aca="false">IF(I56="","",IF(I56="غير متوفر",0,COUNTIF(J56:N56,"نعم")))</f>
        <v/>
      </c>
      <c r="P56" s="27" t="str">
        <f aca="false">IF(I56="","لم يُفحص",IF(I56="غير متوفر","غير موجود",IF(AND(O56=5,I56="متوفر"),"مكتمل",IF(O56&gt;=3,"مقبول","ضعيف"))))</f>
        <v>لم يُفحص</v>
      </c>
      <c r="Q56" s="27" t="str">
        <f aca="false">IF(I56="","",IF(AND(I56="متوفر",O56=5),"لا","نعم"))</f>
        <v/>
      </c>
      <c r="R56" s="27" t="str">
        <f aca="false">IF(Q56&lt;&gt;"نعم","",IF(OR(E56="نعم",I56="غير متوفر"),"عالية",IF(O56&gt;=3,"منخفضة","متوسطة")))</f>
        <v/>
      </c>
      <c r="S56" s="30"/>
      <c r="T56" s="30"/>
      <c r="U56" s="27" t="str">
        <f aca="false">IFERROR(INDEX('الإعدادات واللجنة'!$H$22:$H$29,MATCH(C56,'الإعدادات واللجنة'!$B$22:$B$29,0)),"")</f>
        <v>عضو 3</v>
      </c>
      <c r="V56" s="29"/>
      <c r="W56" s="30"/>
    </row>
    <row r="57" customFormat="false" ht="22.35" hidden="false" customHeight="false" outlineLevel="0" collapsed="false">
      <c r="A57" s="27" t="s">
        <v>317</v>
      </c>
      <c r="B57" s="28" t="s">
        <v>144</v>
      </c>
      <c r="C57" s="28" t="s">
        <v>122</v>
      </c>
      <c r="D57" s="28" t="s">
        <v>318</v>
      </c>
      <c r="E57" s="27"/>
      <c r="F57" s="27" t="n">
        <v>1</v>
      </c>
      <c r="G57" s="28" t="s">
        <v>319</v>
      </c>
      <c r="H57" s="27" t="str">
        <f aca="false">IFERROR(INDEX('الإعدادات واللجنة'!$F$22:$F$29,MATCH(C57,'الإعدادات واللجنة'!$B$22:$B$29,0)),"")</f>
        <v>عضو 6</v>
      </c>
      <c r="I57" s="29"/>
      <c r="J57" s="29"/>
      <c r="K57" s="29"/>
      <c r="L57" s="29"/>
      <c r="M57" s="29"/>
      <c r="N57" s="29"/>
      <c r="O57" s="27" t="str">
        <f aca="false">IF(I57="","",IF(I57="غير متوفر",0,COUNTIF(J57:N57,"نعم")))</f>
        <v/>
      </c>
      <c r="P57" s="27" t="str">
        <f aca="false">IF(I57="","لم يُفحص",IF(I57="غير متوفر","غير موجود",IF(AND(O57=5,I57="متوفر"),"مكتمل",IF(O57&gt;=3,"مقبول","ضعيف"))))</f>
        <v>لم يُفحص</v>
      </c>
      <c r="Q57" s="27" t="str">
        <f aca="false">IF(I57="","",IF(AND(I57="متوفر",O57=5),"لا","نعم"))</f>
        <v/>
      </c>
      <c r="R57" s="27" t="str">
        <f aca="false">IF(Q57&lt;&gt;"نعم","",IF(OR(E57="نعم",I57="غير متوفر"),"عالية",IF(O57&gt;=3,"منخفضة","متوسطة")))</f>
        <v/>
      </c>
      <c r="S57" s="30"/>
      <c r="T57" s="30"/>
      <c r="U57" s="27" t="str">
        <f aca="false">IFERROR(INDEX('الإعدادات واللجنة'!$H$22:$H$29,MATCH(C57,'الإعدادات واللجنة'!$B$22:$B$29,0)),"")</f>
        <v>عضو 5</v>
      </c>
      <c r="V57" s="29"/>
      <c r="W57" s="30"/>
    </row>
    <row r="58" customFormat="false" ht="22.35" hidden="false" customHeight="false" outlineLevel="0" collapsed="false">
      <c r="A58" s="27" t="s">
        <v>317</v>
      </c>
      <c r="B58" s="28" t="s">
        <v>144</v>
      </c>
      <c r="C58" s="28" t="s">
        <v>122</v>
      </c>
      <c r="D58" s="28" t="s">
        <v>318</v>
      </c>
      <c r="E58" s="27"/>
      <c r="F58" s="27" t="n">
        <v>2</v>
      </c>
      <c r="G58" s="28" t="s">
        <v>320</v>
      </c>
      <c r="H58" s="27" t="str">
        <f aca="false">IFERROR(INDEX('الإعدادات واللجنة'!$F$22:$F$29,MATCH(C58,'الإعدادات واللجنة'!$B$22:$B$29,0)),"")</f>
        <v>عضو 6</v>
      </c>
      <c r="I58" s="29"/>
      <c r="J58" s="29"/>
      <c r="K58" s="29"/>
      <c r="L58" s="29"/>
      <c r="M58" s="29"/>
      <c r="N58" s="29"/>
      <c r="O58" s="27" t="str">
        <f aca="false">IF(I58="","",IF(I58="غير متوفر",0,COUNTIF(J58:N58,"نعم")))</f>
        <v/>
      </c>
      <c r="P58" s="27" t="str">
        <f aca="false">IF(I58="","لم يُفحص",IF(I58="غير متوفر","غير موجود",IF(AND(O58=5,I58="متوفر"),"مكتمل",IF(O58&gt;=3,"مقبول","ضعيف"))))</f>
        <v>لم يُفحص</v>
      </c>
      <c r="Q58" s="27" t="str">
        <f aca="false">IF(I58="","",IF(AND(I58="متوفر",O58=5),"لا","نعم"))</f>
        <v/>
      </c>
      <c r="R58" s="27" t="str">
        <f aca="false">IF(Q58&lt;&gt;"نعم","",IF(OR(E58="نعم",I58="غير متوفر"),"عالية",IF(O58&gt;=3,"منخفضة","متوسطة")))</f>
        <v/>
      </c>
      <c r="S58" s="30"/>
      <c r="T58" s="30"/>
      <c r="U58" s="27" t="str">
        <f aca="false">IFERROR(INDEX('الإعدادات واللجنة'!$H$22:$H$29,MATCH(C58,'الإعدادات واللجنة'!$B$22:$B$29,0)),"")</f>
        <v>عضو 5</v>
      </c>
      <c r="V58" s="29"/>
      <c r="W58" s="30"/>
    </row>
    <row r="59" customFormat="false" ht="22.35" hidden="false" customHeight="false" outlineLevel="0" collapsed="false">
      <c r="A59" s="27" t="s">
        <v>317</v>
      </c>
      <c r="B59" s="28" t="s">
        <v>144</v>
      </c>
      <c r="C59" s="28" t="s">
        <v>122</v>
      </c>
      <c r="D59" s="28" t="s">
        <v>318</v>
      </c>
      <c r="E59" s="27"/>
      <c r="F59" s="27" t="n">
        <v>3</v>
      </c>
      <c r="G59" s="28" t="s">
        <v>321</v>
      </c>
      <c r="H59" s="27" t="str">
        <f aca="false">IFERROR(INDEX('الإعدادات واللجنة'!$F$22:$F$29,MATCH(C59,'الإعدادات واللجنة'!$B$22:$B$29,0)),"")</f>
        <v>عضو 6</v>
      </c>
      <c r="I59" s="29"/>
      <c r="J59" s="29"/>
      <c r="K59" s="29"/>
      <c r="L59" s="29"/>
      <c r="M59" s="29"/>
      <c r="N59" s="29"/>
      <c r="O59" s="27" t="str">
        <f aca="false">IF(I59="","",IF(I59="غير متوفر",0,COUNTIF(J59:N59,"نعم")))</f>
        <v/>
      </c>
      <c r="P59" s="27" t="str">
        <f aca="false">IF(I59="","لم يُفحص",IF(I59="غير متوفر","غير موجود",IF(AND(O59=5,I59="متوفر"),"مكتمل",IF(O59&gt;=3,"مقبول","ضعيف"))))</f>
        <v>لم يُفحص</v>
      </c>
      <c r="Q59" s="27" t="str">
        <f aca="false">IF(I59="","",IF(AND(I59="متوفر",O59=5),"لا","نعم"))</f>
        <v/>
      </c>
      <c r="R59" s="27" t="str">
        <f aca="false">IF(Q59&lt;&gt;"نعم","",IF(OR(E59="نعم",I59="غير متوفر"),"عالية",IF(O59&gt;=3,"منخفضة","متوسطة")))</f>
        <v/>
      </c>
      <c r="S59" s="30"/>
      <c r="T59" s="30"/>
      <c r="U59" s="27" t="str">
        <f aca="false">IFERROR(INDEX('الإعدادات واللجنة'!$H$22:$H$29,MATCH(C59,'الإعدادات واللجنة'!$B$22:$B$29,0)),"")</f>
        <v>عضو 5</v>
      </c>
      <c r="V59" s="29"/>
      <c r="W59" s="30"/>
    </row>
    <row r="60" customFormat="false" ht="22.35" hidden="false" customHeight="false" outlineLevel="0" collapsed="false">
      <c r="A60" s="27" t="s">
        <v>317</v>
      </c>
      <c r="B60" s="28" t="s">
        <v>144</v>
      </c>
      <c r="C60" s="28" t="s">
        <v>122</v>
      </c>
      <c r="D60" s="28" t="s">
        <v>318</v>
      </c>
      <c r="E60" s="27"/>
      <c r="F60" s="27" t="n">
        <v>4</v>
      </c>
      <c r="G60" s="28" t="s">
        <v>322</v>
      </c>
      <c r="H60" s="27" t="str">
        <f aca="false">IFERROR(INDEX('الإعدادات واللجنة'!$F$22:$F$29,MATCH(C60,'الإعدادات واللجنة'!$B$22:$B$29,0)),"")</f>
        <v>عضو 6</v>
      </c>
      <c r="I60" s="29"/>
      <c r="J60" s="29"/>
      <c r="K60" s="29"/>
      <c r="L60" s="29"/>
      <c r="M60" s="29"/>
      <c r="N60" s="29"/>
      <c r="O60" s="27" t="str">
        <f aca="false">IF(I60="","",IF(I60="غير متوفر",0,COUNTIF(J60:N60,"نعم")))</f>
        <v/>
      </c>
      <c r="P60" s="27" t="str">
        <f aca="false">IF(I60="","لم يُفحص",IF(I60="غير متوفر","غير موجود",IF(AND(O60=5,I60="متوفر"),"مكتمل",IF(O60&gt;=3,"مقبول","ضعيف"))))</f>
        <v>لم يُفحص</v>
      </c>
      <c r="Q60" s="27" t="str">
        <f aca="false">IF(I60="","",IF(AND(I60="متوفر",O60=5),"لا","نعم"))</f>
        <v/>
      </c>
      <c r="R60" s="27" t="str">
        <f aca="false">IF(Q60&lt;&gt;"نعم","",IF(OR(E60="نعم",I60="غير متوفر"),"عالية",IF(O60&gt;=3,"منخفضة","متوسطة")))</f>
        <v/>
      </c>
      <c r="S60" s="30"/>
      <c r="T60" s="30"/>
      <c r="U60" s="27" t="str">
        <f aca="false">IFERROR(INDEX('الإعدادات واللجنة'!$H$22:$H$29,MATCH(C60,'الإعدادات واللجنة'!$B$22:$B$29,0)),"")</f>
        <v>عضو 5</v>
      </c>
      <c r="V60" s="29"/>
      <c r="W60" s="30"/>
    </row>
    <row r="61" customFormat="false" ht="22.35" hidden="false" customHeight="false" outlineLevel="0" collapsed="false">
      <c r="A61" s="27" t="s">
        <v>317</v>
      </c>
      <c r="B61" s="28" t="s">
        <v>144</v>
      </c>
      <c r="C61" s="28" t="s">
        <v>122</v>
      </c>
      <c r="D61" s="28" t="s">
        <v>318</v>
      </c>
      <c r="E61" s="27"/>
      <c r="F61" s="27" t="n">
        <v>5</v>
      </c>
      <c r="G61" s="28" t="s">
        <v>323</v>
      </c>
      <c r="H61" s="27" t="str">
        <f aca="false">IFERROR(INDEX('الإعدادات واللجنة'!$F$22:$F$29,MATCH(C61,'الإعدادات واللجنة'!$B$22:$B$29,0)),"")</f>
        <v>عضو 6</v>
      </c>
      <c r="I61" s="29"/>
      <c r="J61" s="29"/>
      <c r="K61" s="29"/>
      <c r="L61" s="29"/>
      <c r="M61" s="29"/>
      <c r="N61" s="29"/>
      <c r="O61" s="27" t="str">
        <f aca="false">IF(I61="","",IF(I61="غير متوفر",0,COUNTIF(J61:N61,"نعم")))</f>
        <v/>
      </c>
      <c r="P61" s="27" t="str">
        <f aca="false">IF(I61="","لم يُفحص",IF(I61="غير متوفر","غير موجود",IF(AND(O61=5,I61="متوفر"),"مكتمل",IF(O61&gt;=3,"مقبول","ضعيف"))))</f>
        <v>لم يُفحص</v>
      </c>
      <c r="Q61" s="27" t="str">
        <f aca="false">IF(I61="","",IF(AND(I61="متوفر",O61=5),"لا","نعم"))</f>
        <v/>
      </c>
      <c r="R61" s="27" t="str">
        <f aca="false">IF(Q61&lt;&gt;"نعم","",IF(OR(E61="نعم",I61="غير متوفر"),"عالية",IF(O61&gt;=3,"منخفضة","متوسطة")))</f>
        <v/>
      </c>
      <c r="S61" s="30"/>
      <c r="T61" s="30"/>
      <c r="U61" s="27" t="str">
        <f aca="false">IFERROR(INDEX('الإعدادات واللجنة'!$H$22:$H$29,MATCH(C61,'الإعدادات واللجنة'!$B$22:$B$29,0)),"")</f>
        <v>عضو 5</v>
      </c>
      <c r="V61" s="29"/>
      <c r="W61" s="30"/>
    </row>
    <row r="62" customFormat="false" ht="22.35" hidden="false" customHeight="false" outlineLevel="0" collapsed="false">
      <c r="A62" s="27" t="s">
        <v>317</v>
      </c>
      <c r="B62" s="28" t="s">
        <v>144</v>
      </c>
      <c r="C62" s="28" t="s">
        <v>122</v>
      </c>
      <c r="D62" s="28" t="s">
        <v>318</v>
      </c>
      <c r="E62" s="27"/>
      <c r="F62" s="27" t="n">
        <v>6</v>
      </c>
      <c r="G62" s="28" t="s">
        <v>324</v>
      </c>
      <c r="H62" s="27" t="str">
        <f aca="false">IFERROR(INDEX('الإعدادات واللجنة'!$F$22:$F$29,MATCH(C62,'الإعدادات واللجنة'!$B$22:$B$29,0)),"")</f>
        <v>عضو 6</v>
      </c>
      <c r="I62" s="29"/>
      <c r="J62" s="29"/>
      <c r="K62" s="29"/>
      <c r="L62" s="29"/>
      <c r="M62" s="29"/>
      <c r="N62" s="29"/>
      <c r="O62" s="27" t="str">
        <f aca="false">IF(I62="","",IF(I62="غير متوفر",0,COUNTIF(J62:N62,"نعم")))</f>
        <v/>
      </c>
      <c r="P62" s="27" t="str">
        <f aca="false">IF(I62="","لم يُفحص",IF(I62="غير متوفر","غير موجود",IF(AND(O62=5,I62="متوفر"),"مكتمل",IF(O62&gt;=3,"مقبول","ضعيف"))))</f>
        <v>لم يُفحص</v>
      </c>
      <c r="Q62" s="27" t="str">
        <f aca="false">IF(I62="","",IF(AND(I62="متوفر",O62=5),"لا","نعم"))</f>
        <v/>
      </c>
      <c r="R62" s="27" t="str">
        <f aca="false">IF(Q62&lt;&gt;"نعم","",IF(OR(E62="نعم",I62="غير متوفر"),"عالية",IF(O62&gt;=3,"منخفضة","متوسطة")))</f>
        <v/>
      </c>
      <c r="S62" s="30"/>
      <c r="T62" s="30"/>
      <c r="U62" s="27" t="str">
        <f aca="false">IFERROR(INDEX('الإعدادات واللجنة'!$H$22:$H$29,MATCH(C62,'الإعدادات واللجنة'!$B$22:$B$29,0)),"")</f>
        <v>عضو 5</v>
      </c>
      <c r="V62" s="29"/>
      <c r="W62" s="30"/>
    </row>
    <row r="63" customFormat="false" ht="22.35" hidden="false" customHeight="false" outlineLevel="0" collapsed="false">
      <c r="A63" s="27" t="s">
        <v>317</v>
      </c>
      <c r="B63" s="28" t="s">
        <v>144</v>
      </c>
      <c r="C63" s="28" t="s">
        <v>122</v>
      </c>
      <c r="D63" s="28" t="s">
        <v>318</v>
      </c>
      <c r="E63" s="27"/>
      <c r="F63" s="27" t="n">
        <v>7</v>
      </c>
      <c r="G63" s="28" t="s">
        <v>325</v>
      </c>
      <c r="H63" s="27" t="str">
        <f aca="false">IFERROR(INDEX('الإعدادات واللجنة'!$F$22:$F$29,MATCH(C63,'الإعدادات واللجنة'!$B$22:$B$29,0)),"")</f>
        <v>عضو 6</v>
      </c>
      <c r="I63" s="29"/>
      <c r="J63" s="29"/>
      <c r="K63" s="29"/>
      <c r="L63" s="29"/>
      <c r="M63" s="29"/>
      <c r="N63" s="29"/>
      <c r="O63" s="27" t="str">
        <f aca="false">IF(I63="","",IF(I63="غير متوفر",0,COUNTIF(J63:N63,"نعم")))</f>
        <v/>
      </c>
      <c r="P63" s="27" t="str">
        <f aca="false">IF(I63="","لم يُفحص",IF(I63="غير متوفر","غير موجود",IF(AND(O63=5,I63="متوفر"),"مكتمل",IF(O63&gt;=3,"مقبول","ضعيف"))))</f>
        <v>لم يُفحص</v>
      </c>
      <c r="Q63" s="27" t="str">
        <f aca="false">IF(I63="","",IF(AND(I63="متوفر",O63=5),"لا","نعم"))</f>
        <v/>
      </c>
      <c r="R63" s="27" t="str">
        <f aca="false">IF(Q63&lt;&gt;"نعم","",IF(OR(E63="نعم",I63="غير متوفر"),"عالية",IF(O63&gt;=3,"منخفضة","متوسطة")))</f>
        <v/>
      </c>
      <c r="S63" s="30"/>
      <c r="T63" s="30"/>
      <c r="U63" s="27" t="str">
        <f aca="false">IFERROR(INDEX('الإعدادات واللجنة'!$H$22:$H$29,MATCH(C63,'الإعدادات واللجنة'!$B$22:$B$29,0)),"")</f>
        <v>عضو 5</v>
      </c>
      <c r="V63" s="29"/>
      <c r="W63" s="30"/>
    </row>
    <row r="64" customFormat="false" ht="22.35" hidden="false" customHeight="false" outlineLevel="0" collapsed="false">
      <c r="A64" s="27" t="s">
        <v>317</v>
      </c>
      <c r="B64" s="28" t="s">
        <v>144</v>
      </c>
      <c r="C64" s="28" t="s">
        <v>122</v>
      </c>
      <c r="D64" s="28" t="s">
        <v>318</v>
      </c>
      <c r="E64" s="27"/>
      <c r="F64" s="27" t="n">
        <v>8</v>
      </c>
      <c r="G64" s="28" t="s">
        <v>326</v>
      </c>
      <c r="H64" s="27" t="str">
        <f aca="false">IFERROR(INDEX('الإعدادات واللجنة'!$F$22:$F$29,MATCH(C64,'الإعدادات واللجنة'!$B$22:$B$29,0)),"")</f>
        <v>عضو 6</v>
      </c>
      <c r="I64" s="29"/>
      <c r="J64" s="29"/>
      <c r="K64" s="29"/>
      <c r="L64" s="29"/>
      <c r="M64" s="29"/>
      <c r="N64" s="29"/>
      <c r="O64" s="27" t="str">
        <f aca="false">IF(I64="","",IF(I64="غير متوفر",0,COUNTIF(J64:N64,"نعم")))</f>
        <v/>
      </c>
      <c r="P64" s="27" t="str">
        <f aca="false">IF(I64="","لم يُفحص",IF(I64="غير متوفر","غير موجود",IF(AND(O64=5,I64="متوفر"),"مكتمل",IF(O64&gt;=3,"مقبول","ضعيف"))))</f>
        <v>لم يُفحص</v>
      </c>
      <c r="Q64" s="27" t="str">
        <f aca="false">IF(I64="","",IF(AND(I64="متوفر",O64=5),"لا","نعم"))</f>
        <v/>
      </c>
      <c r="R64" s="27" t="str">
        <f aca="false">IF(Q64&lt;&gt;"نعم","",IF(OR(E64="نعم",I64="غير متوفر"),"عالية",IF(O64&gt;=3,"منخفضة","متوسطة")))</f>
        <v/>
      </c>
      <c r="S64" s="30"/>
      <c r="T64" s="30"/>
      <c r="U64" s="27" t="str">
        <f aca="false">IFERROR(INDEX('الإعدادات واللجنة'!$H$22:$H$29,MATCH(C64,'الإعدادات واللجنة'!$B$22:$B$29,0)),"")</f>
        <v>عضو 5</v>
      </c>
      <c r="V64" s="29"/>
      <c r="W64" s="30"/>
    </row>
    <row r="65" customFormat="false" ht="22.35" hidden="false" customHeight="false" outlineLevel="0" collapsed="false">
      <c r="A65" s="27" t="s">
        <v>317</v>
      </c>
      <c r="B65" s="28" t="s">
        <v>144</v>
      </c>
      <c r="C65" s="28" t="s">
        <v>122</v>
      </c>
      <c r="D65" s="28" t="s">
        <v>318</v>
      </c>
      <c r="E65" s="27"/>
      <c r="F65" s="27" t="n">
        <v>9</v>
      </c>
      <c r="G65" s="28" t="s">
        <v>327</v>
      </c>
      <c r="H65" s="27" t="str">
        <f aca="false">IFERROR(INDEX('الإعدادات واللجنة'!$F$22:$F$29,MATCH(C65,'الإعدادات واللجنة'!$B$22:$B$29,0)),"")</f>
        <v>عضو 6</v>
      </c>
      <c r="I65" s="29"/>
      <c r="J65" s="29"/>
      <c r="K65" s="29"/>
      <c r="L65" s="29"/>
      <c r="M65" s="29"/>
      <c r="N65" s="29"/>
      <c r="O65" s="27" t="str">
        <f aca="false">IF(I65="","",IF(I65="غير متوفر",0,COUNTIF(J65:N65,"نعم")))</f>
        <v/>
      </c>
      <c r="P65" s="27" t="str">
        <f aca="false">IF(I65="","لم يُفحص",IF(I65="غير متوفر","غير موجود",IF(AND(O65=5,I65="متوفر"),"مكتمل",IF(O65&gt;=3,"مقبول","ضعيف"))))</f>
        <v>لم يُفحص</v>
      </c>
      <c r="Q65" s="27" t="str">
        <f aca="false">IF(I65="","",IF(AND(I65="متوفر",O65=5),"لا","نعم"))</f>
        <v/>
      </c>
      <c r="R65" s="27" t="str">
        <f aca="false">IF(Q65&lt;&gt;"نعم","",IF(OR(E65="نعم",I65="غير متوفر"),"عالية",IF(O65&gt;=3,"منخفضة","متوسطة")))</f>
        <v/>
      </c>
      <c r="S65" s="30"/>
      <c r="T65" s="30"/>
      <c r="U65" s="27" t="str">
        <f aca="false">IFERROR(INDEX('الإعدادات واللجنة'!$H$22:$H$29,MATCH(C65,'الإعدادات واللجنة'!$B$22:$B$29,0)),"")</f>
        <v>عضو 5</v>
      </c>
      <c r="V65" s="29"/>
      <c r="W65" s="30"/>
    </row>
    <row r="66" customFormat="false" ht="22.35" hidden="false" customHeight="false" outlineLevel="0" collapsed="false">
      <c r="A66" s="27" t="s">
        <v>317</v>
      </c>
      <c r="B66" s="28" t="s">
        <v>144</v>
      </c>
      <c r="C66" s="28" t="s">
        <v>122</v>
      </c>
      <c r="D66" s="28" t="s">
        <v>318</v>
      </c>
      <c r="E66" s="27"/>
      <c r="F66" s="27" t="n">
        <v>10</v>
      </c>
      <c r="G66" s="28" t="s">
        <v>328</v>
      </c>
      <c r="H66" s="27" t="str">
        <f aca="false">IFERROR(INDEX('الإعدادات واللجنة'!$F$22:$F$29,MATCH(C66,'الإعدادات واللجنة'!$B$22:$B$29,0)),"")</f>
        <v>عضو 6</v>
      </c>
      <c r="I66" s="29"/>
      <c r="J66" s="29"/>
      <c r="K66" s="29"/>
      <c r="L66" s="29"/>
      <c r="M66" s="29"/>
      <c r="N66" s="29"/>
      <c r="O66" s="27" t="str">
        <f aca="false">IF(I66="","",IF(I66="غير متوفر",0,COUNTIF(J66:N66,"نعم")))</f>
        <v/>
      </c>
      <c r="P66" s="27" t="str">
        <f aca="false">IF(I66="","لم يُفحص",IF(I66="غير متوفر","غير موجود",IF(AND(O66=5,I66="متوفر"),"مكتمل",IF(O66&gt;=3,"مقبول","ضعيف"))))</f>
        <v>لم يُفحص</v>
      </c>
      <c r="Q66" s="27" t="str">
        <f aca="false">IF(I66="","",IF(AND(I66="متوفر",O66=5),"لا","نعم"))</f>
        <v/>
      </c>
      <c r="R66" s="27" t="str">
        <f aca="false">IF(Q66&lt;&gt;"نعم","",IF(OR(E66="نعم",I66="غير متوفر"),"عالية",IF(O66&gt;=3,"منخفضة","متوسطة")))</f>
        <v/>
      </c>
      <c r="S66" s="30"/>
      <c r="T66" s="30"/>
      <c r="U66" s="27" t="str">
        <f aca="false">IFERROR(INDEX('الإعدادات واللجنة'!$H$22:$H$29,MATCH(C66,'الإعدادات واللجنة'!$B$22:$B$29,0)),"")</f>
        <v>عضو 5</v>
      </c>
      <c r="V66" s="29"/>
      <c r="W66" s="30"/>
    </row>
    <row r="67" customFormat="false" ht="22.35" hidden="false" customHeight="false" outlineLevel="0" collapsed="false">
      <c r="A67" s="31" t="s">
        <v>329</v>
      </c>
      <c r="B67" s="32" t="s">
        <v>144</v>
      </c>
      <c r="C67" s="32" t="s">
        <v>122</v>
      </c>
      <c r="D67" s="32" t="s">
        <v>330</v>
      </c>
      <c r="E67" s="31" t="s">
        <v>185</v>
      </c>
      <c r="F67" s="31" t="n">
        <v>1</v>
      </c>
      <c r="G67" s="32" t="s">
        <v>331</v>
      </c>
      <c r="H67" s="27" t="str">
        <f aca="false">IFERROR(INDEX('الإعدادات واللجنة'!$F$22:$F$29,MATCH(C67,'الإعدادات واللجنة'!$B$22:$B$29,0)),"")</f>
        <v>عضو 6</v>
      </c>
      <c r="I67" s="29"/>
      <c r="J67" s="29"/>
      <c r="K67" s="29"/>
      <c r="L67" s="29"/>
      <c r="M67" s="29"/>
      <c r="N67" s="29"/>
      <c r="O67" s="27" t="str">
        <f aca="false">IF(I67="","",IF(I67="غير متوفر",0,COUNTIF(J67:N67,"نعم")))</f>
        <v/>
      </c>
      <c r="P67" s="27" t="str">
        <f aca="false">IF(I67="","لم يُفحص",IF(I67="غير متوفر","غير موجود",IF(AND(O67=5,I67="متوفر"),"مكتمل",IF(O67&gt;=3,"مقبول","ضعيف"))))</f>
        <v>لم يُفحص</v>
      </c>
      <c r="Q67" s="27" t="str">
        <f aca="false">IF(I67="","",IF(AND(I67="متوفر",O67=5),"لا","نعم"))</f>
        <v/>
      </c>
      <c r="R67" s="27" t="str">
        <f aca="false">IF(Q67&lt;&gt;"نعم","",IF(OR(E67="نعم",I67="غير متوفر"),"عالية",IF(O67&gt;=3,"منخفضة","متوسطة")))</f>
        <v/>
      </c>
      <c r="S67" s="30"/>
      <c r="T67" s="30"/>
      <c r="U67" s="27" t="str">
        <f aca="false">IFERROR(INDEX('الإعدادات واللجنة'!$H$22:$H$29,MATCH(C67,'الإعدادات واللجنة'!$B$22:$B$29,0)),"")</f>
        <v>عضو 5</v>
      </c>
      <c r="V67" s="29"/>
      <c r="W67" s="30"/>
    </row>
    <row r="68" customFormat="false" ht="22.35" hidden="false" customHeight="false" outlineLevel="0" collapsed="false">
      <c r="A68" s="31" t="s">
        <v>329</v>
      </c>
      <c r="B68" s="32" t="s">
        <v>144</v>
      </c>
      <c r="C68" s="32" t="s">
        <v>122</v>
      </c>
      <c r="D68" s="32" t="s">
        <v>330</v>
      </c>
      <c r="E68" s="31" t="s">
        <v>185</v>
      </c>
      <c r="F68" s="31" t="n">
        <v>2</v>
      </c>
      <c r="G68" s="32" t="s">
        <v>332</v>
      </c>
      <c r="H68" s="27" t="str">
        <f aca="false">IFERROR(INDEX('الإعدادات واللجنة'!$F$22:$F$29,MATCH(C68,'الإعدادات واللجنة'!$B$22:$B$29,0)),"")</f>
        <v>عضو 6</v>
      </c>
      <c r="I68" s="29"/>
      <c r="J68" s="29"/>
      <c r="K68" s="29"/>
      <c r="L68" s="29"/>
      <c r="M68" s="29"/>
      <c r="N68" s="29"/>
      <c r="O68" s="27" t="str">
        <f aca="false">IF(I68="","",IF(I68="غير متوفر",0,COUNTIF(J68:N68,"نعم")))</f>
        <v/>
      </c>
      <c r="P68" s="27" t="str">
        <f aca="false">IF(I68="","لم يُفحص",IF(I68="غير متوفر","غير موجود",IF(AND(O68=5,I68="متوفر"),"مكتمل",IF(O68&gt;=3,"مقبول","ضعيف"))))</f>
        <v>لم يُفحص</v>
      </c>
      <c r="Q68" s="27" t="str">
        <f aca="false">IF(I68="","",IF(AND(I68="متوفر",O68=5),"لا","نعم"))</f>
        <v/>
      </c>
      <c r="R68" s="27" t="str">
        <f aca="false">IF(Q68&lt;&gt;"نعم","",IF(OR(E68="نعم",I68="غير متوفر"),"عالية",IF(O68&gt;=3,"منخفضة","متوسطة")))</f>
        <v/>
      </c>
      <c r="S68" s="30"/>
      <c r="T68" s="30"/>
      <c r="U68" s="27" t="str">
        <f aca="false">IFERROR(INDEX('الإعدادات واللجنة'!$H$22:$H$29,MATCH(C68,'الإعدادات واللجنة'!$B$22:$B$29,0)),"")</f>
        <v>عضو 5</v>
      </c>
      <c r="V68" s="29"/>
      <c r="W68" s="30"/>
    </row>
    <row r="69" customFormat="false" ht="22.35" hidden="false" customHeight="false" outlineLevel="0" collapsed="false">
      <c r="A69" s="31" t="s">
        <v>329</v>
      </c>
      <c r="B69" s="32" t="s">
        <v>144</v>
      </c>
      <c r="C69" s="32" t="s">
        <v>122</v>
      </c>
      <c r="D69" s="32" t="s">
        <v>330</v>
      </c>
      <c r="E69" s="31" t="s">
        <v>185</v>
      </c>
      <c r="F69" s="31" t="n">
        <v>3</v>
      </c>
      <c r="G69" s="32" t="s">
        <v>333</v>
      </c>
      <c r="H69" s="27" t="str">
        <f aca="false">IFERROR(INDEX('الإعدادات واللجنة'!$F$22:$F$29,MATCH(C69,'الإعدادات واللجنة'!$B$22:$B$29,0)),"")</f>
        <v>عضو 6</v>
      </c>
      <c r="I69" s="29"/>
      <c r="J69" s="29"/>
      <c r="K69" s="29"/>
      <c r="L69" s="29"/>
      <c r="M69" s="29"/>
      <c r="N69" s="29"/>
      <c r="O69" s="27" t="str">
        <f aca="false">IF(I69="","",IF(I69="غير متوفر",0,COUNTIF(J69:N69,"نعم")))</f>
        <v/>
      </c>
      <c r="P69" s="27" t="str">
        <f aca="false">IF(I69="","لم يُفحص",IF(I69="غير متوفر","غير موجود",IF(AND(O69=5,I69="متوفر"),"مكتمل",IF(O69&gt;=3,"مقبول","ضعيف"))))</f>
        <v>لم يُفحص</v>
      </c>
      <c r="Q69" s="27" t="str">
        <f aca="false">IF(I69="","",IF(AND(I69="متوفر",O69=5),"لا","نعم"))</f>
        <v/>
      </c>
      <c r="R69" s="27" t="str">
        <f aca="false">IF(Q69&lt;&gt;"نعم","",IF(OR(E69="نعم",I69="غير متوفر"),"عالية",IF(O69&gt;=3,"منخفضة","متوسطة")))</f>
        <v/>
      </c>
      <c r="S69" s="30"/>
      <c r="T69" s="30"/>
      <c r="U69" s="27" t="str">
        <f aca="false">IFERROR(INDEX('الإعدادات واللجنة'!$H$22:$H$29,MATCH(C69,'الإعدادات واللجنة'!$B$22:$B$29,0)),"")</f>
        <v>عضو 5</v>
      </c>
      <c r="V69" s="29"/>
      <c r="W69" s="30"/>
    </row>
    <row r="70" customFormat="false" ht="22.35" hidden="false" customHeight="false" outlineLevel="0" collapsed="false">
      <c r="A70" s="27" t="s">
        <v>334</v>
      </c>
      <c r="B70" s="28" t="s">
        <v>144</v>
      </c>
      <c r="C70" s="28" t="s">
        <v>122</v>
      </c>
      <c r="D70" s="28" t="s">
        <v>335</v>
      </c>
      <c r="E70" s="27"/>
      <c r="F70" s="27" t="n">
        <v>1</v>
      </c>
      <c r="G70" s="28" t="s">
        <v>336</v>
      </c>
      <c r="H70" s="27" t="str">
        <f aca="false">IFERROR(INDEX('الإعدادات واللجنة'!$F$22:$F$29,MATCH(C70,'الإعدادات واللجنة'!$B$22:$B$29,0)),"")</f>
        <v>عضو 6</v>
      </c>
      <c r="I70" s="29"/>
      <c r="J70" s="29"/>
      <c r="K70" s="29"/>
      <c r="L70" s="29"/>
      <c r="M70" s="29"/>
      <c r="N70" s="29"/>
      <c r="O70" s="27" t="str">
        <f aca="false">IF(I70="","",IF(I70="غير متوفر",0,COUNTIF(J70:N70,"نعم")))</f>
        <v/>
      </c>
      <c r="P70" s="27" t="str">
        <f aca="false">IF(I70="","لم يُفحص",IF(I70="غير متوفر","غير موجود",IF(AND(O70=5,I70="متوفر"),"مكتمل",IF(O70&gt;=3,"مقبول","ضعيف"))))</f>
        <v>لم يُفحص</v>
      </c>
      <c r="Q70" s="27" t="str">
        <f aca="false">IF(I70="","",IF(AND(I70="متوفر",O70=5),"لا","نعم"))</f>
        <v/>
      </c>
      <c r="R70" s="27" t="str">
        <f aca="false">IF(Q70&lt;&gt;"نعم","",IF(OR(E70="نعم",I70="غير متوفر"),"عالية",IF(O70&gt;=3,"منخفضة","متوسطة")))</f>
        <v/>
      </c>
      <c r="S70" s="30"/>
      <c r="T70" s="30"/>
      <c r="U70" s="27" t="str">
        <f aca="false">IFERROR(INDEX('الإعدادات واللجنة'!$H$22:$H$29,MATCH(C70,'الإعدادات واللجنة'!$B$22:$B$29,0)),"")</f>
        <v>عضو 5</v>
      </c>
      <c r="V70" s="29"/>
      <c r="W70" s="30"/>
    </row>
    <row r="71" customFormat="false" ht="22.35" hidden="false" customHeight="false" outlineLevel="0" collapsed="false">
      <c r="A71" s="27" t="s">
        <v>334</v>
      </c>
      <c r="B71" s="28" t="s">
        <v>144</v>
      </c>
      <c r="C71" s="28" t="s">
        <v>122</v>
      </c>
      <c r="D71" s="28" t="s">
        <v>335</v>
      </c>
      <c r="E71" s="27"/>
      <c r="F71" s="27" t="n">
        <v>2</v>
      </c>
      <c r="G71" s="28" t="s">
        <v>337</v>
      </c>
      <c r="H71" s="27" t="str">
        <f aca="false">IFERROR(INDEX('الإعدادات واللجنة'!$F$22:$F$29,MATCH(C71,'الإعدادات واللجنة'!$B$22:$B$29,0)),"")</f>
        <v>عضو 6</v>
      </c>
      <c r="I71" s="29"/>
      <c r="J71" s="29"/>
      <c r="K71" s="29"/>
      <c r="L71" s="29"/>
      <c r="M71" s="29"/>
      <c r="N71" s="29"/>
      <c r="O71" s="27" t="str">
        <f aca="false">IF(I71="","",IF(I71="غير متوفر",0,COUNTIF(J71:N71,"نعم")))</f>
        <v/>
      </c>
      <c r="P71" s="27" t="str">
        <f aca="false">IF(I71="","لم يُفحص",IF(I71="غير متوفر","غير موجود",IF(AND(O71=5,I71="متوفر"),"مكتمل",IF(O71&gt;=3,"مقبول","ضعيف"))))</f>
        <v>لم يُفحص</v>
      </c>
      <c r="Q71" s="27" t="str">
        <f aca="false">IF(I71="","",IF(AND(I71="متوفر",O71=5),"لا","نعم"))</f>
        <v/>
      </c>
      <c r="R71" s="27" t="str">
        <f aca="false">IF(Q71&lt;&gt;"نعم","",IF(OR(E71="نعم",I71="غير متوفر"),"عالية",IF(O71&gt;=3,"منخفضة","متوسطة")))</f>
        <v/>
      </c>
      <c r="S71" s="30"/>
      <c r="T71" s="30"/>
      <c r="U71" s="27" t="str">
        <f aca="false">IFERROR(INDEX('الإعدادات واللجنة'!$H$22:$H$29,MATCH(C71,'الإعدادات واللجنة'!$B$22:$B$29,0)),"")</f>
        <v>عضو 5</v>
      </c>
      <c r="V71" s="29"/>
      <c r="W71" s="30"/>
    </row>
    <row r="72" customFormat="false" ht="22.35" hidden="false" customHeight="false" outlineLevel="0" collapsed="false">
      <c r="A72" s="27" t="s">
        <v>334</v>
      </c>
      <c r="B72" s="28" t="s">
        <v>144</v>
      </c>
      <c r="C72" s="28" t="s">
        <v>122</v>
      </c>
      <c r="D72" s="28" t="s">
        <v>335</v>
      </c>
      <c r="E72" s="27"/>
      <c r="F72" s="27" t="n">
        <v>3</v>
      </c>
      <c r="G72" s="28" t="s">
        <v>338</v>
      </c>
      <c r="H72" s="27" t="str">
        <f aca="false">IFERROR(INDEX('الإعدادات واللجنة'!$F$22:$F$29,MATCH(C72,'الإعدادات واللجنة'!$B$22:$B$29,0)),"")</f>
        <v>عضو 6</v>
      </c>
      <c r="I72" s="29"/>
      <c r="J72" s="29"/>
      <c r="K72" s="29"/>
      <c r="L72" s="29"/>
      <c r="M72" s="29"/>
      <c r="N72" s="29"/>
      <c r="O72" s="27" t="str">
        <f aca="false">IF(I72="","",IF(I72="غير متوفر",0,COUNTIF(J72:N72,"نعم")))</f>
        <v/>
      </c>
      <c r="P72" s="27" t="str">
        <f aca="false">IF(I72="","لم يُفحص",IF(I72="غير متوفر","غير موجود",IF(AND(O72=5,I72="متوفر"),"مكتمل",IF(O72&gt;=3,"مقبول","ضعيف"))))</f>
        <v>لم يُفحص</v>
      </c>
      <c r="Q72" s="27" t="str">
        <f aca="false">IF(I72="","",IF(AND(I72="متوفر",O72=5),"لا","نعم"))</f>
        <v/>
      </c>
      <c r="R72" s="27" t="str">
        <f aca="false">IF(Q72&lt;&gt;"نعم","",IF(OR(E72="نعم",I72="غير متوفر"),"عالية",IF(O72&gt;=3,"منخفضة","متوسطة")))</f>
        <v/>
      </c>
      <c r="S72" s="30"/>
      <c r="T72" s="30"/>
      <c r="U72" s="27" t="str">
        <f aca="false">IFERROR(INDEX('الإعدادات واللجنة'!$H$22:$H$29,MATCH(C72,'الإعدادات واللجنة'!$B$22:$B$29,0)),"")</f>
        <v>عضو 5</v>
      </c>
      <c r="V72" s="29"/>
      <c r="W72" s="30"/>
    </row>
    <row r="73" customFormat="false" ht="22.35" hidden="false" customHeight="false" outlineLevel="0" collapsed="false">
      <c r="A73" s="27" t="s">
        <v>334</v>
      </c>
      <c r="B73" s="28" t="s">
        <v>144</v>
      </c>
      <c r="C73" s="28" t="s">
        <v>122</v>
      </c>
      <c r="D73" s="28" t="s">
        <v>335</v>
      </c>
      <c r="E73" s="27"/>
      <c r="F73" s="27" t="n">
        <v>4</v>
      </c>
      <c r="G73" s="28" t="s">
        <v>339</v>
      </c>
      <c r="H73" s="27" t="str">
        <f aca="false">IFERROR(INDEX('الإعدادات واللجنة'!$F$22:$F$29,MATCH(C73,'الإعدادات واللجنة'!$B$22:$B$29,0)),"")</f>
        <v>عضو 6</v>
      </c>
      <c r="I73" s="29"/>
      <c r="J73" s="29"/>
      <c r="K73" s="29"/>
      <c r="L73" s="29"/>
      <c r="M73" s="29"/>
      <c r="N73" s="29"/>
      <c r="O73" s="27" t="str">
        <f aca="false">IF(I73="","",IF(I73="غير متوفر",0,COUNTIF(J73:N73,"نعم")))</f>
        <v/>
      </c>
      <c r="P73" s="27" t="str">
        <f aca="false">IF(I73="","لم يُفحص",IF(I73="غير متوفر","غير موجود",IF(AND(O73=5,I73="متوفر"),"مكتمل",IF(O73&gt;=3,"مقبول","ضعيف"))))</f>
        <v>لم يُفحص</v>
      </c>
      <c r="Q73" s="27" t="str">
        <f aca="false">IF(I73="","",IF(AND(I73="متوفر",O73=5),"لا","نعم"))</f>
        <v/>
      </c>
      <c r="R73" s="27" t="str">
        <f aca="false">IF(Q73&lt;&gt;"نعم","",IF(OR(E73="نعم",I73="غير متوفر"),"عالية",IF(O73&gt;=3,"منخفضة","متوسطة")))</f>
        <v/>
      </c>
      <c r="S73" s="30"/>
      <c r="T73" s="30"/>
      <c r="U73" s="27" t="str">
        <f aca="false">IFERROR(INDEX('الإعدادات واللجنة'!$H$22:$H$29,MATCH(C73,'الإعدادات واللجنة'!$B$22:$B$29,0)),"")</f>
        <v>عضو 5</v>
      </c>
      <c r="V73" s="29"/>
      <c r="W73" s="30"/>
    </row>
    <row r="74" customFormat="false" ht="22.35" hidden="false" customHeight="false" outlineLevel="0" collapsed="false">
      <c r="A74" s="31" t="s">
        <v>340</v>
      </c>
      <c r="B74" s="32" t="s">
        <v>144</v>
      </c>
      <c r="C74" s="32" t="s">
        <v>122</v>
      </c>
      <c r="D74" s="32" t="s">
        <v>341</v>
      </c>
      <c r="E74" s="31" t="s">
        <v>185</v>
      </c>
      <c r="F74" s="31" t="n">
        <v>1</v>
      </c>
      <c r="G74" s="32" t="s">
        <v>320</v>
      </c>
      <c r="H74" s="27" t="str">
        <f aca="false">IFERROR(INDEX('الإعدادات واللجنة'!$F$22:$F$29,MATCH(C74,'الإعدادات واللجنة'!$B$22:$B$29,0)),"")</f>
        <v>عضو 6</v>
      </c>
      <c r="I74" s="29"/>
      <c r="J74" s="29"/>
      <c r="K74" s="29"/>
      <c r="L74" s="29"/>
      <c r="M74" s="29"/>
      <c r="N74" s="29"/>
      <c r="O74" s="27" t="str">
        <f aca="false">IF(I74="","",IF(I74="غير متوفر",0,COUNTIF(J74:N74,"نعم")))</f>
        <v/>
      </c>
      <c r="P74" s="27" t="str">
        <f aca="false">IF(I74="","لم يُفحص",IF(I74="غير متوفر","غير موجود",IF(AND(O74=5,I74="متوفر"),"مكتمل",IF(O74&gt;=3,"مقبول","ضعيف"))))</f>
        <v>لم يُفحص</v>
      </c>
      <c r="Q74" s="27" t="str">
        <f aca="false">IF(I74="","",IF(AND(I74="متوفر",O74=5),"لا","نعم"))</f>
        <v/>
      </c>
      <c r="R74" s="27" t="str">
        <f aca="false">IF(Q74&lt;&gt;"نعم","",IF(OR(E74="نعم",I74="غير متوفر"),"عالية",IF(O74&gt;=3,"منخفضة","متوسطة")))</f>
        <v/>
      </c>
      <c r="S74" s="30"/>
      <c r="T74" s="30"/>
      <c r="U74" s="27" t="str">
        <f aca="false">IFERROR(INDEX('الإعدادات واللجنة'!$H$22:$H$29,MATCH(C74,'الإعدادات واللجنة'!$B$22:$B$29,0)),"")</f>
        <v>عضو 5</v>
      </c>
      <c r="V74" s="29"/>
      <c r="W74" s="30"/>
    </row>
    <row r="75" customFormat="false" ht="22.35" hidden="false" customHeight="false" outlineLevel="0" collapsed="false">
      <c r="A75" s="31" t="s">
        <v>340</v>
      </c>
      <c r="B75" s="32" t="s">
        <v>144</v>
      </c>
      <c r="C75" s="32" t="s">
        <v>122</v>
      </c>
      <c r="D75" s="32" t="s">
        <v>341</v>
      </c>
      <c r="E75" s="31" t="s">
        <v>185</v>
      </c>
      <c r="F75" s="31" t="n">
        <v>2</v>
      </c>
      <c r="G75" s="32" t="s">
        <v>342</v>
      </c>
      <c r="H75" s="27" t="str">
        <f aca="false">IFERROR(INDEX('الإعدادات واللجنة'!$F$22:$F$29,MATCH(C75,'الإعدادات واللجنة'!$B$22:$B$29,0)),"")</f>
        <v>عضو 6</v>
      </c>
      <c r="I75" s="29"/>
      <c r="J75" s="29"/>
      <c r="K75" s="29"/>
      <c r="L75" s="29"/>
      <c r="M75" s="29"/>
      <c r="N75" s="29"/>
      <c r="O75" s="27" t="str">
        <f aca="false">IF(I75="","",IF(I75="غير متوفر",0,COUNTIF(J75:N75,"نعم")))</f>
        <v/>
      </c>
      <c r="P75" s="27" t="str">
        <f aca="false">IF(I75="","لم يُفحص",IF(I75="غير متوفر","غير موجود",IF(AND(O75=5,I75="متوفر"),"مكتمل",IF(O75&gt;=3,"مقبول","ضعيف"))))</f>
        <v>لم يُفحص</v>
      </c>
      <c r="Q75" s="27" t="str">
        <f aca="false">IF(I75="","",IF(AND(I75="متوفر",O75=5),"لا","نعم"))</f>
        <v/>
      </c>
      <c r="R75" s="27" t="str">
        <f aca="false">IF(Q75&lt;&gt;"نعم","",IF(OR(E75="نعم",I75="غير متوفر"),"عالية",IF(O75&gt;=3,"منخفضة","متوسطة")))</f>
        <v/>
      </c>
      <c r="S75" s="30"/>
      <c r="T75" s="30"/>
      <c r="U75" s="27" t="str">
        <f aca="false">IFERROR(INDEX('الإعدادات واللجنة'!$H$22:$H$29,MATCH(C75,'الإعدادات واللجنة'!$B$22:$B$29,0)),"")</f>
        <v>عضو 5</v>
      </c>
      <c r="V75" s="29"/>
      <c r="W75" s="30"/>
    </row>
    <row r="76" customFormat="false" ht="22.35" hidden="false" customHeight="false" outlineLevel="0" collapsed="false">
      <c r="A76" s="31" t="s">
        <v>340</v>
      </c>
      <c r="B76" s="32" t="s">
        <v>144</v>
      </c>
      <c r="C76" s="32" t="s">
        <v>122</v>
      </c>
      <c r="D76" s="32" t="s">
        <v>341</v>
      </c>
      <c r="E76" s="31" t="s">
        <v>185</v>
      </c>
      <c r="F76" s="31" t="n">
        <v>3</v>
      </c>
      <c r="G76" s="32" t="s">
        <v>343</v>
      </c>
      <c r="H76" s="27" t="str">
        <f aca="false">IFERROR(INDEX('الإعدادات واللجنة'!$F$22:$F$29,MATCH(C76,'الإعدادات واللجنة'!$B$22:$B$29,0)),"")</f>
        <v>عضو 6</v>
      </c>
      <c r="I76" s="29"/>
      <c r="J76" s="29"/>
      <c r="K76" s="29"/>
      <c r="L76" s="29"/>
      <c r="M76" s="29"/>
      <c r="N76" s="29"/>
      <c r="O76" s="27" t="str">
        <f aca="false">IF(I76="","",IF(I76="غير متوفر",0,COUNTIF(J76:N76,"نعم")))</f>
        <v/>
      </c>
      <c r="P76" s="27" t="str">
        <f aca="false">IF(I76="","لم يُفحص",IF(I76="غير متوفر","غير موجود",IF(AND(O76=5,I76="متوفر"),"مكتمل",IF(O76&gt;=3,"مقبول","ضعيف"))))</f>
        <v>لم يُفحص</v>
      </c>
      <c r="Q76" s="27" t="str">
        <f aca="false">IF(I76="","",IF(AND(I76="متوفر",O76=5),"لا","نعم"))</f>
        <v/>
      </c>
      <c r="R76" s="27" t="str">
        <f aca="false">IF(Q76&lt;&gt;"نعم","",IF(OR(E76="نعم",I76="غير متوفر"),"عالية",IF(O76&gt;=3,"منخفضة","متوسطة")))</f>
        <v/>
      </c>
      <c r="S76" s="30"/>
      <c r="T76" s="30"/>
      <c r="U76" s="27" t="str">
        <f aca="false">IFERROR(INDEX('الإعدادات واللجنة'!$H$22:$H$29,MATCH(C76,'الإعدادات واللجنة'!$B$22:$B$29,0)),"")</f>
        <v>عضو 5</v>
      </c>
      <c r="V76" s="29"/>
      <c r="W76" s="30"/>
    </row>
    <row r="77" customFormat="false" ht="22.35" hidden="false" customHeight="false" outlineLevel="0" collapsed="false">
      <c r="A77" s="31" t="s">
        <v>340</v>
      </c>
      <c r="B77" s="32" t="s">
        <v>144</v>
      </c>
      <c r="C77" s="32" t="s">
        <v>122</v>
      </c>
      <c r="D77" s="32" t="s">
        <v>341</v>
      </c>
      <c r="E77" s="31" t="s">
        <v>185</v>
      </c>
      <c r="F77" s="31" t="n">
        <v>4</v>
      </c>
      <c r="G77" s="32" t="s">
        <v>344</v>
      </c>
      <c r="H77" s="27" t="str">
        <f aca="false">IFERROR(INDEX('الإعدادات واللجنة'!$F$22:$F$29,MATCH(C77,'الإعدادات واللجنة'!$B$22:$B$29,0)),"")</f>
        <v>عضو 6</v>
      </c>
      <c r="I77" s="29"/>
      <c r="J77" s="29"/>
      <c r="K77" s="29"/>
      <c r="L77" s="29"/>
      <c r="M77" s="29"/>
      <c r="N77" s="29"/>
      <c r="O77" s="27" t="str">
        <f aca="false">IF(I77="","",IF(I77="غير متوفر",0,COUNTIF(J77:N77,"نعم")))</f>
        <v/>
      </c>
      <c r="P77" s="27" t="str">
        <f aca="false">IF(I77="","لم يُفحص",IF(I77="غير متوفر","غير موجود",IF(AND(O77=5,I77="متوفر"),"مكتمل",IF(O77&gt;=3,"مقبول","ضعيف"))))</f>
        <v>لم يُفحص</v>
      </c>
      <c r="Q77" s="27" t="str">
        <f aca="false">IF(I77="","",IF(AND(I77="متوفر",O77=5),"لا","نعم"))</f>
        <v/>
      </c>
      <c r="R77" s="27" t="str">
        <f aca="false">IF(Q77&lt;&gt;"نعم","",IF(OR(E77="نعم",I77="غير متوفر"),"عالية",IF(O77&gt;=3,"منخفضة","متوسطة")))</f>
        <v/>
      </c>
      <c r="S77" s="30"/>
      <c r="T77" s="30"/>
      <c r="U77" s="27" t="str">
        <f aca="false">IFERROR(INDEX('الإعدادات واللجنة'!$H$22:$H$29,MATCH(C77,'الإعدادات واللجنة'!$B$22:$B$29,0)),"")</f>
        <v>عضو 5</v>
      </c>
      <c r="V77" s="29"/>
      <c r="W77" s="30"/>
    </row>
    <row r="78" customFormat="false" ht="22.35" hidden="false" customHeight="false" outlineLevel="0" collapsed="false">
      <c r="A78" s="27" t="s">
        <v>345</v>
      </c>
      <c r="B78" s="28" t="s">
        <v>144</v>
      </c>
      <c r="C78" s="28" t="s">
        <v>122</v>
      </c>
      <c r="D78" s="28" t="s">
        <v>346</v>
      </c>
      <c r="E78" s="27"/>
      <c r="F78" s="27" t="n">
        <v>1</v>
      </c>
      <c r="G78" s="28" t="s">
        <v>347</v>
      </c>
      <c r="H78" s="27" t="str">
        <f aca="false">IFERROR(INDEX('الإعدادات واللجنة'!$F$22:$F$29,MATCH(C78,'الإعدادات واللجنة'!$B$22:$B$29,0)),"")</f>
        <v>عضو 6</v>
      </c>
      <c r="I78" s="29"/>
      <c r="J78" s="29"/>
      <c r="K78" s="29"/>
      <c r="L78" s="29"/>
      <c r="M78" s="29"/>
      <c r="N78" s="29"/>
      <c r="O78" s="27" t="str">
        <f aca="false">IF(I78="","",IF(I78="غير متوفر",0,COUNTIF(J78:N78,"نعم")))</f>
        <v/>
      </c>
      <c r="P78" s="27" t="str">
        <f aca="false">IF(I78="","لم يُفحص",IF(I78="غير متوفر","غير موجود",IF(AND(O78=5,I78="متوفر"),"مكتمل",IF(O78&gt;=3,"مقبول","ضعيف"))))</f>
        <v>لم يُفحص</v>
      </c>
      <c r="Q78" s="27" t="str">
        <f aca="false">IF(I78="","",IF(AND(I78="متوفر",O78=5),"لا","نعم"))</f>
        <v/>
      </c>
      <c r="R78" s="27" t="str">
        <f aca="false">IF(Q78&lt;&gt;"نعم","",IF(OR(E78="نعم",I78="غير متوفر"),"عالية",IF(O78&gt;=3,"منخفضة","متوسطة")))</f>
        <v/>
      </c>
      <c r="S78" s="30"/>
      <c r="T78" s="30"/>
      <c r="U78" s="27" t="str">
        <f aca="false">IFERROR(INDEX('الإعدادات واللجنة'!$H$22:$H$29,MATCH(C78,'الإعدادات واللجنة'!$B$22:$B$29,0)),"")</f>
        <v>عضو 5</v>
      </c>
      <c r="V78" s="29"/>
      <c r="W78" s="30"/>
    </row>
    <row r="79" customFormat="false" ht="22.35" hidden="false" customHeight="false" outlineLevel="0" collapsed="false">
      <c r="A79" s="27" t="s">
        <v>345</v>
      </c>
      <c r="B79" s="28" t="s">
        <v>144</v>
      </c>
      <c r="C79" s="28" t="s">
        <v>122</v>
      </c>
      <c r="D79" s="28" t="s">
        <v>346</v>
      </c>
      <c r="E79" s="27"/>
      <c r="F79" s="27" t="n">
        <v>2</v>
      </c>
      <c r="G79" s="28" t="s">
        <v>348</v>
      </c>
      <c r="H79" s="27" t="str">
        <f aca="false">IFERROR(INDEX('الإعدادات واللجنة'!$F$22:$F$29,MATCH(C79,'الإعدادات واللجنة'!$B$22:$B$29,0)),"")</f>
        <v>عضو 6</v>
      </c>
      <c r="I79" s="29"/>
      <c r="J79" s="29"/>
      <c r="K79" s="29"/>
      <c r="L79" s="29"/>
      <c r="M79" s="29"/>
      <c r="N79" s="29"/>
      <c r="O79" s="27" t="str">
        <f aca="false">IF(I79="","",IF(I79="غير متوفر",0,COUNTIF(J79:N79,"نعم")))</f>
        <v/>
      </c>
      <c r="P79" s="27" t="str">
        <f aca="false">IF(I79="","لم يُفحص",IF(I79="غير متوفر","غير موجود",IF(AND(O79=5,I79="متوفر"),"مكتمل",IF(O79&gt;=3,"مقبول","ضعيف"))))</f>
        <v>لم يُفحص</v>
      </c>
      <c r="Q79" s="27" t="str">
        <f aca="false">IF(I79="","",IF(AND(I79="متوفر",O79=5),"لا","نعم"))</f>
        <v/>
      </c>
      <c r="R79" s="27" t="str">
        <f aca="false">IF(Q79&lt;&gt;"نعم","",IF(OR(E79="نعم",I79="غير متوفر"),"عالية",IF(O79&gt;=3,"منخفضة","متوسطة")))</f>
        <v/>
      </c>
      <c r="S79" s="30"/>
      <c r="T79" s="30"/>
      <c r="U79" s="27" t="str">
        <f aca="false">IFERROR(INDEX('الإعدادات واللجنة'!$H$22:$H$29,MATCH(C79,'الإعدادات واللجنة'!$B$22:$B$29,0)),"")</f>
        <v>عضو 5</v>
      </c>
      <c r="V79" s="29"/>
      <c r="W79" s="30"/>
    </row>
    <row r="80" customFormat="false" ht="22.35" hidden="false" customHeight="false" outlineLevel="0" collapsed="false">
      <c r="A80" s="27" t="s">
        <v>345</v>
      </c>
      <c r="B80" s="28" t="s">
        <v>144</v>
      </c>
      <c r="C80" s="28" t="s">
        <v>122</v>
      </c>
      <c r="D80" s="28" t="s">
        <v>346</v>
      </c>
      <c r="E80" s="27"/>
      <c r="F80" s="27" t="n">
        <v>3</v>
      </c>
      <c r="G80" s="28" t="s">
        <v>349</v>
      </c>
      <c r="H80" s="27" t="str">
        <f aca="false">IFERROR(INDEX('الإعدادات واللجنة'!$F$22:$F$29,MATCH(C80,'الإعدادات واللجنة'!$B$22:$B$29,0)),"")</f>
        <v>عضو 6</v>
      </c>
      <c r="I80" s="29"/>
      <c r="J80" s="29"/>
      <c r="K80" s="29"/>
      <c r="L80" s="29"/>
      <c r="M80" s="29"/>
      <c r="N80" s="29"/>
      <c r="O80" s="27" t="str">
        <f aca="false">IF(I80="","",IF(I80="غير متوفر",0,COUNTIF(J80:N80,"نعم")))</f>
        <v/>
      </c>
      <c r="P80" s="27" t="str">
        <f aca="false">IF(I80="","لم يُفحص",IF(I80="غير متوفر","غير موجود",IF(AND(O80=5,I80="متوفر"),"مكتمل",IF(O80&gt;=3,"مقبول","ضعيف"))))</f>
        <v>لم يُفحص</v>
      </c>
      <c r="Q80" s="27" t="str">
        <f aca="false">IF(I80="","",IF(AND(I80="متوفر",O80=5),"لا","نعم"))</f>
        <v/>
      </c>
      <c r="R80" s="27" t="str">
        <f aca="false">IF(Q80&lt;&gt;"نعم","",IF(OR(E80="نعم",I80="غير متوفر"),"عالية",IF(O80&gt;=3,"منخفضة","متوسطة")))</f>
        <v/>
      </c>
      <c r="S80" s="30"/>
      <c r="T80" s="30"/>
      <c r="U80" s="27" t="str">
        <f aca="false">IFERROR(INDEX('الإعدادات واللجنة'!$H$22:$H$29,MATCH(C80,'الإعدادات واللجنة'!$B$22:$B$29,0)),"")</f>
        <v>عضو 5</v>
      </c>
      <c r="V80" s="29"/>
      <c r="W80" s="30"/>
    </row>
    <row r="81" customFormat="false" ht="22.35" hidden="false" customHeight="false" outlineLevel="0" collapsed="false">
      <c r="A81" s="27" t="s">
        <v>345</v>
      </c>
      <c r="B81" s="28" t="s">
        <v>144</v>
      </c>
      <c r="C81" s="28" t="s">
        <v>122</v>
      </c>
      <c r="D81" s="28" t="s">
        <v>346</v>
      </c>
      <c r="E81" s="27"/>
      <c r="F81" s="27" t="n">
        <v>4</v>
      </c>
      <c r="G81" s="28" t="s">
        <v>350</v>
      </c>
      <c r="H81" s="27" t="str">
        <f aca="false">IFERROR(INDEX('الإعدادات واللجنة'!$F$22:$F$29,MATCH(C81,'الإعدادات واللجنة'!$B$22:$B$29,0)),"")</f>
        <v>عضو 6</v>
      </c>
      <c r="I81" s="29"/>
      <c r="J81" s="29"/>
      <c r="K81" s="29"/>
      <c r="L81" s="29"/>
      <c r="M81" s="29"/>
      <c r="N81" s="29"/>
      <c r="O81" s="27" t="str">
        <f aca="false">IF(I81="","",IF(I81="غير متوفر",0,COUNTIF(J81:N81,"نعم")))</f>
        <v/>
      </c>
      <c r="P81" s="27" t="str">
        <f aca="false">IF(I81="","لم يُفحص",IF(I81="غير متوفر","غير موجود",IF(AND(O81=5,I81="متوفر"),"مكتمل",IF(O81&gt;=3,"مقبول","ضعيف"))))</f>
        <v>لم يُفحص</v>
      </c>
      <c r="Q81" s="27" t="str">
        <f aca="false">IF(I81="","",IF(AND(I81="متوفر",O81=5),"لا","نعم"))</f>
        <v/>
      </c>
      <c r="R81" s="27" t="str">
        <f aca="false">IF(Q81&lt;&gt;"نعم","",IF(OR(E81="نعم",I81="غير متوفر"),"عالية",IF(O81&gt;=3,"منخفضة","متوسطة")))</f>
        <v/>
      </c>
      <c r="S81" s="30"/>
      <c r="T81" s="30"/>
      <c r="U81" s="27" t="str">
        <f aca="false">IFERROR(INDEX('الإعدادات واللجنة'!$H$22:$H$29,MATCH(C81,'الإعدادات واللجنة'!$B$22:$B$29,0)),"")</f>
        <v>عضو 5</v>
      </c>
      <c r="V81" s="29"/>
      <c r="W81" s="30"/>
    </row>
    <row r="82" customFormat="false" ht="32.8" hidden="false" customHeight="false" outlineLevel="0" collapsed="false">
      <c r="A82" s="31" t="s">
        <v>351</v>
      </c>
      <c r="B82" s="32" t="s">
        <v>144</v>
      </c>
      <c r="C82" s="32" t="s">
        <v>123</v>
      </c>
      <c r="D82" s="32" t="s">
        <v>352</v>
      </c>
      <c r="E82" s="31" t="s">
        <v>185</v>
      </c>
      <c r="F82" s="31" t="n">
        <v>1</v>
      </c>
      <c r="G82" s="32" t="s">
        <v>353</v>
      </c>
      <c r="H82" s="27" t="str">
        <f aca="false">IFERROR(INDEX('الإعدادات واللجنة'!$F$22:$F$29,MATCH(C82,'الإعدادات واللجنة'!$B$22:$B$29,0)),"")</f>
        <v>عضو 6</v>
      </c>
      <c r="I82" s="29"/>
      <c r="J82" s="29"/>
      <c r="K82" s="29"/>
      <c r="L82" s="29"/>
      <c r="M82" s="29"/>
      <c r="N82" s="29"/>
      <c r="O82" s="27" t="str">
        <f aca="false">IF(I82="","",IF(I82="غير متوفر",0,COUNTIF(J82:N82,"نعم")))</f>
        <v/>
      </c>
      <c r="P82" s="27" t="str">
        <f aca="false">IF(I82="","لم يُفحص",IF(I82="غير متوفر","غير موجود",IF(AND(O82=5,I82="متوفر"),"مكتمل",IF(O82&gt;=3,"مقبول","ضعيف"))))</f>
        <v>لم يُفحص</v>
      </c>
      <c r="Q82" s="27" t="str">
        <f aca="false">IF(I82="","",IF(AND(I82="متوفر",O82=5),"لا","نعم"))</f>
        <v/>
      </c>
      <c r="R82" s="27" t="str">
        <f aca="false">IF(Q82&lt;&gt;"نعم","",IF(OR(E82="نعم",I82="غير متوفر"),"عالية",IF(O82&gt;=3,"منخفضة","متوسطة")))</f>
        <v/>
      </c>
      <c r="S82" s="30"/>
      <c r="T82" s="30"/>
      <c r="U82" s="27" t="str">
        <f aca="false">IFERROR(INDEX('الإعدادات واللجنة'!$H$22:$H$29,MATCH(C82,'الإعدادات واللجنة'!$B$22:$B$29,0)),"")</f>
        <v>عضو 5</v>
      </c>
      <c r="V82" s="29"/>
      <c r="W82" s="30"/>
    </row>
    <row r="83" customFormat="false" ht="32.8" hidden="false" customHeight="false" outlineLevel="0" collapsed="false">
      <c r="A83" s="31" t="s">
        <v>351</v>
      </c>
      <c r="B83" s="32" t="s">
        <v>144</v>
      </c>
      <c r="C83" s="32" t="s">
        <v>123</v>
      </c>
      <c r="D83" s="32" t="s">
        <v>352</v>
      </c>
      <c r="E83" s="31" t="s">
        <v>185</v>
      </c>
      <c r="F83" s="31" t="n">
        <v>2</v>
      </c>
      <c r="G83" s="32" t="s">
        <v>354</v>
      </c>
      <c r="H83" s="27" t="str">
        <f aca="false">IFERROR(INDEX('الإعدادات واللجنة'!$F$22:$F$29,MATCH(C83,'الإعدادات واللجنة'!$B$22:$B$29,0)),"")</f>
        <v>عضو 6</v>
      </c>
      <c r="I83" s="29"/>
      <c r="J83" s="29"/>
      <c r="K83" s="29"/>
      <c r="L83" s="29"/>
      <c r="M83" s="29"/>
      <c r="N83" s="29"/>
      <c r="O83" s="27" t="str">
        <f aca="false">IF(I83="","",IF(I83="غير متوفر",0,COUNTIF(J83:N83,"نعم")))</f>
        <v/>
      </c>
      <c r="P83" s="27" t="str">
        <f aca="false">IF(I83="","لم يُفحص",IF(I83="غير متوفر","غير موجود",IF(AND(O83=5,I83="متوفر"),"مكتمل",IF(O83&gt;=3,"مقبول","ضعيف"))))</f>
        <v>لم يُفحص</v>
      </c>
      <c r="Q83" s="27" t="str">
        <f aca="false">IF(I83="","",IF(AND(I83="متوفر",O83=5),"لا","نعم"))</f>
        <v/>
      </c>
      <c r="R83" s="27" t="str">
        <f aca="false">IF(Q83&lt;&gt;"نعم","",IF(OR(E83="نعم",I83="غير متوفر"),"عالية",IF(O83&gt;=3,"منخفضة","متوسطة")))</f>
        <v/>
      </c>
      <c r="S83" s="30"/>
      <c r="T83" s="30"/>
      <c r="U83" s="27" t="str">
        <f aca="false">IFERROR(INDEX('الإعدادات واللجنة'!$H$22:$H$29,MATCH(C83,'الإعدادات واللجنة'!$B$22:$B$29,0)),"")</f>
        <v>عضو 5</v>
      </c>
      <c r="V83" s="29"/>
      <c r="W83" s="30"/>
    </row>
    <row r="84" customFormat="false" ht="32.8" hidden="false" customHeight="false" outlineLevel="0" collapsed="false">
      <c r="A84" s="31" t="s">
        <v>351</v>
      </c>
      <c r="B84" s="32" t="s">
        <v>144</v>
      </c>
      <c r="C84" s="32" t="s">
        <v>123</v>
      </c>
      <c r="D84" s="32" t="s">
        <v>352</v>
      </c>
      <c r="E84" s="31" t="s">
        <v>185</v>
      </c>
      <c r="F84" s="31" t="n">
        <v>3</v>
      </c>
      <c r="G84" s="32" t="s">
        <v>355</v>
      </c>
      <c r="H84" s="27" t="str">
        <f aca="false">IFERROR(INDEX('الإعدادات واللجنة'!$F$22:$F$29,MATCH(C84,'الإعدادات واللجنة'!$B$22:$B$29,0)),"")</f>
        <v>عضو 6</v>
      </c>
      <c r="I84" s="29"/>
      <c r="J84" s="29"/>
      <c r="K84" s="29"/>
      <c r="L84" s="29"/>
      <c r="M84" s="29"/>
      <c r="N84" s="29"/>
      <c r="O84" s="27" t="str">
        <f aca="false">IF(I84="","",IF(I84="غير متوفر",0,COUNTIF(J84:N84,"نعم")))</f>
        <v/>
      </c>
      <c r="P84" s="27" t="str">
        <f aca="false">IF(I84="","لم يُفحص",IF(I84="غير متوفر","غير موجود",IF(AND(O84=5,I84="متوفر"),"مكتمل",IF(O84&gt;=3,"مقبول","ضعيف"))))</f>
        <v>لم يُفحص</v>
      </c>
      <c r="Q84" s="27" t="str">
        <f aca="false">IF(I84="","",IF(AND(I84="متوفر",O84=5),"لا","نعم"))</f>
        <v/>
      </c>
      <c r="R84" s="27" t="str">
        <f aca="false">IF(Q84&lt;&gt;"نعم","",IF(OR(E84="نعم",I84="غير متوفر"),"عالية",IF(O84&gt;=3,"منخفضة","متوسطة")))</f>
        <v/>
      </c>
      <c r="S84" s="30"/>
      <c r="T84" s="30"/>
      <c r="U84" s="27" t="str">
        <f aca="false">IFERROR(INDEX('الإعدادات واللجنة'!$H$22:$H$29,MATCH(C84,'الإعدادات واللجنة'!$B$22:$B$29,0)),"")</f>
        <v>عضو 5</v>
      </c>
      <c r="V84" s="29"/>
      <c r="W84" s="30"/>
    </row>
    <row r="85" customFormat="false" ht="32.8" hidden="false" customHeight="false" outlineLevel="0" collapsed="false">
      <c r="A85" s="31" t="s">
        <v>351</v>
      </c>
      <c r="B85" s="32" t="s">
        <v>144</v>
      </c>
      <c r="C85" s="32" t="s">
        <v>123</v>
      </c>
      <c r="D85" s="32" t="s">
        <v>352</v>
      </c>
      <c r="E85" s="31" t="s">
        <v>185</v>
      </c>
      <c r="F85" s="31" t="n">
        <v>4</v>
      </c>
      <c r="G85" s="32" t="s">
        <v>356</v>
      </c>
      <c r="H85" s="27" t="str">
        <f aca="false">IFERROR(INDEX('الإعدادات واللجنة'!$F$22:$F$29,MATCH(C85,'الإعدادات واللجنة'!$B$22:$B$29,0)),"")</f>
        <v>عضو 6</v>
      </c>
      <c r="I85" s="29"/>
      <c r="J85" s="29"/>
      <c r="K85" s="29"/>
      <c r="L85" s="29"/>
      <c r="M85" s="29"/>
      <c r="N85" s="29"/>
      <c r="O85" s="27" t="str">
        <f aca="false">IF(I85="","",IF(I85="غير متوفر",0,COUNTIF(J85:N85,"نعم")))</f>
        <v/>
      </c>
      <c r="P85" s="27" t="str">
        <f aca="false">IF(I85="","لم يُفحص",IF(I85="غير متوفر","غير موجود",IF(AND(O85=5,I85="متوفر"),"مكتمل",IF(O85&gt;=3,"مقبول","ضعيف"))))</f>
        <v>لم يُفحص</v>
      </c>
      <c r="Q85" s="27" t="str">
        <f aca="false">IF(I85="","",IF(AND(I85="متوفر",O85=5),"لا","نعم"))</f>
        <v/>
      </c>
      <c r="R85" s="27" t="str">
        <f aca="false">IF(Q85&lt;&gt;"نعم","",IF(OR(E85="نعم",I85="غير متوفر"),"عالية",IF(O85&gt;=3,"منخفضة","متوسطة")))</f>
        <v/>
      </c>
      <c r="S85" s="30"/>
      <c r="T85" s="30"/>
      <c r="U85" s="27" t="str">
        <f aca="false">IFERROR(INDEX('الإعدادات واللجنة'!$H$22:$H$29,MATCH(C85,'الإعدادات واللجنة'!$B$22:$B$29,0)),"")</f>
        <v>عضو 5</v>
      </c>
      <c r="V85" s="29"/>
      <c r="W85" s="30"/>
    </row>
    <row r="86" customFormat="false" ht="32.8" hidden="false" customHeight="false" outlineLevel="0" collapsed="false">
      <c r="A86" s="31" t="s">
        <v>351</v>
      </c>
      <c r="B86" s="32" t="s">
        <v>144</v>
      </c>
      <c r="C86" s="32" t="s">
        <v>123</v>
      </c>
      <c r="D86" s="32" t="s">
        <v>352</v>
      </c>
      <c r="E86" s="31" t="s">
        <v>185</v>
      </c>
      <c r="F86" s="31" t="n">
        <v>5</v>
      </c>
      <c r="G86" s="32" t="s">
        <v>357</v>
      </c>
      <c r="H86" s="27" t="str">
        <f aca="false">IFERROR(INDEX('الإعدادات واللجنة'!$F$22:$F$29,MATCH(C86,'الإعدادات واللجنة'!$B$22:$B$29,0)),"")</f>
        <v>عضو 6</v>
      </c>
      <c r="I86" s="29"/>
      <c r="J86" s="29"/>
      <c r="K86" s="29"/>
      <c r="L86" s="29"/>
      <c r="M86" s="29"/>
      <c r="N86" s="29"/>
      <c r="O86" s="27" t="str">
        <f aca="false">IF(I86="","",IF(I86="غير متوفر",0,COUNTIF(J86:N86,"نعم")))</f>
        <v/>
      </c>
      <c r="P86" s="27" t="str">
        <f aca="false">IF(I86="","لم يُفحص",IF(I86="غير متوفر","غير موجود",IF(AND(O86=5,I86="متوفر"),"مكتمل",IF(O86&gt;=3,"مقبول","ضعيف"))))</f>
        <v>لم يُفحص</v>
      </c>
      <c r="Q86" s="27" t="str">
        <f aca="false">IF(I86="","",IF(AND(I86="متوفر",O86=5),"لا","نعم"))</f>
        <v/>
      </c>
      <c r="R86" s="27" t="str">
        <f aca="false">IF(Q86&lt;&gt;"نعم","",IF(OR(E86="نعم",I86="غير متوفر"),"عالية",IF(O86&gt;=3,"منخفضة","متوسطة")))</f>
        <v/>
      </c>
      <c r="S86" s="30"/>
      <c r="T86" s="30"/>
      <c r="U86" s="27" t="str">
        <f aca="false">IFERROR(INDEX('الإعدادات واللجنة'!$H$22:$H$29,MATCH(C86,'الإعدادات واللجنة'!$B$22:$B$29,0)),"")</f>
        <v>عضو 5</v>
      </c>
      <c r="V86" s="29"/>
      <c r="W86" s="30"/>
    </row>
    <row r="87" customFormat="false" ht="32.8" hidden="false" customHeight="false" outlineLevel="0" collapsed="false">
      <c r="A87" s="31" t="s">
        <v>351</v>
      </c>
      <c r="B87" s="32" t="s">
        <v>144</v>
      </c>
      <c r="C87" s="32" t="s">
        <v>123</v>
      </c>
      <c r="D87" s="32" t="s">
        <v>352</v>
      </c>
      <c r="E87" s="31" t="s">
        <v>185</v>
      </c>
      <c r="F87" s="31" t="n">
        <v>6</v>
      </c>
      <c r="G87" s="32" t="s">
        <v>358</v>
      </c>
      <c r="H87" s="27" t="str">
        <f aca="false">IFERROR(INDEX('الإعدادات واللجنة'!$F$22:$F$29,MATCH(C87,'الإعدادات واللجنة'!$B$22:$B$29,0)),"")</f>
        <v>عضو 6</v>
      </c>
      <c r="I87" s="29"/>
      <c r="J87" s="29"/>
      <c r="K87" s="29"/>
      <c r="L87" s="29"/>
      <c r="M87" s="29"/>
      <c r="N87" s="29"/>
      <c r="O87" s="27" t="str">
        <f aca="false">IF(I87="","",IF(I87="غير متوفر",0,COUNTIF(J87:N87,"نعم")))</f>
        <v/>
      </c>
      <c r="P87" s="27" t="str">
        <f aca="false">IF(I87="","لم يُفحص",IF(I87="غير متوفر","غير موجود",IF(AND(O87=5,I87="متوفر"),"مكتمل",IF(O87&gt;=3,"مقبول","ضعيف"))))</f>
        <v>لم يُفحص</v>
      </c>
      <c r="Q87" s="27" t="str">
        <f aca="false">IF(I87="","",IF(AND(I87="متوفر",O87=5),"لا","نعم"))</f>
        <v/>
      </c>
      <c r="R87" s="27" t="str">
        <f aca="false">IF(Q87&lt;&gt;"نعم","",IF(OR(E87="نعم",I87="غير متوفر"),"عالية",IF(O87&gt;=3,"منخفضة","متوسطة")))</f>
        <v/>
      </c>
      <c r="S87" s="30"/>
      <c r="T87" s="30"/>
      <c r="U87" s="27" t="str">
        <f aca="false">IFERROR(INDEX('الإعدادات واللجنة'!$H$22:$H$29,MATCH(C87,'الإعدادات واللجنة'!$B$22:$B$29,0)),"")</f>
        <v>عضو 5</v>
      </c>
      <c r="V87" s="29"/>
      <c r="W87" s="30"/>
    </row>
    <row r="88" customFormat="false" ht="32.8" hidden="false" customHeight="false" outlineLevel="0" collapsed="false">
      <c r="A88" s="31" t="s">
        <v>359</v>
      </c>
      <c r="B88" s="32" t="s">
        <v>144</v>
      </c>
      <c r="C88" s="32" t="s">
        <v>123</v>
      </c>
      <c r="D88" s="32" t="s">
        <v>360</v>
      </c>
      <c r="E88" s="31" t="s">
        <v>185</v>
      </c>
      <c r="F88" s="31" t="n">
        <v>1</v>
      </c>
      <c r="G88" s="32" t="s">
        <v>361</v>
      </c>
      <c r="H88" s="27" t="str">
        <f aca="false">IFERROR(INDEX('الإعدادات واللجنة'!$F$22:$F$29,MATCH(C88,'الإعدادات واللجنة'!$B$22:$B$29,0)),"")</f>
        <v>عضو 6</v>
      </c>
      <c r="I88" s="29"/>
      <c r="J88" s="29"/>
      <c r="K88" s="29"/>
      <c r="L88" s="29"/>
      <c r="M88" s="29"/>
      <c r="N88" s="29"/>
      <c r="O88" s="27" t="str">
        <f aca="false">IF(I88="","",IF(I88="غير متوفر",0,COUNTIF(J88:N88,"نعم")))</f>
        <v/>
      </c>
      <c r="P88" s="27" t="str">
        <f aca="false">IF(I88="","لم يُفحص",IF(I88="غير متوفر","غير موجود",IF(AND(O88=5,I88="متوفر"),"مكتمل",IF(O88&gt;=3,"مقبول","ضعيف"))))</f>
        <v>لم يُفحص</v>
      </c>
      <c r="Q88" s="27" t="str">
        <f aca="false">IF(I88="","",IF(AND(I88="متوفر",O88=5),"لا","نعم"))</f>
        <v/>
      </c>
      <c r="R88" s="27" t="str">
        <f aca="false">IF(Q88&lt;&gt;"نعم","",IF(OR(E88="نعم",I88="غير متوفر"),"عالية",IF(O88&gt;=3,"منخفضة","متوسطة")))</f>
        <v/>
      </c>
      <c r="S88" s="30"/>
      <c r="T88" s="30"/>
      <c r="U88" s="27" t="str">
        <f aca="false">IFERROR(INDEX('الإعدادات واللجنة'!$H$22:$H$29,MATCH(C88,'الإعدادات واللجنة'!$B$22:$B$29,0)),"")</f>
        <v>عضو 5</v>
      </c>
      <c r="V88" s="29"/>
      <c r="W88" s="30"/>
    </row>
    <row r="89" customFormat="false" ht="32.8" hidden="false" customHeight="false" outlineLevel="0" collapsed="false">
      <c r="A89" s="31" t="s">
        <v>359</v>
      </c>
      <c r="B89" s="32" t="s">
        <v>144</v>
      </c>
      <c r="C89" s="32" t="s">
        <v>123</v>
      </c>
      <c r="D89" s="32" t="s">
        <v>360</v>
      </c>
      <c r="E89" s="31" t="s">
        <v>185</v>
      </c>
      <c r="F89" s="31" t="n">
        <v>2</v>
      </c>
      <c r="G89" s="32" t="s">
        <v>362</v>
      </c>
      <c r="H89" s="27" t="str">
        <f aca="false">IFERROR(INDEX('الإعدادات واللجنة'!$F$22:$F$29,MATCH(C89,'الإعدادات واللجنة'!$B$22:$B$29,0)),"")</f>
        <v>عضو 6</v>
      </c>
      <c r="I89" s="29"/>
      <c r="J89" s="29"/>
      <c r="K89" s="29"/>
      <c r="L89" s="29"/>
      <c r="M89" s="29"/>
      <c r="N89" s="29"/>
      <c r="O89" s="27" t="str">
        <f aca="false">IF(I89="","",IF(I89="غير متوفر",0,COUNTIF(J89:N89,"نعم")))</f>
        <v/>
      </c>
      <c r="P89" s="27" t="str">
        <f aca="false">IF(I89="","لم يُفحص",IF(I89="غير متوفر","غير موجود",IF(AND(O89=5,I89="متوفر"),"مكتمل",IF(O89&gt;=3,"مقبول","ضعيف"))))</f>
        <v>لم يُفحص</v>
      </c>
      <c r="Q89" s="27" t="str">
        <f aca="false">IF(I89="","",IF(AND(I89="متوفر",O89=5),"لا","نعم"))</f>
        <v/>
      </c>
      <c r="R89" s="27" t="str">
        <f aca="false">IF(Q89&lt;&gt;"نعم","",IF(OR(E89="نعم",I89="غير متوفر"),"عالية",IF(O89&gt;=3,"منخفضة","متوسطة")))</f>
        <v/>
      </c>
      <c r="S89" s="30"/>
      <c r="T89" s="30"/>
      <c r="U89" s="27" t="str">
        <f aca="false">IFERROR(INDEX('الإعدادات واللجنة'!$H$22:$H$29,MATCH(C89,'الإعدادات واللجنة'!$B$22:$B$29,0)),"")</f>
        <v>عضو 5</v>
      </c>
      <c r="V89" s="29"/>
      <c r="W89" s="30"/>
    </row>
    <row r="90" customFormat="false" ht="32.8" hidden="false" customHeight="false" outlineLevel="0" collapsed="false">
      <c r="A90" s="31" t="s">
        <v>359</v>
      </c>
      <c r="B90" s="32" t="s">
        <v>144</v>
      </c>
      <c r="C90" s="32" t="s">
        <v>123</v>
      </c>
      <c r="D90" s="32" t="s">
        <v>360</v>
      </c>
      <c r="E90" s="31" t="s">
        <v>185</v>
      </c>
      <c r="F90" s="31" t="n">
        <v>3</v>
      </c>
      <c r="G90" s="32" t="s">
        <v>356</v>
      </c>
      <c r="H90" s="27" t="str">
        <f aca="false">IFERROR(INDEX('الإعدادات واللجنة'!$F$22:$F$29,MATCH(C90,'الإعدادات واللجنة'!$B$22:$B$29,0)),"")</f>
        <v>عضو 6</v>
      </c>
      <c r="I90" s="29"/>
      <c r="J90" s="29"/>
      <c r="K90" s="29"/>
      <c r="L90" s="29"/>
      <c r="M90" s="29"/>
      <c r="N90" s="29"/>
      <c r="O90" s="27" t="str">
        <f aca="false">IF(I90="","",IF(I90="غير متوفر",0,COUNTIF(J90:N90,"نعم")))</f>
        <v/>
      </c>
      <c r="P90" s="27" t="str">
        <f aca="false">IF(I90="","لم يُفحص",IF(I90="غير متوفر","غير موجود",IF(AND(O90=5,I90="متوفر"),"مكتمل",IF(O90&gt;=3,"مقبول","ضعيف"))))</f>
        <v>لم يُفحص</v>
      </c>
      <c r="Q90" s="27" t="str">
        <f aca="false">IF(I90="","",IF(AND(I90="متوفر",O90=5),"لا","نعم"))</f>
        <v/>
      </c>
      <c r="R90" s="27" t="str">
        <f aca="false">IF(Q90&lt;&gt;"نعم","",IF(OR(E90="نعم",I90="غير متوفر"),"عالية",IF(O90&gt;=3,"منخفضة","متوسطة")))</f>
        <v/>
      </c>
      <c r="S90" s="30"/>
      <c r="T90" s="30"/>
      <c r="U90" s="27" t="str">
        <f aca="false">IFERROR(INDEX('الإعدادات واللجنة'!$H$22:$H$29,MATCH(C90,'الإعدادات واللجنة'!$B$22:$B$29,0)),"")</f>
        <v>عضو 5</v>
      </c>
      <c r="V90" s="29"/>
      <c r="W90" s="30"/>
    </row>
    <row r="91" customFormat="false" ht="32.8" hidden="false" customHeight="false" outlineLevel="0" collapsed="false">
      <c r="A91" s="31" t="s">
        <v>359</v>
      </c>
      <c r="B91" s="32" t="s">
        <v>144</v>
      </c>
      <c r="C91" s="32" t="s">
        <v>123</v>
      </c>
      <c r="D91" s="32" t="s">
        <v>360</v>
      </c>
      <c r="E91" s="31" t="s">
        <v>185</v>
      </c>
      <c r="F91" s="31" t="n">
        <v>4</v>
      </c>
      <c r="G91" s="32" t="s">
        <v>363</v>
      </c>
      <c r="H91" s="27" t="str">
        <f aca="false">IFERROR(INDEX('الإعدادات واللجنة'!$F$22:$F$29,MATCH(C91,'الإعدادات واللجنة'!$B$22:$B$29,0)),"")</f>
        <v>عضو 6</v>
      </c>
      <c r="I91" s="29"/>
      <c r="J91" s="29"/>
      <c r="K91" s="29"/>
      <c r="L91" s="29"/>
      <c r="M91" s="29"/>
      <c r="N91" s="29"/>
      <c r="O91" s="27" t="str">
        <f aca="false">IF(I91="","",IF(I91="غير متوفر",0,COUNTIF(J91:N91,"نعم")))</f>
        <v/>
      </c>
      <c r="P91" s="27" t="str">
        <f aca="false">IF(I91="","لم يُفحص",IF(I91="غير متوفر","غير موجود",IF(AND(O91=5,I91="متوفر"),"مكتمل",IF(O91&gt;=3,"مقبول","ضعيف"))))</f>
        <v>لم يُفحص</v>
      </c>
      <c r="Q91" s="27" t="str">
        <f aca="false">IF(I91="","",IF(AND(I91="متوفر",O91=5),"لا","نعم"))</f>
        <v/>
      </c>
      <c r="R91" s="27" t="str">
        <f aca="false">IF(Q91&lt;&gt;"نعم","",IF(OR(E91="نعم",I91="غير متوفر"),"عالية",IF(O91&gt;=3,"منخفضة","متوسطة")))</f>
        <v/>
      </c>
      <c r="S91" s="30"/>
      <c r="T91" s="30"/>
      <c r="U91" s="27" t="str">
        <f aca="false">IFERROR(INDEX('الإعدادات واللجنة'!$H$22:$H$29,MATCH(C91,'الإعدادات واللجنة'!$B$22:$B$29,0)),"")</f>
        <v>عضو 5</v>
      </c>
      <c r="V91" s="29"/>
      <c r="W91" s="30"/>
    </row>
    <row r="92" customFormat="false" ht="22.35" hidden="false" customHeight="false" outlineLevel="0" collapsed="false">
      <c r="A92" s="27" t="s">
        <v>364</v>
      </c>
      <c r="B92" s="28" t="s">
        <v>144</v>
      </c>
      <c r="C92" s="28" t="s">
        <v>123</v>
      </c>
      <c r="D92" s="28" t="s">
        <v>365</v>
      </c>
      <c r="E92" s="27"/>
      <c r="F92" s="27" t="n">
        <v>1</v>
      </c>
      <c r="G92" s="28" t="s">
        <v>366</v>
      </c>
      <c r="H92" s="27" t="str">
        <f aca="false">IFERROR(INDEX('الإعدادات واللجنة'!$F$22:$F$29,MATCH(C92,'الإعدادات واللجنة'!$B$22:$B$29,0)),"")</f>
        <v>عضو 6</v>
      </c>
      <c r="I92" s="29"/>
      <c r="J92" s="29"/>
      <c r="K92" s="29"/>
      <c r="L92" s="29"/>
      <c r="M92" s="29"/>
      <c r="N92" s="29"/>
      <c r="O92" s="27" t="str">
        <f aca="false">IF(I92="","",IF(I92="غير متوفر",0,COUNTIF(J92:N92,"نعم")))</f>
        <v/>
      </c>
      <c r="P92" s="27" t="str">
        <f aca="false">IF(I92="","لم يُفحص",IF(I92="غير متوفر","غير موجود",IF(AND(O92=5,I92="متوفر"),"مكتمل",IF(O92&gt;=3,"مقبول","ضعيف"))))</f>
        <v>لم يُفحص</v>
      </c>
      <c r="Q92" s="27" t="str">
        <f aca="false">IF(I92="","",IF(AND(I92="متوفر",O92=5),"لا","نعم"))</f>
        <v/>
      </c>
      <c r="R92" s="27" t="str">
        <f aca="false">IF(Q92&lt;&gt;"نعم","",IF(OR(E92="نعم",I92="غير متوفر"),"عالية",IF(O92&gt;=3,"منخفضة","متوسطة")))</f>
        <v/>
      </c>
      <c r="S92" s="30"/>
      <c r="T92" s="30"/>
      <c r="U92" s="27" t="str">
        <f aca="false">IFERROR(INDEX('الإعدادات واللجنة'!$H$22:$H$29,MATCH(C92,'الإعدادات واللجنة'!$B$22:$B$29,0)),"")</f>
        <v>عضو 5</v>
      </c>
      <c r="V92" s="29"/>
      <c r="W92" s="30"/>
    </row>
    <row r="93" customFormat="false" ht="22.35" hidden="false" customHeight="false" outlineLevel="0" collapsed="false">
      <c r="A93" s="27" t="s">
        <v>364</v>
      </c>
      <c r="B93" s="28" t="s">
        <v>144</v>
      </c>
      <c r="C93" s="28" t="s">
        <v>123</v>
      </c>
      <c r="D93" s="28" t="s">
        <v>365</v>
      </c>
      <c r="E93" s="27"/>
      <c r="F93" s="27" t="n">
        <v>2</v>
      </c>
      <c r="G93" s="28" t="s">
        <v>367</v>
      </c>
      <c r="H93" s="27" t="str">
        <f aca="false">IFERROR(INDEX('الإعدادات واللجنة'!$F$22:$F$29,MATCH(C93,'الإعدادات واللجنة'!$B$22:$B$29,0)),"")</f>
        <v>عضو 6</v>
      </c>
      <c r="I93" s="29"/>
      <c r="J93" s="29"/>
      <c r="K93" s="29"/>
      <c r="L93" s="29"/>
      <c r="M93" s="29"/>
      <c r="N93" s="29"/>
      <c r="O93" s="27" t="str">
        <f aca="false">IF(I93="","",IF(I93="غير متوفر",0,COUNTIF(J93:N93,"نعم")))</f>
        <v/>
      </c>
      <c r="P93" s="27" t="str">
        <f aca="false">IF(I93="","لم يُفحص",IF(I93="غير متوفر","غير موجود",IF(AND(O93=5,I93="متوفر"),"مكتمل",IF(O93&gt;=3,"مقبول","ضعيف"))))</f>
        <v>لم يُفحص</v>
      </c>
      <c r="Q93" s="27" t="str">
        <f aca="false">IF(I93="","",IF(AND(I93="متوفر",O93=5),"لا","نعم"))</f>
        <v/>
      </c>
      <c r="R93" s="27" t="str">
        <f aca="false">IF(Q93&lt;&gt;"نعم","",IF(OR(E93="نعم",I93="غير متوفر"),"عالية",IF(O93&gt;=3,"منخفضة","متوسطة")))</f>
        <v/>
      </c>
      <c r="S93" s="30"/>
      <c r="T93" s="30"/>
      <c r="U93" s="27" t="str">
        <f aca="false">IFERROR(INDEX('الإعدادات واللجنة'!$H$22:$H$29,MATCH(C93,'الإعدادات واللجنة'!$B$22:$B$29,0)),"")</f>
        <v>عضو 5</v>
      </c>
      <c r="V93" s="29"/>
      <c r="W93" s="30"/>
    </row>
    <row r="94" customFormat="false" ht="22.35" hidden="false" customHeight="false" outlineLevel="0" collapsed="false">
      <c r="A94" s="27" t="s">
        <v>364</v>
      </c>
      <c r="B94" s="28" t="s">
        <v>144</v>
      </c>
      <c r="C94" s="28" t="s">
        <v>123</v>
      </c>
      <c r="D94" s="28" t="s">
        <v>365</v>
      </c>
      <c r="E94" s="27"/>
      <c r="F94" s="27" t="n">
        <v>3</v>
      </c>
      <c r="G94" s="28" t="s">
        <v>368</v>
      </c>
      <c r="H94" s="27" t="str">
        <f aca="false">IFERROR(INDEX('الإعدادات واللجنة'!$F$22:$F$29,MATCH(C94,'الإعدادات واللجنة'!$B$22:$B$29,0)),"")</f>
        <v>عضو 6</v>
      </c>
      <c r="I94" s="29"/>
      <c r="J94" s="29"/>
      <c r="K94" s="29"/>
      <c r="L94" s="29"/>
      <c r="M94" s="29"/>
      <c r="N94" s="29"/>
      <c r="O94" s="27" t="str">
        <f aca="false">IF(I94="","",IF(I94="غير متوفر",0,COUNTIF(J94:N94,"نعم")))</f>
        <v/>
      </c>
      <c r="P94" s="27" t="str">
        <f aca="false">IF(I94="","لم يُفحص",IF(I94="غير متوفر","غير موجود",IF(AND(O94=5,I94="متوفر"),"مكتمل",IF(O94&gt;=3,"مقبول","ضعيف"))))</f>
        <v>لم يُفحص</v>
      </c>
      <c r="Q94" s="27" t="str">
        <f aca="false">IF(I94="","",IF(AND(I94="متوفر",O94=5),"لا","نعم"))</f>
        <v/>
      </c>
      <c r="R94" s="27" t="str">
        <f aca="false">IF(Q94&lt;&gt;"نعم","",IF(OR(E94="نعم",I94="غير متوفر"),"عالية",IF(O94&gt;=3,"منخفضة","متوسطة")))</f>
        <v/>
      </c>
      <c r="S94" s="30"/>
      <c r="T94" s="30"/>
      <c r="U94" s="27" t="str">
        <f aca="false">IFERROR(INDEX('الإعدادات واللجنة'!$H$22:$H$29,MATCH(C94,'الإعدادات واللجنة'!$B$22:$B$29,0)),"")</f>
        <v>عضو 5</v>
      </c>
      <c r="V94" s="29"/>
      <c r="W94" s="30"/>
    </row>
    <row r="95" customFormat="false" ht="22.35" hidden="false" customHeight="false" outlineLevel="0" collapsed="false">
      <c r="A95" s="27" t="s">
        <v>364</v>
      </c>
      <c r="B95" s="28" t="s">
        <v>144</v>
      </c>
      <c r="C95" s="28" t="s">
        <v>123</v>
      </c>
      <c r="D95" s="28" t="s">
        <v>365</v>
      </c>
      <c r="E95" s="27"/>
      <c r="F95" s="27" t="n">
        <v>4</v>
      </c>
      <c r="G95" s="28" t="s">
        <v>369</v>
      </c>
      <c r="H95" s="27" t="str">
        <f aca="false">IFERROR(INDEX('الإعدادات واللجنة'!$F$22:$F$29,MATCH(C95,'الإعدادات واللجنة'!$B$22:$B$29,0)),"")</f>
        <v>عضو 6</v>
      </c>
      <c r="I95" s="29"/>
      <c r="J95" s="29"/>
      <c r="K95" s="29"/>
      <c r="L95" s="29"/>
      <c r="M95" s="29"/>
      <c r="N95" s="29"/>
      <c r="O95" s="27" t="str">
        <f aca="false">IF(I95="","",IF(I95="غير متوفر",0,COUNTIF(J95:N95,"نعم")))</f>
        <v/>
      </c>
      <c r="P95" s="27" t="str">
        <f aca="false">IF(I95="","لم يُفحص",IF(I95="غير متوفر","غير موجود",IF(AND(O95=5,I95="متوفر"),"مكتمل",IF(O95&gt;=3,"مقبول","ضعيف"))))</f>
        <v>لم يُفحص</v>
      </c>
      <c r="Q95" s="27" t="str">
        <f aca="false">IF(I95="","",IF(AND(I95="متوفر",O95=5),"لا","نعم"))</f>
        <v/>
      </c>
      <c r="R95" s="27" t="str">
        <f aca="false">IF(Q95&lt;&gt;"نعم","",IF(OR(E95="نعم",I95="غير متوفر"),"عالية",IF(O95&gt;=3,"منخفضة","متوسطة")))</f>
        <v/>
      </c>
      <c r="S95" s="30"/>
      <c r="T95" s="30"/>
      <c r="U95" s="27" t="str">
        <f aca="false">IFERROR(INDEX('الإعدادات واللجنة'!$H$22:$H$29,MATCH(C95,'الإعدادات واللجنة'!$B$22:$B$29,0)),"")</f>
        <v>عضو 5</v>
      </c>
      <c r="V95" s="29"/>
      <c r="W95" s="30"/>
    </row>
    <row r="96" customFormat="false" ht="22.35" hidden="false" customHeight="false" outlineLevel="0" collapsed="false">
      <c r="A96" s="27" t="s">
        <v>370</v>
      </c>
      <c r="B96" s="28" t="s">
        <v>144</v>
      </c>
      <c r="C96" s="28" t="s">
        <v>123</v>
      </c>
      <c r="D96" s="28" t="s">
        <v>371</v>
      </c>
      <c r="E96" s="27"/>
      <c r="F96" s="27" t="n">
        <v>1</v>
      </c>
      <c r="G96" s="28" t="s">
        <v>354</v>
      </c>
      <c r="H96" s="27" t="str">
        <f aca="false">IFERROR(INDEX('الإعدادات واللجنة'!$F$22:$F$29,MATCH(C96,'الإعدادات واللجنة'!$B$22:$B$29,0)),"")</f>
        <v>عضو 6</v>
      </c>
      <c r="I96" s="29"/>
      <c r="J96" s="29"/>
      <c r="K96" s="29"/>
      <c r="L96" s="29"/>
      <c r="M96" s="29"/>
      <c r="N96" s="29"/>
      <c r="O96" s="27" t="str">
        <f aca="false">IF(I96="","",IF(I96="غير متوفر",0,COUNTIF(J96:N96,"نعم")))</f>
        <v/>
      </c>
      <c r="P96" s="27" t="str">
        <f aca="false">IF(I96="","لم يُفحص",IF(I96="غير متوفر","غير موجود",IF(AND(O96=5,I96="متوفر"),"مكتمل",IF(O96&gt;=3,"مقبول","ضعيف"))))</f>
        <v>لم يُفحص</v>
      </c>
      <c r="Q96" s="27" t="str">
        <f aca="false">IF(I96="","",IF(AND(I96="متوفر",O96=5),"لا","نعم"))</f>
        <v/>
      </c>
      <c r="R96" s="27" t="str">
        <f aca="false">IF(Q96&lt;&gt;"نعم","",IF(OR(E96="نعم",I96="غير متوفر"),"عالية",IF(O96&gt;=3,"منخفضة","متوسطة")))</f>
        <v/>
      </c>
      <c r="S96" s="30"/>
      <c r="T96" s="30"/>
      <c r="U96" s="27" t="str">
        <f aca="false">IFERROR(INDEX('الإعدادات واللجنة'!$H$22:$H$29,MATCH(C96,'الإعدادات واللجنة'!$B$22:$B$29,0)),"")</f>
        <v>عضو 5</v>
      </c>
      <c r="V96" s="29"/>
      <c r="W96" s="30"/>
    </row>
    <row r="97" customFormat="false" ht="22.35" hidden="false" customHeight="false" outlineLevel="0" collapsed="false">
      <c r="A97" s="27" t="s">
        <v>370</v>
      </c>
      <c r="B97" s="28" t="s">
        <v>144</v>
      </c>
      <c r="C97" s="28" t="s">
        <v>123</v>
      </c>
      <c r="D97" s="28" t="s">
        <v>371</v>
      </c>
      <c r="E97" s="27"/>
      <c r="F97" s="27" t="n">
        <v>2</v>
      </c>
      <c r="G97" s="28" t="s">
        <v>372</v>
      </c>
      <c r="H97" s="27" t="str">
        <f aca="false">IFERROR(INDEX('الإعدادات واللجنة'!$F$22:$F$29,MATCH(C97,'الإعدادات واللجنة'!$B$22:$B$29,0)),"")</f>
        <v>عضو 6</v>
      </c>
      <c r="I97" s="29"/>
      <c r="J97" s="29"/>
      <c r="K97" s="29"/>
      <c r="L97" s="29"/>
      <c r="M97" s="29"/>
      <c r="N97" s="29"/>
      <c r="O97" s="27" t="str">
        <f aca="false">IF(I97="","",IF(I97="غير متوفر",0,COUNTIF(J97:N97,"نعم")))</f>
        <v/>
      </c>
      <c r="P97" s="27" t="str">
        <f aca="false">IF(I97="","لم يُفحص",IF(I97="غير متوفر","غير موجود",IF(AND(O97=5,I97="متوفر"),"مكتمل",IF(O97&gt;=3,"مقبول","ضعيف"))))</f>
        <v>لم يُفحص</v>
      </c>
      <c r="Q97" s="27" t="str">
        <f aca="false">IF(I97="","",IF(AND(I97="متوفر",O97=5),"لا","نعم"))</f>
        <v/>
      </c>
      <c r="R97" s="27" t="str">
        <f aca="false">IF(Q97&lt;&gt;"نعم","",IF(OR(E97="نعم",I97="غير متوفر"),"عالية",IF(O97&gt;=3,"منخفضة","متوسطة")))</f>
        <v/>
      </c>
      <c r="S97" s="30"/>
      <c r="T97" s="30"/>
      <c r="U97" s="27" t="str">
        <f aca="false">IFERROR(INDEX('الإعدادات واللجنة'!$H$22:$H$29,MATCH(C97,'الإعدادات واللجنة'!$B$22:$B$29,0)),"")</f>
        <v>عضو 5</v>
      </c>
      <c r="V97" s="29"/>
      <c r="W97" s="30"/>
    </row>
    <row r="98" customFormat="false" ht="22.35" hidden="false" customHeight="false" outlineLevel="0" collapsed="false">
      <c r="A98" s="27" t="s">
        <v>370</v>
      </c>
      <c r="B98" s="28" t="s">
        <v>144</v>
      </c>
      <c r="C98" s="28" t="s">
        <v>123</v>
      </c>
      <c r="D98" s="28" t="s">
        <v>371</v>
      </c>
      <c r="E98" s="27"/>
      <c r="F98" s="27" t="n">
        <v>3</v>
      </c>
      <c r="G98" s="28" t="s">
        <v>373</v>
      </c>
      <c r="H98" s="27" t="str">
        <f aca="false">IFERROR(INDEX('الإعدادات واللجنة'!$F$22:$F$29,MATCH(C98,'الإعدادات واللجنة'!$B$22:$B$29,0)),"")</f>
        <v>عضو 6</v>
      </c>
      <c r="I98" s="29"/>
      <c r="J98" s="29"/>
      <c r="K98" s="29"/>
      <c r="L98" s="29"/>
      <c r="M98" s="29"/>
      <c r="N98" s="29"/>
      <c r="O98" s="27" t="str">
        <f aca="false">IF(I98="","",IF(I98="غير متوفر",0,COUNTIF(J98:N98,"نعم")))</f>
        <v/>
      </c>
      <c r="P98" s="27" t="str">
        <f aca="false">IF(I98="","لم يُفحص",IF(I98="غير متوفر","غير موجود",IF(AND(O98=5,I98="متوفر"),"مكتمل",IF(O98&gt;=3,"مقبول","ضعيف"))))</f>
        <v>لم يُفحص</v>
      </c>
      <c r="Q98" s="27" t="str">
        <f aca="false">IF(I98="","",IF(AND(I98="متوفر",O98=5),"لا","نعم"))</f>
        <v/>
      </c>
      <c r="R98" s="27" t="str">
        <f aca="false">IF(Q98&lt;&gt;"نعم","",IF(OR(E98="نعم",I98="غير متوفر"),"عالية",IF(O98&gt;=3,"منخفضة","متوسطة")))</f>
        <v/>
      </c>
      <c r="S98" s="30"/>
      <c r="T98" s="30"/>
      <c r="U98" s="27" t="str">
        <f aca="false">IFERROR(INDEX('الإعدادات واللجنة'!$H$22:$H$29,MATCH(C98,'الإعدادات واللجنة'!$B$22:$B$29,0)),"")</f>
        <v>عضو 5</v>
      </c>
      <c r="V98" s="29"/>
      <c r="W98" s="30"/>
    </row>
    <row r="99" customFormat="false" ht="32.8" hidden="false" customHeight="false" outlineLevel="0" collapsed="false">
      <c r="A99" s="27" t="s">
        <v>370</v>
      </c>
      <c r="B99" s="28" t="s">
        <v>144</v>
      </c>
      <c r="C99" s="28" t="s">
        <v>123</v>
      </c>
      <c r="D99" s="28" t="s">
        <v>371</v>
      </c>
      <c r="E99" s="27"/>
      <c r="F99" s="27" t="n">
        <v>4</v>
      </c>
      <c r="G99" s="28" t="s">
        <v>374</v>
      </c>
      <c r="H99" s="27" t="str">
        <f aca="false">IFERROR(INDEX('الإعدادات واللجنة'!$F$22:$F$29,MATCH(C99,'الإعدادات واللجنة'!$B$22:$B$29,0)),"")</f>
        <v>عضو 6</v>
      </c>
      <c r="I99" s="29"/>
      <c r="J99" s="29"/>
      <c r="K99" s="29"/>
      <c r="L99" s="29"/>
      <c r="M99" s="29"/>
      <c r="N99" s="29"/>
      <c r="O99" s="27" t="str">
        <f aca="false">IF(I99="","",IF(I99="غير متوفر",0,COUNTIF(J99:N99,"نعم")))</f>
        <v/>
      </c>
      <c r="P99" s="27" t="str">
        <f aca="false">IF(I99="","لم يُفحص",IF(I99="غير متوفر","غير موجود",IF(AND(O99=5,I99="متوفر"),"مكتمل",IF(O99&gt;=3,"مقبول","ضعيف"))))</f>
        <v>لم يُفحص</v>
      </c>
      <c r="Q99" s="27" t="str">
        <f aca="false">IF(I99="","",IF(AND(I99="متوفر",O99=5),"لا","نعم"))</f>
        <v/>
      </c>
      <c r="R99" s="27" t="str">
        <f aca="false">IF(Q99&lt;&gt;"نعم","",IF(OR(E99="نعم",I99="غير متوفر"),"عالية",IF(O99&gt;=3,"منخفضة","متوسطة")))</f>
        <v/>
      </c>
      <c r="S99" s="30"/>
      <c r="T99" s="30"/>
      <c r="U99" s="27" t="str">
        <f aca="false">IFERROR(INDEX('الإعدادات واللجنة'!$H$22:$H$29,MATCH(C99,'الإعدادات واللجنة'!$B$22:$B$29,0)),"")</f>
        <v>عضو 5</v>
      </c>
      <c r="V99" s="29"/>
      <c r="W99" s="30"/>
    </row>
    <row r="100" customFormat="false" ht="32.8" hidden="false" customHeight="false" outlineLevel="0" collapsed="false">
      <c r="A100" s="27" t="s">
        <v>375</v>
      </c>
      <c r="B100" s="28" t="s">
        <v>144</v>
      </c>
      <c r="C100" s="28" t="s">
        <v>123</v>
      </c>
      <c r="D100" s="28" t="s">
        <v>376</v>
      </c>
      <c r="E100" s="27"/>
      <c r="F100" s="27" t="n">
        <v>1</v>
      </c>
      <c r="G100" s="28" t="s">
        <v>377</v>
      </c>
      <c r="H100" s="27" t="str">
        <f aca="false">IFERROR(INDEX('الإعدادات واللجنة'!$F$22:$F$29,MATCH(C100,'الإعدادات واللجنة'!$B$22:$B$29,0)),"")</f>
        <v>عضو 6</v>
      </c>
      <c r="I100" s="29"/>
      <c r="J100" s="29"/>
      <c r="K100" s="29"/>
      <c r="L100" s="29"/>
      <c r="M100" s="29"/>
      <c r="N100" s="29"/>
      <c r="O100" s="27" t="str">
        <f aca="false">IF(I100="","",IF(I100="غير متوفر",0,COUNTIF(J100:N100,"نعم")))</f>
        <v/>
      </c>
      <c r="P100" s="27" t="str">
        <f aca="false">IF(I100="","لم يُفحص",IF(I100="غير متوفر","غير موجود",IF(AND(O100=5,I100="متوفر"),"مكتمل",IF(O100&gt;=3,"مقبول","ضعيف"))))</f>
        <v>لم يُفحص</v>
      </c>
      <c r="Q100" s="27" t="str">
        <f aca="false">IF(I100="","",IF(AND(I100="متوفر",O100=5),"لا","نعم"))</f>
        <v/>
      </c>
      <c r="R100" s="27" t="str">
        <f aca="false">IF(Q100&lt;&gt;"نعم","",IF(OR(E100="نعم",I100="غير متوفر"),"عالية",IF(O100&gt;=3,"منخفضة","متوسطة")))</f>
        <v/>
      </c>
      <c r="S100" s="30"/>
      <c r="T100" s="30"/>
      <c r="U100" s="27" t="str">
        <f aca="false">IFERROR(INDEX('الإعدادات واللجنة'!$H$22:$H$29,MATCH(C100,'الإعدادات واللجنة'!$B$22:$B$29,0)),"")</f>
        <v>عضو 5</v>
      </c>
      <c r="V100" s="29"/>
      <c r="W100" s="30"/>
    </row>
    <row r="101" customFormat="false" ht="32.8" hidden="false" customHeight="false" outlineLevel="0" collapsed="false">
      <c r="A101" s="27" t="s">
        <v>375</v>
      </c>
      <c r="B101" s="28" t="s">
        <v>144</v>
      </c>
      <c r="C101" s="28" t="s">
        <v>123</v>
      </c>
      <c r="D101" s="28" t="s">
        <v>376</v>
      </c>
      <c r="E101" s="27"/>
      <c r="F101" s="27" t="n">
        <v>2</v>
      </c>
      <c r="G101" s="28" t="s">
        <v>378</v>
      </c>
      <c r="H101" s="27" t="str">
        <f aca="false">IFERROR(INDEX('الإعدادات واللجنة'!$F$22:$F$29,MATCH(C101,'الإعدادات واللجنة'!$B$22:$B$29,0)),"")</f>
        <v>عضو 6</v>
      </c>
      <c r="I101" s="29"/>
      <c r="J101" s="29"/>
      <c r="K101" s="29"/>
      <c r="L101" s="29"/>
      <c r="M101" s="29"/>
      <c r="N101" s="29"/>
      <c r="O101" s="27" t="str">
        <f aca="false">IF(I101="","",IF(I101="غير متوفر",0,COUNTIF(J101:N101,"نعم")))</f>
        <v/>
      </c>
      <c r="P101" s="27" t="str">
        <f aca="false">IF(I101="","لم يُفحص",IF(I101="غير متوفر","غير موجود",IF(AND(O101=5,I101="متوفر"),"مكتمل",IF(O101&gt;=3,"مقبول","ضعيف"))))</f>
        <v>لم يُفحص</v>
      </c>
      <c r="Q101" s="27" t="str">
        <f aca="false">IF(I101="","",IF(AND(I101="متوفر",O101=5),"لا","نعم"))</f>
        <v/>
      </c>
      <c r="R101" s="27" t="str">
        <f aca="false">IF(Q101&lt;&gt;"نعم","",IF(OR(E101="نعم",I101="غير متوفر"),"عالية",IF(O101&gt;=3,"منخفضة","متوسطة")))</f>
        <v/>
      </c>
      <c r="S101" s="30"/>
      <c r="T101" s="30"/>
      <c r="U101" s="27" t="str">
        <f aca="false">IFERROR(INDEX('الإعدادات واللجنة'!$H$22:$H$29,MATCH(C101,'الإعدادات واللجنة'!$B$22:$B$29,0)),"")</f>
        <v>عضو 5</v>
      </c>
      <c r="V101" s="29"/>
      <c r="W101" s="30"/>
    </row>
    <row r="102" customFormat="false" ht="22.35" hidden="false" customHeight="false" outlineLevel="0" collapsed="false">
      <c r="A102" s="27" t="s">
        <v>379</v>
      </c>
      <c r="B102" s="28" t="s">
        <v>144</v>
      </c>
      <c r="C102" s="28" t="s">
        <v>123</v>
      </c>
      <c r="D102" s="28" t="s">
        <v>380</v>
      </c>
      <c r="E102" s="27"/>
      <c r="F102" s="27" t="n">
        <v>1</v>
      </c>
      <c r="G102" s="28" t="s">
        <v>381</v>
      </c>
      <c r="H102" s="27" t="str">
        <f aca="false">IFERROR(INDEX('الإعدادات واللجنة'!$F$22:$F$29,MATCH(C102,'الإعدادات واللجنة'!$B$22:$B$29,0)),"")</f>
        <v>عضو 6</v>
      </c>
      <c r="I102" s="29"/>
      <c r="J102" s="29"/>
      <c r="K102" s="29"/>
      <c r="L102" s="29"/>
      <c r="M102" s="29"/>
      <c r="N102" s="29"/>
      <c r="O102" s="27" t="str">
        <f aca="false">IF(I102="","",IF(I102="غير متوفر",0,COUNTIF(J102:N102,"نعم")))</f>
        <v/>
      </c>
      <c r="P102" s="27" t="str">
        <f aca="false">IF(I102="","لم يُفحص",IF(I102="غير متوفر","غير موجود",IF(AND(O102=5,I102="متوفر"),"مكتمل",IF(O102&gt;=3,"مقبول","ضعيف"))))</f>
        <v>لم يُفحص</v>
      </c>
      <c r="Q102" s="27" t="str">
        <f aca="false">IF(I102="","",IF(AND(I102="متوفر",O102=5),"لا","نعم"))</f>
        <v/>
      </c>
      <c r="R102" s="27" t="str">
        <f aca="false">IF(Q102&lt;&gt;"نعم","",IF(OR(E102="نعم",I102="غير متوفر"),"عالية",IF(O102&gt;=3,"منخفضة","متوسطة")))</f>
        <v/>
      </c>
      <c r="S102" s="30"/>
      <c r="T102" s="30"/>
      <c r="U102" s="27" t="str">
        <f aca="false">IFERROR(INDEX('الإعدادات واللجنة'!$H$22:$H$29,MATCH(C102,'الإعدادات واللجنة'!$B$22:$B$29,0)),"")</f>
        <v>عضو 5</v>
      </c>
      <c r="V102" s="29"/>
      <c r="W102" s="30"/>
    </row>
    <row r="103" customFormat="false" ht="22.35" hidden="false" customHeight="false" outlineLevel="0" collapsed="false">
      <c r="A103" s="27" t="s">
        <v>379</v>
      </c>
      <c r="B103" s="28" t="s">
        <v>144</v>
      </c>
      <c r="C103" s="28" t="s">
        <v>123</v>
      </c>
      <c r="D103" s="28" t="s">
        <v>380</v>
      </c>
      <c r="E103" s="27"/>
      <c r="F103" s="27" t="n">
        <v>2</v>
      </c>
      <c r="G103" s="28" t="s">
        <v>382</v>
      </c>
      <c r="H103" s="27" t="str">
        <f aca="false">IFERROR(INDEX('الإعدادات واللجنة'!$F$22:$F$29,MATCH(C103,'الإعدادات واللجنة'!$B$22:$B$29,0)),"")</f>
        <v>عضو 6</v>
      </c>
      <c r="I103" s="29"/>
      <c r="J103" s="29"/>
      <c r="K103" s="29"/>
      <c r="L103" s="29"/>
      <c r="M103" s="29"/>
      <c r="N103" s="29"/>
      <c r="O103" s="27" t="str">
        <f aca="false">IF(I103="","",IF(I103="غير متوفر",0,COUNTIF(J103:N103,"نعم")))</f>
        <v/>
      </c>
      <c r="P103" s="27" t="str">
        <f aca="false">IF(I103="","لم يُفحص",IF(I103="غير متوفر","غير موجود",IF(AND(O103=5,I103="متوفر"),"مكتمل",IF(O103&gt;=3,"مقبول","ضعيف"))))</f>
        <v>لم يُفحص</v>
      </c>
      <c r="Q103" s="27" t="str">
        <f aca="false">IF(I103="","",IF(AND(I103="متوفر",O103=5),"لا","نعم"))</f>
        <v/>
      </c>
      <c r="R103" s="27" t="str">
        <f aca="false">IF(Q103&lt;&gt;"نعم","",IF(OR(E103="نعم",I103="غير متوفر"),"عالية",IF(O103&gt;=3,"منخفضة","متوسطة")))</f>
        <v/>
      </c>
      <c r="S103" s="30"/>
      <c r="T103" s="30"/>
      <c r="U103" s="27" t="str">
        <f aca="false">IFERROR(INDEX('الإعدادات واللجنة'!$H$22:$H$29,MATCH(C103,'الإعدادات واللجنة'!$B$22:$B$29,0)),"")</f>
        <v>عضو 5</v>
      </c>
      <c r="V103" s="29"/>
      <c r="W103" s="30"/>
    </row>
    <row r="104" customFormat="false" ht="22.35" hidden="false" customHeight="false" outlineLevel="0" collapsed="false">
      <c r="A104" s="27" t="s">
        <v>379</v>
      </c>
      <c r="B104" s="28" t="s">
        <v>144</v>
      </c>
      <c r="C104" s="28" t="s">
        <v>123</v>
      </c>
      <c r="D104" s="28" t="s">
        <v>380</v>
      </c>
      <c r="E104" s="27"/>
      <c r="F104" s="27" t="n">
        <v>3</v>
      </c>
      <c r="G104" s="28" t="s">
        <v>383</v>
      </c>
      <c r="H104" s="27" t="str">
        <f aca="false">IFERROR(INDEX('الإعدادات واللجنة'!$F$22:$F$29,MATCH(C104,'الإعدادات واللجنة'!$B$22:$B$29,0)),"")</f>
        <v>عضو 6</v>
      </c>
      <c r="I104" s="29"/>
      <c r="J104" s="29"/>
      <c r="K104" s="29"/>
      <c r="L104" s="29"/>
      <c r="M104" s="29"/>
      <c r="N104" s="29"/>
      <c r="O104" s="27" t="str">
        <f aca="false">IF(I104="","",IF(I104="غير متوفر",0,COUNTIF(J104:N104,"نعم")))</f>
        <v/>
      </c>
      <c r="P104" s="27" t="str">
        <f aca="false">IF(I104="","لم يُفحص",IF(I104="غير متوفر","غير موجود",IF(AND(O104=5,I104="متوفر"),"مكتمل",IF(O104&gt;=3,"مقبول","ضعيف"))))</f>
        <v>لم يُفحص</v>
      </c>
      <c r="Q104" s="27" t="str">
        <f aca="false">IF(I104="","",IF(AND(I104="متوفر",O104=5),"لا","نعم"))</f>
        <v/>
      </c>
      <c r="R104" s="27" t="str">
        <f aca="false">IF(Q104&lt;&gt;"نعم","",IF(OR(E104="نعم",I104="غير متوفر"),"عالية",IF(O104&gt;=3,"منخفضة","متوسطة")))</f>
        <v/>
      </c>
      <c r="S104" s="30"/>
      <c r="T104" s="30"/>
      <c r="U104" s="27" t="str">
        <f aca="false">IFERROR(INDEX('الإعدادات واللجنة'!$H$22:$H$29,MATCH(C104,'الإعدادات واللجنة'!$B$22:$B$29,0)),"")</f>
        <v>عضو 5</v>
      </c>
      <c r="V104" s="29"/>
      <c r="W104" s="30"/>
    </row>
    <row r="105" customFormat="false" ht="32.8" hidden="false" customHeight="false" outlineLevel="0" collapsed="false">
      <c r="A105" s="31" t="s">
        <v>384</v>
      </c>
      <c r="B105" s="32" t="s">
        <v>144</v>
      </c>
      <c r="C105" s="32" t="s">
        <v>123</v>
      </c>
      <c r="D105" s="32" t="s">
        <v>385</v>
      </c>
      <c r="E105" s="31" t="s">
        <v>185</v>
      </c>
      <c r="F105" s="31" t="n">
        <v>1</v>
      </c>
      <c r="G105" s="32" t="s">
        <v>386</v>
      </c>
      <c r="H105" s="27" t="str">
        <f aca="false">IFERROR(INDEX('الإعدادات واللجنة'!$F$22:$F$29,MATCH(C105,'الإعدادات واللجنة'!$B$22:$B$29,0)),"")</f>
        <v>عضو 6</v>
      </c>
      <c r="I105" s="29"/>
      <c r="J105" s="29"/>
      <c r="K105" s="29"/>
      <c r="L105" s="29"/>
      <c r="M105" s="29"/>
      <c r="N105" s="29"/>
      <c r="O105" s="27" t="str">
        <f aca="false">IF(I105="","",IF(I105="غير متوفر",0,COUNTIF(J105:N105,"نعم")))</f>
        <v/>
      </c>
      <c r="P105" s="27" t="str">
        <f aca="false">IF(I105="","لم يُفحص",IF(I105="غير متوفر","غير موجود",IF(AND(O105=5,I105="متوفر"),"مكتمل",IF(O105&gt;=3,"مقبول","ضعيف"))))</f>
        <v>لم يُفحص</v>
      </c>
      <c r="Q105" s="27" t="str">
        <f aca="false">IF(I105="","",IF(AND(I105="متوفر",O105=5),"لا","نعم"))</f>
        <v/>
      </c>
      <c r="R105" s="27" t="str">
        <f aca="false">IF(Q105&lt;&gt;"نعم","",IF(OR(E105="نعم",I105="غير متوفر"),"عالية",IF(O105&gt;=3,"منخفضة","متوسطة")))</f>
        <v/>
      </c>
      <c r="S105" s="30"/>
      <c r="T105" s="30"/>
      <c r="U105" s="27" t="str">
        <f aca="false">IFERROR(INDEX('الإعدادات واللجنة'!$H$22:$H$29,MATCH(C105,'الإعدادات واللجنة'!$B$22:$B$29,0)),"")</f>
        <v>عضو 5</v>
      </c>
      <c r="V105" s="29"/>
      <c r="W105" s="30"/>
    </row>
    <row r="106" customFormat="false" ht="32.8" hidden="false" customHeight="false" outlineLevel="0" collapsed="false">
      <c r="A106" s="31" t="s">
        <v>384</v>
      </c>
      <c r="B106" s="32" t="s">
        <v>144</v>
      </c>
      <c r="C106" s="32" t="s">
        <v>123</v>
      </c>
      <c r="D106" s="32" t="s">
        <v>385</v>
      </c>
      <c r="E106" s="31" t="s">
        <v>185</v>
      </c>
      <c r="F106" s="31" t="n">
        <v>2</v>
      </c>
      <c r="G106" s="32" t="s">
        <v>387</v>
      </c>
      <c r="H106" s="27" t="str">
        <f aca="false">IFERROR(INDEX('الإعدادات واللجنة'!$F$22:$F$29,MATCH(C106,'الإعدادات واللجنة'!$B$22:$B$29,0)),"")</f>
        <v>عضو 6</v>
      </c>
      <c r="I106" s="29"/>
      <c r="J106" s="29"/>
      <c r="K106" s="29"/>
      <c r="L106" s="29"/>
      <c r="M106" s="29"/>
      <c r="N106" s="29"/>
      <c r="O106" s="27" t="str">
        <f aca="false">IF(I106="","",IF(I106="غير متوفر",0,COUNTIF(J106:N106,"نعم")))</f>
        <v/>
      </c>
      <c r="P106" s="27" t="str">
        <f aca="false">IF(I106="","لم يُفحص",IF(I106="غير متوفر","غير موجود",IF(AND(O106=5,I106="متوفر"),"مكتمل",IF(O106&gt;=3,"مقبول","ضعيف"))))</f>
        <v>لم يُفحص</v>
      </c>
      <c r="Q106" s="27" t="str">
        <f aca="false">IF(I106="","",IF(AND(I106="متوفر",O106=5),"لا","نعم"))</f>
        <v/>
      </c>
      <c r="R106" s="27" t="str">
        <f aca="false">IF(Q106&lt;&gt;"نعم","",IF(OR(E106="نعم",I106="غير متوفر"),"عالية",IF(O106&gt;=3,"منخفضة","متوسطة")))</f>
        <v/>
      </c>
      <c r="S106" s="30"/>
      <c r="T106" s="30"/>
      <c r="U106" s="27" t="str">
        <f aca="false">IFERROR(INDEX('الإعدادات واللجنة'!$H$22:$H$29,MATCH(C106,'الإعدادات واللجنة'!$B$22:$B$29,0)),"")</f>
        <v>عضو 5</v>
      </c>
      <c r="V106" s="29"/>
      <c r="W106" s="30"/>
    </row>
    <row r="107" customFormat="false" ht="32.8" hidden="false" customHeight="false" outlineLevel="0" collapsed="false">
      <c r="A107" s="31" t="s">
        <v>388</v>
      </c>
      <c r="B107" s="32" t="s">
        <v>144</v>
      </c>
      <c r="C107" s="32" t="s">
        <v>124</v>
      </c>
      <c r="D107" s="32" t="s">
        <v>389</v>
      </c>
      <c r="E107" s="31" t="s">
        <v>185</v>
      </c>
      <c r="F107" s="31" t="n">
        <v>1</v>
      </c>
      <c r="G107" s="32" t="s">
        <v>390</v>
      </c>
      <c r="H107" s="27" t="str">
        <f aca="false">IFERROR(INDEX('الإعدادات واللجنة'!$F$22:$F$29,MATCH(C107,'الإعدادات واللجنة'!$B$22:$B$29,0)),"")</f>
        <v>عضو 1</v>
      </c>
      <c r="I107" s="29"/>
      <c r="J107" s="29"/>
      <c r="K107" s="29"/>
      <c r="L107" s="29"/>
      <c r="M107" s="29"/>
      <c r="N107" s="29"/>
      <c r="O107" s="27" t="str">
        <f aca="false">IF(I107="","",IF(I107="غير متوفر",0,COUNTIF(J107:N107,"نعم")))</f>
        <v/>
      </c>
      <c r="P107" s="27" t="str">
        <f aca="false">IF(I107="","لم يُفحص",IF(I107="غير متوفر","غير موجود",IF(AND(O107=5,I107="متوفر"),"مكتمل",IF(O107&gt;=3,"مقبول","ضعيف"))))</f>
        <v>لم يُفحص</v>
      </c>
      <c r="Q107" s="27" t="str">
        <f aca="false">IF(I107="","",IF(AND(I107="متوفر",O107=5),"لا","نعم"))</f>
        <v/>
      </c>
      <c r="R107" s="27" t="str">
        <f aca="false">IF(Q107&lt;&gt;"نعم","",IF(OR(E107="نعم",I107="غير متوفر"),"عالية",IF(O107&gt;=3,"منخفضة","متوسطة")))</f>
        <v/>
      </c>
      <c r="S107" s="30"/>
      <c r="T107" s="30"/>
      <c r="U107" s="27" t="str">
        <f aca="false">IFERROR(INDEX('الإعدادات واللجنة'!$H$22:$H$29,MATCH(C107,'الإعدادات واللجنة'!$B$22:$B$29,0)),"")</f>
        <v>عضو 6</v>
      </c>
      <c r="V107" s="29"/>
      <c r="W107" s="30"/>
    </row>
    <row r="108" customFormat="false" ht="32.8" hidden="false" customHeight="false" outlineLevel="0" collapsed="false">
      <c r="A108" s="31" t="s">
        <v>388</v>
      </c>
      <c r="B108" s="32" t="s">
        <v>144</v>
      </c>
      <c r="C108" s="32" t="s">
        <v>124</v>
      </c>
      <c r="D108" s="32" t="s">
        <v>389</v>
      </c>
      <c r="E108" s="31" t="s">
        <v>185</v>
      </c>
      <c r="F108" s="31" t="n">
        <v>2</v>
      </c>
      <c r="G108" s="32" t="s">
        <v>391</v>
      </c>
      <c r="H108" s="27" t="str">
        <f aca="false">IFERROR(INDEX('الإعدادات واللجنة'!$F$22:$F$29,MATCH(C108,'الإعدادات واللجنة'!$B$22:$B$29,0)),"")</f>
        <v>عضو 1</v>
      </c>
      <c r="I108" s="29"/>
      <c r="J108" s="29"/>
      <c r="K108" s="29"/>
      <c r="L108" s="29"/>
      <c r="M108" s="29"/>
      <c r="N108" s="29"/>
      <c r="O108" s="27" t="str">
        <f aca="false">IF(I108="","",IF(I108="غير متوفر",0,COUNTIF(J108:N108,"نعم")))</f>
        <v/>
      </c>
      <c r="P108" s="27" t="str">
        <f aca="false">IF(I108="","لم يُفحص",IF(I108="غير متوفر","غير موجود",IF(AND(O108=5,I108="متوفر"),"مكتمل",IF(O108&gt;=3,"مقبول","ضعيف"))))</f>
        <v>لم يُفحص</v>
      </c>
      <c r="Q108" s="27" t="str">
        <f aca="false">IF(I108="","",IF(AND(I108="متوفر",O108=5),"لا","نعم"))</f>
        <v/>
      </c>
      <c r="R108" s="27" t="str">
        <f aca="false">IF(Q108&lt;&gt;"نعم","",IF(OR(E108="نعم",I108="غير متوفر"),"عالية",IF(O108&gt;=3,"منخفضة","متوسطة")))</f>
        <v/>
      </c>
      <c r="S108" s="30"/>
      <c r="T108" s="30"/>
      <c r="U108" s="27" t="str">
        <f aca="false">IFERROR(INDEX('الإعدادات واللجنة'!$H$22:$H$29,MATCH(C108,'الإعدادات واللجنة'!$B$22:$B$29,0)),"")</f>
        <v>عضو 6</v>
      </c>
      <c r="V108" s="29"/>
      <c r="W108" s="30"/>
    </row>
    <row r="109" customFormat="false" ht="32.8" hidden="false" customHeight="false" outlineLevel="0" collapsed="false">
      <c r="A109" s="31" t="s">
        <v>388</v>
      </c>
      <c r="B109" s="32" t="s">
        <v>144</v>
      </c>
      <c r="C109" s="32" t="s">
        <v>124</v>
      </c>
      <c r="D109" s="32" t="s">
        <v>389</v>
      </c>
      <c r="E109" s="31" t="s">
        <v>185</v>
      </c>
      <c r="F109" s="31" t="n">
        <v>3</v>
      </c>
      <c r="G109" s="32" t="s">
        <v>392</v>
      </c>
      <c r="H109" s="27" t="str">
        <f aca="false">IFERROR(INDEX('الإعدادات واللجنة'!$F$22:$F$29,MATCH(C109,'الإعدادات واللجنة'!$B$22:$B$29,0)),"")</f>
        <v>عضو 1</v>
      </c>
      <c r="I109" s="29"/>
      <c r="J109" s="29"/>
      <c r="K109" s="29"/>
      <c r="L109" s="29"/>
      <c r="M109" s="29"/>
      <c r="N109" s="29"/>
      <c r="O109" s="27" t="str">
        <f aca="false">IF(I109="","",IF(I109="غير متوفر",0,COUNTIF(J109:N109,"نعم")))</f>
        <v/>
      </c>
      <c r="P109" s="27" t="str">
        <f aca="false">IF(I109="","لم يُفحص",IF(I109="غير متوفر","غير موجود",IF(AND(O109=5,I109="متوفر"),"مكتمل",IF(O109&gt;=3,"مقبول","ضعيف"))))</f>
        <v>لم يُفحص</v>
      </c>
      <c r="Q109" s="27" t="str">
        <f aca="false">IF(I109="","",IF(AND(I109="متوفر",O109=5),"لا","نعم"))</f>
        <v/>
      </c>
      <c r="R109" s="27" t="str">
        <f aca="false">IF(Q109&lt;&gt;"نعم","",IF(OR(E109="نعم",I109="غير متوفر"),"عالية",IF(O109&gt;=3,"منخفضة","متوسطة")))</f>
        <v/>
      </c>
      <c r="S109" s="30"/>
      <c r="T109" s="30"/>
      <c r="U109" s="27" t="str">
        <f aca="false">IFERROR(INDEX('الإعدادات واللجنة'!$H$22:$H$29,MATCH(C109,'الإعدادات واللجنة'!$B$22:$B$29,0)),"")</f>
        <v>عضو 6</v>
      </c>
      <c r="V109" s="29"/>
      <c r="W109" s="30"/>
    </row>
    <row r="110" customFormat="false" ht="32.8" hidden="false" customHeight="false" outlineLevel="0" collapsed="false">
      <c r="A110" s="31" t="s">
        <v>388</v>
      </c>
      <c r="B110" s="32" t="s">
        <v>144</v>
      </c>
      <c r="C110" s="32" t="s">
        <v>124</v>
      </c>
      <c r="D110" s="32" t="s">
        <v>389</v>
      </c>
      <c r="E110" s="31" t="s">
        <v>185</v>
      </c>
      <c r="F110" s="31" t="n">
        <v>4</v>
      </c>
      <c r="G110" s="32" t="s">
        <v>393</v>
      </c>
      <c r="H110" s="27" t="str">
        <f aca="false">IFERROR(INDEX('الإعدادات واللجنة'!$F$22:$F$29,MATCH(C110,'الإعدادات واللجنة'!$B$22:$B$29,0)),"")</f>
        <v>عضو 1</v>
      </c>
      <c r="I110" s="29"/>
      <c r="J110" s="29"/>
      <c r="K110" s="29"/>
      <c r="L110" s="29"/>
      <c r="M110" s="29"/>
      <c r="N110" s="29"/>
      <c r="O110" s="27" t="str">
        <f aca="false">IF(I110="","",IF(I110="غير متوفر",0,COUNTIF(J110:N110,"نعم")))</f>
        <v/>
      </c>
      <c r="P110" s="27" t="str">
        <f aca="false">IF(I110="","لم يُفحص",IF(I110="غير متوفر","غير موجود",IF(AND(O110=5,I110="متوفر"),"مكتمل",IF(O110&gt;=3,"مقبول","ضعيف"))))</f>
        <v>لم يُفحص</v>
      </c>
      <c r="Q110" s="27" t="str">
        <f aca="false">IF(I110="","",IF(AND(I110="متوفر",O110=5),"لا","نعم"))</f>
        <v/>
      </c>
      <c r="R110" s="27" t="str">
        <f aca="false">IF(Q110&lt;&gt;"نعم","",IF(OR(E110="نعم",I110="غير متوفر"),"عالية",IF(O110&gt;=3,"منخفضة","متوسطة")))</f>
        <v/>
      </c>
      <c r="S110" s="30"/>
      <c r="T110" s="30"/>
      <c r="U110" s="27" t="str">
        <f aca="false">IFERROR(INDEX('الإعدادات واللجنة'!$H$22:$H$29,MATCH(C110,'الإعدادات واللجنة'!$B$22:$B$29,0)),"")</f>
        <v>عضو 6</v>
      </c>
      <c r="V110" s="29"/>
      <c r="W110" s="30"/>
    </row>
    <row r="111" customFormat="false" ht="32.8" hidden="false" customHeight="false" outlineLevel="0" collapsed="false">
      <c r="A111" s="31" t="s">
        <v>388</v>
      </c>
      <c r="B111" s="32" t="s">
        <v>144</v>
      </c>
      <c r="C111" s="32" t="s">
        <v>124</v>
      </c>
      <c r="D111" s="32" t="s">
        <v>389</v>
      </c>
      <c r="E111" s="31" t="s">
        <v>185</v>
      </c>
      <c r="F111" s="31" t="n">
        <v>5</v>
      </c>
      <c r="G111" s="32" t="s">
        <v>394</v>
      </c>
      <c r="H111" s="27" t="str">
        <f aca="false">IFERROR(INDEX('الإعدادات واللجنة'!$F$22:$F$29,MATCH(C111,'الإعدادات واللجنة'!$B$22:$B$29,0)),"")</f>
        <v>عضو 1</v>
      </c>
      <c r="I111" s="29"/>
      <c r="J111" s="29"/>
      <c r="K111" s="29"/>
      <c r="L111" s="29"/>
      <c r="M111" s="29"/>
      <c r="N111" s="29"/>
      <c r="O111" s="27" t="str">
        <f aca="false">IF(I111="","",IF(I111="غير متوفر",0,COUNTIF(J111:N111,"نعم")))</f>
        <v/>
      </c>
      <c r="P111" s="27" t="str">
        <f aca="false">IF(I111="","لم يُفحص",IF(I111="غير متوفر","غير موجود",IF(AND(O111=5,I111="متوفر"),"مكتمل",IF(O111&gt;=3,"مقبول","ضعيف"))))</f>
        <v>لم يُفحص</v>
      </c>
      <c r="Q111" s="27" t="str">
        <f aca="false">IF(I111="","",IF(AND(I111="متوفر",O111=5),"لا","نعم"))</f>
        <v/>
      </c>
      <c r="R111" s="27" t="str">
        <f aca="false">IF(Q111&lt;&gt;"نعم","",IF(OR(E111="نعم",I111="غير متوفر"),"عالية",IF(O111&gt;=3,"منخفضة","متوسطة")))</f>
        <v/>
      </c>
      <c r="S111" s="30"/>
      <c r="T111" s="30"/>
      <c r="U111" s="27" t="str">
        <f aca="false">IFERROR(INDEX('الإعدادات واللجنة'!$H$22:$H$29,MATCH(C111,'الإعدادات واللجنة'!$B$22:$B$29,0)),"")</f>
        <v>عضو 6</v>
      </c>
      <c r="V111" s="29"/>
      <c r="W111" s="30"/>
    </row>
    <row r="112" customFormat="false" ht="32.8" hidden="false" customHeight="false" outlineLevel="0" collapsed="false">
      <c r="A112" s="27" t="s">
        <v>395</v>
      </c>
      <c r="B112" s="28" t="s">
        <v>144</v>
      </c>
      <c r="C112" s="28" t="s">
        <v>124</v>
      </c>
      <c r="D112" s="28" t="s">
        <v>396</v>
      </c>
      <c r="E112" s="27"/>
      <c r="F112" s="27" t="n">
        <v>1</v>
      </c>
      <c r="G112" s="28" t="s">
        <v>397</v>
      </c>
      <c r="H112" s="27" t="str">
        <f aca="false">IFERROR(INDEX('الإعدادات واللجنة'!$F$22:$F$29,MATCH(C112,'الإعدادات واللجنة'!$B$22:$B$29,0)),"")</f>
        <v>عضو 1</v>
      </c>
      <c r="I112" s="29"/>
      <c r="J112" s="29"/>
      <c r="K112" s="29"/>
      <c r="L112" s="29"/>
      <c r="M112" s="29"/>
      <c r="N112" s="29"/>
      <c r="O112" s="27" t="str">
        <f aca="false">IF(I112="","",IF(I112="غير متوفر",0,COUNTIF(J112:N112,"نعم")))</f>
        <v/>
      </c>
      <c r="P112" s="27" t="str">
        <f aca="false">IF(I112="","لم يُفحص",IF(I112="غير متوفر","غير موجود",IF(AND(O112=5,I112="متوفر"),"مكتمل",IF(O112&gt;=3,"مقبول","ضعيف"))))</f>
        <v>لم يُفحص</v>
      </c>
      <c r="Q112" s="27" t="str">
        <f aca="false">IF(I112="","",IF(AND(I112="متوفر",O112=5),"لا","نعم"))</f>
        <v/>
      </c>
      <c r="R112" s="27" t="str">
        <f aca="false">IF(Q112&lt;&gt;"نعم","",IF(OR(E112="نعم",I112="غير متوفر"),"عالية",IF(O112&gt;=3,"منخفضة","متوسطة")))</f>
        <v/>
      </c>
      <c r="S112" s="30"/>
      <c r="T112" s="30"/>
      <c r="U112" s="27" t="str">
        <f aca="false">IFERROR(INDEX('الإعدادات واللجنة'!$H$22:$H$29,MATCH(C112,'الإعدادات واللجنة'!$B$22:$B$29,0)),"")</f>
        <v>عضو 6</v>
      </c>
      <c r="V112" s="29"/>
      <c r="W112" s="30"/>
    </row>
    <row r="113" customFormat="false" ht="32.8" hidden="false" customHeight="false" outlineLevel="0" collapsed="false">
      <c r="A113" s="27" t="s">
        <v>395</v>
      </c>
      <c r="B113" s="28" t="s">
        <v>144</v>
      </c>
      <c r="C113" s="28" t="s">
        <v>124</v>
      </c>
      <c r="D113" s="28" t="s">
        <v>396</v>
      </c>
      <c r="E113" s="27"/>
      <c r="F113" s="27" t="n">
        <v>2</v>
      </c>
      <c r="G113" s="28" t="s">
        <v>398</v>
      </c>
      <c r="H113" s="27" t="str">
        <f aca="false">IFERROR(INDEX('الإعدادات واللجنة'!$F$22:$F$29,MATCH(C113,'الإعدادات واللجنة'!$B$22:$B$29,0)),"")</f>
        <v>عضو 1</v>
      </c>
      <c r="I113" s="29"/>
      <c r="J113" s="29"/>
      <c r="K113" s="29"/>
      <c r="L113" s="29"/>
      <c r="M113" s="29"/>
      <c r="N113" s="29"/>
      <c r="O113" s="27" t="str">
        <f aca="false">IF(I113="","",IF(I113="غير متوفر",0,COUNTIF(J113:N113,"نعم")))</f>
        <v/>
      </c>
      <c r="P113" s="27" t="str">
        <f aca="false">IF(I113="","لم يُفحص",IF(I113="غير متوفر","غير موجود",IF(AND(O113=5,I113="متوفر"),"مكتمل",IF(O113&gt;=3,"مقبول","ضعيف"))))</f>
        <v>لم يُفحص</v>
      </c>
      <c r="Q113" s="27" t="str">
        <f aca="false">IF(I113="","",IF(AND(I113="متوفر",O113=5),"لا","نعم"))</f>
        <v/>
      </c>
      <c r="R113" s="27" t="str">
        <f aca="false">IF(Q113&lt;&gt;"نعم","",IF(OR(E113="نعم",I113="غير متوفر"),"عالية",IF(O113&gt;=3,"منخفضة","متوسطة")))</f>
        <v/>
      </c>
      <c r="S113" s="30"/>
      <c r="T113" s="30"/>
      <c r="U113" s="27" t="str">
        <f aca="false">IFERROR(INDEX('الإعدادات واللجنة'!$H$22:$H$29,MATCH(C113,'الإعدادات واللجنة'!$B$22:$B$29,0)),"")</f>
        <v>عضو 6</v>
      </c>
      <c r="V113" s="29"/>
      <c r="W113" s="30"/>
    </row>
    <row r="114" customFormat="false" ht="32.8" hidden="false" customHeight="false" outlineLevel="0" collapsed="false">
      <c r="A114" s="27" t="s">
        <v>395</v>
      </c>
      <c r="B114" s="28" t="s">
        <v>144</v>
      </c>
      <c r="C114" s="28" t="s">
        <v>124</v>
      </c>
      <c r="D114" s="28" t="s">
        <v>396</v>
      </c>
      <c r="E114" s="27"/>
      <c r="F114" s="27" t="n">
        <v>3</v>
      </c>
      <c r="G114" s="28" t="s">
        <v>399</v>
      </c>
      <c r="H114" s="27" t="str">
        <f aca="false">IFERROR(INDEX('الإعدادات واللجنة'!$F$22:$F$29,MATCH(C114,'الإعدادات واللجنة'!$B$22:$B$29,0)),"")</f>
        <v>عضو 1</v>
      </c>
      <c r="I114" s="29"/>
      <c r="J114" s="29"/>
      <c r="K114" s="29"/>
      <c r="L114" s="29"/>
      <c r="M114" s="29"/>
      <c r="N114" s="29"/>
      <c r="O114" s="27" t="str">
        <f aca="false">IF(I114="","",IF(I114="غير متوفر",0,COUNTIF(J114:N114,"نعم")))</f>
        <v/>
      </c>
      <c r="P114" s="27" t="str">
        <f aca="false">IF(I114="","لم يُفحص",IF(I114="غير متوفر","غير موجود",IF(AND(O114=5,I114="متوفر"),"مكتمل",IF(O114&gt;=3,"مقبول","ضعيف"))))</f>
        <v>لم يُفحص</v>
      </c>
      <c r="Q114" s="27" t="str">
        <f aca="false">IF(I114="","",IF(AND(I114="متوفر",O114=5),"لا","نعم"))</f>
        <v/>
      </c>
      <c r="R114" s="27" t="str">
        <f aca="false">IF(Q114&lt;&gt;"نعم","",IF(OR(E114="نعم",I114="غير متوفر"),"عالية",IF(O114&gt;=3,"منخفضة","متوسطة")))</f>
        <v/>
      </c>
      <c r="S114" s="30"/>
      <c r="T114" s="30"/>
      <c r="U114" s="27" t="str">
        <f aca="false">IFERROR(INDEX('الإعدادات واللجنة'!$H$22:$H$29,MATCH(C114,'الإعدادات واللجنة'!$B$22:$B$29,0)),"")</f>
        <v>عضو 6</v>
      </c>
      <c r="V114" s="29"/>
      <c r="W114" s="30"/>
    </row>
    <row r="115" customFormat="false" ht="32.8" hidden="false" customHeight="false" outlineLevel="0" collapsed="false">
      <c r="A115" s="27" t="s">
        <v>395</v>
      </c>
      <c r="B115" s="28" t="s">
        <v>144</v>
      </c>
      <c r="C115" s="28" t="s">
        <v>124</v>
      </c>
      <c r="D115" s="28" t="s">
        <v>396</v>
      </c>
      <c r="E115" s="27"/>
      <c r="F115" s="27" t="n">
        <v>4</v>
      </c>
      <c r="G115" s="28" t="s">
        <v>400</v>
      </c>
      <c r="H115" s="27" t="str">
        <f aca="false">IFERROR(INDEX('الإعدادات واللجنة'!$F$22:$F$29,MATCH(C115,'الإعدادات واللجنة'!$B$22:$B$29,0)),"")</f>
        <v>عضو 1</v>
      </c>
      <c r="I115" s="29"/>
      <c r="J115" s="29"/>
      <c r="K115" s="29"/>
      <c r="L115" s="29"/>
      <c r="M115" s="29"/>
      <c r="N115" s="29"/>
      <c r="O115" s="27" t="str">
        <f aca="false">IF(I115="","",IF(I115="غير متوفر",0,COUNTIF(J115:N115,"نعم")))</f>
        <v/>
      </c>
      <c r="P115" s="27" t="str">
        <f aca="false">IF(I115="","لم يُفحص",IF(I115="غير متوفر","غير موجود",IF(AND(O115=5,I115="متوفر"),"مكتمل",IF(O115&gt;=3,"مقبول","ضعيف"))))</f>
        <v>لم يُفحص</v>
      </c>
      <c r="Q115" s="27" t="str">
        <f aca="false">IF(I115="","",IF(AND(I115="متوفر",O115=5),"لا","نعم"))</f>
        <v/>
      </c>
      <c r="R115" s="27" t="str">
        <f aca="false">IF(Q115&lt;&gt;"نعم","",IF(OR(E115="نعم",I115="غير متوفر"),"عالية",IF(O115&gt;=3,"منخفضة","متوسطة")))</f>
        <v/>
      </c>
      <c r="S115" s="30"/>
      <c r="T115" s="30"/>
      <c r="U115" s="27" t="str">
        <f aca="false">IFERROR(INDEX('الإعدادات واللجنة'!$H$22:$H$29,MATCH(C115,'الإعدادات واللجنة'!$B$22:$B$29,0)),"")</f>
        <v>عضو 6</v>
      </c>
      <c r="V115" s="29"/>
      <c r="W115" s="30"/>
    </row>
    <row r="116" customFormat="false" ht="32.8" hidden="false" customHeight="false" outlineLevel="0" collapsed="false">
      <c r="A116" s="27" t="s">
        <v>401</v>
      </c>
      <c r="B116" s="28" t="s">
        <v>144</v>
      </c>
      <c r="C116" s="28" t="s">
        <v>124</v>
      </c>
      <c r="D116" s="28" t="s">
        <v>402</v>
      </c>
      <c r="E116" s="27"/>
      <c r="F116" s="27" t="n">
        <v>1</v>
      </c>
      <c r="G116" s="28" t="s">
        <v>403</v>
      </c>
      <c r="H116" s="27" t="str">
        <f aca="false">IFERROR(INDEX('الإعدادات واللجنة'!$F$22:$F$29,MATCH(C116,'الإعدادات واللجنة'!$B$22:$B$29,0)),"")</f>
        <v>عضو 1</v>
      </c>
      <c r="I116" s="29"/>
      <c r="J116" s="29"/>
      <c r="K116" s="29"/>
      <c r="L116" s="29"/>
      <c r="M116" s="29"/>
      <c r="N116" s="29"/>
      <c r="O116" s="27" t="str">
        <f aca="false">IF(I116="","",IF(I116="غير متوفر",0,COUNTIF(J116:N116,"نعم")))</f>
        <v/>
      </c>
      <c r="P116" s="27" t="str">
        <f aca="false">IF(I116="","لم يُفحص",IF(I116="غير متوفر","غير موجود",IF(AND(O116=5,I116="متوفر"),"مكتمل",IF(O116&gt;=3,"مقبول","ضعيف"))))</f>
        <v>لم يُفحص</v>
      </c>
      <c r="Q116" s="27" t="str">
        <f aca="false">IF(I116="","",IF(AND(I116="متوفر",O116=5),"لا","نعم"))</f>
        <v/>
      </c>
      <c r="R116" s="27" t="str">
        <f aca="false">IF(Q116&lt;&gt;"نعم","",IF(OR(E116="نعم",I116="غير متوفر"),"عالية",IF(O116&gt;=3,"منخفضة","متوسطة")))</f>
        <v/>
      </c>
      <c r="S116" s="30"/>
      <c r="T116" s="30"/>
      <c r="U116" s="27" t="str">
        <f aca="false">IFERROR(INDEX('الإعدادات واللجنة'!$H$22:$H$29,MATCH(C116,'الإعدادات واللجنة'!$B$22:$B$29,0)),"")</f>
        <v>عضو 6</v>
      </c>
      <c r="V116" s="29"/>
      <c r="W116" s="30"/>
    </row>
    <row r="117" customFormat="false" ht="32.8" hidden="false" customHeight="false" outlineLevel="0" collapsed="false">
      <c r="A117" s="27" t="s">
        <v>401</v>
      </c>
      <c r="B117" s="28" t="s">
        <v>144</v>
      </c>
      <c r="C117" s="28" t="s">
        <v>124</v>
      </c>
      <c r="D117" s="28" t="s">
        <v>402</v>
      </c>
      <c r="E117" s="27"/>
      <c r="F117" s="27" t="n">
        <v>2</v>
      </c>
      <c r="G117" s="28" t="s">
        <v>404</v>
      </c>
      <c r="H117" s="27" t="str">
        <f aca="false">IFERROR(INDEX('الإعدادات واللجنة'!$F$22:$F$29,MATCH(C117,'الإعدادات واللجنة'!$B$22:$B$29,0)),"")</f>
        <v>عضو 1</v>
      </c>
      <c r="I117" s="29"/>
      <c r="J117" s="29"/>
      <c r="K117" s="29"/>
      <c r="L117" s="29"/>
      <c r="M117" s="29"/>
      <c r="N117" s="29"/>
      <c r="O117" s="27" t="str">
        <f aca="false">IF(I117="","",IF(I117="غير متوفر",0,COUNTIF(J117:N117,"نعم")))</f>
        <v/>
      </c>
      <c r="P117" s="27" t="str">
        <f aca="false">IF(I117="","لم يُفحص",IF(I117="غير متوفر","غير موجود",IF(AND(O117=5,I117="متوفر"),"مكتمل",IF(O117&gt;=3,"مقبول","ضعيف"))))</f>
        <v>لم يُفحص</v>
      </c>
      <c r="Q117" s="27" t="str">
        <f aca="false">IF(I117="","",IF(AND(I117="متوفر",O117=5),"لا","نعم"))</f>
        <v/>
      </c>
      <c r="R117" s="27" t="str">
        <f aca="false">IF(Q117&lt;&gt;"نعم","",IF(OR(E117="نعم",I117="غير متوفر"),"عالية",IF(O117&gt;=3,"منخفضة","متوسطة")))</f>
        <v/>
      </c>
      <c r="S117" s="30"/>
      <c r="T117" s="30"/>
      <c r="U117" s="27" t="str">
        <f aca="false">IFERROR(INDEX('الإعدادات واللجنة'!$H$22:$H$29,MATCH(C117,'الإعدادات واللجنة'!$B$22:$B$29,0)),"")</f>
        <v>عضو 6</v>
      </c>
      <c r="V117" s="29"/>
      <c r="W117" s="30"/>
    </row>
    <row r="118" customFormat="false" ht="32.8" hidden="false" customHeight="false" outlineLevel="0" collapsed="false">
      <c r="A118" s="27" t="s">
        <v>401</v>
      </c>
      <c r="B118" s="28" t="s">
        <v>144</v>
      </c>
      <c r="C118" s="28" t="s">
        <v>124</v>
      </c>
      <c r="D118" s="28" t="s">
        <v>402</v>
      </c>
      <c r="E118" s="27"/>
      <c r="F118" s="27" t="n">
        <v>3</v>
      </c>
      <c r="G118" s="28" t="s">
        <v>405</v>
      </c>
      <c r="H118" s="27" t="str">
        <f aca="false">IFERROR(INDEX('الإعدادات واللجنة'!$F$22:$F$29,MATCH(C118,'الإعدادات واللجنة'!$B$22:$B$29,0)),"")</f>
        <v>عضو 1</v>
      </c>
      <c r="I118" s="29"/>
      <c r="J118" s="29"/>
      <c r="K118" s="29"/>
      <c r="L118" s="29"/>
      <c r="M118" s="29"/>
      <c r="N118" s="29"/>
      <c r="O118" s="27" t="str">
        <f aca="false">IF(I118="","",IF(I118="غير متوفر",0,COUNTIF(J118:N118,"نعم")))</f>
        <v/>
      </c>
      <c r="P118" s="27" t="str">
        <f aca="false">IF(I118="","لم يُفحص",IF(I118="غير متوفر","غير موجود",IF(AND(O118=5,I118="متوفر"),"مكتمل",IF(O118&gt;=3,"مقبول","ضعيف"))))</f>
        <v>لم يُفحص</v>
      </c>
      <c r="Q118" s="27" t="str">
        <f aca="false">IF(I118="","",IF(AND(I118="متوفر",O118=5),"لا","نعم"))</f>
        <v/>
      </c>
      <c r="R118" s="27" t="str">
        <f aca="false">IF(Q118&lt;&gt;"نعم","",IF(OR(E118="نعم",I118="غير متوفر"),"عالية",IF(O118&gt;=3,"منخفضة","متوسطة")))</f>
        <v/>
      </c>
      <c r="S118" s="30"/>
      <c r="T118" s="30"/>
      <c r="U118" s="27" t="str">
        <f aca="false">IFERROR(INDEX('الإعدادات واللجنة'!$H$22:$H$29,MATCH(C118,'الإعدادات واللجنة'!$B$22:$B$29,0)),"")</f>
        <v>عضو 6</v>
      </c>
      <c r="V118" s="29"/>
      <c r="W118" s="30"/>
    </row>
    <row r="119" customFormat="false" ht="22.35" hidden="false" customHeight="false" outlineLevel="0" collapsed="false">
      <c r="A119" s="27" t="s">
        <v>406</v>
      </c>
      <c r="B119" s="28" t="s">
        <v>144</v>
      </c>
      <c r="C119" s="28" t="s">
        <v>124</v>
      </c>
      <c r="D119" s="28" t="s">
        <v>407</v>
      </c>
      <c r="E119" s="27"/>
      <c r="F119" s="27" t="n">
        <v>1</v>
      </c>
      <c r="G119" s="28" t="s">
        <v>408</v>
      </c>
      <c r="H119" s="27" t="str">
        <f aca="false">IFERROR(INDEX('الإعدادات واللجنة'!$F$22:$F$29,MATCH(C119,'الإعدادات واللجنة'!$B$22:$B$29,0)),"")</f>
        <v>عضو 1</v>
      </c>
      <c r="I119" s="29"/>
      <c r="J119" s="29"/>
      <c r="K119" s="29"/>
      <c r="L119" s="29"/>
      <c r="M119" s="29"/>
      <c r="N119" s="29"/>
      <c r="O119" s="27" t="str">
        <f aca="false">IF(I119="","",IF(I119="غير متوفر",0,COUNTIF(J119:N119,"نعم")))</f>
        <v/>
      </c>
      <c r="P119" s="27" t="str">
        <f aca="false">IF(I119="","لم يُفحص",IF(I119="غير متوفر","غير موجود",IF(AND(O119=5,I119="متوفر"),"مكتمل",IF(O119&gt;=3,"مقبول","ضعيف"))))</f>
        <v>لم يُفحص</v>
      </c>
      <c r="Q119" s="27" t="str">
        <f aca="false">IF(I119="","",IF(AND(I119="متوفر",O119=5),"لا","نعم"))</f>
        <v/>
      </c>
      <c r="R119" s="27" t="str">
        <f aca="false">IF(Q119&lt;&gt;"نعم","",IF(OR(E119="نعم",I119="غير متوفر"),"عالية",IF(O119&gt;=3,"منخفضة","متوسطة")))</f>
        <v/>
      </c>
      <c r="S119" s="30"/>
      <c r="T119" s="30"/>
      <c r="U119" s="27" t="str">
        <f aca="false">IFERROR(INDEX('الإعدادات واللجنة'!$H$22:$H$29,MATCH(C119,'الإعدادات واللجنة'!$B$22:$B$29,0)),"")</f>
        <v>عضو 6</v>
      </c>
      <c r="V119" s="29"/>
      <c r="W119" s="30"/>
    </row>
    <row r="120" customFormat="false" ht="22.35" hidden="false" customHeight="false" outlineLevel="0" collapsed="false">
      <c r="A120" s="27" t="s">
        <v>406</v>
      </c>
      <c r="B120" s="28" t="s">
        <v>144</v>
      </c>
      <c r="C120" s="28" t="s">
        <v>124</v>
      </c>
      <c r="D120" s="28" t="s">
        <v>407</v>
      </c>
      <c r="E120" s="27"/>
      <c r="F120" s="27" t="n">
        <v>2</v>
      </c>
      <c r="G120" s="28" t="s">
        <v>409</v>
      </c>
      <c r="H120" s="27" t="str">
        <f aca="false">IFERROR(INDEX('الإعدادات واللجنة'!$F$22:$F$29,MATCH(C120,'الإعدادات واللجنة'!$B$22:$B$29,0)),"")</f>
        <v>عضو 1</v>
      </c>
      <c r="I120" s="29"/>
      <c r="J120" s="29"/>
      <c r="K120" s="29"/>
      <c r="L120" s="29"/>
      <c r="M120" s="29"/>
      <c r="N120" s="29"/>
      <c r="O120" s="27" t="str">
        <f aca="false">IF(I120="","",IF(I120="غير متوفر",0,COUNTIF(J120:N120,"نعم")))</f>
        <v/>
      </c>
      <c r="P120" s="27" t="str">
        <f aca="false">IF(I120="","لم يُفحص",IF(I120="غير متوفر","غير موجود",IF(AND(O120=5,I120="متوفر"),"مكتمل",IF(O120&gt;=3,"مقبول","ضعيف"))))</f>
        <v>لم يُفحص</v>
      </c>
      <c r="Q120" s="27" t="str">
        <f aca="false">IF(I120="","",IF(AND(I120="متوفر",O120=5),"لا","نعم"))</f>
        <v/>
      </c>
      <c r="R120" s="27" t="str">
        <f aca="false">IF(Q120&lt;&gt;"نعم","",IF(OR(E120="نعم",I120="غير متوفر"),"عالية",IF(O120&gt;=3,"منخفضة","متوسطة")))</f>
        <v/>
      </c>
      <c r="S120" s="30"/>
      <c r="T120" s="30"/>
      <c r="U120" s="27" t="str">
        <f aca="false">IFERROR(INDEX('الإعدادات واللجنة'!$H$22:$H$29,MATCH(C120,'الإعدادات واللجنة'!$B$22:$B$29,0)),"")</f>
        <v>عضو 6</v>
      </c>
      <c r="V120" s="29"/>
      <c r="W120" s="30"/>
    </row>
    <row r="121" customFormat="false" ht="22.35" hidden="false" customHeight="false" outlineLevel="0" collapsed="false">
      <c r="A121" s="27" t="s">
        <v>406</v>
      </c>
      <c r="B121" s="28" t="s">
        <v>144</v>
      </c>
      <c r="C121" s="28" t="s">
        <v>124</v>
      </c>
      <c r="D121" s="28" t="s">
        <v>407</v>
      </c>
      <c r="E121" s="27"/>
      <c r="F121" s="27" t="n">
        <v>3</v>
      </c>
      <c r="G121" s="28" t="s">
        <v>410</v>
      </c>
      <c r="H121" s="27" t="str">
        <f aca="false">IFERROR(INDEX('الإعدادات واللجنة'!$F$22:$F$29,MATCH(C121,'الإعدادات واللجنة'!$B$22:$B$29,0)),"")</f>
        <v>عضو 1</v>
      </c>
      <c r="I121" s="29"/>
      <c r="J121" s="29"/>
      <c r="K121" s="29"/>
      <c r="L121" s="29"/>
      <c r="M121" s="29"/>
      <c r="N121" s="29"/>
      <c r="O121" s="27" t="str">
        <f aca="false">IF(I121="","",IF(I121="غير متوفر",0,COUNTIF(J121:N121,"نعم")))</f>
        <v/>
      </c>
      <c r="P121" s="27" t="str">
        <f aca="false">IF(I121="","لم يُفحص",IF(I121="غير متوفر","غير موجود",IF(AND(O121=5,I121="متوفر"),"مكتمل",IF(O121&gt;=3,"مقبول","ضعيف"))))</f>
        <v>لم يُفحص</v>
      </c>
      <c r="Q121" s="27" t="str">
        <f aca="false">IF(I121="","",IF(AND(I121="متوفر",O121=5),"لا","نعم"))</f>
        <v/>
      </c>
      <c r="R121" s="27" t="str">
        <f aca="false">IF(Q121&lt;&gt;"نعم","",IF(OR(E121="نعم",I121="غير متوفر"),"عالية",IF(O121&gt;=3,"منخفضة","متوسطة")))</f>
        <v/>
      </c>
      <c r="S121" s="30"/>
      <c r="T121" s="30"/>
      <c r="U121" s="27" t="str">
        <f aca="false">IFERROR(INDEX('الإعدادات واللجنة'!$H$22:$H$29,MATCH(C121,'الإعدادات واللجنة'!$B$22:$B$29,0)),"")</f>
        <v>عضو 6</v>
      </c>
      <c r="V121" s="29"/>
      <c r="W121" s="30"/>
    </row>
    <row r="122" customFormat="false" ht="22.35" hidden="false" customHeight="false" outlineLevel="0" collapsed="false">
      <c r="A122" s="27" t="s">
        <v>411</v>
      </c>
      <c r="B122" s="28" t="s">
        <v>144</v>
      </c>
      <c r="C122" s="28" t="s">
        <v>124</v>
      </c>
      <c r="D122" s="28" t="s">
        <v>412</v>
      </c>
      <c r="E122" s="27"/>
      <c r="F122" s="27" t="n">
        <v>1</v>
      </c>
      <c r="G122" s="28" t="s">
        <v>413</v>
      </c>
      <c r="H122" s="27" t="str">
        <f aca="false">IFERROR(INDEX('الإعدادات واللجنة'!$F$22:$F$29,MATCH(C122,'الإعدادات واللجنة'!$B$22:$B$29,0)),"")</f>
        <v>عضو 1</v>
      </c>
      <c r="I122" s="29"/>
      <c r="J122" s="29"/>
      <c r="K122" s="29"/>
      <c r="L122" s="29"/>
      <c r="M122" s="29"/>
      <c r="N122" s="29"/>
      <c r="O122" s="27" t="str">
        <f aca="false">IF(I122="","",IF(I122="غير متوفر",0,COUNTIF(J122:N122,"نعم")))</f>
        <v/>
      </c>
      <c r="P122" s="27" t="str">
        <f aca="false">IF(I122="","لم يُفحص",IF(I122="غير متوفر","غير موجود",IF(AND(O122=5,I122="متوفر"),"مكتمل",IF(O122&gt;=3,"مقبول","ضعيف"))))</f>
        <v>لم يُفحص</v>
      </c>
      <c r="Q122" s="27" t="str">
        <f aca="false">IF(I122="","",IF(AND(I122="متوفر",O122=5),"لا","نعم"))</f>
        <v/>
      </c>
      <c r="R122" s="27" t="str">
        <f aca="false">IF(Q122&lt;&gt;"نعم","",IF(OR(E122="نعم",I122="غير متوفر"),"عالية",IF(O122&gt;=3,"منخفضة","متوسطة")))</f>
        <v/>
      </c>
      <c r="S122" s="30"/>
      <c r="T122" s="30"/>
      <c r="U122" s="27" t="str">
        <f aca="false">IFERROR(INDEX('الإعدادات واللجنة'!$H$22:$H$29,MATCH(C122,'الإعدادات واللجنة'!$B$22:$B$29,0)),"")</f>
        <v>عضو 6</v>
      </c>
      <c r="V122" s="29"/>
      <c r="W122" s="30"/>
    </row>
    <row r="123" customFormat="false" ht="22.35" hidden="false" customHeight="false" outlineLevel="0" collapsed="false">
      <c r="A123" s="27" t="s">
        <v>411</v>
      </c>
      <c r="B123" s="28" t="s">
        <v>144</v>
      </c>
      <c r="C123" s="28" t="s">
        <v>124</v>
      </c>
      <c r="D123" s="28" t="s">
        <v>412</v>
      </c>
      <c r="E123" s="27"/>
      <c r="F123" s="27" t="n">
        <v>2</v>
      </c>
      <c r="G123" s="28" t="s">
        <v>414</v>
      </c>
      <c r="H123" s="27" t="str">
        <f aca="false">IFERROR(INDEX('الإعدادات واللجنة'!$F$22:$F$29,MATCH(C123,'الإعدادات واللجنة'!$B$22:$B$29,0)),"")</f>
        <v>عضو 1</v>
      </c>
      <c r="I123" s="29"/>
      <c r="J123" s="29"/>
      <c r="K123" s="29"/>
      <c r="L123" s="29"/>
      <c r="M123" s="29"/>
      <c r="N123" s="29"/>
      <c r="O123" s="27" t="str">
        <f aca="false">IF(I123="","",IF(I123="غير متوفر",0,COUNTIF(J123:N123,"نعم")))</f>
        <v/>
      </c>
      <c r="P123" s="27" t="str">
        <f aca="false">IF(I123="","لم يُفحص",IF(I123="غير متوفر","غير موجود",IF(AND(O123=5,I123="متوفر"),"مكتمل",IF(O123&gt;=3,"مقبول","ضعيف"))))</f>
        <v>لم يُفحص</v>
      </c>
      <c r="Q123" s="27" t="str">
        <f aca="false">IF(I123="","",IF(AND(I123="متوفر",O123=5),"لا","نعم"))</f>
        <v/>
      </c>
      <c r="R123" s="27" t="str">
        <f aca="false">IF(Q123&lt;&gt;"نعم","",IF(OR(E123="نعم",I123="غير متوفر"),"عالية",IF(O123&gt;=3,"منخفضة","متوسطة")))</f>
        <v/>
      </c>
      <c r="S123" s="30"/>
      <c r="T123" s="30"/>
      <c r="U123" s="27" t="str">
        <f aca="false">IFERROR(INDEX('الإعدادات واللجنة'!$H$22:$H$29,MATCH(C123,'الإعدادات واللجنة'!$B$22:$B$29,0)),"")</f>
        <v>عضو 6</v>
      </c>
      <c r="V123" s="29"/>
      <c r="W123" s="30"/>
    </row>
    <row r="124" customFormat="false" ht="22.35" hidden="false" customHeight="false" outlineLevel="0" collapsed="false">
      <c r="A124" s="27" t="s">
        <v>411</v>
      </c>
      <c r="B124" s="28" t="s">
        <v>144</v>
      </c>
      <c r="C124" s="28" t="s">
        <v>124</v>
      </c>
      <c r="D124" s="28" t="s">
        <v>412</v>
      </c>
      <c r="E124" s="27"/>
      <c r="F124" s="27" t="n">
        <v>3</v>
      </c>
      <c r="G124" s="28" t="s">
        <v>415</v>
      </c>
      <c r="H124" s="27" t="str">
        <f aca="false">IFERROR(INDEX('الإعدادات واللجنة'!$F$22:$F$29,MATCH(C124,'الإعدادات واللجنة'!$B$22:$B$29,0)),"")</f>
        <v>عضو 1</v>
      </c>
      <c r="I124" s="29"/>
      <c r="J124" s="29"/>
      <c r="K124" s="29"/>
      <c r="L124" s="29"/>
      <c r="M124" s="29"/>
      <c r="N124" s="29"/>
      <c r="O124" s="27" t="str">
        <f aca="false">IF(I124="","",IF(I124="غير متوفر",0,COUNTIF(J124:N124,"نعم")))</f>
        <v/>
      </c>
      <c r="P124" s="27" t="str">
        <f aca="false">IF(I124="","لم يُفحص",IF(I124="غير متوفر","غير موجود",IF(AND(O124=5,I124="متوفر"),"مكتمل",IF(O124&gt;=3,"مقبول","ضعيف"))))</f>
        <v>لم يُفحص</v>
      </c>
      <c r="Q124" s="27" t="str">
        <f aca="false">IF(I124="","",IF(AND(I124="متوفر",O124=5),"لا","نعم"))</f>
        <v/>
      </c>
      <c r="R124" s="27" t="str">
        <f aca="false">IF(Q124&lt;&gt;"نعم","",IF(OR(E124="نعم",I124="غير متوفر"),"عالية",IF(O124&gt;=3,"منخفضة","متوسطة")))</f>
        <v/>
      </c>
      <c r="S124" s="30"/>
      <c r="T124" s="30"/>
      <c r="U124" s="27" t="str">
        <f aca="false">IFERROR(INDEX('الإعدادات واللجنة'!$H$22:$H$29,MATCH(C124,'الإعدادات واللجنة'!$B$22:$B$29,0)),"")</f>
        <v>عضو 6</v>
      </c>
      <c r="V124" s="29"/>
      <c r="W124" s="30"/>
    </row>
    <row r="125" customFormat="false" ht="22.35" hidden="false" customHeight="false" outlineLevel="0" collapsed="false">
      <c r="A125" s="27" t="s">
        <v>411</v>
      </c>
      <c r="B125" s="28" t="s">
        <v>144</v>
      </c>
      <c r="C125" s="28" t="s">
        <v>124</v>
      </c>
      <c r="D125" s="28" t="s">
        <v>412</v>
      </c>
      <c r="E125" s="27"/>
      <c r="F125" s="27" t="n">
        <v>4</v>
      </c>
      <c r="G125" s="28" t="s">
        <v>416</v>
      </c>
      <c r="H125" s="27" t="str">
        <f aca="false">IFERROR(INDEX('الإعدادات واللجنة'!$F$22:$F$29,MATCH(C125,'الإعدادات واللجنة'!$B$22:$B$29,0)),"")</f>
        <v>عضو 1</v>
      </c>
      <c r="I125" s="29"/>
      <c r="J125" s="29"/>
      <c r="K125" s="29"/>
      <c r="L125" s="29"/>
      <c r="M125" s="29"/>
      <c r="N125" s="29"/>
      <c r="O125" s="27" t="str">
        <f aca="false">IF(I125="","",IF(I125="غير متوفر",0,COUNTIF(J125:N125,"نعم")))</f>
        <v/>
      </c>
      <c r="P125" s="27" t="str">
        <f aca="false">IF(I125="","لم يُفحص",IF(I125="غير متوفر","غير موجود",IF(AND(O125=5,I125="متوفر"),"مكتمل",IF(O125&gt;=3,"مقبول","ضعيف"))))</f>
        <v>لم يُفحص</v>
      </c>
      <c r="Q125" s="27" t="str">
        <f aca="false">IF(I125="","",IF(AND(I125="متوفر",O125=5),"لا","نعم"))</f>
        <v/>
      </c>
      <c r="R125" s="27" t="str">
        <f aca="false">IF(Q125&lt;&gt;"نعم","",IF(OR(E125="نعم",I125="غير متوفر"),"عالية",IF(O125&gt;=3,"منخفضة","متوسطة")))</f>
        <v/>
      </c>
      <c r="S125" s="30"/>
      <c r="T125" s="30"/>
      <c r="U125" s="27" t="str">
        <f aca="false">IFERROR(INDEX('الإعدادات واللجنة'!$H$22:$H$29,MATCH(C125,'الإعدادات واللجنة'!$B$22:$B$29,0)),"")</f>
        <v>عضو 6</v>
      </c>
      <c r="V125" s="29"/>
      <c r="W125" s="30"/>
    </row>
    <row r="126" customFormat="false" ht="22.35" hidden="false" customHeight="false" outlineLevel="0" collapsed="false">
      <c r="A126" s="27" t="s">
        <v>411</v>
      </c>
      <c r="B126" s="28" t="s">
        <v>144</v>
      </c>
      <c r="C126" s="28" t="s">
        <v>124</v>
      </c>
      <c r="D126" s="28" t="s">
        <v>412</v>
      </c>
      <c r="E126" s="27"/>
      <c r="F126" s="27" t="n">
        <v>5</v>
      </c>
      <c r="G126" s="28" t="s">
        <v>417</v>
      </c>
      <c r="H126" s="27" t="str">
        <f aca="false">IFERROR(INDEX('الإعدادات واللجنة'!$F$22:$F$29,MATCH(C126,'الإعدادات واللجنة'!$B$22:$B$29,0)),"")</f>
        <v>عضو 1</v>
      </c>
      <c r="I126" s="29"/>
      <c r="J126" s="29"/>
      <c r="K126" s="29"/>
      <c r="L126" s="29"/>
      <c r="M126" s="29"/>
      <c r="N126" s="29"/>
      <c r="O126" s="27" t="str">
        <f aca="false">IF(I126="","",IF(I126="غير متوفر",0,COUNTIF(J126:N126,"نعم")))</f>
        <v/>
      </c>
      <c r="P126" s="27" t="str">
        <f aca="false">IF(I126="","لم يُفحص",IF(I126="غير متوفر","غير موجود",IF(AND(O126=5,I126="متوفر"),"مكتمل",IF(O126&gt;=3,"مقبول","ضعيف"))))</f>
        <v>لم يُفحص</v>
      </c>
      <c r="Q126" s="27" t="str">
        <f aca="false">IF(I126="","",IF(AND(I126="متوفر",O126=5),"لا","نعم"))</f>
        <v/>
      </c>
      <c r="R126" s="27" t="str">
        <f aca="false">IF(Q126&lt;&gt;"نعم","",IF(OR(E126="نعم",I126="غير متوفر"),"عالية",IF(O126&gt;=3,"منخفضة","متوسطة")))</f>
        <v/>
      </c>
      <c r="S126" s="30"/>
      <c r="T126" s="30"/>
      <c r="U126" s="27" t="str">
        <f aca="false">IFERROR(INDEX('الإعدادات واللجنة'!$H$22:$H$29,MATCH(C126,'الإعدادات واللجنة'!$B$22:$B$29,0)),"")</f>
        <v>عضو 6</v>
      </c>
      <c r="V126" s="29"/>
      <c r="W126" s="30"/>
    </row>
    <row r="127" customFormat="false" ht="32.8" hidden="false" customHeight="false" outlineLevel="0" collapsed="false">
      <c r="A127" s="31" t="s">
        <v>418</v>
      </c>
      <c r="B127" s="32" t="s">
        <v>144</v>
      </c>
      <c r="C127" s="32" t="s">
        <v>124</v>
      </c>
      <c r="D127" s="32" t="s">
        <v>419</v>
      </c>
      <c r="E127" s="31" t="s">
        <v>185</v>
      </c>
      <c r="F127" s="31" t="n">
        <v>1</v>
      </c>
      <c r="G127" s="32" t="s">
        <v>420</v>
      </c>
      <c r="H127" s="27" t="str">
        <f aca="false">IFERROR(INDEX('الإعدادات واللجنة'!$F$22:$F$29,MATCH(C127,'الإعدادات واللجنة'!$B$22:$B$29,0)),"")</f>
        <v>عضو 1</v>
      </c>
      <c r="I127" s="29"/>
      <c r="J127" s="29"/>
      <c r="K127" s="29"/>
      <c r="L127" s="29"/>
      <c r="M127" s="29"/>
      <c r="N127" s="29"/>
      <c r="O127" s="27" t="str">
        <f aca="false">IF(I127="","",IF(I127="غير متوفر",0,COUNTIF(J127:N127,"نعم")))</f>
        <v/>
      </c>
      <c r="P127" s="27" t="str">
        <f aca="false">IF(I127="","لم يُفحص",IF(I127="غير متوفر","غير موجود",IF(AND(O127=5,I127="متوفر"),"مكتمل",IF(O127&gt;=3,"مقبول","ضعيف"))))</f>
        <v>لم يُفحص</v>
      </c>
      <c r="Q127" s="27" t="str">
        <f aca="false">IF(I127="","",IF(AND(I127="متوفر",O127=5),"لا","نعم"))</f>
        <v/>
      </c>
      <c r="R127" s="27" t="str">
        <f aca="false">IF(Q127&lt;&gt;"نعم","",IF(OR(E127="نعم",I127="غير متوفر"),"عالية",IF(O127&gt;=3,"منخفضة","متوسطة")))</f>
        <v/>
      </c>
      <c r="S127" s="30"/>
      <c r="T127" s="30"/>
      <c r="U127" s="27" t="str">
        <f aca="false">IFERROR(INDEX('الإعدادات واللجنة'!$H$22:$H$29,MATCH(C127,'الإعدادات واللجنة'!$B$22:$B$29,0)),"")</f>
        <v>عضو 6</v>
      </c>
      <c r="V127" s="29"/>
      <c r="W127" s="30"/>
    </row>
    <row r="128" customFormat="false" ht="32.8" hidden="false" customHeight="false" outlineLevel="0" collapsed="false">
      <c r="A128" s="31" t="s">
        <v>418</v>
      </c>
      <c r="B128" s="32" t="s">
        <v>144</v>
      </c>
      <c r="C128" s="32" t="s">
        <v>124</v>
      </c>
      <c r="D128" s="32" t="s">
        <v>419</v>
      </c>
      <c r="E128" s="31" t="s">
        <v>185</v>
      </c>
      <c r="F128" s="31" t="n">
        <v>2</v>
      </c>
      <c r="G128" s="32" t="s">
        <v>421</v>
      </c>
      <c r="H128" s="27" t="str">
        <f aca="false">IFERROR(INDEX('الإعدادات واللجنة'!$F$22:$F$29,MATCH(C128,'الإعدادات واللجنة'!$B$22:$B$29,0)),"")</f>
        <v>عضو 1</v>
      </c>
      <c r="I128" s="29"/>
      <c r="J128" s="29"/>
      <c r="K128" s="29"/>
      <c r="L128" s="29"/>
      <c r="M128" s="29"/>
      <c r="N128" s="29"/>
      <c r="O128" s="27" t="str">
        <f aca="false">IF(I128="","",IF(I128="غير متوفر",0,COUNTIF(J128:N128,"نعم")))</f>
        <v/>
      </c>
      <c r="P128" s="27" t="str">
        <f aca="false">IF(I128="","لم يُفحص",IF(I128="غير متوفر","غير موجود",IF(AND(O128=5,I128="متوفر"),"مكتمل",IF(O128&gt;=3,"مقبول","ضعيف"))))</f>
        <v>لم يُفحص</v>
      </c>
      <c r="Q128" s="27" t="str">
        <f aca="false">IF(I128="","",IF(AND(I128="متوفر",O128=5),"لا","نعم"))</f>
        <v/>
      </c>
      <c r="R128" s="27" t="str">
        <f aca="false">IF(Q128&lt;&gt;"نعم","",IF(OR(E128="نعم",I128="غير متوفر"),"عالية",IF(O128&gt;=3,"منخفضة","متوسطة")))</f>
        <v/>
      </c>
      <c r="S128" s="30"/>
      <c r="T128" s="30"/>
      <c r="U128" s="27" t="str">
        <f aca="false">IFERROR(INDEX('الإعدادات واللجنة'!$H$22:$H$29,MATCH(C128,'الإعدادات واللجنة'!$B$22:$B$29,0)),"")</f>
        <v>عضو 6</v>
      </c>
      <c r="V128" s="29"/>
      <c r="W128" s="30"/>
    </row>
    <row r="129" customFormat="false" ht="32.8" hidden="false" customHeight="false" outlineLevel="0" collapsed="false">
      <c r="A129" s="31" t="s">
        <v>418</v>
      </c>
      <c r="B129" s="32" t="s">
        <v>144</v>
      </c>
      <c r="C129" s="32" t="s">
        <v>124</v>
      </c>
      <c r="D129" s="32" t="s">
        <v>419</v>
      </c>
      <c r="E129" s="31" t="s">
        <v>185</v>
      </c>
      <c r="F129" s="31" t="n">
        <v>3</v>
      </c>
      <c r="G129" s="32" t="s">
        <v>422</v>
      </c>
      <c r="H129" s="27" t="str">
        <f aca="false">IFERROR(INDEX('الإعدادات واللجنة'!$F$22:$F$29,MATCH(C129,'الإعدادات واللجنة'!$B$22:$B$29,0)),"")</f>
        <v>عضو 1</v>
      </c>
      <c r="I129" s="29"/>
      <c r="J129" s="29"/>
      <c r="K129" s="29"/>
      <c r="L129" s="29"/>
      <c r="M129" s="29"/>
      <c r="N129" s="29"/>
      <c r="O129" s="27" t="str">
        <f aca="false">IF(I129="","",IF(I129="غير متوفر",0,COUNTIF(J129:N129,"نعم")))</f>
        <v/>
      </c>
      <c r="P129" s="27" t="str">
        <f aca="false">IF(I129="","لم يُفحص",IF(I129="غير متوفر","غير موجود",IF(AND(O129=5,I129="متوفر"),"مكتمل",IF(O129&gt;=3,"مقبول","ضعيف"))))</f>
        <v>لم يُفحص</v>
      </c>
      <c r="Q129" s="27" t="str">
        <f aca="false">IF(I129="","",IF(AND(I129="متوفر",O129=5),"لا","نعم"))</f>
        <v/>
      </c>
      <c r="R129" s="27" t="str">
        <f aca="false">IF(Q129&lt;&gt;"نعم","",IF(OR(E129="نعم",I129="غير متوفر"),"عالية",IF(O129&gt;=3,"منخفضة","متوسطة")))</f>
        <v/>
      </c>
      <c r="S129" s="30"/>
      <c r="T129" s="30"/>
      <c r="U129" s="27" t="str">
        <f aca="false">IFERROR(INDEX('الإعدادات واللجنة'!$H$22:$H$29,MATCH(C129,'الإعدادات واللجنة'!$B$22:$B$29,0)),"")</f>
        <v>عضو 6</v>
      </c>
      <c r="V129" s="29"/>
      <c r="W129" s="30"/>
    </row>
    <row r="130" customFormat="false" ht="32.8" hidden="false" customHeight="false" outlineLevel="0" collapsed="false">
      <c r="A130" s="31" t="s">
        <v>418</v>
      </c>
      <c r="B130" s="32" t="s">
        <v>144</v>
      </c>
      <c r="C130" s="32" t="s">
        <v>124</v>
      </c>
      <c r="D130" s="32" t="s">
        <v>419</v>
      </c>
      <c r="E130" s="31" t="s">
        <v>185</v>
      </c>
      <c r="F130" s="31" t="n">
        <v>4</v>
      </c>
      <c r="G130" s="32" t="s">
        <v>423</v>
      </c>
      <c r="H130" s="27" t="str">
        <f aca="false">IFERROR(INDEX('الإعدادات واللجنة'!$F$22:$F$29,MATCH(C130,'الإعدادات واللجنة'!$B$22:$B$29,0)),"")</f>
        <v>عضو 1</v>
      </c>
      <c r="I130" s="29"/>
      <c r="J130" s="29"/>
      <c r="K130" s="29"/>
      <c r="L130" s="29"/>
      <c r="M130" s="29"/>
      <c r="N130" s="29"/>
      <c r="O130" s="27" t="str">
        <f aca="false">IF(I130="","",IF(I130="غير متوفر",0,COUNTIF(J130:N130,"نعم")))</f>
        <v/>
      </c>
      <c r="P130" s="27" t="str">
        <f aca="false">IF(I130="","لم يُفحص",IF(I130="غير متوفر","غير موجود",IF(AND(O130=5,I130="متوفر"),"مكتمل",IF(O130&gt;=3,"مقبول","ضعيف"))))</f>
        <v>لم يُفحص</v>
      </c>
      <c r="Q130" s="27" t="str">
        <f aca="false">IF(I130="","",IF(AND(I130="متوفر",O130=5),"لا","نعم"))</f>
        <v/>
      </c>
      <c r="R130" s="27" t="str">
        <f aca="false">IF(Q130&lt;&gt;"نعم","",IF(OR(E130="نعم",I130="غير متوفر"),"عالية",IF(O130&gt;=3,"منخفضة","متوسطة")))</f>
        <v/>
      </c>
      <c r="S130" s="30"/>
      <c r="T130" s="30"/>
      <c r="U130" s="27" t="str">
        <f aca="false">IFERROR(INDEX('الإعدادات واللجنة'!$H$22:$H$29,MATCH(C130,'الإعدادات واللجنة'!$B$22:$B$29,0)),"")</f>
        <v>عضو 6</v>
      </c>
      <c r="V130" s="29"/>
      <c r="W130" s="30"/>
    </row>
    <row r="131" customFormat="false" ht="32.8" hidden="false" customHeight="false" outlineLevel="0" collapsed="false">
      <c r="A131" s="31" t="s">
        <v>418</v>
      </c>
      <c r="B131" s="32" t="s">
        <v>144</v>
      </c>
      <c r="C131" s="32" t="s">
        <v>124</v>
      </c>
      <c r="D131" s="32" t="s">
        <v>419</v>
      </c>
      <c r="E131" s="31" t="s">
        <v>185</v>
      </c>
      <c r="F131" s="31" t="n">
        <v>5</v>
      </c>
      <c r="G131" s="32" t="s">
        <v>424</v>
      </c>
      <c r="H131" s="27" t="str">
        <f aca="false">IFERROR(INDEX('الإعدادات واللجنة'!$F$22:$F$29,MATCH(C131,'الإعدادات واللجنة'!$B$22:$B$29,0)),"")</f>
        <v>عضو 1</v>
      </c>
      <c r="I131" s="29"/>
      <c r="J131" s="29"/>
      <c r="K131" s="29"/>
      <c r="L131" s="29"/>
      <c r="M131" s="29"/>
      <c r="N131" s="29"/>
      <c r="O131" s="27" t="str">
        <f aca="false">IF(I131="","",IF(I131="غير متوفر",0,COUNTIF(J131:N131,"نعم")))</f>
        <v/>
      </c>
      <c r="P131" s="27" t="str">
        <f aca="false">IF(I131="","لم يُفحص",IF(I131="غير متوفر","غير موجود",IF(AND(O131=5,I131="متوفر"),"مكتمل",IF(O131&gt;=3,"مقبول","ضعيف"))))</f>
        <v>لم يُفحص</v>
      </c>
      <c r="Q131" s="27" t="str">
        <f aca="false">IF(I131="","",IF(AND(I131="متوفر",O131=5),"لا","نعم"))</f>
        <v/>
      </c>
      <c r="R131" s="27" t="str">
        <f aca="false">IF(Q131&lt;&gt;"نعم","",IF(OR(E131="نعم",I131="غير متوفر"),"عالية",IF(O131&gt;=3,"منخفضة","متوسطة")))</f>
        <v/>
      </c>
      <c r="S131" s="30"/>
      <c r="T131" s="30"/>
      <c r="U131" s="27" t="str">
        <f aca="false">IFERROR(INDEX('الإعدادات واللجنة'!$H$22:$H$29,MATCH(C131,'الإعدادات واللجنة'!$B$22:$B$29,0)),"")</f>
        <v>عضو 6</v>
      </c>
      <c r="V131" s="29"/>
      <c r="W131" s="30"/>
    </row>
    <row r="132" customFormat="false" ht="32.8" hidden="false" customHeight="false" outlineLevel="0" collapsed="false">
      <c r="A132" s="27" t="s">
        <v>425</v>
      </c>
      <c r="B132" s="28" t="s">
        <v>145</v>
      </c>
      <c r="C132" s="28" t="s">
        <v>125</v>
      </c>
      <c r="D132" s="28" t="s">
        <v>426</v>
      </c>
      <c r="E132" s="27"/>
      <c r="F132" s="27" t="n">
        <v>1</v>
      </c>
      <c r="G132" s="28" t="s">
        <v>427</v>
      </c>
      <c r="H132" s="27" t="str">
        <f aca="false">IFERROR(INDEX('الإعدادات واللجنة'!$F$22:$F$29,MATCH(C132,'الإعدادات واللجنة'!$B$22:$B$29,0)),"")</f>
        <v>عضو 8</v>
      </c>
      <c r="I132" s="29"/>
      <c r="J132" s="29"/>
      <c r="K132" s="29"/>
      <c r="L132" s="29"/>
      <c r="M132" s="29"/>
      <c r="N132" s="29"/>
      <c r="O132" s="27" t="str">
        <f aca="false">IF(I132="","",IF(I132="غير متوفر",0,COUNTIF(J132:N132,"نعم")))</f>
        <v/>
      </c>
      <c r="P132" s="27" t="str">
        <f aca="false">IF(I132="","لم يُفحص",IF(I132="غير متوفر","غير موجود",IF(AND(O132=5,I132="متوفر"),"مكتمل",IF(O132&gt;=3,"مقبول","ضعيف"))))</f>
        <v>لم يُفحص</v>
      </c>
      <c r="Q132" s="27" t="str">
        <f aca="false">IF(I132="","",IF(AND(I132="متوفر",O132=5),"لا","نعم"))</f>
        <v/>
      </c>
      <c r="R132" s="27" t="str">
        <f aca="false">IF(Q132&lt;&gt;"نعم","",IF(OR(E132="نعم",I132="غير متوفر"),"عالية",IF(O132&gt;=3,"منخفضة","متوسطة")))</f>
        <v/>
      </c>
      <c r="S132" s="30"/>
      <c r="T132" s="30"/>
      <c r="U132" s="27" t="str">
        <f aca="false">IFERROR(INDEX('الإعدادات واللجنة'!$H$22:$H$29,MATCH(C132,'الإعدادات واللجنة'!$B$22:$B$29,0)),"")</f>
        <v>عضو 7</v>
      </c>
      <c r="V132" s="29"/>
      <c r="W132" s="30"/>
    </row>
    <row r="133" customFormat="false" ht="32.8" hidden="false" customHeight="false" outlineLevel="0" collapsed="false">
      <c r="A133" s="27" t="s">
        <v>425</v>
      </c>
      <c r="B133" s="28" t="s">
        <v>145</v>
      </c>
      <c r="C133" s="28" t="s">
        <v>125</v>
      </c>
      <c r="D133" s="28" t="s">
        <v>426</v>
      </c>
      <c r="E133" s="27"/>
      <c r="F133" s="27" t="n">
        <v>2</v>
      </c>
      <c r="G133" s="28" t="s">
        <v>428</v>
      </c>
      <c r="H133" s="27" t="str">
        <f aca="false">IFERROR(INDEX('الإعدادات واللجنة'!$F$22:$F$29,MATCH(C133,'الإعدادات واللجنة'!$B$22:$B$29,0)),"")</f>
        <v>عضو 8</v>
      </c>
      <c r="I133" s="29"/>
      <c r="J133" s="29"/>
      <c r="K133" s="29"/>
      <c r="L133" s="29"/>
      <c r="M133" s="29"/>
      <c r="N133" s="29"/>
      <c r="O133" s="27" t="str">
        <f aca="false">IF(I133="","",IF(I133="غير متوفر",0,COUNTIF(J133:N133,"نعم")))</f>
        <v/>
      </c>
      <c r="P133" s="27" t="str">
        <f aca="false">IF(I133="","لم يُفحص",IF(I133="غير متوفر","غير موجود",IF(AND(O133=5,I133="متوفر"),"مكتمل",IF(O133&gt;=3,"مقبول","ضعيف"))))</f>
        <v>لم يُفحص</v>
      </c>
      <c r="Q133" s="27" t="str">
        <f aca="false">IF(I133="","",IF(AND(I133="متوفر",O133=5),"لا","نعم"))</f>
        <v/>
      </c>
      <c r="R133" s="27" t="str">
        <f aca="false">IF(Q133&lt;&gt;"نعم","",IF(OR(E133="نعم",I133="غير متوفر"),"عالية",IF(O133&gt;=3,"منخفضة","متوسطة")))</f>
        <v/>
      </c>
      <c r="S133" s="30"/>
      <c r="T133" s="30"/>
      <c r="U133" s="27" t="str">
        <f aca="false">IFERROR(INDEX('الإعدادات واللجنة'!$H$22:$H$29,MATCH(C133,'الإعدادات واللجنة'!$B$22:$B$29,0)),"")</f>
        <v>عضو 7</v>
      </c>
      <c r="V133" s="29"/>
      <c r="W133" s="30"/>
    </row>
    <row r="134" customFormat="false" ht="32.8" hidden="false" customHeight="false" outlineLevel="0" collapsed="false">
      <c r="A134" s="27" t="s">
        <v>425</v>
      </c>
      <c r="B134" s="28" t="s">
        <v>145</v>
      </c>
      <c r="C134" s="28" t="s">
        <v>125</v>
      </c>
      <c r="D134" s="28" t="s">
        <v>426</v>
      </c>
      <c r="E134" s="27"/>
      <c r="F134" s="27" t="n">
        <v>3</v>
      </c>
      <c r="G134" s="28" t="s">
        <v>429</v>
      </c>
      <c r="H134" s="27" t="str">
        <f aca="false">IFERROR(INDEX('الإعدادات واللجنة'!$F$22:$F$29,MATCH(C134,'الإعدادات واللجنة'!$B$22:$B$29,0)),"")</f>
        <v>عضو 8</v>
      </c>
      <c r="I134" s="29"/>
      <c r="J134" s="29"/>
      <c r="K134" s="29"/>
      <c r="L134" s="29"/>
      <c r="M134" s="29"/>
      <c r="N134" s="29"/>
      <c r="O134" s="27" t="str">
        <f aca="false">IF(I134="","",IF(I134="غير متوفر",0,COUNTIF(J134:N134,"نعم")))</f>
        <v/>
      </c>
      <c r="P134" s="27" t="str">
        <f aca="false">IF(I134="","لم يُفحص",IF(I134="غير متوفر","غير موجود",IF(AND(O134=5,I134="متوفر"),"مكتمل",IF(O134&gt;=3,"مقبول","ضعيف"))))</f>
        <v>لم يُفحص</v>
      </c>
      <c r="Q134" s="27" t="str">
        <f aca="false">IF(I134="","",IF(AND(I134="متوفر",O134=5),"لا","نعم"))</f>
        <v/>
      </c>
      <c r="R134" s="27" t="str">
        <f aca="false">IF(Q134&lt;&gt;"نعم","",IF(OR(E134="نعم",I134="غير متوفر"),"عالية",IF(O134&gt;=3,"منخفضة","متوسطة")))</f>
        <v/>
      </c>
      <c r="S134" s="30"/>
      <c r="T134" s="30"/>
      <c r="U134" s="27" t="str">
        <f aca="false">IFERROR(INDEX('الإعدادات واللجنة'!$H$22:$H$29,MATCH(C134,'الإعدادات واللجنة'!$B$22:$B$29,0)),"")</f>
        <v>عضو 7</v>
      </c>
      <c r="V134" s="29"/>
      <c r="W134" s="30"/>
    </row>
    <row r="135" customFormat="false" ht="32.8" hidden="false" customHeight="false" outlineLevel="0" collapsed="false">
      <c r="A135" s="27" t="s">
        <v>425</v>
      </c>
      <c r="B135" s="28" t="s">
        <v>145</v>
      </c>
      <c r="C135" s="28" t="s">
        <v>125</v>
      </c>
      <c r="D135" s="28" t="s">
        <v>426</v>
      </c>
      <c r="E135" s="27"/>
      <c r="F135" s="27" t="n">
        <v>4</v>
      </c>
      <c r="G135" s="28" t="s">
        <v>430</v>
      </c>
      <c r="H135" s="27" t="str">
        <f aca="false">IFERROR(INDEX('الإعدادات واللجنة'!$F$22:$F$29,MATCH(C135,'الإعدادات واللجنة'!$B$22:$B$29,0)),"")</f>
        <v>عضو 8</v>
      </c>
      <c r="I135" s="29"/>
      <c r="J135" s="29"/>
      <c r="K135" s="29"/>
      <c r="L135" s="29"/>
      <c r="M135" s="29"/>
      <c r="N135" s="29"/>
      <c r="O135" s="27" t="str">
        <f aca="false">IF(I135="","",IF(I135="غير متوفر",0,COUNTIF(J135:N135,"نعم")))</f>
        <v/>
      </c>
      <c r="P135" s="27" t="str">
        <f aca="false">IF(I135="","لم يُفحص",IF(I135="غير متوفر","غير موجود",IF(AND(O135=5,I135="متوفر"),"مكتمل",IF(O135&gt;=3,"مقبول","ضعيف"))))</f>
        <v>لم يُفحص</v>
      </c>
      <c r="Q135" s="27" t="str">
        <f aca="false">IF(I135="","",IF(AND(I135="متوفر",O135=5),"لا","نعم"))</f>
        <v/>
      </c>
      <c r="R135" s="27" t="str">
        <f aca="false">IF(Q135&lt;&gt;"نعم","",IF(OR(E135="نعم",I135="غير متوفر"),"عالية",IF(O135&gt;=3,"منخفضة","متوسطة")))</f>
        <v/>
      </c>
      <c r="S135" s="30"/>
      <c r="T135" s="30"/>
      <c r="U135" s="27" t="str">
        <f aca="false">IFERROR(INDEX('الإعدادات واللجنة'!$H$22:$H$29,MATCH(C135,'الإعدادات واللجنة'!$B$22:$B$29,0)),"")</f>
        <v>عضو 7</v>
      </c>
      <c r="V135" s="29"/>
      <c r="W135" s="30"/>
    </row>
    <row r="136" customFormat="false" ht="32.8" hidden="false" customHeight="false" outlineLevel="0" collapsed="false">
      <c r="A136" s="27" t="s">
        <v>425</v>
      </c>
      <c r="B136" s="28" t="s">
        <v>145</v>
      </c>
      <c r="C136" s="28" t="s">
        <v>125</v>
      </c>
      <c r="D136" s="28" t="s">
        <v>426</v>
      </c>
      <c r="E136" s="27"/>
      <c r="F136" s="27" t="n">
        <v>5</v>
      </c>
      <c r="G136" s="28" t="s">
        <v>431</v>
      </c>
      <c r="H136" s="27" t="str">
        <f aca="false">IFERROR(INDEX('الإعدادات واللجنة'!$F$22:$F$29,MATCH(C136,'الإعدادات واللجنة'!$B$22:$B$29,0)),"")</f>
        <v>عضو 8</v>
      </c>
      <c r="I136" s="29"/>
      <c r="J136" s="29"/>
      <c r="K136" s="29"/>
      <c r="L136" s="29"/>
      <c r="M136" s="29"/>
      <c r="N136" s="29"/>
      <c r="O136" s="27" t="str">
        <f aca="false">IF(I136="","",IF(I136="غير متوفر",0,COUNTIF(J136:N136,"نعم")))</f>
        <v/>
      </c>
      <c r="P136" s="27" t="str">
        <f aca="false">IF(I136="","لم يُفحص",IF(I136="غير متوفر","غير موجود",IF(AND(O136=5,I136="متوفر"),"مكتمل",IF(O136&gt;=3,"مقبول","ضعيف"))))</f>
        <v>لم يُفحص</v>
      </c>
      <c r="Q136" s="27" t="str">
        <f aca="false">IF(I136="","",IF(AND(I136="متوفر",O136=5),"لا","نعم"))</f>
        <v/>
      </c>
      <c r="R136" s="27" t="str">
        <f aca="false">IF(Q136&lt;&gt;"نعم","",IF(OR(E136="نعم",I136="غير متوفر"),"عالية",IF(O136&gt;=3,"منخفضة","متوسطة")))</f>
        <v/>
      </c>
      <c r="S136" s="30"/>
      <c r="T136" s="30"/>
      <c r="U136" s="27" t="str">
        <f aca="false">IFERROR(INDEX('الإعدادات واللجنة'!$H$22:$H$29,MATCH(C136,'الإعدادات واللجنة'!$B$22:$B$29,0)),"")</f>
        <v>عضو 7</v>
      </c>
      <c r="V136" s="29"/>
      <c r="W136" s="30"/>
    </row>
    <row r="137" customFormat="false" ht="22.35" hidden="false" customHeight="false" outlineLevel="0" collapsed="false">
      <c r="A137" s="31" t="s">
        <v>432</v>
      </c>
      <c r="B137" s="32" t="s">
        <v>145</v>
      </c>
      <c r="C137" s="32" t="s">
        <v>125</v>
      </c>
      <c r="D137" s="32" t="s">
        <v>433</v>
      </c>
      <c r="E137" s="31" t="s">
        <v>185</v>
      </c>
      <c r="F137" s="31" t="n">
        <v>1</v>
      </c>
      <c r="G137" s="32" t="s">
        <v>434</v>
      </c>
      <c r="H137" s="27" t="str">
        <f aca="false">IFERROR(INDEX('الإعدادات واللجنة'!$F$22:$F$29,MATCH(C137,'الإعدادات واللجنة'!$B$22:$B$29,0)),"")</f>
        <v>عضو 8</v>
      </c>
      <c r="I137" s="29"/>
      <c r="J137" s="29"/>
      <c r="K137" s="29"/>
      <c r="L137" s="29"/>
      <c r="M137" s="29"/>
      <c r="N137" s="29"/>
      <c r="O137" s="27" t="str">
        <f aca="false">IF(I137="","",IF(I137="غير متوفر",0,COUNTIF(J137:N137,"نعم")))</f>
        <v/>
      </c>
      <c r="P137" s="27" t="str">
        <f aca="false">IF(I137="","لم يُفحص",IF(I137="غير متوفر","غير موجود",IF(AND(O137=5,I137="متوفر"),"مكتمل",IF(O137&gt;=3,"مقبول","ضعيف"))))</f>
        <v>لم يُفحص</v>
      </c>
      <c r="Q137" s="27" t="str">
        <f aca="false">IF(I137="","",IF(AND(I137="متوفر",O137=5),"لا","نعم"))</f>
        <v/>
      </c>
      <c r="R137" s="27" t="str">
        <f aca="false">IF(Q137&lt;&gt;"نعم","",IF(OR(E137="نعم",I137="غير متوفر"),"عالية",IF(O137&gt;=3,"منخفضة","متوسطة")))</f>
        <v/>
      </c>
      <c r="S137" s="30"/>
      <c r="T137" s="30"/>
      <c r="U137" s="27" t="str">
        <f aca="false">IFERROR(INDEX('الإعدادات واللجنة'!$H$22:$H$29,MATCH(C137,'الإعدادات واللجنة'!$B$22:$B$29,0)),"")</f>
        <v>عضو 7</v>
      </c>
      <c r="V137" s="29"/>
      <c r="W137" s="30"/>
    </row>
    <row r="138" customFormat="false" ht="22.35" hidden="false" customHeight="false" outlineLevel="0" collapsed="false">
      <c r="A138" s="31" t="s">
        <v>432</v>
      </c>
      <c r="B138" s="32" t="s">
        <v>145</v>
      </c>
      <c r="C138" s="32" t="s">
        <v>125</v>
      </c>
      <c r="D138" s="32" t="s">
        <v>433</v>
      </c>
      <c r="E138" s="31" t="s">
        <v>185</v>
      </c>
      <c r="F138" s="31" t="n">
        <v>2</v>
      </c>
      <c r="G138" s="32" t="s">
        <v>435</v>
      </c>
      <c r="H138" s="27" t="str">
        <f aca="false">IFERROR(INDEX('الإعدادات واللجنة'!$F$22:$F$29,MATCH(C138,'الإعدادات واللجنة'!$B$22:$B$29,0)),"")</f>
        <v>عضو 8</v>
      </c>
      <c r="I138" s="29"/>
      <c r="J138" s="29"/>
      <c r="K138" s="29"/>
      <c r="L138" s="29"/>
      <c r="M138" s="29"/>
      <c r="N138" s="29"/>
      <c r="O138" s="27" t="str">
        <f aca="false">IF(I138="","",IF(I138="غير متوفر",0,COUNTIF(J138:N138,"نعم")))</f>
        <v/>
      </c>
      <c r="P138" s="27" t="str">
        <f aca="false">IF(I138="","لم يُفحص",IF(I138="غير متوفر","غير موجود",IF(AND(O138=5,I138="متوفر"),"مكتمل",IF(O138&gt;=3,"مقبول","ضعيف"))))</f>
        <v>لم يُفحص</v>
      </c>
      <c r="Q138" s="27" t="str">
        <f aca="false">IF(I138="","",IF(AND(I138="متوفر",O138=5),"لا","نعم"))</f>
        <v/>
      </c>
      <c r="R138" s="27" t="str">
        <f aca="false">IF(Q138&lt;&gt;"نعم","",IF(OR(E138="نعم",I138="غير متوفر"),"عالية",IF(O138&gt;=3,"منخفضة","متوسطة")))</f>
        <v/>
      </c>
      <c r="S138" s="30"/>
      <c r="T138" s="30"/>
      <c r="U138" s="27" t="str">
        <f aca="false">IFERROR(INDEX('الإعدادات واللجنة'!$H$22:$H$29,MATCH(C138,'الإعدادات واللجنة'!$B$22:$B$29,0)),"")</f>
        <v>عضو 7</v>
      </c>
      <c r="V138" s="29"/>
      <c r="W138" s="30"/>
    </row>
    <row r="139" customFormat="false" ht="22.35" hidden="false" customHeight="false" outlineLevel="0" collapsed="false">
      <c r="A139" s="31" t="s">
        <v>432</v>
      </c>
      <c r="B139" s="32" t="s">
        <v>145</v>
      </c>
      <c r="C139" s="32" t="s">
        <v>125</v>
      </c>
      <c r="D139" s="32" t="s">
        <v>433</v>
      </c>
      <c r="E139" s="31" t="s">
        <v>185</v>
      </c>
      <c r="F139" s="31" t="n">
        <v>3</v>
      </c>
      <c r="G139" s="32" t="s">
        <v>436</v>
      </c>
      <c r="H139" s="27" t="str">
        <f aca="false">IFERROR(INDEX('الإعدادات واللجنة'!$F$22:$F$29,MATCH(C139,'الإعدادات واللجنة'!$B$22:$B$29,0)),"")</f>
        <v>عضو 8</v>
      </c>
      <c r="I139" s="29"/>
      <c r="J139" s="29"/>
      <c r="K139" s="29"/>
      <c r="L139" s="29"/>
      <c r="M139" s="29"/>
      <c r="N139" s="29"/>
      <c r="O139" s="27" t="str">
        <f aca="false">IF(I139="","",IF(I139="غير متوفر",0,COUNTIF(J139:N139,"نعم")))</f>
        <v/>
      </c>
      <c r="P139" s="27" t="str">
        <f aca="false">IF(I139="","لم يُفحص",IF(I139="غير متوفر","غير موجود",IF(AND(O139=5,I139="متوفر"),"مكتمل",IF(O139&gt;=3,"مقبول","ضعيف"))))</f>
        <v>لم يُفحص</v>
      </c>
      <c r="Q139" s="27" t="str">
        <f aca="false">IF(I139="","",IF(AND(I139="متوفر",O139=5),"لا","نعم"))</f>
        <v/>
      </c>
      <c r="R139" s="27" t="str">
        <f aca="false">IF(Q139&lt;&gt;"نعم","",IF(OR(E139="نعم",I139="غير متوفر"),"عالية",IF(O139&gt;=3,"منخفضة","متوسطة")))</f>
        <v/>
      </c>
      <c r="S139" s="30"/>
      <c r="T139" s="30"/>
      <c r="U139" s="27" t="str">
        <f aca="false">IFERROR(INDEX('الإعدادات واللجنة'!$H$22:$H$29,MATCH(C139,'الإعدادات واللجنة'!$B$22:$B$29,0)),"")</f>
        <v>عضو 7</v>
      </c>
      <c r="V139" s="29"/>
      <c r="W139" s="30"/>
    </row>
    <row r="140" customFormat="false" ht="22.35" hidden="false" customHeight="false" outlineLevel="0" collapsed="false">
      <c r="A140" s="31" t="s">
        <v>437</v>
      </c>
      <c r="B140" s="32" t="s">
        <v>145</v>
      </c>
      <c r="C140" s="32" t="s">
        <v>125</v>
      </c>
      <c r="D140" s="32" t="s">
        <v>438</v>
      </c>
      <c r="E140" s="31" t="s">
        <v>185</v>
      </c>
      <c r="F140" s="31" t="n">
        <v>1</v>
      </c>
      <c r="G140" s="32" t="s">
        <v>439</v>
      </c>
      <c r="H140" s="27" t="str">
        <f aca="false">IFERROR(INDEX('الإعدادات واللجنة'!$F$22:$F$29,MATCH(C140,'الإعدادات واللجنة'!$B$22:$B$29,0)),"")</f>
        <v>عضو 8</v>
      </c>
      <c r="I140" s="29"/>
      <c r="J140" s="29"/>
      <c r="K140" s="29"/>
      <c r="L140" s="29"/>
      <c r="M140" s="29"/>
      <c r="N140" s="29"/>
      <c r="O140" s="27" t="str">
        <f aca="false">IF(I140="","",IF(I140="غير متوفر",0,COUNTIF(J140:N140,"نعم")))</f>
        <v/>
      </c>
      <c r="P140" s="27" t="str">
        <f aca="false">IF(I140="","لم يُفحص",IF(I140="غير متوفر","غير موجود",IF(AND(O140=5,I140="متوفر"),"مكتمل",IF(O140&gt;=3,"مقبول","ضعيف"))))</f>
        <v>لم يُفحص</v>
      </c>
      <c r="Q140" s="27" t="str">
        <f aca="false">IF(I140="","",IF(AND(I140="متوفر",O140=5),"لا","نعم"))</f>
        <v/>
      </c>
      <c r="R140" s="27" t="str">
        <f aca="false">IF(Q140&lt;&gt;"نعم","",IF(OR(E140="نعم",I140="غير متوفر"),"عالية",IF(O140&gt;=3,"منخفضة","متوسطة")))</f>
        <v/>
      </c>
      <c r="S140" s="30"/>
      <c r="T140" s="30"/>
      <c r="U140" s="27" t="str">
        <f aca="false">IFERROR(INDEX('الإعدادات واللجنة'!$H$22:$H$29,MATCH(C140,'الإعدادات واللجنة'!$B$22:$B$29,0)),"")</f>
        <v>عضو 7</v>
      </c>
      <c r="V140" s="29"/>
      <c r="W140" s="30"/>
    </row>
    <row r="141" customFormat="false" ht="22.35" hidden="false" customHeight="false" outlineLevel="0" collapsed="false">
      <c r="A141" s="31" t="s">
        <v>437</v>
      </c>
      <c r="B141" s="32" t="s">
        <v>145</v>
      </c>
      <c r="C141" s="32" t="s">
        <v>125</v>
      </c>
      <c r="D141" s="32" t="s">
        <v>438</v>
      </c>
      <c r="E141" s="31" t="s">
        <v>185</v>
      </c>
      <c r="F141" s="31" t="n">
        <v>2</v>
      </c>
      <c r="G141" s="32" t="s">
        <v>440</v>
      </c>
      <c r="H141" s="27" t="str">
        <f aca="false">IFERROR(INDEX('الإعدادات واللجنة'!$F$22:$F$29,MATCH(C141,'الإعدادات واللجنة'!$B$22:$B$29,0)),"")</f>
        <v>عضو 8</v>
      </c>
      <c r="I141" s="29"/>
      <c r="J141" s="29"/>
      <c r="K141" s="29"/>
      <c r="L141" s="29"/>
      <c r="M141" s="29"/>
      <c r="N141" s="29"/>
      <c r="O141" s="27" t="str">
        <f aca="false">IF(I141="","",IF(I141="غير متوفر",0,COUNTIF(J141:N141,"نعم")))</f>
        <v/>
      </c>
      <c r="P141" s="27" t="str">
        <f aca="false">IF(I141="","لم يُفحص",IF(I141="غير متوفر","غير موجود",IF(AND(O141=5,I141="متوفر"),"مكتمل",IF(O141&gt;=3,"مقبول","ضعيف"))))</f>
        <v>لم يُفحص</v>
      </c>
      <c r="Q141" s="27" t="str">
        <f aca="false">IF(I141="","",IF(AND(I141="متوفر",O141=5),"لا","نعم"))</f>
        <v/>
      </c>
      <c r="R141" s="27" t="str">
        <f aca="false">IF(Q141&lt;&gt;"نعم","",IF(OR(E141="نعم",I141="غير متوفر"),"عالية",IF(O141&gt;=3,"منخفضة","متوسطة")))</f>
        <v/>
      </c>
      <c r="S141" s="30"/>
      <c r="T141" s="30"/>
      <c r="U141" s="27" t="str">
        <f aca="false">IFERROR(INDEX('الإعدادات واللجنة'!$H$22:$H$29,MATCH(C141,'الإعدادات واللجنة'!$B$22:$B$29,0)),"")</f>
        <v>عضو 7</v>
      </c>
      <c r="V141" s="29"/>
      <c r="W141" s="30"/>
    </row>
    <row r="142" customFormat="false" ht="22.35" hidden="false" customHeight="false" outlineLevel="0" collapsed="false">
      <c r="A142" s="31" t="s">
        <v>437</v>
      </c>
      <c r="B142" s="32" t="s">
        <v>145</v>
      </c>
      <c r="C142" s="32" t="s">
        <v>125</v>
      </c>
      <c r="D142" s="32" t="s">
        <v>438</v>
      </c>
      <c r="E142" s="31" t="s">
        <v>185</v>
      </c>
      <c r="F142" s="31" t="n">
        <v>3</v>
      </c>
      <c r="G142" s="32" t="s">
        <v>441</v>
      </c>
      <c r="H142" s="27" t="str">
        <f aca="false">IFERROR(INDEX('الإعدادات واللجنة'!$F$22:$F$29,MATCH(C142,'الإعدادات واللجنة'!$B$22:$B$29,0)),"")</f>
        <v>عضو 8</v>
      </c>
      <c r="I142" s="29"/>
      <c r="J142" s="29"/>
      <c r="K142" s="29"/>
      <c r="L142" s="29"/>
      <c r="M142" s="29"/>
      <c r="N142" s="29"/>
      <c r="O142" s="27" t="str">
        <f aca="false">IF(I142="","",IF(I142="غير متوفر",0,COUNTIF(J142:N142,"نعم")))</f>
        <v/>
      </c>
      <c r="P142" s="27" t="str">
        <f aca="false">IF(I142="","لم يُفحص",IF(I142="غير متوفر","غير موجود",IF(AND(O142=5,I142="متوفر"),"مكتمل",IF(O142&gt;=3,"مقبول","ضعيف"))))</f>
        <v>لم يُفحص</v>
      </c>
      <c r="Q142" s="27" t="str">
        <f aca="false">IF(I142="","",IF(AND(I142="متوفر",O142=5),"لا","نعم"))</f>
        <v/>
      </c>
      <c r="R142" s="27" t="str">
        <f aca="false">IF(Q142&lt;&gt;"نعم","",IF(OR(E142="نعم",I142="غير متوفر"),"عالية",IF(O142&gt;=3,"منخفضة","متوسطة")))</f>
        <v/>
      </c>
      <c r="S142" s="30"/>
      <c r="T142" s="30"/>
      <c r="U142" s="27" t="str">
        <f aca="false">IFERROR(INDEX('الإعدادات واللجنة'!$H$22:$H$29,MATCH(C142,'الإعدادات واللجنة'!$B$22:$B$29,0)),"")</f>
        <v>عضو 7</v>
      </c>
      <c r="V142" s="29"/>
      <c r="W142" s="30"/>
    </row>
    <row r="143" customFormat="false" ht="22.35" hidden="false" customHeight="false" outlineLevel="0" collapsed="false">
      <c r="A143" s="31" t="s">
        <v>437</v>
      </c>
      <c r="B143" s="32" t="s">
        <v>145</v>
      </c>
      <c r="C143" s="32" t="s">
        <v>125</v>
      </c>
      <c r="D143" s="32" t="s">
        <v>438</v>
      </c>
      <c r="E143" s="31" t="s">
        <v>185</v>
      </c>
      <c r="F143" s="31" t="n">
        <v>4</v>
      </c>
      <c r="G143" s="32" t="s">
        <v>442</v>
      </c>
      <c r="H143" s="27" t="str">
        <f aca="false">IFERROR(INDEX('الإعدادات واللجنة'!$F$22:$F$29,MATCH(C143,'الإعدادات واللجنة'!$B$22:$B$29,0)),"")</f>
        <v>عضو 8</v>
      </c>
      <c r="I143" s="29"/>
      <c r="J143" s="29"/>
      <c r="K143" s="29"/>
      <c r="L143" s="29"/>
      <c r="M143" s="29"/>
      <c r="N143" s="29"/>
      <c r="O143" s="27" t="str">
        <f aca="false">IF(I143="","",IF(I143="غير متوفر",0,COUNTIF(J143:N143,"نعم")))</f>
        <v/>
      </c>
      <c r="P143" s="27" t="str">
        <f aca="false">IF(I143="","لم يُفحص",IF(I143="غير متوفر","غير موجود",IF(AND(O143=5,I143="متوفر"),"مكتمل",IF(O143&gt;=3,"مقبول","ضعيف"))))</f>
        <v>لم يُفحص</v>
      </c>
      <c r="Q143" s="27" t="str">
        <f aca="false">IF(I143="","",IF(AND(I143="متوفر",O143=5),"لا","نعم"))</f>
        <v/>
      </c>
      <c r="R143" s="27" t="str">
        <f aca="false">IF(Q143&lt;&gt;"نعم","",IF(OR(E143="نعم",I143="غير متوفر"),"عالية",IF(O143&gt;=3,"منخفضة","متوسطة")))</f>
        <v/>
      </c>
      <c r="S143" s="30"/>
      <c r="T143" s="30"/>
      <c r="U143" s="27" t="str">
        <f aca="false">IFERROR(INDEX('الإعدادات واللجنة'!$H$22:$H$29,MATCH(C143,'الإعدادات واللجنة'!$B$22:$B$29,0)),"")</f>
        <v>عضو 7</v>
      </c>
      <c r="V143" s="29"/>
      <c r="W143" s="30"/>
    </row>
    <row r="144" customFormat="false" ht="22.35" hidden="false" customHeight="false" outlineLevel="0" collapsed="false">
      <c r="A144" s="31" t="s">
        <v>437</v>
      </c>
      <c r="B144" s="32" t="s">
        <v>145</v>
      </c>
      <c r="C144" s="32" t="s">
        <v>125</v>
      </c>
      <c r="D144" s="32" t="s">
        <v>438</v>
      </c>
      <c r="E144" s="31" t="s">
        <v>185</v>
      </c>
      <c r="F144" s="31" t="n">
        <v>5</v>
      </c>
      <c r="G144" s="32" t="s">
        <v>443</v>
      </c>
      <c r="H144" s="27" t="str">
        <f aca="false">IFERROR(INDEX('الإعدادات واللجنة'!$F$22:$F$29,MATCH(C144,'الإعدادات واللجنة'!$B$22:$B$29,0)),"")</f>
        <v>عضو 8</v>
      </c>
      <c r="I144" s="29"/>
      <c r="J144" s="29"/>
      <c r="K144" s="29"/>
      <c r="L144" s="29"/>
      <c r="M144" s="29"/>
      <c r="N144" s="29"/>
      <c r="O144" s="27" t="str">
        <f aca="false">IF(I144="","",IF(I144="غير متوفر",0,COUNTIF(J144:N144,"نعم")))</f>
        <v/>
      </c>
      <c r="P144" s="27" t="str">
        <f aca="false">IF(I144="","لم يُفحص",IF(I144="غير متوفر","غير موجود",IF(AND(O144=5,I144="متوفر"),"مكتمل",IF(O144&gt;=3,"مقبول","ضعيف"))))</f>
        <v>لم يُفحص</v>
      </c>
      <c r="Q144" s="27" t="str">
        <f aca="false">IF(I144="","",IF(AND(I144="متوفر",O144=5),"لا","نعم"))</f>
        <v/>
      </c>
      <c r="R144" s="27" t="str">
        <f aca="false">IF(Q144&lt;&gt;"نعم","",IF(OR(E144="نعم",I144="غير متوفر"),"عالية",IF(O144&gt;=3,"منخفضة","متوسطة")))</f>
        <v/>
      </c>
      <c r="S144" s="30"/>
      <c r="T144" s="30"/>
      <c r="U144" s="27" t="str">
        <f aca="false">IFERROR(INDEX('الإعدادات واللجنة'!$H$22:$H$29,MATCH(C144,'الإعدادات واللجنة'!$B$22:$B$29,0)),"")</f>
        <v>عضو 7</v>
      </c>
      <c r="V144" s="29"/>
      <c r="W144" s="30"/>
    </row>
    <row r="145" customFormat="false" ht="22.35" hidden="false" customHeight="false" outlineLevel="0" collapsed="false">
      <c r="A145" s="31" t="s">
        <v>437</v>
      </c>
      <c r="B145" s="32" t="s">
        <v>145</v>
      </c>
      <c r="C145" s="32" t="s">
        <v>125</v>
      </c>
      <c r="D145" s="32" t="s">
        <v>438</v>
      </c>
      <c r="E145" s="31" t="s">
        <v>185</v>
      </c>
      <c r="F145" s="31" t="n">
        <v>6</v>
      </c>
      <c r="G145" s="32" t="s">
        <v>444</v>
      </c>
      <c r="H145" s="27" t="str">
        <f aca="false">IFERROR(INDEX('الإعدادات واللجنة'!$F$22:$F$29,MATCH(C145,'الإعدادات واللجنة'!$B$22:$B$29,0)),"")</f>
        <v>عضو 8</v>
      </c>
      <c r="I145" s="29"/>
      <c r="J145" s="29"/>
      <c r="K145" s="29"/>
      <c r="L145" s="29"/>
      <c r="M145" s="29"/>
      <c r="N145" s="29"/>
      <c r="O145" s="27" t="str">
        <f aca="false">IF(I145="","",IF(I145="غير متوفر",0,COUNTIF(J145:N145,"نعم")))</f>
        <v/>
      </c>
      <c r="P145" s="27" t="str">
        <f aca="false">IF(I145="","لم يُفحص",IF(I145="غير متوفر","غير موجود",IF(AND(O145=5,I145="متوفر"),"مكتمل",IF(O145&gt;=3,"مقبول","ضعيف"))))</f>
        <v>لم يُفحص</v>
      </c>
      <c r="Q145" s="27" t="str">
        <f aca="false">IF(I145="","",IF(AND(I145="متوفر",O145=5),"لا","نعم"))</f>
        <v/>
      </c>
      <c r="R145" s="27" t="str">
        <f aca="false">IF(Q145&lt;&gt;"نعم","",IF(OR(E145="نعم",I145="غير متوفر"),"عالية",IF(O145&gt;=3,"منخفضة","متوسطة")))</f>
        <v/>
      </c>
      <c r="S145" s="30"/>
      <c r="T145" s="30"/>
      <c r="U145" s="27" t="str">
        <f aca="false">IFERROR(INDEX('الإعدادات واللجنة'!$H$22:$H$29,MATCH(C145,'الإعدادات واللجنة'!$B$22:$B$29,0)),"")</f>
        <v>عضو 7</v>
      </c>
      <c r="V145" s="29"/>
      <c r="W145" s="30"/>
    </row>
    <row r="146" customFormat="false" ht="22.35" hidden="false" customHeight="false" outlineLevel="0" collapsed="false">
      <c r="A146" s="31" t="s">
        <v>437</v>
      </c>
      <c r="B146" s="32" t="s">
        <v>145</v>
      </c>
      <c r="C146" s="32" t="s">
        <v>125</v>
      </c>
      <c r="D146" s="32" t="s">
        <v>438</v>
      </c>
      <c r="E146" s="31" t="s">
        <v>185</v>
      </c>
      <c r="F146" s="31" t="n">
        <v>7</v>
      </c>
      <c r="G146" s="32" t="s">
        <v>445</v>
      </c>
      <c r="H146" s="27" t="str">
        <f aca="false">IFERROR(INDEX('الإعدادات واللجنة'!$F$22:$F$29,MATCH(C146,'الإعدادات واللجنة'!$B$22:$B$29,0)),"")</f>
        <v>عضو 8</v>
      </c>
      <c r="I146" s="29"/>
      <c r="J146" s="29"/>
      <c r="K146" s="29"/>
      <c r="L146" s="29"/>
      <c r="M146" s="29"/>
      <c r="N146" s="29"/>
      <c r="O146" s="27" t="str">
        <f aca="false">IF(I146="","",IF(I146="غير متوفر",0,COUNTIF(J146:N146,"نعم")))</f>
        <v/>
      </c>
      <c r="P146" s="27" t="str">
        <f aca="false">IF(I146="","لم يُفحص",IF(I146="غير متوفر","غير موجود",IF(AND(O146=5,I146="متوفر"),"مكتمل",IF(O146&gt;=3,"مقبول","ضعيف"))))</f>
        <v>لم يُفحص</v>
      </c>
      <c r="Q146" s="27" t="str">
        <f aca="false">IF(I146="","",IF(AND(I146="متوفر",O146=5),"لا","نعم"))</f>
        <v/>
      </c>
      <c r="R146" s="27" t="str">
        <f aca="false">IF(Q146&lt;&gt;"نعم","",IF(OR(E146="نعم",I146="غير متوفر"),"عالية",IF(O146&gt;=3,"منخفضة","متوسطة")))</f>
        <v/>
      </c>
      <c r="S146" s="30"/>
      <c r="T146" s="30"/>
      <c r="U146" s="27" t="str">
        <f aca="false">IFERROR(INDEX('الإعدادات واللجنة'!$H$22:$H$29,MATCH(C146,'الإعدادات واللجنة'!$B$22:$B$29,0)),"")</f>
        <v>عضو 7</v>
      </c>
      <c r="V146" s="29"/>
      <c r="W146" s="30"/>
    </row>
    <row r="147" customFormat="false" ht="22.35" hidden="false" customHeight="false" outlineLevel="0" collapsed="false">
      <c r="A147" s="27" t="s">
        <v>446</v>
      </c>
      <c r="B147" s="28" t="s">
        <v>145</v>
      </c>
      <c r="C147" s="28" t="s">
        <v>125</v>
      </c>
      <c r="D147" s="28" t="s">
        <v>447</v>
      </c>
      <c r="E147" s="27"/>
      <c r="F147" s="27" t="n">
        <v>1</v>
      </c>
      <c r="G147" s="28" t="s">
        <v>448</v>
      </c>
      <c r="H147" s="27" t="str">
        <f aca="false">IFERROR(INDEX('الإعدادات واللجنة'!$F$22:$F$29,MATCH(C147,'الإعدادات واللجنة'!$B$22:$B$29,0)),"")</f>
        <v>عضو 8</v>
      </c>
      <c r="I147" s="29"/>
      <c r="J147" s="29"/>
      <c r="K147" s="29"/>
      <c r="L147" s="29"/>
      <c r="M147" s="29"/>
      <c r="N147" s="29"/>
      <c r="O147" s="27" t="str">
        <f aca="false">IF(I147="","",IF(I147="غير متوفر",0,COUNTIF(J147:N147,"نعم")))</f>
        <v/>
      </c>
      <c r="P147" s="27" t="str">
        <f aca="false">IF(I147="","لم يُفحص",IF(I147="غير متوفر","غير موجود",IF(AND(O147=5,I147="متوفر"),"مكتمل",IF(O147&gt;=3,"مقبول","ضعيف"))))</f>
        <v>لم يُفحص</v>
      </c>
      <c r="Q147" s="27" t="str">
        <f aca="false">IF(I147="","",IF(AND(I147="متوفر",O147=5),"لا","نعم"))</f>
        <v/>
      </c>
      <c r="R147" s="27" t="str">
        <f aca="false">IF(Q147&lt;&gt;"نعم","",IF(OR(E147="نعم",I147="غير متوفر"),"عالية",IF(O147&gt;=3,"منخفضة","متوسطة")))</f>
        <v/>
      </c>
      <c r="S147" s="30"/>
      <c r="T147" s="30"/>
      <c r="U147" s="27" t="str">
        <f aca="false">IFERROR(INDEX('الإعدادات واللجنة'!$H$22:$H$29,MATCH(C147,'الإعدادات واللجنة'!$B$22:$B$29,0)),"")</f>
        <v>عضو 7</v>
      </c>
      <c r="V147" s="29"/>
      <c r="W147" s="30"/>
    </row>
    <row r="148" customFormat="false" ht="22.35" hidden="false" customHeight="false" outlineLevel="0" collapsed="false">
      <c r="A148" s="27" t="s">
        <v>446</v>
      </c>
      <c r="B148" s="28" t="s">
        <v>145</v>
      </c>
      <c r="C148" s="28" t="s">
        <v>125</v>
      </c>
      <c r="D148" s="28" t="s">
        <v>447</v>
      </c>
      <c r="E148" s="27"/>
      <c r="F148" s="27" t="n">
        <v>2</v>
      </c>
      <c r="G148" s="28" t="s">
        <v>449</v>
      </c>
      <c r="H148" s="27" t="str">
        <f aca="false">IFERROR(INDEX('الإعدادات واللجنة'!$F$22:$F$29,MATCH(C148,'الإعدادات واللجنة'!$B$22:$B$29,0)),"")</f>
        <v>عضو 8</v>
      </c>
      <c r="I148" s="29"/>
      <c r="J148" s="29"/>
      <c r="K148" s="29"/>
      <c r="L148" s="29"/>
      <c r="M148" s="29"/>
      <c r="N148" s="29"/>
      <c r="O148" s="27" t="str">
        <f aca="false">IF(I148="","",IF(I148="غير متوفر",0,COUNTIF(J148:N148,"نعم")))</f>
        <v/>
      </c>
      <c r="P148" s="27" t="str">
        <f aca="false">IF(I148="","لم يُفحص",IF(I148="غير متوفر","غير موجود",IF(AND(O148=5,I148="متوفر"),"مكتمل",IF(O148&gt;=3,"مقبول","ضعيف"))))</f>
        <v>لم يُفحص</v>
      </c>
      <c r="Q148" s="27" t="str">
        <f aca="false">IF(I148="","",IF(AND(I148="متوفر",O148=5),"لا","نعم"))</f>
        <v/>
      </c>
      <c r="R148" s="27" t="str">
        <f aca="false">IF(Q148&lt;&gt;"نعم","",IF(OR(E148="نعم",I148="غير متوفر"),"عالية",IF(O148&gt;=3,"منخفضة","متوسطة")))</f>
        <v/>
      </c>
      <c r="S148" s="30"/>
      <c r="T148" s="30"/>
      <c r="U148" s="27" t="str">
        <f aca="false">IFERROR(INDEX('الإعدادات واللجنة'!$H$22:$H$29,MATCH(C148,'الإعدادات واللجنة'!$B$22:$B$29,0)),"")</f>
        <v>عضو 7</v>
      </c>
      <c r="V148" s="29"/>
      <c r="W148" s="30"/>
    </row>
    <row r="149" customFormat="false" ht="22.35" hidden="false" customHeight="false" outlineLevel="0" collapsed="false">
      <c r="A149" s="27" t="s">
        <v>446</v>
      </c>
      <c r="B149" s="28" t="s">
        <v>145</v>
      </c>
      <c r="C149" s="28" t="s">
        <v>125</v>
      </c>
      <c r="D149" s="28" t="s">
        <v>447</v>
      </c>
      <c r="E149" s="27"/>
      <c r="F149" s="27" t="n">
        <v>3</v>
      </c>
      <c r="G149" s="28" t="s">
        <v>450</v>
      </c>
      <c r="H149" s="27" t="str">
        <f aca="false">IFERROR(INDEX('الإعدادات واللجنة'!$F$22:$F$29,MATCH(C149,'الإعدادات واللجنة'!$B$22:$B$29,0)),"")</f>
        <v>عضو 8</v>
      </c>
      <c r="I149" s="29"/>
      <c r="J149" s="29"/>
      <c r="K149" s="29"/>
      <c r="L149" s="29"/>
      <c r="M149" s="29"/>
      <c r="N149" s="29"/>
      <c r="O149" s="27" t="str">
        <f aca="false">IF(I149="","",IF(I149="غير متوفر",0,COUNTIF(J149:N149,"نعم")))</f>
        <v/>
      </c>
      <c r="P149" s="27" t="str">
        <f aca="false">IF(I149="","لم يُفحص",IF(I149="غير متوفر","غير موجود",IF(AND(O149=5,I149="متوفر"),"مكتمل",IF(O149&gt;=3,"مقبول","ضعيف"))))</f>
        <v>لم يُفحص</v>
      </c>
      <c r="Q149" s="27" t="str">
        <f aca="false">IF(I149="","",IF(AND(I149="متوفر",O149=5),"لا","نعم"))</f>
        <v/>
      </c>
      <c r="R149" s="27" t="str">
        <f aca="false">IF(Q149&lt;&gt;"نعم","",IF(OR(E149="نعم",I149="غير متوفر"),"عالية",IF(O149&gt;=3,"منخفضة","متوسطة")))</f>
        <v/>
      </c>
      <c r="S149" s="30"/>
      <c r="T149" s="30"/>
      <c r="U149" s="27" t="str">
        <f aca="false">IFERROR(INDEX('الإعدادات واللجنة'!$H$22:$H$29,MATCH(C149,'الإعدادات واللجنة'!$B$22:$B$29,0)),"")</f>
        <v>عضو 7</v>
      </c>
      <c r="V149" s="29"/>
      <c r="W149" s="30"/>
    </row>
    <row r="150" customFormat="false" ht="22.35" hidden="false" customHeight="false" outlineLevel="0" collapsed="false">
      <c r="A150" s="27" t="s">
        <v>446</v>
      </c>
      <c r="B150" s="28" t="s">
        <v>145</v>
      </c>
      <c r="C150" s="28" t="s">
        <v>125</v>
      </c>
      <c r="D150" s="28" t="s">
        <v>447</v>
      </c>
      <c r="E150" s="27"/>
      <c r="F150" s="27" t="n">
        <v>4</v>
      </c>
      <c r="G150" s="28" t="s">
        <v>451</v>
      </c>
      <c r="H150" s="27" t="str">
        <f aca="false">IFERROR(INDEX('الإعدادات واللجنة'!$F$22:$F$29,MATCH(C150,'الإعدادات واللجنة'!$B$22:$B$29,0)),"")</f>
        <v>عضو 8</v>
      </c>
      <c r="I150" s="29"/>
      <c r="J150" s="29"/>
      <c r="K150" s="29"/>
      <c r="L150" s="29"/>
      <c r="M150" s="29"/>
      <c r="N150" s="29"/>
      <c r="O150" s="27" t="str">
        <f aca="false">IF(I150="","",IF(I150="غير متوفر",0,COUNTIF(J150:N150,"نعم")))</f>
        <v/>
      </c>
      <c r="P150" s="27" t="str">
        <f aca="false">IF(I150="","لم يُفحص",IF(I150="غير متوفر","غير موجود",IF(AND(O150=5,I150="متوفر"),"مكتمل",IF(O150&gt;=3,"مقبول","ضعيف"))))</f>
        <v>لم يُفحص</v>
      </c>
      <c r="Q150" s="27" t="str">
        <f aca="false">IF(I150="","",IF(AND(I150="متوفر",O150=5),"لا","نعم"))</f>
        <v/>
      </c>
      <c r="R150" s="27" t="str">
        <f aca="false">IF(Q150&lt;&gt;"نعم","",IF(OR(E150="نعم",I150="غير متوفر"),"عالية",IF(O150&gt;=3,"منخفضة","متوسطة")))</f>
        <v/>
      </c>
      <c r="S150" s="30"/>
      <c r="T150" s="30"/>
      <c r="U150" s="27" t="str">
        <f aca="false">IFERROR(INDEX('الإعدادات واللجنة'!$H$22:$H$29,MATCH(C150,'الإعدادات واللجنة'!$B$22:$B$29,0)),"")</f>
        <v>عضو 7</v>
      </c>
      <c r="V150" s="29"/>
      <c r="W150" s="30"/>
    </row>
    <row r="151" customFormat="false" ht="22.35" hidden="false" customHeight="false" outlineLevel="0" collapsed="false">
      <c r="A151" s="27" t="s">
        <v>452</v>
      </c>
      <c r="B151" s="28" t="s">
        <v>145</v>
      </c>
      <c r="C151" s="28" t="s">
        <v>125</v>
      </c>
      <c r="D151" s="28" t="s">
        <v>453</v>
      </c>
      <c r="E151" s="27"/>
      <c r="F151" s="27" t="n">
        <v>1</v>
      </c>
      <c r="G151" s="28" t="s">
        <v>454</v>
      </c>
      <c r="H151" s="27" t="str">
        <f aca="false">IFERROR(INDEX('الإعدادات واللجنة'!$F$22:$F$29,MATCH(C151,'الإعدادات واللجنة'!$B$22:$B$29,0)),"")</f>
        <v>عضو 8</v>
      </c>
      <c r="I151" s="29"/>
      <c r="J151" s="29"/>
      <c r="K151" s="29"/>
      <c r="L151" s="29"/>
      <c r="M151" s="29"/>
      <c r="N151" s="29"/>
      <c r="O151" s="27" t="str">
        <f aca="false">IF(I151="","",IF(I151="غير متوفر",0,COUNTIF(J151:N151,"نعم")))</f>
        <v/>
      </c>
      <c r="P151" s="27" t="str">
        <f aca="false">IF(I151="","لم يُفحص",IF(I151="غير متوفر","غير موجود",IF(AND(O151=5,I151="متوفر"),"مكتمل",IF(O151&gt;=3,"مقبول","ضعيف"))))</f>
        <v>لم يُفحص</v>
      </c>
      <c r="Q151" s="27" t="str">
        <f aca="false">IF(I151="","",IF(AND(I151="متوفر",O151=5),"لا","نعم"))</f>
        <v/>
      </c>
      <c r="R151" s="27" t="str">
        <f aca="false">IF(Q151&lt;&gt;"نعم","",IF(OR(E151="نعم",I151="غير متوفر"),"عالية",IF(O151&gt;=3,"منخفضة","متوسطة")))</f>
        <v/>
      </c>
      <c r="S151" s="30"/>
      <c r="T151" s="30"/>
      <c r="U151" s="27" t="str">
        <f aca="false">IFERROR(INDEX('الإعدادات واللجنة'!$H$22:$H$29,MATCH(C151,'الإعدادات واللجنة'!$B$22:$B$29,0)),"")</f>
        <v>عضو 7</v>
      </c>
      <c r="V151" s="29"/>
      <c r="W151" s="30"/>
    </row>
    <row r="152" customFormat="false" ht="22.35" hidden="false" customHeight="false" outlineLevel="0" collapsed="false">
      <c r="A152" s="27" t="s">
        <v>452</v>
      </c>
      <c r="B152" s="28" t="s">
        <v>145</v>
      </c>
      <c r="C152" s="28" t="s">
        <v>125</v>
      </c>
      <c r="D152" s="28" t="s">
        <v>453</v>
      </c>
      <c r="E152" s="27"/>
      <c r="F152" s="27" t="n">
        <v>2</v>
      </c>
      <c r="G152" s="28" t="s">
        <v>455</v>
      </c>
      <c r="H152" s="27" t="str">
        <f aca="false">IFERROR(INDEX('الإعدادات واللجنة'!$F$22:$F$29,MATCH(C152,'الإعدادات واللجنة'!$B$22:$B$29,0)),"")</f>
        <v>عضو 8</v>
      </c>
      <c r="I152" s="29"/>
      <c r="J152" s="29"/>
      <c r="K152" s="29"/>
      <c r="L152" s="29"/>
      <c r="M152" s="29"/>
      <c r="N152" s="29"/>
      <c r="O152" s="27" t="str">
        <f aca="false">IF(I152="","",IF(I152="غير متوفر",0,COUNTIF(J152:N152,"نعم")))</f>
        <v/>
      </c>
      <c r="P152" s="27" t="str">
        <f aca="false">IF(I152="","لم يُفحص",IF(I152="غير متوفر","غير موجود",IF(AND(O152=5,I152="متوفر"),"مكتمل",IF(O152&gt;=3,"مقبول","ضعيف"))))</f>
        <v>لم يُفحص</v>
      </c>
      <c r="Q152" s="27" t="str">
        <f aca="false">IF(I152="","",IF(AND(I152="متوفر",O152=5),"لا","نعم"))</f>
        <v/>
      </c>
      <c r="R152" s="27" t="str">
        <f aca="false">IF(Q152&lt;&gt;"نعم","",IF(OR(E152="نعم",I152="غير متوفر"),"عالية",IF(O152&gt;=3,"منخفضة","متوسطة")))</f>
        <v/>
      </c>
      <c r="S152" s="30"/>
      <c r="T152" s="30"/>
      <c r="U152" s="27" t="str">
        <f aca="false">IFERROR(INDEX('الإعدادات واللجنة'!$H$22:$H$29,MATCH(C152,'الإعدادات واللجنة'!$B$22:$B$29,0)),"")</f>
        <v>عضو 7</v>
      </c>
      <c r="V152" s="29"/>
      <c r="W152" s="30"/>
    </row>
    <row r="153" customFormat="false" ht="22.35" hidden="false" customHeight="false" outlineLevel="0" collapsed="false">
      <c r="A153" s="27" t="s">
        <v>452</v>
      </c>
      <c r="B153" s="28" t="s">
        <v>145</v>
      </c>
      <c r="C153" s="28" t="s">
        <v>125</v>
      </c>
      <c r="D153" s="28" t="s">
        <v>453</v>
      </c>
      <c r="E153" s="27"/>
      <c r="F153" s="27" t="n">
        <v>3</v>
      </c>
      <c r="G153" s="28" t="s">
        <v>456</v>
      </c>
      <c r="H153" s="27" t="str">
        <f aca="false">IFERROR(INDEX('الإعدادات واللجنة'!$F$22:$F$29,MATCH(C153,'الإعدادات واللجنة'!$B$22:$B$29,0)),"")</f>
        <v>عضو 8</v>
      </c>
      <c r="I153" s="29"/>
      <c r="J153" s="29"/>
      <c r="K153" s="29"/>
      <c r="L153" s="29"/>
      <c r="M153" s="29"/>
      <c r="N153" s="29"/>
      <c r="O153" s="27" t="str">
        <f aca="false">IF(I153="","",IF(I153="غير متوفر",0,COUNTIF(J153:N153,"نعم")))</f>
        <v/>
      </c>
      <c r="P153" s="27" t="str">
        <f aca="false">IF(I153="","لم يُفحص",IF(I153="غير متوفر","غير موجود",IF(AND(O153=5,I153="متوفر"),"مكتمل",IF(O153&gt;=3,"مقبول","ضعيف"))))</f>
        <v>لم يُفحص</v>
      </c>
      <c r="Q153" s="27" t="str">
        <f aca="false">IF(I153="","",IF(AND(I153="متوفر",O153=5),"لا","نعم"))</f>
        <v/>
      </c>
      <c r="R153" s="27" t="str">
        <f aca="false">IF(Q153&lt;&gt;"نعم","",IF(OR(E153="نعم",I153="غير متوفر"),"عالية",IF(O153&gt;=3,"منخفضة","متوسطة")))</f>
        <v/>
      </c>
      <c r="S153" s="30"/>
      <c r="T153" s="30"/>
      <c r="U153" s="27" t="str">
        <f aca="false">IFERROR(INDEX('الإعدادات واللجنة'!$H$22:$H$29,MATCH(C153,'الإعدادات واللجنة'!$B$22:$B$29,0)),"")</f>
        <v>عضو 7</v>
      </c>
      <c r="V153" s="29"/>
      <c r="W153" s="30"/>
    </row>
    <row r="154" customFormat="false" ht="22.35" hidden="false" customHeight="false" outlineLevel="0" collapsed="false">
      <c r="A154" s="27" t="s">
        <v>452</v>
      </c>
      <c r="B154" s="28" t="s">
        <v>145</v>
      </c>
      <c r="C154" s="28" t="s">
        <v>125</v>
      </c>
      <c r="D154" s="28" t="s">
        <v>453</v>
      </c>
      <c r="E154" s="27"/>
      <c r="F154" s="27" t="n">
        <v>4</v>
      </c>
      <c r="G154" s="28" t="s">
        <v>457</v>
      </c>
      <c r="H154" s="27" t="str">
        <f aca="false">IFERROR(INDEX('الإعدادات واللجنة'!$F$22:$F$29,MATCH(C154,'الإعدادات واللجنة'!$B$22:$B$29,0)),"")</f>
        <v>عضو 8</v>
      </c>
      <c r="I154" s="29"/>
      <c r="J154" s="29"/>
      <c r="K154" s="29"/>
      <c r="L154" s="29"/>
      <c r="M154" s="29"/>
      <c r="N154" s="29"/>
      <c r="O154" s="27" t="str">
        <f aca="false">IF(I154="","",IF(I154="غير متوفر",0,COUNTIF(J154:N154,"نعم")))</f>
        <v/>
      </c>
      <c r="P154" s="27" t="str">
        <f aca="false">IF(I154="","لم يُفحص",IF(I154="غير متوفر","غير موجود",IF(AND(O154=5,I154="متوفر"),"مكتمل",IF(O154&gt;=3,"مقبول","ضعيف"))))</f>
        <v>لم يُفحص</v>
      </c>
      <c r="Q154" s="27" t="str">
        <f aca="false">IF(I154="","",IF(AND(I154="متوفر",O154=5),"لا","نعم"))</f>
        <v/>
      </c>
      <c r="R154" s="27" t="str">
        <f aca="false">IF(Q154&lt;&gt;"نعم","",IF(OR(E154="نعم",I154="غير متوفر"),"عالية",IF(O154&gt;=3,"منخفضة","متوسطة")))</f>
        <v/>
      </c>
      <c r="S154" s="30"/>
      <c r="T154" s="30"/>
      <c r="U154" s="27" t="str">
        <f aca="false">IFERROR(INDEX('الإعدادات واللجنة'!$H$22:$H$29,MATCH(C154,'الإعدادات واللجنة'!$B$22:$B$29,0)),"")</f>
        <v>عضو 7</v>
      </c>
      <c r="V154" s="29"/>
      <c r="W154" s="30"/>
    </row>
    <row r="155" customFormat="false" ht="32.8" hidden="false" customHeight="false" outlineLevel="0" collapsed="false">
      <c r="A155" s="27" t="s">
        <v>458</v>
      </c>
      <c r="B155" s="28" t="s">
        <v>145</v>
      </c>
      <c r="C155" s="28" t="s">
        <v>125</v>
      </c>
      <c r="D155" s="28" t="s">
        <v>459</v>
      </c>
      <c r="E155" s="27"/>
      <c r="F155" s="27" t="n">
        <v>1</v>
      </c>
      <c r="G155" s="28" t="s">
        <v>460</v>
      </c>
      <c r="H155" s="27" t="str">
        <f aca="false">IFERROR(INDEX('الإعدادات واللجنة'!$F$22:$F$29,MATCH(C155,'الإعدادات واللجنة'!$B$22:$B$29,0)),"")</f>
        <v>عضو 8</v>
      </c>
      <c r="I155" s="29"/>
      <c r="J155" s="29"/>
      <c r="K155" s="29"/>
      <c r="L155" s="29"/>
      <c r="M155" s="29"/>
      <c r="N155" s="29"/>
      <c r="O155" s="27" t="str">
        <f aca="false">IF(I155="","",IF(I155="غير متوفر",0,COUNTIF(J155:N155,"نعم")))</f>
        <v/>
      </c>
      <c r="P155" s="27" t="str">
        <f aca="false">IF(I155="","لم يُفحص",IF(I155="غير متوفر","غير موجود",IF(AND(O155=5,I155="متوفر"),"مكتمل",IF(O155&gt;=3,"مقبول","ضعيف"))))</f>
        <v>لم يُفحص</v>
      </c>
      <c r="Q155" s="27" t="str">
        <f aca="false">IF(I155="","",IF(AND(I155="متوفر",O155=5),"لا","نعم"))</f>
        <v/>
      </c>
      <c r="R155" s="27" t="str">
        <f aca="false">IF(Q155&lt;&gt;"نعم","",IF(OR(E155="نعم",I155="غير متوفر"),"عالية",IF(O155&gt;=3,"منخفضة","متوسطة")))</f>
        <v/>
      </c>
      <c r="S155" s="30"/>
      <c r="T155" s="30"/>
      <c r="U155" s="27" t="str">
        <f aca="false">IFERROR(INDEX('الإعدادات واللجنة'!$H$22:$H$29,MATCH(C155,'الإعدادات واللجنة'!$B$22:$B$29,0)),"")</f>
        <v>عضو 7</v>
      </c>
      <c r="V155" s="29"/>
      <c r="W155" s="30"/>
    </row>
    <row r="156" customFormat="false" ht="32.8" hidden="false" customHeight="false" outlineLevel="0" collapsed="false">
      <c r="A156" s="27" t="s">
        <v>458</v>
      </c>
      <c r="B156" s="28" t="s">
        <v>145</v>
      </c>
      <c r="C156" s="28" t="s">
        <v>125</v>
      </c>
      <c r="D156" s="28" t="s">
        <v>459</v>
      </c>
      <c r="E156" s="27"/>
      <c r="F156" s="27" t="n">
        <v>2</v>
      </c>
      <c r="G156" s="28" t="s">
        <v>461</v>
      </c>
      <c r="H156" s="27" t="str">
        <f aca="false">IFERROR(INDEX('الإعدادات واللجنة'!$F$22:$F$29,MATCH(C156,'الإعدادات واللجنة'!$B$22:$B$29,0)),"")</f>
        <v>عضو 8</v>
      </c>
      <c r="I156" s="29"/>
      <c r="J156" s="29"/>
      <c r="K156" s="29"/>
      <c r="L156" s="29"/>
      <c r="M156" s="29"/>
      <c r="N156" s="29"/>
      <c r="O156" s="27" t="str">
        <f aca="false">IF(I156="","",IF(I156="غير متوفر",0,COUNTIF(J156:N156,"نعم")))</f>
        <v/>
      </c>
      <c r="P156" s="27" t="str">
        <f aca="false">IF(I156="","لم يُفحص",IF(I156="غير متوفر","غير موجود",IF(AND(O156=5,I156="متوفر"),"مكتمل",IF(O156&gt;=3,"مقبول","ضعيف"))))</f>
        <v>لم يُفحص</v>
      </c>
      <c r="Q156" s="27" t="str">
        <f aca="false">IF(I156="","",IF(AND(I156="متوفر",O156=5),"لا","نعم"))</f>
        <v/>
      </c>
      <c r="R156" s="27" t="str">
        <f aca="false">IF(Q156&lt;&gt;"نعم","",IF(OR(E156="نعم",I156="غير متوفر"),"عالية",IF(O156&gt;=3,"منخفضة","متوسطة")))</f>
        <v/>
      </c>
      <c r="S156" s="30"/>
      <c r="T156" s="30"/>
      <c r="U156" s="27" t="str">
        <f aca="false">IFERROR(INDEX('الإعدادات واللجنة'!$H$22:$H$29,MATCH(C156,'الإعدادات واللجنة'!$B$22:$B$29,0)),"")</f>
        <v>عضو 7</v>
      </c>
      <c r="V156" s="29"/>
      <c r="W156" s="30"/>
    </row>
    <row r="157" customFormat="false" ht="32.8" hidden="false" customHeight="false" outlineLevel="0" collapsed="false">
      <c r="A157" s="27" t="s">
        <v>458</v>
      </c>
      <c r="B157" s="28" t="s">
        <v>145</v>
      </c>
      <c r="C157" s="28" t="s">
        <v>125</v>
      </c>
      <c r="D157" s="28" t="s">
        <v>459</v>
      </c>
      <c r="E157" s="27"/>
      <c r="F157" s="27" t="n">
        <v>3</v>
      </c>
      <c r="G157" s="28" t="s">
        <v>462</v>
      </c>
      <c r="H157" s="27" t="str">
        <f aca="false">IFERROR(INDEX('الإعدادات واللجنة'!$F$22:$F$29,MATCH(C157,'الإعدادات واللجنة'!$B$22:$B$29,0)),"")</f>
        <v>عضو 8</v>
      </c>
      <c r="I157" s="29"/>
      <c r="J157" s="29"/>
      <c r="K157" s="29"/>
      <c r="L157" s="29"/>
      <c r="M157" s="29"/>
      <c r="N157" s="29"/>
      <c r="O157" s="27" t="str">
        <f aca="false">IF(I157="","",IF(I157="غير متوفر",0,COUNTIF(J157:N157,"نعم")))</f>
        <v/>
      </c>
      <c r="P157" s="27" t="str">
        <f aca="false">IF(I157="","لم يُفحص",IF(I157="غير متوفر","غير موجود",IF(AND(O157=5,I157="متوفر"),"مكتمل",IF(O157&gt;=3,"مقبول","ضعيف"))))</f>
        <v>لم يُفحص</v>
      </c>
      <c r="Q157" s="27" t="str">
        <f aca="false">IF(I157="","",IF(AND(I157="متوفر",O157=5),"لا","نعم"))</f>
        <v/>
      </c>
      <c r="R157" s="27" t="str">
        <f aca="false">IF(Q157&lt;&gt;"نعم","",IF(OR(E157="نعم",I157="غير متوفر"),"عالية",IF(O157&gt;=3,"منخفضة","متوسطة")))</f>
        <v/>
      </c>
      <c r="S157" s="30"/>
      <c r="T157" s="30"/>
      <c r="U157" s="27" t="str">
        <f aca="false">IFERROR(INDEX('الإعدادات واللجنة'!$H$22:$H$29,MATCH(C157,'الإعدادات واللجنة'!$B$22:$B$29,0)),"")</f>
        <v>عضو 7</v>
      </c>
      <c r="V157" s="29"/>
      <c r="W157" s="30"/>
    </row>
    <row r="158" customFormat="false" ht="32.8" hidden="false" customHeight="false" outlineLevel="0" collapsed="false">
      <c r="A158" s="27" t="s">
        <v>458</v>
      </c>
      <c r="B158" s="28" t="s">
        <v>145</v>
      </c>
      <c r="C158" s="28" t="s">
        <v>125</v>
      </c>
      <c r="D158" s="28" t="s">
        <v>459</v>
      </c>
      <c r="E158" s="27"/>
      <c r="F158" s="27" t="n">
        <v>4</v>
      </c>
      <c r="G158" s="28" t="s">
        <v>463</v>
      </c>
      <c r="H158" s="27" t="str">
        <f aca="false">IFERROR(INDEX('الإعدادات واللجنة'!$F$22:$F$29,MATCH(C158,'الإعدادات واللجنة'!$B$22:$B$29,0)),"")</f>
        <v>عضو 8</v>
      </c>
      <c r="I158" s="29"/>
      <c r="J158" s="29"/>
      <c r="K158" s="29"/>
      <c r="L158" s="29"/>
      <c r="M158" s="29"/>
      <c r="N158" s="29"/>
      <c r="O158" s="27" t="str">
        <f aca="false">IF(I158="","",IF(I158="غير متوفر",0,COUNTIF(J158:N158,"نعم")))</f>
        <v/>
      </c>
      <c r="P158" s="27" t="str">
        <f aca="false">IF(I158="","لم يُفحص",IF(I158="غير متوفر","غير موجود",IF(AND(O158=5,I158="متوفر"),"مكتمل",IF(O158&gt;=3,"مقبول","ضعيف"))))</f>
        <v>لم يُفحص</v>
      </c>
      <c r="Q158" s="27" t="str">
        <f aca="false">IF(I158="","",IF(AND(I158="متوفر",O158=5),"لا","نعم"))</f>
        <v/>
      </c>
      <c r="R158" s="27" t="str">
        <f aca="false">IF(Q158&lt;&gt;"نعم","",IF(OR(E158="نعم",I158="غير متوفر"),"عالية",IF(O158&gt;=3,"منخفضة","متوسطة")))</f>
        <v/>
      </c>
      <c r="S158" s="30"/>
      <c r="T158" s="30"/>
      <c r="U158" s="27" t="str">
        <f aca="false">IFERROR(INDEX('الإعدادات واللجنة'!$H$22:$H$29,MATCH(C158,'الإعدادات واللجنة'!$B$22:$B$29,0)),"")</f>
        <v>عضو 7</v>
      </c>
      <c r="V158" s="29"/>
      <c r="W158" s="30"/>
    </row>
    <row r="159" customFormat="false" ht="32.8" hidden="false" customHeight="false" outlineLevel="0" collapsed="false">
      <c r="A159" s="27" t="s">
        <v>458</v>
      </c>
      <c r="B159" s="28" t="s">
        <v>145</v>
      </c>
      <c r="C159" s="28" t="s">
        <v>125</v>
      </c>
      <c r="D159" s="28" t="s">
        <v>459</v>
      </c>
      <c r="E159" s="27"/>
      <c r="F159" s="27" t="n">
        <v>5</v>
      </c>
      <c r="G159" s="28" t="s">
        <v>464</v>
      </c>
      <c r="H159" s="27" t="str">
        <f aca="false">IFERROR(INDEX('الإعدادات واللجنة'!$F$22:$F$29,MATCH(C159,'الإعدادات واللجنة'!$B$22:$B$29,0)),"")</f>
        <v>عضو 8</v>
      </c>
      <c r="I159" s="29"/>
      <c r="J159" s="29"/>
      <c r="K159" s="29"/>
      <c r="L159" s="29"/>
      <c r="M159" s="29"/>
      <c r="N159" s="29"/>
      <c r="O159" s="27" t="str">
        <f aca="false">IF(I159="","",IF(I159="غير متوفر",0,COUNTIF(J159:N159,"نعم")))</f>
        <v/>
      </c>
      <c r="P159" s="27" t="str">
        <f aca="false">IF(I159="","لم يُفحص",IF(I159="غير متوفر","غير موجود",IF(AND(O159=5,I159="متوفر"),"مكتمل",IF(O159&gt;=3,"مقبول","ضعيف"))))</f>
        <v>لم يُفحص</v>
      </c>
      <c r="Q159" s="27" t="str">
        <f aca="false">IF(I159="","",IF(AND(I159="متوفر",O159=5),"لا","نعم"))</f>
        <v/>
      </c>
      <c r="R159" s="27" t="str">
        <f aca="false">IF(Q159&lt;&gt;"نعم","",IF(OR(E159="نعم",I159="غير متوفر"),"عالية",IF(O159&gt;=3,"منخفضة","متوسطة")))</f>
        <v/>
      </c>
      <c r="S159" s="30"/>
      <c r="T159" s="30"/>
      <c r="U159" s="27" t="str">
        <f aca="false">IFERROR(INDEX('الإعدادات واللجنة'!$H$22:$H$29,MATCH(C159,'الإعدادات واللجنة'!$B$22:$B$29,0)),"")</f>
        <v>عضو 7</v>
      </c>
      <c r="V159" s="29"/>
      <c r="W159" s="30"/>
    </row>
    <row r="160" customFormat="false" ht="32.8" hidden="false" customHeight="false" outlineLevel="0" collapsed="false">
      <c r="A160" s="27" t="s">
        <v>458</v>
      </c>
      <c r="B160" s="28" t="s">
        <v>145</v>
      </c>
      <c r="C160" s="28" t="s">
        <v>125</v>
      </c>
      <c r="D160" s="28" t="s">
        <v>459</v>
      </c>
      <c r="E160" s="27"/>
      <c r="F160" s="27" t="n">
        <v>6</v>
      </c>
      <c r="G160" s="28" t="s">
        <v>465</v>
      </c>
      <c r="H160" s="27" t="str">
        <f aca="false">IFERROR(INDEX('الإعدادات واللجنة'!$F$22:$F$29,MATCH(C160,'الإعدادات واللجنة'!$B$22:$B$29,0)),"")</f>
        <v>عضو 8</v>
      </c>
      <c r="I160" s="29"/>
      <c r="J160" s="29"/>
      <c r="K160" s="29"/>
      <c r="L160" s="29"/>
      <c r="M160" s="29"/>
      <c r="N160" s="29"/>
      <c r="O160" s="27" t="str">
        <f aca="false">IF(I160="","",IF(I160="غير متوفر",0,COUNTIF(J160:N160,"نعم")))</f>
        <v/>
      </c>
      <c r="P160" s="27" t="str">
        <f aca="false">IF(I160="","لم يُفحص",IF(I160="غير متوفر","غير موجود",IF(AND(O160=5,I160="متوفر"),"مكتمل",IF(O160&gt;=3,"مقبول","ضعيف"))))</f>
        <v>لم يُفحص</v>
      </c>
      <c r="Q160" s="27" t="str">
        <f aca="false">IF(I160="","",IF(AND(I160="متوفر",O160=5),"لا","نعم"))</f>
        <v/>
      </c>
      <c r="R160" s="27" t="str">
        <f aca="false">IF(Q160&lt;&gt;"نعم","",IF(OR(E160="نعم",I160="غير متوفر"),"عالية",IF(O160&gt;=3,"منخفضة","متوسطة")))</f>
        <v/>
      </c>
      <c r="S160" s="30"/>
      <c r="T160" s="30"/>
      <c r="U160" s="27" t="str">
        <f aca="false">IFERROR(INDEX('الإعدادات واللجنة'!$H$22:$H$29,MATCH(C160,'الإعدادات واللجنة'!$B$22:$B$29,0)),"")</f>
        <v>عضو 7</v>
      </c>
      <c r="V160" s="29"/>
      <c r="W160" s="30"/>
    </row>
    <row r="161" customFormat="false" ht="22.35" hidden="false" customHeight="false" outlineLevel="0" collapsed="false">
      <c r="A161" s="31" t="s">
        <v>466</v>
      </c>
      <c r="B161" s="32" t="s">
        <v>145</v>
      </c>
      <c r="C161" s="32" t="s">
        <v>125</v>
      </c>
      <c r="D161" s="32" t="s">
        <v>467</v>
      </c>
      <c r="E161" s="31" t="s">
        <v>185</v>
      </c>
      <c r="F161" s="31" t="n">
        <v>1</v>
      </c>
      <c r="G161" s="32" t="s">
        <v>468</v>
      </c>
      <c r="H161" s="27" t="str">
        <f aca="false">IFERROR(INDEX('الإعدادات واللجنة'!$F$22:$F$29,MATCH(C161,'الإعدادات واللجنة'!$B$22:$B$29,0)),"")</f>
        <v>عضو 8</v>
      </c>
      <c r="I161" s="29"/>
      <c r="J161" s="29"/>
      <c r="K161" s="29"/>
      <c r="L161" s="29"/>
      <c r="M161" s="29"/>
      <c r="N161" s="29"/>
      <c r="O161" s="27" t="str">
        <f aca="false">IF(I161="","",IF(I161="غير متوفر",0,COUNTIF(J161:N161,"نعم")))</f>
        <v/>
      </c>
      <c r="P161" s="27" t="str">
        <f aca="false">IF(I161="","لم يُفحص",IF(I161="غير متوفر","غير موجود",IF(AND(O161=5,I161="متوفر"),"مكتمل",IF(O161&gt;=3,"مقبول","ضعيف"))))</f>
        <v>لم يُفحص</v>
      </c>
      <c r="Q161" s="27" t="str">
        <f aca="false">IF(I161="","",IF(AND(I161="متوفر",O161=5),"لا","نعم"))</f>
        <v/>
      </c>
      <c r="R161" s="27" t="str">
        <f aca="false">IF(Q161&lt;&gt;"نعم","",IF(OR(E161="نعم",I161="غير متوفر"),"عالية",IF(O161&gt;=3,"منخفضة","متوسطة")))</f>
        <v/>
      </c>
      <c r="S161" s="30"/>
      <c r="T161" s="30"/>
      <c r="U161" s="27" t="str">
        <f aca="false">IFERROR(INDEX('الإعدادات واللجنة'!$H$22:$H$29,MATCH(C161,'الإعدادات واللجنة'!$B$22:$B$29,0)),"")</f>
        <v>عضو 7</v>
      </c>
      <c r="V161" s="29"/>
      <c r="W161" s="30"/>
    </row>
    <row r="162" customFormat="false" ht="22.35" hidden="false" customHeight="false" outlineLevel="0" collapsed="false">
      <c r="A162" s="31" t="s">
        <v>466</v>
      </c>
      <c r="B162" s="32" t="s">
        <v>145</v>
      </c>
      <c r="C162" s="32" t="s">
        <v>125</v>
      </c>
      <c r="D162" s="32" t="s">
        <v>467</v>
      </c>
      <c r="E162" s="31" t="s">
        <v>185</v>
      </c>
      <c r="F162" s="31" t="n">
        <v>2</v>
      </c>
      <c r="G162" s="32" t="s">
        <v>469</v>
      </c>
      <c r="H162" s="27" t="str">
        <f aca="false">IFERROR(INDEX('الإعدادات واللجنة'!$F$22:$F$29,MATCH(C162,'الإعدادات واللجنة'!$B$22:$B$29,0)),"")</f>
        <v>عضو 8</v>
      </c>
      <c r="I162" s="29"/>
      <c r="J162" s="29"/>
      <c r="K162" s="29"/>
      <c r="L162" s="29"/>
      <c r="M162" s="29"/>
      <c r="N162" s="29"/>
      <c r="O162" s="27" t="str">
        <f aca="false">IF(I162="","",IF(I162="غير متوفر",0,COUNTIF(J162:N162,"نعم")))</f>
        <v/>
      </c>
      <c r="P162" s="27" t="str">
        <f aca="false">IF(I162="","لم يُفحص",IF(I162="غير متوفر","غير موجود",IF(AND(O162=5,I162="متوفر"),"مكتمل",IF(O162&gt;=3,"مقبول","ضعيف"))))</f>
        <v>لم يُفحص</v>
      </c>
      <c r="Q162" s="27" t="str">
        <f aca="false">IF(I162="","",IF(AND(I162="متوفر",O162=5),"لا","نعم"))</f>
        <v/>
      </c>
      <c r="R162" s="27" t="str">
        <f aca="false">IF(Q162&lt;&gt;"نعم","",IF(OR(E162="نعم",I162="غير متوفر"),"عالية",IF(O162&gt;=3,"منخفضة","متوسطة")))</f>
        <v/>
      </c>
      <c r="S162" s="30"/>
      <c r="T162" s="30"/>
      <c r="U162" s="27" t="str">
        <f aca="false">IFERROR(INDEX('الإعدادات واللجنة'!$H$22:$H$29,MATCH(C162,'الإعدادات واللجنة'!$B$22:$B$29,0)),"")</f>
        <v>عضو 7</v>
      </c>
      <c r="V162" s="29"/>
      <c r="W162" s="30"/>
    </row>
    <row r="163" customFormat="false" ht="22.35" hidden="false" customHeight="false" outlineLevel="0" collapsed="false">
      <c r="A163" s="31" t="s">
        <v>466</v>
      </c>
      <c r="B163" s="32" t="s">
        <v>145</v>
      </c>
      <c r="C163" s="32" t="s">
        <v>125</v>
      </c>
      <c r="D163" s="32" t="s">
        <v>467</v>
      </c>
      <c r="E163" s="31" t="s">
        <v>185</v>
      </c>
      <c r="F163" s="31" t="n">
        <v>3</v>
      </c>
      <c r="G163" s="32" t="s">
        <v>470</v>
      </c>
      <c r="H163" s="27" t="str">
        <f aca="false">IFERROR(INDEX('الإعدادات واللجنة'!$F$22:$F$29,MATCH(C163,'الإعدادات واللجنة'!$B$22:$B$29,0)),"")</f>
        <v>عضو 8</v>
      </c>
      <c r="I163" s="29"/>
      <c r="J163" s="29"/>
      <c r="K163" s="29"/>
      <c r="L163" s="29"/>
      <c r="M163" s="29"/>
      <c r="N163" s="29"/>
      <c r="O163" s="27" t="str">
        <f aca="false">IF(I163="","",IF(I163="غير متوفر",0,COUNTIF(J163:N163,"نعم")))</f>
        <v/>
      </c>
      <c r="P163" s="27" t="str">
        <f aca="false">IF(I163="","لم يُفحص",IF(I163="غير متوفر","غير موجود",IF(AND(O163=5,I163="متوفر"),"مكتمل",IF(O163&gt;=3,"مقبول","ضعيف"))))</f>
        <v>لم يُفحص</v>
      </c>
      <c r="Q163" s="27" t="str">
        <f aca="false">IF(I163="","",IF(AND(I163="متوفر",O163=5),"لا","نعم"))</f>
        <v/>
      </c>
      <c r="R163" s="27" t="str">
        <f aca="false">IF(Q163&lt;&gt;"نعم","",IF(OR(E163="نعم",I163="غير متوفر"),"عالية",IF(O163&gt;=3,"منخفضة","متوسطة")))</f>
        <v/>
      </c>
      <c r="S163" s="30"/>
      <c r="T163" s="30"/>
      <c r="U163" s="27" t="str">
        <f aca="false">IFERROR(INDEX('الإعدادات واللجنة'!$H$22:$H$29,MATCH(C163,'الإعدادات واللجنة'!$B$22:$B$29,0)),"")</f>
        <v>عضو 7</v>
      </c>
      <c r="V163" s="29"/>
      <c r="W163" s="30"/>
    </row>
    <row r="164" customFormat="false" ht="22.35" hidden="false" customHeight="false" outlineLevel="0" collapsed="false">
      <c r="A164" s="31" t="s">
        <v>471</v>
      </c>
      <c r="B164" s="32" t="s">
        <v>146</v>
      </c>
      <c r="C164" s="32" t="s">
        <v>126</v>
      </c>
      <c r="D164" s="32" t="s">
        <v>472</v>
      </c>
      <c r="E164" s="31" t="s">
        <v>185</v>
      </c>
      <c r="F164" s="31" t="n">
        <v>1</v>
      </c>
      <c r="G164" s="32" t="s">
        <v>473</v>
      </c>
      <c r="H164" s="27" t="str">
        <f aca="false">IFERROR(INDEX('الإعدادات واللجنة'!$F$22:$F$29,MATCH(C164,'الإعدادات واللجنة'!$B$22:$B$29,0)),"")</f>
        <v>عضو 8</v>
      </c>
      <c r="I164" s="29"/>
      <c r="J164" s="29"/>
      <c r="K164" s="29"/>
      <c r="L164" s="29"/>
      <c r="M164" s="29"/>
      <c r="N164" s="29"/>
      <c r="O164" s="27" t="str">
        <f aca="false">IF(I164="","",IF(I164="غير متوفر",0,COUNTIF(J164:N164,"نعم")))</f>
        <v/>
      </c>
      <c r="P164" s="27" t="str">
        <f aca="false">IF(I164="","لم يُفحص",IF(I164="غير متوفر","غير موجود",IF(AND(O164=5,I164="متوفر"),"مكتمل",IF(O164&gt;=3,"مقبول","ضعيف"))))</f>
        <v>لم يُفحص</v>
      </c>
      <c r="Q164" s="27" t="str">
        <f aca="false">IF(I164="","",IF(AND(I164="متوفر",O164=5),"لا","نعم"))</f>
        <v/>
      </c>
      <c r="R164" s="27" t="str">
        <f aca="false">IF(Q164&lt;&gt;"نعم","",IF(OR(E164="نعم",I164="غير متوفر"),"عالية",IF(O164&gt;=3,"منخفضة","متوسطة")))</f>
        <v/>
      </c>
      <c r="S164" s="30"/>
      <c r="T164" s="30"/>
      <c r="U164" s="27" t="str">
        <f aca="false">IFERROR(INDEX('الإعدادات واللجنة'!$H$22:$H$29,MATCH(C164,'الإعدادات واللجنة'!$B$22:$B$29,0)),"")</f>
        <v>عضو 7</v>
      </c>
      <c r="V164" s="29"/>
      <c r="W164" s="30"/>
    </row>
    <row r="165" customFormat="false" ht="22.35" hidden="false" customHeight="false" outlineLevel="0" collapsed="false">
      <c r="A165" s="31" t="s">
        <v>471</v>
      </c>
      <c r="B165" s="32" t="s">
        <v>146</v>
      </c>
      <c r="C165" s="32" t="s">
        <v>126</v>
      </c>
      <c r="D165" s="32" t="s">
        <v>472</v>
      </c>
      <c r="E165" s="31" t="s">
        <v>185</v>
      </c>
      <c r="F165" s="31" t="n">
        <v>2</v>
      </c>
      <c r="G165" s="32" t="s">
        <v>474</v>
      </c>
      <c r="H165" s="27" t="str">
        <f aca="false">IFERROR(INDEX('الإعدادات واللجنة'!$F$22:$F$29,MATCH(C165,'الإعدادات واللجنة'!$B$22:$B$29,0)),"")</f>
        <v>عضو 8</v>
      </c>
      <c r="I165" s="29"/>
      <c r="J165" s="29"/>
      <c r="K165" s="29"/>
      <c r="L165" s="29"/>
      <c r="M165" s="29"/>
      <c r="N165" s="29"/>
      <c r="O165" s="27" t="str">
        <f aca="false">IF(I165="","",IF(I165="غير متوفر",0,COUNTIF(J165:N165,"نعم")))</f>
        <v/>
      </c>
      <c r="P165" s="27" t="str">
        <f aca="false">IF(I165="","لم يُفحص",IF(I165="غير متوفر","غير موجود",IF(AND(O165=5,I165="متوفر"),"مكتمل",IF(O165&gt;=3,"مقبول","ضعيف"))))</f>
        <v>لم يُفحص</v>
      </c>
      <c r="Q165" s="27" t="str">
        <f aca="false">IF(I165="","",IF(AND(I165="متوفر",O165=5),"لا","نعم"))</f>
        <v/>
      </c>
      <c r="R165" s="27" t="str">
        <f aca="false">IF(Q165&lt;&gt;"نعم","",IF(OR(E165="نعم",I165="غير متوفر"),"عالية",IF(O165&gt;=3,"منخفضة","متوسطة")))</f>
        <v/>
      </c>
      <c r="S165" s="30"/>
      <c r="T165" s="30"/>
      <c r="U165" s="27" t="str">
        <f aca="false">IFERROR(INDEX('الإعدادات واللجنة'!$H$22:$H$29,MATCH(C165,'الإعدادات واللجنة'!$B$22:$B$29,0)),"")</f>
        <v>عضو 7</v>
      </c>
      <c r="V165" s="29"/>
      <c r="W165" s="30"/>
    </row>
    <row r="166" customFormat="false" ht="22.35" hidden="false" customHeight="false" outlineLevel="0" collapsed="false">
      <c r="A166" s="31" t="s">
        <v>471</v>
      </c>
      <c r="B166" s="32" t="s">
        <v>146</v>
      </c>
      <c r="C166" s="32" t="s">
        <v>126</v>
      </c>
      <c r="D166" s="32" t="s">
        <v>472</v>
      </c>
      <c r="E166" s="31" t="s">
        <v>185</v>
      </c>
      <c r="F166" s="31" t="n">
        <v>3</v>
      </c>
      <c r="G166" s="32" t="s">
        <v>475</v>
      </c>
      <c r="H166" s="27" t="str">
        <f aca="false">IFERROR(INDEX('الإعدادات واللجنة'!$F$22:$F$29,MATCH(C166,'الإعدادات واللجنة'!$B$22:$B$29,0)),"")</f>
        <v>عضو 8</v>
      </c>
      <c r="I166" s="29"/>
      <c r="J166" s="29"/>
      <c r="K166" s="29"/>
      <c r="L166" s="29"/>
      <c r="M166" s="29"/>
      <c r="N166" s="29"/>
      <c r="O166" s="27" t="str">
        <f aca="false">IF(I166="","",IF(I166="غير متوفر",0,COUNTIF(J166:N166,"نعم")))</f>
        <v/>
      </c>
      <c r="P166" s="27" t="str">
        <f aca="false">IF(I166="","لم يُفحص",IF(I166="غير متوفر","غير موجود",IF(AND(O166=5,I166="متوفر"),"مكتمل",IF(O166&gt;=3,"مقبول","ضعيف"))))</f>
        <v>لم يُفحص</v>
      </c>
      <c r="Q166" s="27" t="str">
        <f aca="false">IF(I166="","",IF(AND(I166="متوفر",O166=5),"لا","نعم"))</f>
        <v/>
      </c>
      <c r="R166" s="27" t="str">
        <f aca="false">IF(Q166&lt;&gt;"نعم","",IF(OR(E166="نعم",I166="غير متوفر"),"عالية",IF(O166&gt;=3,"منخفضة","متوسطة")))</f>
        <v/>
      </c>
      <c r="S166" s="30"/>
      <c r="T166" s="30"/>
      <c r="U166" s="27" t="str">
        <f aca="false">IFERROR(INDEX('الإعدادات واللجنة'!$H$22:$H$29,MATCH(C166,'الإعدادات واللجنة'!$B$22:$B$29,0)),"")</f>
        <v>عضو 7</v>
      </c>
      <c r="V166" s="29"/>
      <c r="W166" s="30"/>
    </row>
    <row r="167" customFormat="false" ht="22.35" hidden="false" customHeight="false" outlineLevel="0" collapsed="false">
      <c r="A167" s="31" t="s">
        <v>471</v>
      </c>
      <c r="B167" s="32" t="s">
        <v>146</v>
      </c>
      <c r="C167" s="32" t="s">
        <v>126</v>
      </c>
      <c r="D167" s="32" t="s">
        <v>472</v>
      </c>
      <c r="E167" s="31" t="s">
        <v>185</v>
      </c>
      <c r="F167" s="31" t="n">
        <v>4</v>
      </c>
      <c r="G167" s="32" t="s">
        <v>476</v>
      </c>
      <c r="H167" s="27" t="str">
        <f aca="false">IFERROR(INDEX('الإعدادات واللجنة'!$F$22:$F$29,MATCH(C167,'الإعدادات واللجنة'!$B$22:$B$29,0)),"")</f>
        <v>عضو 8</v>
      </c>
      <c r="I167" s="29"/>
      <c r="J167" s="29"/>
      <c r="K167" s="29"/>
      <c r="L167" s="29"/>
      <c r="M167" s="29"/>
      <c r="N167" s="29"/>
      <c r="O167" s="27" t="str">
        <f aca="false">IF(I167="","",IF(I167="غير متوفر",0,COUNTIF(J167:N167,"نعم")))</f>
        <v/>
      </c>
      <c r="P167" s="27" t="str">
        <f aca="false">IF(I167="","لم يُفحص",IF(I167="غير متوفر","غير موجود",IF(AND(O167=5,I167="متوفر"),"مكتمل",IF(O167&gt;=3,"مقبول","ضعيف"))))</f>
        <v>لم يُفحص</v>
      </c>
      <c r="Q167" s="27" t="str">
        <f aca="false">IF(I167="","",IF(AND(I167="متوفر",O167=5),"لا","نعم"))</f>
        <v/>
      </c>
      <c r="R167" s="27" t="str">
        <f aca="false">IF(Q167&lt;&gt;"نعم","",IF(OR(E167="نعم",I167="غير متوفر"),"عالية",IF(O167&gt;=3,"منخفضة","متوسطة")))</f>
        <v/>
      </c>
      <c r="S167" s="30"/>
      <c r="T167" s="30"/>
      <c r="U167" s="27" t="str">
        <f aca="false">IFERROR(INDEX('الإعدادات واللجنة'!$H$22:$H$29,MATCH(C167,'الإعدادات واللجنة'!$B$22:$B$29,0)),"")</f>
        <v>عضو 7</v>
      </c>
      <c r="V167" s="29"/>
      <c r="W167" s="30"/>
    </row>
    <row r="168" customFormat="false" ht="22.35" hidden="false" customHeight="false" outlineLevel="0" collapsed="false">
      <c r="A168" s="27" t="s">
        <v>477</v>
      </c>
      <c r="B168" s="28" t="s">
        <v>146</v>
      </c>
      <c r="C168" s="28" t="s">
        <v>126</v>
      </c>
      <c r="D168" s="28" t="s">
        <v>478</v>
      </c>
      <c r="E168" s="27"/>
      <c r="F168" s="27" t="n">
        <v>1</v>
      </c>
      <c r="G168" s="28" t="s">
        <v>479</v>
      </c>
      <c r="H168" s="27" t="str">
        <f aca="false">IFERROR(INDEX('الإعدادات واللجنة'!$F$22:$F$29,MATCH(C168,'الإعدادات واللجنة'!$B$22:$B$29,0)),"")</f>
        <v>عضو 8</v>
      </c>
      <c r="I168" s="29"/>
      <c r="J168" s="29"/>
      <c r="K168" s="29"/>
      <c r="L168" s="29"/>
      <c r="M168" s="29"/>
      <c r="N168" s="29"/>
      <c r="O168" s="27" t="str">
        <f aca="false">IF(I168="","",IF(I168="غير متوفر",0,COUNTIF(J168:N168,"نعم")))</f>
        <v/>
      </c>
      <c r="P168" s="27" t="str">
        <f aca="false">IF(I168="","لم يُفحص",IF(I168="غير متوفر","غير موجود",IF(AND(O168=5,I168="متوفر"),"مكتمل",IF(O168&gt;=3,"مقبول","ضعيف"))))</f>
        <v>لم يُفحص</v>
      </c>
      <c r="Q168" s="27" t="str">
        <f aca="false">IF(I168="","",IF(AND(I168="متوفر",O168=5),"لا","نعم"))</f>
        <v/>
      </c>
      <c r="R168" s="27" t="str">
        <f aca="false">IF(Q168&lt;&gt;"نعم","",IF(OR(E168="نعم",I168="غير متوفر"),"عالية",IF(O168&gt;=3,"منخفضة","متوسطة")))</f>
        <v/>
      </c>
      <c r="S168" s="30"/>
      <c r="T168" s="30"/>
      <c r="U168" s="27" t="str">
        <f aca="false">IFERROR(INDEX('الإعدادات واللجنة'!$H$22:$H$29,MATCH(C168,'الإعدادات واللجنة'!$B$22:$B$29,0)),"")</f>
        <v>عضو 7</v>
      </c>
      <c r="V168" s="29"/>
      <c r="W168" s="30"/>
    </row>
    <row r="169" customFormat="false" ht="22.35" hidden="false" customHeight="false" outlineLevel="0" collapsed="false">
      <c r="A169" s="27" t="s">
        <v>477</v>
      </c>
      <c r="B169" s="28" t="s">
        <v>146</v>
      </c>
      <c r="C169" s="28" t="s">
        <v>126</v>
      </c>
      <c r="D169" s="28" t="s">
        <v>478</v>
      </c>
      <c r="E169" s="27"/>
      <c r="F169" s="27" t="n">
        <v>2</v>
      </c>
      <c r="G169" s="28" t="s">
        <v>480</v>
      </c>
      <c r="H169" s="27" t="str">
        <f aca="false">IFERROR(INDEX('الإعدادات واللجنة'!$F$22:$F$29,MATCH(C169,'الإعدادات واللجنة'!$B$22:$B$29,0)),"")</f>
        <v>عضو 8</v>
      </c>
      <c r="I169" s="29"/>
      <c r="J169" s="29"/>
      <c r="K169" s="29"/>
      <c r="L169" s="29"/>
      <c r="M169" s="29"/>
      <c r="N169" s="29"/>
      <c r="O169" s="27" t="str">
        <f aca="false">IF(I169="","",IF(I169="غير متوفر",0,COUNTIF(J169:N169,"نعم")))</f>
        <v/>
      </c>
      <c r="P169" s="27" t="str">
        <f aca="false">IF(I169="","لم يُفحص",IF(I169="غير متوفر","غير موجود",IF(AND(O169=5,I169="متوفر"),"مكتمل",IF(O169&gt;=3,"مقبول","ضعيف"))))</f>
        <v>لم يُفحص</v>
      </c>
      <c r="Q169" s="27" t="str">
        <f aca="false">IF(I169="","",IF(AND(I169="متوفر",O169=5),"لا","نعم"))</f>
        <v/>
      </c>
      <c r="R169" s="27" t="str">
        <f aca="false">IF(Q169&lt;&gt;"نعم","",IF(OR(E169="نعم",I169="غير متوفر"),"عالية",IF(O169&gt;=3,"منخفضة","متوسطة")))</f>
        <v/>
      </c>
      <c r="S169" s="30"/>
      <c r="T169" s="30"/>
      <c r="U169" s="27" t="str">
        <f aca="false">IFERROR(INDEX('الإعدادات واللجنة'!$H$22:$H$29,MATCH(C169,'الإعدادات واللجنة'!$B$22:$B$29,0)),"")</f>
        <v>عضو 7</v>
      </c>
      <c r="V169" s="29"/>
      <c r="W169" s="30"/>
    </row>
    <row r="170" customFormat="false" ht="22.35" hidden="false" customHeight="false" outlineLevel="0" collapsed="false">
      <c r="A170" s="27" t="s">
        <v>481</v>
      </c>
      <c r="B170" s="28" t="s">
        <v>146</v>
      </c>
      <c r="C170" s="28" t="s">
        <v>126</v>
      </c>
      <c r="D170" s="28" t="s">
        <v>482</v>
      </c>
      <c r="E170" s="27"/>
      <c r="F170" s="27" t="n">
        <v>1</v>
      </c>
      <c r="G170" s="28" t="s">
        <v>483</v>
      </c>
      <c r="H170" s="27" t="str">
        <f aca="false">IFERROR(INDEX('الإعدادات واللجنة'!$F$22:$F$29,MATCH(C170,'الإعدادات واللجنة'!$B$22:$B$29,0)),"")</f>
        <v>عضو 8</v>
      </c>
      <c r="I170" s="29"/>
      <c r="J170" s="29"/>
      <c r="K170" s="29"/>
      <c r="L170" s="29"/>
      <c r="M170" s="29"/>
      <c r="N170" s="29"/>
      <c r="O170" s="27" t="str">
        <f aca="false">IF(I170="","",IF(I170="غير متوفر",0,COUNTIF(J170:N170,"نعم")))</f>
        <v/>
      </c>
      <c r="P170" s="27" t="str">
        <f aca="false">IF(I170="","لم يُفحص",IF(I170="غير متوفر","غير موجود",IF(AND(O170=5,I170="متوفر"),"مكتمل",IF(O170&gt;=3,"مقبول","ضعيف"))))</f>
        <v>لم يُفحص</v>
      </c>
      <c r="Q170" s="27" t="str">
        <f aca="false">IF(I170="","",IF(AND(I170="متوفر",O170=5),"لا","نعم"))</f>
        <v/>
      </c>
      <c r="R170" s="27" t="str">
        <f aca="false">IF(Q170&lt;&gt;"نعم","",IF(OR(E170="نعم",I170="غير متوفر"),"عالية",IF(O170&gt;=3,"منخفضة","متوسطة")))</f>
        <v/>
      </c>
      <c r="S170" s="30"/>
      <c r="T170" s="30"/>
      <c r="U170" s="27" t="str">
        <f aca="false">IFERROR(INDEX('الإعدادات واللجنة'!$H$22:$H$29,MATCH(C170,'الإعدادات واللجنة'!$B$22:$B$29,0)),"")</f>
        <v>عضو 7</v>
      </c>
      <c r="V170" s="29"/>
      <c r="W170" s="30"/>
    </row>
    <row r="171" customFormat="false" ht="22.35" hidden="false" customHeight="false" outlineLevel="0" collapsed="false">
      <c r="A171" s="27" t="s">
        <v>481</v>
      </c>
      <c r="B171" s="28" t="s">
        <v>146</v>
      </c>
      <c r="C171" s="28" t="s">
        <v>126</v>
      </c>
      <c r="D171" s="28" t="s">
        <v>482</v>
      </c>
      <c r="E171" s="27"/>
      <c r="F171" s="27" t="n">
        <v>2</v>
      </c>
      <c r="G171" s="28" t="s">
        <v>484</v>
      </c>
      <c r="H171" s="27" t="str">
        <f aca="false">IFERROR(INDEX('الإعدادات واللجنة'!$F$22:$F$29,MATCH(C171,'الإعدادات واللجنة'!$B$22:$B$29,0)),"")</f>
        <v>عضو 8</v>
      </c>
      <c r="I171" s="29"/>
      <c r="J171" s="29"/>
      <c r="K171" s="29"/>
      <c r="L171" s="29"/>
      <c r="M171" s="29"/>
      <c r="N171" s="29"/>
      <c r="O171" s="27" t="str">
        <f aca="false">IF(I171="","",IF(I171="غير متوفر",0,COUNTIF(J171:N171,"نعم")))</f>
        <v/>
      </c>
      <c r="P171" s="27" t="str">
        <f aca="false">IF(I171="","لم يُفحص",IF(I171="غير متوفر","غير موجود",IF(AND(O171=5,I171="متوفر"),"مكتمل",IF(O171&gt;=3,"مقبول","ضعيف"))))</f>
        <v>لم يُفحص</v>
      </c>
      <c r="Q171" s="27" t="str">
        <f aca="false">IF(I171="","",IF(AND(I171="متوفر",O171=5),"لا","نعم"))</f>
        <v/>
      </c>
      <c r="R171" s="27" t="str">
        <f aca="false">IF(Q171&lt;&gt;"نعم","",IF(OR(E171="نعم",I171="غير متوفر"),"عالية",IF(O171&gt;=3,"منخفضة","متوسطة")))</f>
        <v/>
      </c>
      <c r="S171" s="30"/>
      <c r="T171" s="30"/>
      <c r="U171" s="27" t="str">
        <f aca="false">IFERROR(INDEX('الإعدادات واللجنة'!$H$22:$H$29,MATCH(C171,'الإعدادات واللجنة'!$B$22:$B$29,0)),"")</f>
        <v>عضو 7</v>
      </c>
      <c r="V171" s="29"/>
      <c r="W171" s="30"/>
    </row>
    <row r="172" customFormat="false" ht="22.35" hidden="false" customHeight="false" outlineLevel="0" collapsed="false">
      <c r="A172" s="27" t="s">
        <v>481</v>
      </c>
      <c r="B172" s="28" t="s">
        <v>146</v>
      </c>
      <c r="C172" s="28" t="s">
        <v>126</v>
      </c>
      <c r="D172" s="28" t="s">
        <v>482</v>
      </c>
      <c r="E172" s="27"/>
      <c r="F172" s="27" t="n">
        <v>3</v>
      </c>
      <c r="G172" s="28" t="s">
        <v>485</v>
      </c>
      <c r="H172" s="27" t="str">
        <f aca="false">IFERROR(INDEX('الإعدادات واللجنة'!$F$22:$F$29,MATCH(C172,'الإعدادات واللجنة'!$B$22:$B$29,0)),"")</f>
        <v>عضو 8</v>
      </c>
      <c r="I172" s="29"/>
      <c r="J172" s="29"/>
      <c r="K172" s="29"/>
      <c r="L172" s="29"/>
      <c r="M172" s="29"/>
      <c r="N172" s="29"/>
      <c r="O172" s="27" t="str">
        <f aca="false">IF(I172="","",IF(I172="غير متوفر",0,COUNTIF(J172:N172,"نعم")))</f>
        <v/>
      </c>
      <c r="P172" s="27" t="str">
        <f aca="false">IF(I172="","لم يُفحص",IF(I172="غير متوفر","غير موجود",IF(AND(O172=5,I172="متوفر"),"مكتمل",IF(O172&gt;=3,"مقبول","ضعيف"))))</f>
        <v>لم يُفحص</v>
      </c>
      <c r="Q172" s="27" t="str">
        <f aca="false">IF(I172="","",IF(AND(I172="متوفر",O172=5),"لا","نعم"))</f>
        <v/>
      </c>
      <c r="R172" s="27" t="str">
        <f aca="false">IF(Q172&lt;&gt;"نعم","",IF(OR(E172="نعم",I172="غير متوفر"),"عالية",IF(O172&gt;=3,"منخفضة","متوسطة")))</f>
        <v/>
      </c>
      <c r="S172" s="30"/>
      <c r="T172" s="30"/>
      <c r="U172" s="27" t="str">
        <f aca="false">IFERROR(INDEX('الإعدادات واللجنة'!$H$22:$H$29,MATCH(C172,'الإعدادات واللجنة'!$B$22:$B$29,0)),"")</f>
        <v>عضو 7</v>
      </c>
      <c r="V172" s="29"/>
      <c r="W172" s="30"/>
    </row>
    <row r="173" customFormat="false" ht="22.35" hidden="false" customHeight="false" outlineLevel="0" collapsed="false">
      <c r="A173" s="27" t="s">
        <v>481</v>
      </c>
      <c r="B173" s="28" t="s">
        <v>146</v>
      </c>
      <c r="C173" s="28" t="s">
        <v>126</v>
      </c>
      <c r="D173" s="28" t="s">
        <v>482</v>
      </c>
      <c r="E173" s="27"/>
      <c r="F173" s="27" t="n">
        <v>4</v>
      </c>
      <c r="G173" s="28" t="s">
        <v>486</v>
      </c>
      <c r="H173" s="27" t="str">
        <f aca="false">IFERROR(INDEX('الإعدادات واللجنة'!$F$22:$F$29,MATCH(C173,'الإعدادات واللجنة'!$B$22:$B$29,0)),"")</f>
        <v>عضو 8</v>
      </c>
      <c r="I173" s="29"/>
      <c r="J173" s="29"/>
      <c r="K173" s="29"/>
      <c r="L173" s="29"/>
      <c r="M173" s="29"/>
      <c r="N173" s="29"/>
      <c r="O173" s="27" t="str">
        <f aca="false">IF(I173="","",IF(I173="غير متوفر",0,COUNTIF(J173:N173,"نعم")))</f>
        <v/>
      </c>
      <c r="P173" s="27" t="str">
        <f aca="false">IF(I173="","لم يُفحص",IF(I173="غير متوفر","غير موجود",IF(AND(O173=5,I173="متوفر"),"مكتمل",IF(O173&gt;=3,"مقبول","ضعيف"))))</f>
        <v>لم يُفحص</v>
      </c>
      <c r="Q173" s="27" t="str">
        <f aca="false">IF(I173="","",IF(AND(I173="متوفر",O173=5),"لا","نعم"))</f>
        <v/>
      </c>
      <c r="R173" s="27" t="str">
        <f aca="false">IF(Q173&lt;&gt;"نعم","",IF(OR(E173="نعم",I173="غير متوفر"),"عالية",IF(O173&gt;=3,"منخفضة","متوسطة")))</f>
        <v/>
      </c>
      <c r="S173" s="30"/>
      <c r="T173" s="30"/>
      <c r="U173" s="27" t="str">
        <f aca="false">IFERROR(INDEX('الإعدادات واللجنة'!$H$22:$H$29,MATCH(C173,'الإعدادات واللجنة'!$B$22:$B$29,0)),"")</f>
        <v>عضو 7</v>
      </c>
      <c r="V173" s="29"/>
      <c r="W173" s="30"/>
    </row>
    <row r="174" customFormat="false" ht="22.35" hidden="false" customHeight="false" outlineLevel="0" collapsed="false">
      <c r="A174" s="27" t="s">
        <v>481</v>
      </c>
      <c r="B174" s="28" t="s">
        <v>146</v>
      </c>
      <c r="C174" s="28" t="s">
        <v>126</v>
      </c>
      <c r="D174" s="28" t="s">
        <v>482</v>
      </c>
      <c r="E174" s="27"/>
      <c r="F174" s="27" t="n">
        <v>5</v>
      </c>
      <c r="G174" s="28" t="s">
        <v>487</v>
      </c>
      <c r="H174" s="27" t="str">
        <f aca="false">IFERROR(INDEX('الإعدادات واللجنة'!$F$22:$F$29,MATCH(C174,'الإعدادات واللجنة'!$B$22:$B$29,0)),"")</f>
        <v>عضو 8</v>
      </c>
      <c r="I174" s="29"/>
      <c r="J174" s="29"/>
      <c r="K174" s="29"/>
      <c r="L174" s="29"/>
      <c r="M174" s="29"/>
      <c r="N174" s="29"/>
      <c r="O174" s="27" t="str">
        <f aca="false">IF(I174="","",IF(I174="غير متوفر",0,COUNTIF(J174:N174,"نعم")))</f>
        <v/>
      </c>
      <c r="P174" s="27" t="str">
        <f aca="false">IF(I174="","لم يُفحص",IF(I174="غير متوفر","غير موجود",IF(AND(O174=5,I174="متوفر"),"مكتمل",IF(O174&gt;=3,"مقبول","ضعيف"))))</f>
        <v>لم يُفحص</v>
      </c>
      <c r="Q174" s="27" t="str">
        <f aca="false">IF(I174="","",IF(AND(I174="متوفر",O174=5),"لا","نعم"))</f>
        <v/>
      </c>
      <c r="R174" s="27" t="str">
        <f aca="false">IF(Q174&lt;&gt;"نعم","",IF(OR(E174="نعم",I174="غير متوفر"),"عالية",IF(O174&gt;=3,"منخفضة","متوسطة")))</f>
        <v/>
      </c>
      <c r="S174" s="30"/>
      <c r="T174" s="30"/>
      <c r="U174" s="27" t="str">
        <f aca="false">IFERROR(INDEX('الإعدادات واللجنة'!$H$22:$H$29,MATCH(C174,'الإعدادات واللجنة'!$B$22:$B$29,0)),"")</f>
        <v>عضو 7</v>
      </c>
      <c r="V174" s="29"/>
      <c r="W174" s="30"/>
    </row>
    <row r="175" customFormat="false" ht="22.35" hidden="false" customHeight="false" outlineLevel="0" collapsed="false">
      <c r="A175" s="27" t="s">
        <v>481</v>
      </c>
      <c r="B175" s="28" t="s">
        <v>146</v>
      </c>
      <c r="C175" s="28" t="s">
        <v>126</v>
      </c>
      <c r="D175" s="28" t="s">
        <v>482</v>
      </c>
      <c r="E175" s="27"/>
      <c r="F175" s="27" t="n">
        <v>6</v>
      </c>
      <c r="G175" s="28" t="s">
        <v>488</v>
      </c>
      <c r="H175" s="27" t="str">
        <f aca="false">IFERROR(INDEX('الإعدادات واللجنة'!$F$22:$F$29,MATCH(C175,'الإعدادات واللجنة'!$B$22:$B$29,0)),"")</f>
        <v>عضو 8</v>
      </c>
      <c r="I175" s="29"/>
      <c r="J175" s="29"/>
      <c r="K175" s="29"/>
      <c r="L175" s="29"/>
      <c r="M175" s="29"/>
      <c r="N175" s="29"/>
      <c r="O175" s="27" t="str">
        <f aca="false">IF(I175="","",IF(I175="غير متوفر",0,COUNTIF(J175:N175,"نعم")))</f>
        <v/>
      </c>
      <c r="P175" s="27" t="str">
        <f aca="false">IF(I175="","لم يُفحص",IF(I175="غير متوفر","غير موجود",IF(AND(O175=5,I175="متوفر"),"مكتمل",IF(O175&gt;=3,"مقبول","ضعيف"))))</f>
        <v>لم يُفحص</v>
      </c>
      <c r="Q175" s="27" t="str">
        <f aca="false">IF(I175="","",IF(AND(I175="متوفر",O175=5),"لا","نعم"))</f>
        <v/>
      </c>
      <c r="R175" s="27" t="str">
        <f aca="false">IF(Q175&lt;&gt;"نعم","",IF(OR(E175="نعم",I175="غير متوفر"),"عالية",IF(O175&gt;=3,"منخفضة","متوسطة")))</f>
        <v/>
      </c>
      <c r="S175" s="30"/>
      <c r="T175" s="30"/>
      <c r="U175" s="27" t="str">
        <f aca="false">IFERROR(INDEX('الإعدادات واللجنة'!$H$22:$H$29,MATCH(C175,'الإعدادات واللجنة'!$B$22:$B$29,0)),"")</f>
        <v>عضو 7</v>
      </c>
      <c r="V175" s="29"/>
      <c r="W175" s="30"/>
    </row>
    <row r="176" customFormat="false" ht="22.35" hidden="false" customHeight="false" outlineLevel="0" collapsed="false">
      <c r="A176" s="27" t="s">
        <v>481</v>
      </c>
      <c r="B176" s="28" t="s">
        <v>146</v>
      </c>
      <c r="C176" s="28" t="s">
        <v>126</v>
      </c>
      <c r="D176" s="28" t="s">
        <v>482</v>
      </c>
      <c r="E176" s="27"/>
      <c r="F176" s="27" t="n">
        <v>7</v>
      </c>
      <c r="G176" s="28" t="s">
        <v>489</v>
      </c>
      <c r="H176" s="27" t="str">
        <f aca="false">IFERROR(INDEX('الإعدادات واللجنة'!$F$22:$F$29,MATCH(C176,'الإعدادات واللجنة'!$B$22:$B$29,0)),"")</f>
        <v>عضو 8</v>
      </c>
      <c r="I176" s="29"/>
      <c r="J176" s="29"/>
      <c r="K176" s="29"/>
      <c r="L176" s="29"/>
      <c r="M176" s="29"/>
      <c r="N176" s="29"/>
      <c r="O176" s="27" t="str">
        <f aca="false">IF(I176="","",IF(I176="غير متوفر",0,COUNTIF(J176:N176,"نعم")))</f>
        <v/>
      </c>
      <c r="P176" s="27" t="str">
        <f aca="false">IF(I176="","لم يُفحص",IF(I176="غير متوفر","غير موجود",IF(AND(O176=5,I176="متوفر"),"مكتمل",IF(O176&gt;=3,"مقبول","ضعيف"))))</f>
        <v>لم يُفحص</v>
      </c>
      <c r="Q176" s="27" t="str">
        <f aca="false">IF(I176="","",IF(AND(I176="متوفر",O176=5),"لا","نعم"))</f>
        <v/>
      </c>
      <c r="R176" s="27" t="str">
        <f aca="false">IF(Q176&lt;&gt;"نعم","",IF(OR(E176="نعم",I176="غير متوفر"),"عالية",IF(O176&gt;=3,"منخفضة","متوسطة")))</f>
        <v/>
      </c>
      <c r="S176" s="30"/>
      <c r="T176" s="30"/>
      <c r="U176" s="27" t="str">
        <f aca="false">IFERROR(INDEX('الإعدادات واللجنة'!$H$22:$H$29,MATCH(C176,'الإعدادات واللجنة'!$B$22:$B$29,0)),"")</f>
        <v>عضو 7</v>
      </c>
      <c r="V176" s="29"/>
      <c r="W176" s="30"/>
    </row>
    <row r="177" customFormat="false" ht="22.35" hidden="false" customHeight="false" outlineLevel="0" collapsed="false">
      <c r="A177" s="27" t="s">
        <v>490</v>
      </c>
      <c r="B177" s="28" t="s">
        <v>146</v>
      </c>
      <c r="C177" s="28" t="s">
        <v>126</v>
      </c>
      <c r="D177" s="28" t="s">
        <v>491</v>
      </c>
      <c r="E177" s="27"/>
      <c r="F177" s="27" t="n">
        <v>1</v>
      </c>
      <c r="G177" s="28" t="s">
        <v>492</v>
      </c>
      <c r="H177" s="27" t="str">
        <f aca="false">IFERROR(INDEX('الإعدادات واللجنة'!$F$22:$F$29,MATCH(C177,'الإعدادات واللجنة'!$B$22:$B$29,0)),"")</f>
        <v>عضو 8</v>
      </c>
      <c r="I177" s="29"/>
      <c r="J177" s="29"/>
      <c r="K177" s="29"/>
      <c r="L177" s="29"/>
      <c r="M177" s="29"/>
      <c r="N177" s="29"/>
      <c r="O177" s="27" t="str">
        <f aca="false">IF(I177="","",IF(I177="غير متوفر",0,COUNTIF(J177:N177,"نعم")))</f>
        <v/>
      </c>
      <c r="P177" s="27" t="str">
        <f aca="false">IF(I177="","لم يُفحص",IF(I177="غير متوفر","غير موجود",IF(AND(O177=5,I177="متوفر"),"مكتمل",IF(O177&gt;=3,"مقبول","ضعيف"))))</f>
        <v>لم يُفحص</v>
      </c>
      <c r="Q177" s="27" t="str">
        <f aca="false">IF(I177="","",IF(AND(I177="متوفر",O177=5),"لا","نعم"))</f>
        <v/>
      </c>
      <c r="R177" s="27" t="str">
        <f aca="false">IF(Q177&lt;&gt;"نعم","",IF(OR(E177="نعم",I177="غير متوفر"),"عالية",IF(O177&gt;=3,"منخفضة","متوسطة")))</f>
        <v/>
      </c>
      <c r="S177" s="30"/>
      <c r="T177" s="30"/>
      <c r="U177" s="27" t="str">
        <f aca="false">IFERROR(INDEX('الإعدادات واللجنة'!$H$22:$H$29,MATCH(C177,'الإعدادات واللجنة'!$B$22:$B$29,0)),"")</f>
        <v>عضو 7</v>
      </c>
      <c r="V177" s="29"/>
      <c r="W177" s="30"/>
    </row>
    <row r="178" customFormat="false" ht="22.35" hidden="false" customHeight="false" outlineLevel="0" collapsed="false">
      <c r="A178" s="27" t="s">
        <v>490</v>
      </c>
      <c r="B178" s="28" t="s">
        <v>146</v>
      </c>
      <c r="C178" s="28" t="s">
        <v>126</v>
      </c>
      <c r="D178" s="28" t="s">
        <v>491</v>
      </c>
      <c r="E178" s="27"/>
      <c r="F178" s="27" t="n">
        <v>2</v>
      </c>
      <c r="G178" s="28" t="s">
        <v>493</v>
      </c>
      <c r="H178" s="27" t="str">
        <f aca="false">IFERROR(INDEX('الإعدادات واللجنة'!$F$22:$F$29,MATCH(C178,'الإعدادات واللجنة'!$B$22:$B$29,0)),"")</f>
        <v>عضو 8</v>
      </c>
      <c r="I178" s="29"/>
      <c r="J178" s="29"/>
      <c r="K178" s="29"/>
      <c r="L178" s="29"/>
      <c r="M178" s="29"/>
      <c r="N178" s="29"/>
      <c r="O178" s="27" t="str">
        <f aca="false">IF(I178="","",IF(I178="غير متوفر",0,COUNTIF(J178:N178,"نعم")))</f>
        <v/>
      </c>
      <c r="P178" s="27" t="str">
        <f aca="false">IF(I178="","لم يُفحص",IF(I178="غير متوفر","غير موجود",IF(AND(O178=5,I178="متوفر"),"مكتمل",IF(O178&gt;=3,"مقبول","ضعيف"))))</f>
        <v>لم يُفحص</v>
      </c>
      <c r="Q178" s="27" t="str">
        <f aca="false">IF(I178="","",IF(AND(I178="متوفر",O178=5),"لا","نعم"))</f>
        <v/>
      </c>
      <c r="R178" s="27" t="str">
        <f aca="false">IF(Q178&lt;&gt;"نعم","",IF(OR(E178="نعم",I178="غير متوفر"),"عالية",IF(O178&gt;=3,"منخفضة","متوسطة")))</f>
        <v/>
      </c>
      <c r="S178" s="30"/>
      <c r="T178" s="30"/>
      <c r="U178" s="27" t="str">
        <f aca="false">IFERROR(INDEX('الإعدادات واللجنة'!$H$22:$H$29,MATCH(C178,'الإعدادات واللجنة'!$B$22:$B$29,0)),"")</f>
        <v>عضو 7</v>
      </c>
      <c r="V178" s="29"/>
      <c r="W178" s="30"/>
    </row>
    <row r="179" customFormat="false" ht="22.35" hidden="false" customHeight="false" outlineLevel="0" collapsed="false">
      <c r="A179" s="27" t="s">
        <v>490</v>
      </c>
      <c r="B179" s="28" t="s">
        <v>146</v>
      </c>
      <c r="C179" s="28" t="s">
        <v>126</v>
      </c>
      <c r="D179" s="28" t="s">
        <v>491</v>
      </c>
      <c r="E179" s="27"/>
      <c r="F179" s="27" t="n">
        <v>3</v>
      </c>
      <c r="G179" s="28" t="s">
        <v>494</v>
      </c>
      <c r="H179" s="27" t="str">
        <f aca="false">IFERROR(INDEX('الإعدادات واللجنة'!$F$22:$F$29,MATCH(C179,'الإعدادات واللجنة'!$B$22:$B$29,0)),"")</f>
        <v>عضو 8</v>
      </c>
      <c r="I179" s="29"/>
      <c r="J179" s="29"/>
      <c r="K179" s="29"/>
      <c r="L179" s="29"/>
      <c r="M179" s="29"/>
      <c r="N179" s="29"/>
      <c r="O179" s="27" t="str">
        <f aca="false">IF(I179="","",IF(I179="غير متوفر",0,COUNTIF(J179:N179,"نعم")))</f>
        <v/>
      </c>
      <c r="P179" s="27" t="str">
        <f aca="false">IF(I179="","لم يُفحص",IF(I179="غير متوفر","غير موجود",IF(AND(O179=5,I179="متوفر"),"مكتمل",IF(O179&gt;=3,"مقبول","ضعيف"))))</f>
        <v>لم يُفحص</v>
      </c>
      <c r="Q179" s="27" t="str">
        <f aca="false">IF(I179="","",IF(AND(I179="متوفر",O179=5),"لا","نعم"))</f>
        <v/>
      </c>
      <c r="R179" s="27" t="str">
        <f aca="false">IF(Q179&lt;&gt;"نعم","",IF(OR(E179="نعم",I179="غير متوفر"),"عالية",IF(O179&gt;=3,"منخفضة","متوسطة")))</f>
        <v/>
      </c>
      <c r="S179" s="30"/>
      <c r="T179" s="30"/>
      <c r="U179" s="27" t="str">
        <f aca="false">IFERROR(INDEX('الإعدادات واللجنة'!$H$22:$H$29,MATCH(C179,'الإعدادات واللجنة'!$B$22:$B$29,0)),"")</f>
        <v>عضو 7</v>
      </c>
      <c r="V179" s="29"/>
      <c r="W179" s="30"/>
    </row>
    <row r="180" customFormat="false" ht="22.35" hidden="false" customHeight="false" outlineLevel="0" collapsed="false">
      <c r="A180" s="27" t="s">
        <v>495</v>
      </c>
      <c r="B180" s="28" t="s">
        <v>146</v>
      </c>
      <c r="C180" s="28" t="s">
        <v>126</v>
      </c>
      <c r="D180" s="28" t="s">
        <v>496</v>
      </c>
      <c r="E180" s="27"/>
      <c r="F180" s="27" t="n">
        <v>1</v>
      </c>
      <c r="G180" s="28" t="s">
        <v>497</v>
      </c>
      <c r="H180" s="27" t="str">
        <f aca="false">IFERROR(INDEX('الإعدادات واللجنة'!$F$22:$F$29,MATCH(C180,'الإعدادات واللجنة'!$B$22:$B$29,0)),"")</f>
        <v>عضو 8</v>
      </c>
      <c r="I180" s="29"/>
      <c r="J180" s="29"/>
      <c r="K180" s="29"/>
      <c r="L180" s="29"/>
      <c r="M180" s="29"/>
      <c r="N180" s="29"/>
      <c r="O180" s="27" t="str">
        <f aca="false">IF(I180="","",IF(I180="غير متوفر",0,COUNTIF(J180:N180,"نعم")))</f>
        <v/>
      </c>
      <c r="P180" s="27" t="str">
        <f aca="false">IF(I180="","لم يُفحص",IF(I180="غير متوفر","غير موجود",IF(AND(O180=5,I180="متوفر"),"مكتمل",IF(O180&gt;=3,"مقبول","ضعيف"))))</f>
        <v>لم يُفحص</v>
      </c>
      <c r="Q180" s="27" t="str">
        <f aca="false">IF(I180="","",IF(AND(I180="متوفر",O180=5),"لا","نعم"))</f>
        <v/>
      </c>
      <c r="R180" s="27" t="str">
        <f aca="false">IF(Q180&lt;&gt;"نعم","",IF(OR(E180="نعم",I180="غير متوفر"),"عالية",IF(O180&gt;=3,"منخفضة","متوسطة")))</f>
        <v/>
      </c>
      <c r="S180" s="30"/>
      <c r="T180" s="30"/>
      <c r="U180" s="27" t="str">
        <f aca="false">IFERROR(INDEX('الإعدادات واللجنة'!$H$22:$H$29,MATCH(C180,'الإعدادات واللجنة'!$B$22:$B$29,0)),"")</f>
        <v>عضو 7</v>
      </c>
      <c r="V180" s="29"/>
      <c r="W180" s="30"/>
    </row>
    <row r="181" customFormat="false" ht="22.35" hidden="false" customHeight="false" outlineLevel="0" collapsed="false">
      <c r="A181" s="27" t="s">
        <v>495</v>
      </c>
      <c r="B181" s="28" t="s">
        <v>146</v>
      </c>
      <c r="C181" s="28" t="s">
        <v>126</v>
      </c>
      <c r="D181" s="28" t="s">
        <v>496</v>
      </c>
      <c r="E181" s="27"/>
      <c r="F181" s="27" t="n">
        <v>2</v>
      </c>
      <c r="G181" s="28" t="s">
        <v>498</v>
      </c>
      <c r="H181" s="27" t="str">
        <f aca="false">IFERROR(INDEX('الإعدادات واللجنة'!$F$22:$F$29,MATCH(C181,'الإعدادات واللجنة'!$B$22:$B$29,0)),"")</f>
        <v>عضو 8</v>
      </c>
      <c r="I181" s="29"/>
      <c r="J181" s="29"/>
      <c r="K181" s="29"/>
      <c r="L181" s="29"/>
      <c r="M181" s="29"/>
      <c r="N181" s="29"/>
      <c r="O181" s="27" t="str">
        <f aca="false">IF(I181="","",IF(I181="غير متوفر",0,COUNTIF(J181:N181,"نعم")))</f>
        <v/>
      </c>
      <c r="P181" s="27" t="str">
        <f aca="false">IF(I181="","لم يُفحص",IF(I181="غير متوفر","غير موجود",IF(AND(O181=5,I181="متوفر"),"مكتمل",IF(O181&gt;=3,"مقبول","ضعيف"))))</f>
        <v>لم يُفحص</v>
      </c>
      <c r="Q181" s="27" t="str">
        <f aca="false">IF(I181="","",IF(AND(I181="متوفر",O181=5),"لا","نعم"))</f>
        <v/>
      </c>
      <c r="R181" s="27" t="str">
        <f aca="false">IF(Q181&lt;&gt;"نعم","",IF(OR(E181="نعم",I181="غير متوفر"),"عالية",IF(O181&gt;=3,"منخفضة","متوسطة")))</f>
        <v/>
      </c>
      <c r="S181" s="30"/>
      <c r="T181" s="30"/>
      <c r="U181" s="27" t="str">
        <f aca="false">IFERROR(INDEX('الإعدادات واللجنة'!$H$22:$H$29,MATCH(C181,'الإعدادات واللجنة'!$B$22:$B$29,0)),"")</f>
        <v>عضو 7</v>
      </c>
      <c r="V181" s="29"/>
      <c r="W181" s="30"/>
    </row>
    <row r="182" customFormat="false" ht="22.35" hidden="false" customHeight="false" outlineLevel="0" collapsed="false">
      <c r="A182" s="27" t="s">
        <v>495</v>
      </c>
      <c r="B182" s="28" t="s">
        <v>146</v>
      </c>
      <c r="C182" s="28" t="s">
        <v>126</v>
      </c>
      <c r="D182" s="28" t="s">
        <v>496</v>
      </c>
      <c r="E182" s="27"/>
      <c r="F182" s="27" t="n">
        <v>3</v>
      </c>
      <c r="G182" s="28" t="s">
        <v>499</v>
      </c>
      <c r="H182" s="27" t="str">
        <f aca="false">IFERROR(INDEX('الإعدادات واللجنة'!$F$22:$F$29,MATCH(C182,'الإعدادات واللجنة'!$B$22:$B$29,0)),"")</f>
        <v>عضو 8</v>
      </c>
      <c r="I182" s="29"/>
      <c r="J182" s="29"/>
      <c r="K182" s="29"/>
      <c r="L182" s="29"/>
      <c r="M182" s="29"/>
      <c r="N182" s="29"/>
      <c r="O182" s="27" t="str">
        <f aca="false">IF(I182="","",IF(I182="غير متوفر",0,COUNTIF(J182:N182,"نعم")))</f>
        <v/>
      </c>
      <c r="P182" s="27" t="str">
        <f aca="false">IF(I182="","لم يُفحص",IF(I182="غير متوفر","غير موجود",IF(AND(O182=5,I182="متوفر"),"مكتمل",IF(O182&gt;=3,"مقبول","ضعيف"))))</f>
        <v>لم يُفحص</v>
      </c>
      <c r="Q182" s="27" t="str">
        <f aca="false">IF(I182="","",IF(AND(I182="متوفر",O182=5),"لا","نعم"))</f>
        <v/>
      </c>
      <c r="R182" s="27" t="str">
        <f aca="false">IF(Q182&lt;&gt;"نعم","",IF(OR(E182="نعم",I182="غير متوفر"),"عالية",IF(O182&gt;=3,"منخفضة","متوسطة")))</f>
        <v/>
      </c>
      <c r="S182" s="30"/>
      <c r="T182" s="30"/>
      <c r="U182" s="27" t="str">
        <f aca="false">IFERROR(INDEX('الإعدادات واللجنة'!$H$22:$H$29,MATCH(C182,'الإعدادات واللجنة'!$B$22:$B$29,0)),"")</f>
        <v>عضو 7</v>
      </c>
      <c r="V182" s="29"/>
      <c r="W182" s="30"/>
    </row>
    <row r="183" customFormat="false" ht="22.35" hidden="false" customHeight="false" outlineLevel="0" collapsed="false">
      <c r="A183" s="27" t="s">
        <v>495</v>
      </c>
      <c r="B183" s="28" t="s">
        <v>146</v>
      </c>
      <c r="C183" s="28" t="s">
        <v>126</v>
      </c>
      <c r="D183" s="28" t="s">
        <v>496</v>
      </c>
      <c r="E183" s="27"/>
      <c r="F183" s="27" t="n">
        <v>4</v>
      </c>
      <c r="G183" s="28" t="s">
        <v>500</v>
      </c>
      <c r="H183" s="27" t="str">
        <f aca="false">IFERROR(INDEX('الإعدادات واللجنة'!$F$22:$F$29,MATCH(C183,'الإعدادات واللجنة'!$B$22:$B$29,0)),"")</f>
        <v>عضو 8</v>
      </c>
      <c r="I183" s="29"/>
      <c r="J183" s="29"/>
      <c r="K183" s="29"/>
      <c r="L183" s="29"/>
      <c r="M183" s="29"/>
      <c r="N183" s="29"/>
      <c r="O183" s="27" t="str">
        <f aca="false">IF(I183="","",IF(I183="غير متوفر",0,COUNTIF(J183:N183,"نعم")))</f>
        <v/>
      </c>
      <c r="P183" s="27" t="str">
        <f aca="false">IF(I183="","لم يُفحص",IF(I183="غير متوفر","غير موجود",IF(AND(O183=5,I183="متوفر"),"مكتمل",IF(O183&gt;=3,"مقبول","ضعيف"))))</f>
        <v>لم يُفحص</v>
      </c>
      <c r="Q183" s="27" t="str">
        <f aca="false">IF(I183="","",IF(AND(I183="متوفر",O183=5),"لا","نعم"))</f>
        <v/>
      </c>
      <c r="R183" s="27" t="str">
        <f aca="false">IF(Q183&lt;&gt;"نعم","",IF(OR(E183="نعم",I183="غير متوفر"),"عالية",IF(O183&gt;=3,"منخفضة","متوسطة")))</f>
        <v/>
      </c>
      <c r="S183" s="30"/>
      <c r="T183" s="30"/>
      <c r="U183" s="27" t="str">
        <f aca="false">IFERROR(INDEX('الإعدادات واللجنة'!$H$22:$H$29,MATCH(C183,'الإعدادات واللجنة'!$B$22:$B$29,0)),"")</f>
        <v>عضو 7</v>
      </c>
      <c r="V183" s="29"/>
      <c r="W183" s="30"/>
    </row>
    <row r="184" customFormat="false" ht="22.35" hidden="false" customHeight="false" outlineLevel="0" collapsed="false">
      <c r="A184" s="27" t="s">
        <v>495</v>
      </c>
      <c r="B184" s="28" t="s">
        <v>146</v>
      </c>
      <c r="C184" s="28" t="s">
        <v>126</v>
      </c>
      <c r="D184" s="28" t="s">
        <v>496</v>
      </c>
      <c r="E184" s="27"/>
      <c r="F184" s="27" t="n">
        <v>5</v>
      </c>
      <c r="G184" s="28" t="s">
        <v>501</v>
      </c>
      <c r="H184" s="27" t="str">
        <f aca="false">IFERROR(INDEX('الإعدادات واللجنة'!$F$22:$F$29,MATCH(C184,'الإعدادات واللجنة'!$B$22:$B$29,0)),"")</f>
        <v>عضو 8</v>
      </c>
      <c r="I184" s="29"/>
      <c r="J184" s="29"/>
      <c r="K184" s="29"/>
      <c r="L184" s="29"/>
      <c r="M184" s="29"/>
      <c r="N184" s="29"/>
      <c r="O184" s="27" t="str">
        <f aca="false">IF(I184="","",IF(I184="غير متوفر",0,COUNTIF(J184:N184,"نعم")))</f>
        <v/>
      </c>
      <c r="P184" s="27" t="str">
        <f aca="false">IF(I184="","لم يُفحص",IF(I184="غير متوفر","غير موجود",IF(AND(O184=5,I184="متوفر"),"مكتمل",IF(O184&gt;=3,"مقبول","ضعيف"))))</f>
        <v>لم يُفحص</v>
      </c>
      <c r="Q184" s="27" t="str">
        <f aca="false">IF(I184="","",IF(AND(I184="متوفر",O184=5),"لا","نعم"))</f>
        <v/>
      </c>
      <c r="R184" s="27" t="str">
        <f aca="false">IF(Q184&lt;&gt;"نعم","",IF(OR(E184="نعم",I184="غير متوفر"),"عالية",IF(O184&gt;=3,"منخفضة","متوسطة")))</f>
        <v/>
      </c>
      <c r="S184" s="30"/>
      <c r="T184" s="30"/>
      <c r="U184" s="27" t="str">
        <f aca="false">IFERROR(INDEX('الإعدادات واللجنة'!$H$22:$H$29,MATCH(C184,'الإعدادات واللجنة'!$B$22:$B$29,0)),"")</f>
        <v>عضو 7</v>
      </c>
      <c r="V184" s="29"/>
      <c r="W184" s="30"/>
    </row>
    <row r="185" customFormat="false" ht="22.35" hidden="false" customHeight="false" outlineLevel="0" collapsed="false">
      <c r="A185" s="27" t="s">
        <v>502</v>
      </c>
      <c r="B185" s="28" t="s">
        <v>146</v>
      </c>
      <c r="C185" s="28" t="s">
        <v>126</v>
      </c>
      <c r="D185" s="28" t="s">
        <v>503</v>
      </c>
      <c r="E185" s="27"/>
      <c r="F185" s="27" t="n">
        <v>1</v>
      </c>
      <c r="G185" s="28" t="s">
        <v>504</v>
      </c>
      <c r="H185" s="27" t="str">
        <f aca="false">IFERROR(INDEX('الإعدادات واللجنة'!$F$22:$F$29,MATCH(C185,'الإعدادات واللجنة'!$B$22:$B$29,0)),"")</f>
        <v>عضو 8</v>
      </c>
      <c r="I185" s="29"/>
      <c r="J185" s="29"/>
      <c r="K185" s="29"/>
      <c r="L185" s="29"/>
      <c r="M185" s="29"/>
      <c r="N185" s="29"/>
      <c r="O185" s="27" t="str">
        <f aca="false">IF(I185="","",IF(I185="غير متوفر",0,COUNTIF(J185:N185,"نعم")))</f>
        <v/>
      </c>
      <c r="P185" s="27" t="str">
        <f aca="false">IF(I185="","لم يُفحص",IF(I185="غير متوفر","غير موجود",IF(AND(O185=5,I185="متوفر"),"مكتمل",IF(O185&gt;=3,"مقبول","ضعيف"))))</f>
        <v>لم يُفحص</v>
      </c>
      <c r="Q185" s="27" t="str">
        <f aca="false">IF(I185="","",IF(AND(I185="متوفر",O185=5),"لا","نعم"))</f>
        <v/>
      </c>
      <c r="R185" s="27" t="str">
        <f aca="false">IF(Q185&lt;&gt;"نعم","",IF(OR(E185="نعم",I185="غير متوفر"),"عالية",IF(O185&gt;=3,"منخفضة","متوسطة")))</f>
        <v/>
      </c>
      <c r="S185" s="30"/>
      <c r="T185" s="30"/>
      <c r="U185" s="27" t="str">
        <f aca="false">IFERROR(INDEX('الإعدادات واللجنة'!$H$22:$H$29,MATCH(C185,'الإعدادات واللجنة'!$B$22:$B$29,0)),"")</f>
        <v>عضو 7</v>
      </c>
      <c r="V185" s="29"/>
      <c r="W185" s="30"/>
    </row>
    <row r="186" customFormat="false" ht="22.35" hidden="false" customHeight="false" outlineLevel="0" collapsed="false">
      <c r="A186" s="27" t="s">
        <v>502</v>
      </c>
      <c r="B186" s="28" t="s">
        <v>146</v>
      </c>
      <c r="C186" s="28" t="s">
        <v>126</v>
      </c>
      <c r="D186" s="28" t="s">
        <v>503</v>
      </c>
      <c r="E186" s="27"/>
      <c r="F186" s="27" t="n">
        <v>2</v>
      </c>
      <c r="G186" s="28" t="s">
        <v>505</v>
      </c>
      <c r="H186" s="27" t="str">
        <f aca="false">IFERROR(INDEX('الإعدادات واللجنة'!$F$22:$F$29,MATCH(C186,'الإعدادات واللجنة'!$B$22:$B$29,0)),"")</f>
        <v>عضو 8</v>
      </c>
      <c r="I186" s="29"/>
      <c r="J186" s="29"/>
      <c r="K186" s="29"/>
      <c r="L186" s="29"/>
      <c r="M186" s="29"/>
      <c r="N186" s="29"/>
      <c r="O186" s="27" t="str">
        <f aca="false">IF(I186="","",IF(I186="غير متوفر",0,COUNTIF(J186:N186,"نعم")))</f>
        <v/>
      </c>
      <c r="P186" s="27" t="str">
        <f aca="false">IF(I186="","لم يُفحص",IF(I186="غير متوفر","غير موجود",IF(AND(O186=5,I186="متوفر"),"مكتمل",IF(O186&gt;=3,"مقبول","ضعيف"))))</f>
        <v>لم يُفحص</v>
      </c>
      <c r="Q186" s="27" t="str">
        <f aca="false">IF(I186="","",IF(AND(I186="متوفر",O186=5),"لا","نعم"))</f>
        <v/>
      </c>
      <c r="R186" s="27" t="str">
        <f aca="false">IF(Q186&lt;&gt;"نعم","",IF(OR(E186="نعم",I186="غير متوفر"),"عالية",IF(O186&gt;=3,"منخفضة","متوسطة")))</f>
        <v/>
      </c>
      <c r="S186" s="30"/>
      <c r="T186" s="30"/>
      <c r="U186" s="27" t="str">
        <f aca="false">IFERROR(INDEX('الإعدادات واللجنة'!$H$22:$H$29,MATCH(C186,'الإعدادات واللجنة'!$B$22:$B$29,0)),"")</f>
        <v>عضو 7</v>
      </c>
      <c r="V186" s="29"/>
      <c r="W186" s="30"/>
    </row>
    <row r="187" customFormat="false" ht="22.35" hidden="false" customHeight="false" outlineLevel="0" collapsed="false">
      <c r="A187" s="27" t="s">
        <v>502</v>
      </c>
      <c r="B187" s="28" t="s">
        <v>146</v>
      </c>
      <c r="C187" s="28" t="s">
        <v>126</v>
      </c>
      <c r="D187" s="28" t="s">
        <v>503</v>
      </c>
      <c r="E187" s="27"/>
      <c r="F187" s="27" t="n">
        <v>3</v>
      </c>
      <c r="G187" s="28" t="s">
        <v>506</v>
      </c>
      <c r="H187" s="27" t="str">
        <f aca="false">IFERROR(INDEX('الإعدادات واللجنة'!$F$22:$F$29,MATCH(C187,'الإعدادات واللجنة'!$B$22:$B$29,0)),"")</f>
        <v>عضو 8</v>
      </c>
      <c r="I187" s="29"/>
      <c r="J187" s="29"/>
      <c r="K187" s="29"/>
      <c r="L187" s="29"/>
      <c r="M187" s="29"/>
      <c r="N187" s="29"/>
      <c r="O187" s="27" t="str">
        <f aca="false">IF(I187="","",IF(I187="غير متوفر",0,COUNTIF(J187:N187,"نعم")))</f>
        <v/>
      </c>
      <c r="P187" s="27" t="str">
        <f aca="false">IF(I187="","لم يُفحص",IF(I187="غير متوفر","غير موجود",IF(AND(O187=5,I187="متوفر"),"مكتمل",IF(O187&gt;=3,"مقبول","ضعيف"))))</f>
        <v>لم يُفحص</v>
      </c>
      <c r="Q187" s="27" t="str">
        <f aca="false">IF(I187="","",IF(AND(I187="متوفر",O187=5),"لا","نعم"))</f>
        <v/>
      </c>
      <c r="R187" s="27" t="str">
        <f aca="false">IF(Q187&lt;&gt;"نعم","",IF(OR(E187="نعم",I187="غير متوفر"),"عالية",IF(O187&gt;=3,"منخفضة","متوسطة")))</f>
        <v/>
      </c>
      <c r="S187" s="30"/>
      <c r="T187" s="30"/>
      <c r="U187" s="27" t="str">
        <f aca="false">IFERROR(INDEX('الإعدادات واللجنة'!$H$22:$H$29,MATCH(C187,'الإعدادات واللجنة'!$B$22:$B$29,0)),"")</f>
        <v>عضو 7</v>
      </c>
      <c r="V187" s="29"/>
      <c r="W187" s="30"/>
    </row>
    <row r="188" customFormat="false" ht="43.25" hidden="false" customHeight="false" outlineLevel="0" collapsed="false">
      <c r="A188" s="27" t="s">
        <v>502</v>
      </c>
      <c r="B188" s="28" t="s">
        <v>146</v>
      </c>
      <c r="C188" s="28" t="s">
        <v>126</v>
      </c>
      <c r="D188" s="28" t="s">
        <v>503</v>
      </c>
      <c r="E188" s="27"/>
      <c r="F188" s="27" t="n">
        <v>4</v>
      </c>
      <c r="G188" s="28" t="s">
        <v>507</v>
      </c>
      <c r="H188" s="27" t="str">
        <f aca="false">IFERROR(INDEX('الإعدادات واللجنة'!$F$22:$F$29,MATCH(C188,'الإعدادات واللجنة'!$B$22:$B$29,0)),"")</f>
        <v>عضو 8</v>
      </c>
      <c r="I188" s="29"/>
      <c r="J188" s="29"/>
      <c r="K188" s="29"/>
      <c r="L188" s="29"/>
      <c r="M188" s="29"/>
      <c r="N188" s="29"/>
      <c r="O188" s="27" t="str">
        <f aca="false">IF(I188="","",IF(I188="غير متوفر",0,COUNTIF(J188:N188,"نعم")))</f>
        <v/>
      </c>
      <c r="P188" s="27" t="str">
        <f aca="false">IF(I188="","لم يُفحص",IF(I188="غير متوفر","غير موجود",IF(AND(O188=5,I188="متوفر"),"مكتمل",IF(O188&gt;=3,"مقبول","ضعيف"))))</f>
        <v>لم يُفحص</v>
      </c>
      <c r="Q188" s="27" t="str">
        <f aca="false">IF(I188="","",IF(AND(I188="متوفر",O188=5),"لا","نعم"))</f>
        <v/>
      </c>
      <c r="R188" s="27" t="str">
        <f aca="false">IF(Q188&lt;&gt;"نعم","",IF(OR(E188="نعم",I188="غير متوفر"),"عالية",IF(O188&gt;=3,"منخفضة","متوسطة")))</f>
        <v/>
      </c>
      <c r="S188" s="30"/>
      <c r="T188" s="30"/>
      <c r="U188" s="27" t="str">
        <f aca="false">IFERROR(INDEX('الإعدادات واللجنة'!$H$22:$H$29,MATCH(C188,'الإعدادات واللجنة'!$B$22:$B$29,0)),"")</f>
        <v>عضو 7</v>
      </c>
      <c r="V188" s="29"/>
      <c r="W188" s="30"/>
    </row>
    <row r="189" customFormat="false" ht="22.35" hidden="false" customHeight="false" outlineLevel="0" collapsed="false">
      <c r="A189" s="27" t="s">
        <v>502</v>
      </c>
      <c r="B189" s="28" t="s">
        <v>146</v>
      </c>
      <c r="C189" s="28" t="s">
        <v>126</v>
      </c>
      <c r="D189" s="28" t="s">
        <v>503</v>
      </c>
      <c r="E189" s="27"/>
      <c r="F189" s="27" t="n">
        <v>5</v>
      </c>
      <c r="G189" s="28" t="s">
        <v>508</v>
      </c>
      <c r="H189" s="27" t="str">
        <f aca="false">IFERROR(INDEX('الإعدادات واللجنة'!$F$22:$F$29,MATCH(C189,'الإعدادات واللجنة'!$B$22:$B$29,0)),"")</f>
        <v>عضو 8</v>
      </c>
      <c r="I189" s="29"/>
      <c r="J189" s="29"/>
      <c r="K189" s="29"/>
      <c r="L189" s="29"/>
      <c r="M189" s="29"/>
      <c r="N189" s="29"/>
      <c r="O189" s="27" t="str">
        <f aca="false">IF(I189="","",IF(I189="غير متوفر",0,COUNTIF(J189:N189,"نعم")))</f>
        <v/>
      </c>
      <c r="P189" s="27" t="str">
        <f aca="false">IF(I189="","لم يُفحص",IF(I189="غير متوفر","غير موجود",IF(AND(O189=5,I189="متوفر"),"مكتمل",IF(O189&gt;=3,"مقبول","ضعيف"))))</f>
        <v>لم يُفحص</v>
      </c>
      <c r="Q189" s="27" t="str">
        <f aca="false">IF(I189="","",IF(AND(I189="متوفر",O189=5),"لا","نعم"))</f>
        <v/>
      </c>
      <c r="R189" s="27" t="str">
        <f aca="false">IF(Q189&lt;&gt;"نعم","",IF(OR(E189="نعم",I189="غير متوفر"),"عالية",IF(O189&gt;=3,"منخفضة","متوسطة")))</f>
        <v/>
      </c>
      <c r="S189" s="30"/>
      <c r="T189" s="30"/>
      <c r="U189" s="27" t="str">
        <f aca="false">IFERROR(INDEX('الإعدادات واللجنة'!$H$22:$H$29,MATCH(C189,'الإعدادات واللجنة'!$B$22:$B$29,0)),"")</f>
        <v>عضو 7</v>
      </c>
      <c r="V189" s="29"/>
      <c r="W189" s="30"/>
    </row>
    <row r="190" customFormat="false" ht="22.35" hidden="false" customHeight="false" outlineLevel="0" collapsed="false">
      <c r="A190" s="27" t="s">
        <v>509</v>
      </c>
      <c r="B190" s="28" t="s">
        <v>147</v>
      </c>
      <c r="C190" s="28" t="s">
        <v>127</v>
      </c>
      <c r="D190" s="28" t="s">
        <v>510</v>
      </c>
      <c r="E190" s="27"/>
      <c r="F190" s="27" t="n">
        <v>1</v>
      </c>
      <c r="G190" s="28" t="s">
        <v>511</v>
      </c>
      <c r="H190" s="27" t="str">
        <f aca="false">IFERROR(INDEX('الإعدادات واللجنة'!$F$22:$F$29,MATCH(C190,'الإعدادات واللجنة'!$B$22:$B$29,0)),"")</f>
        <v>عضو 2</v>
      </c>
      <c r="I190" s="29"/>
      <c r="J190" s="29"/>
      <c r="K190" s="29"/>
      <c r="L190" s="29"/>
      <c r="M190" s="29"/>
      <c r="N190" s="29"/>
      <c r="O190" s="27" t="str">
        <f aca="false">IF(I190="","",IF(I190="غير متوفر",0,COUNTIF(J190:N190,"نعم")))</f>
        <v/>
      </c>
      <c r="P190" s="27" t="str">
        <f aca="false">IF(I190="","لم يُفحص",IF(I190="غير متوفر","غير موجود",IF(AND(O190=5,I190="متوفر"),"مكتمل",IF(O190&gt;=3,"مقبول","ضعيف"))))</f>
        <v>لم يُفحص</v>
      </c>
      <c r="Q190" s="27" t="str">
        <f aca="false">IF(I190="","",IF(AND(I190="متوفر",O190=5),"لا","نعم"))</f>
        <v/>
      </c>
      <c r="R190" s="27" t="str">
        <f aca="false">IF(Q190&lt;&gt;"نعم","",IF(OR(E190="نعم",I190="غير متوفر"),"عالية",IF(O190&gt;=3,"منخفضة","متوسطة")))</f>
        <v/>
      </c>
      <c r="S190" s="30"/>
      <c r="T190" s="30"/>
      <c r="U190" s="27" t="str">
        <f aca="false">IFERROR(INDEX('الإعدادات واللجنة'!$H$22:$H$29,MATCH(C190,'الإعدادات واللجنة'!$B$22:$B$29,0)),"")</f>
        <v>عضو 1</v>
      </c>
      <c r="V190" s="29"/>
      <c r="W190" s="30"/>
    </row>
    <row r="191" customFormat="false" ht="22.35" hidden="false" customHeight="false" outlineLevel="0" collapsed="false">
      <c r="A191" s="27" t="s">
        <v>509</v>
      </c>
      <c r="B191" s="28" t="s">
        <v>147</v>
      </c>
      <c r="C191" s="28" t="s">
        <v>127</v>
      </c>
      <c r="D191" s="28" t="s">
        <v>510</v>
      </c>
      <c r="E191" s="27"/>
      <c r="F191" s="27" t="n">
        <v>2</v>
      </c>
      <c r="G191" s="28" t="s">
        <v>512</v>
      </c>
      <c r="H191" s="27" t="str">
        <f aca="false">IFERROR(INDEX('الإعدادات واللجنة'!$F$22:$F$29,MATCH(C191,'الإعدادات واللجنة'!$B$22:$B$29,0)),"")</f>
        <v>عضو 2</v>
      </c>
      <c r="I191" s="29"/>
      <c r="J191" s="29"/>
      <c r="K191" s="29"/>
      <c r="L191" s="29"/>
      <c r="M191" s="29"/>
      <c r="N191" s="29"/>
      <c r="O191" s="27" t="str">
        <f aca="false">IF(I191="","",IF(I191="غير متوفر",0,COUNTIF(J191:N191,"نعم")))</f>
        <v/>
      </c>
      <c r="P191" s="27" t="str">
        <f aca="false">IF(I191="","لم يُفحص",IF(I191="غير متوفر","غير موجود",IF(AND(O191=5,I191="متوفر"),"مكتمل",IF(O191&gt;=3,"مقبول","ضعيف"))))</f>
        <v>لم يُفحص</v>
      </c>
      <c r="Q191" s="27" t="str">
        <f aca="false">IF(I191="","",IF(AND(I191="متوفر",O191=5),"لا","نعم"))</f>
        <v/>
      </c>
      <c r="R191" s="27" t="str">
        <f aca="false">IF(Q191&lt;&gt;"نعم","",IF(OR(E191="نعم",I191="غير متوفر"),"عالية",IF(O191&gt;=3,"منخفضة","متوسطة")))</f>
        <v/>
      </c>
      <c r="S191" s="30"/>
      <c r="T191" s="30"/>
      <c r="U191" s="27" t="str">
        <f aca="false">IFERROR(INDEX('الإعدادات واللجنة'!$H$22:$H$29,MATCH(C191,'الإعدادات واللجنة'!$B$22:$B$29,0)),"")</f>
        <v>عضو 1</v>
      </c>
      <c r="V191" s="29"/>
      <c r="W191" s="30"/>
    </row>
    <row r="192" customFormat="false" ht="22.35" hidden="false" customHeight="false" outlineLevel="0" collapsed="false">
      <c r="A192" s="27" t="s">
        <v>509</v>
      </c>
      <c r="B192" s="28" t="s">
        <v>147</v>
      </c>
      <c r="C192" s="28" t="s">
        <v>127</v>
      </c>
      <c r="D192" s="28" t="s">
        <v>510</v>
      </c>
      <c r="E192" s="27"/>
      <c r="F192" s="27" t="n">
        <v>3</v>
      </c>
      <c r="G192" s="28" t="s">
        <v>513</v>
      </c>
      <c r="H192" s="27" t="str">
        <f aca="false">IFERROR(INDEX('الإعدادات واللجنة'!$F$22:$F$29,MATCH(C192,'الإعدادات واللجنة'!$B$22:$B$29,0)),"")</f>
        <v>عضو 2</v>
      </c>
      <c r="I192" s="29"/>
      <c r="J192" s="29"/>
      <c r="K192" s="29"/>
      <c r="L192" s="29"/>
      <c r="M192" s="29"/>
      <c r="N192" s="29"/>
      <c r="O192" s="27" t="str">
        <f aca="false">IF(I192="","",IF(I192="غير متوفر",0,COUNTIF(J192:N192,"نعم")))</f>
        <v/>
      </c>
      <c r="P192" s="27" t="str">
        <f aca="false">IF(I192="","لم يُفحص",IF(I192="غير متوفر","غير موجود",IF(AND(O192=5,I192="متوفر"),"مكتمل",IF(O192&gt;=3,"مقبول","ضعيف"))))</f>
        <v>لم يُفحص</v>
      </c>
      <c r="Q192" s="27" t="str">
        <f aca="false">IF(I192="","",IF(AND(I192="متوفر",O192=5),"لا","نعم"))</f>
        <v/>
      </c>
      <c r="R192" s="27" t="str">
        <f aca="false">IF(Q192&lt;&gt;"نعم","",IF(OR(E192="نعم",I192="غير متوفر"),"عالية",IF(O192&gt;=3,"منخفضة","متوسطة")))</f>
        <v/>
      </c>
      <c r="S192" s="30"/>
      <c r="T192" s="30"/>
      <c r="U192" s="27" t="str">
        <f aca="false">IFERROR(INDEX('الإعدادات واللجنة'!$H$22:$H$29,MATCH(C192,'الإعدادات واللجنة'!$B$22:$B$29,0)),"")</f>
        <v>عضو 1</v>
      </c>
      <c r="V192" s="29"/>
      <c r="W192" s="30"/>
    </row>
    <row r="193" customFormat="false" ht="32.8" hidden="false" customHeight="false" outlineLevel="0" collapsed="false">
      <c r="A193" s="27" t="s">
        <v>514</v>
      </c>
      <c r="B193" s="28" t="s">
        <v>147</v>
      </c>
      <c r="C193" s="28" t="s">
        <v>127</v>
      </c>
      <c r="D193" s="28" t="s">
        <v>515</v>
      </c>
      <c r="E193" s="27"/>
      <c r="F193" s="27" t="n">
        <v>1</v>
      </c>
      <c r="G193" s="28" t="s">
        <v>516</v>
      </c>
      <c r="H193" s="27" t="str">
        <f aca="false">IFERROR(INDEX('الإعدادات واللجنة'!$F$22:$F$29,MATCH(C193,'الإعدادات واللجنة'!$B$22:$B$29,0)),"")</f>
        <v>عضو 2</v>
      </c>
      <c r="I193" s="29"/>
      <c r="J193" s="29"/>
      <c r="K193" s="29"/>
      <c r="L193" s="29"/>
      <c r="M193" s="29"/>
      <c r="N193" s="29"/>
      <c r="O193" s="27" t="str">
        <f aca="false">IF(I193="","",IF(I193="غير متوفر",0,COUNTIF(J193:N193,"نعم")))</f>
        <v/>
      </c>
      <c r="P193" s="27" t="str">
        <f aca="false">IF(I193="","لم يُفحص",IF(I193="غير متوفر","غير موجود",IF(AND(O193=5,I193="متوفر"),"مكتمل",IF(O193&gt;=3,"مقبول","ضعيف"))))</f>
        <v>لم يُفحص</v>
      </c>
      <c r="Q193" s="27" t="str">
        <f aca="false">IF(I193="","",IF(AND(I193="متوفر",O193=5),"لا","نعم"))</f>
        <v/>
      </c>
      <c r="R193" s="27" t="str">
        <f aca="false">IF(Q193&lt;&gt;"نعم","",IF(OR(E193="نعم",I193="غير متوفر"),"عالية",IF(O193&gt;=3,"منخفضة","متوسطة")))</f>
        <v/>
      </c>
      <c r="S193" s="30"/>
      <c r="T193" s="30"/>
      <c r="U193" s="27" t="str">
        <f aca="false">IFERROR(INDEX('الإعدادات واللجنة'!$H$22:$H$29,MATCH(C193,'الإعدادات واللجنة'!$B$22:$B$29,0)),"")</f>
        <v>عضو 1</v>
      </c>
      <c r="V193" s="29"/>
      <c r="W193" s="30"/>
    </row>
    <row r="194" customFormat="false" ht="22.35" hidden="false" customHeight="false" outlineLevel="0" collapsed="false">
      <c r="A194" s="27" t="s">
        <v>514</v>
      </c>
      <c r="B194" s="28" t="s">
        <v>147</v>
      </c>
      <c r="C194" s="28" t="s">
        <v>127</v>
      </c>
      <c r="D194" s="28" t="s">
        <v>515</v>
      </c>
      <c r="E194" s="27"/>
      <c r="F194" s="27" t="n">
        <v>2</v>
      </c>
      <c r="G194" s="28" t="s">
        <v>517</v>
      </c>
      <c r="H194" s="27" t="str">
        <f aca="false">IFERROR(INDEX('الإعدادات واللجنة'!$F$22:$F$29,MATCH(C194,'الإعدادات واللجنة'!$B$22:$B$29,0)),"")</f>
        <v>عضو 2</v>
      </c>
      <c r="I194" s="29"/>
      <c r="J194" s="29"/>
      <c r="K194" s="29"/>
      <c r="L194" s="29"/>
      <c r="M194" s="29"/>
      <c r="N194" s="29"/>
      <c r="O194" s="27" t="str">
        <f aca="false">IF(I194="","",IF(I194="غير متوفر",0,COUNTIF(J194:N194,"نعم")))</f>
        <v/>
      </c>
      <c r="P194" s="27" t="str">
        <f aca="false">IF(I194="","لم يُفحص",IF(I194="غير متوفر","غير موجود",IF(AND(O194=5,I194="متوفر"),"مكتمل",IF(O194&gt;=3,"مقبول","ضعيف"))))</f>
        <v>لم يُفحص</v>
      </c>
      <c r="Q194" s="27" t="str">
        <f aca="false">IF(I194="","",IF(AND(I194="متوفر",O194=5),"لا","نعم"))</f>
        <v/>
      </c>
      <c r="R194" s="27" t="str">
        <f aca="false">IF(Q194&lt;&gt;"نعم","",IF(OR(E194="نعم",I194="غير متوفر"),"عالية",IF(O194&gt;=3,"منخفضة","متوسطة")))</f>
        <v/>
      </c>
      <c r="S194" s="30"/>
      <c r="T194" s="30"/>
      <c r="U194" s="27" t="str">
        <f aca="false">IFERROR(INDEX('الإعدادات واللجنة'!$H$22:$H$29,MATCH(C194,'الإعدادات واللجنة'!$B$22:$B$29,0)),"")</f>
        <v>عضو 1</v>
      </c>
      <c r="V194" s="29"/>
      <c r="W194" s="30"/>
    </row>
    <row r="195" customFormat="false" ht="22.35" hidden="false" customHeight="false" outlineLevel="0" collapsed="false">
      <c r="A195" s="27" t="s">
        <v>514</v>
      </c>
      <c r="B195" s="28" t="s">
        <v>147</v>
      </c>
      <c r="C195" s="28" t="s">
        <v>127</v>
      </c>
      <c r="D195" s="28" t="s">
        <v>515</v>
      </c>
      <c r="E195" s="27"/>
      <c r="F195" s="27" t="n">
        <v>3</v>
      </c>
      <c r="G195" s="28" t="s">
        <v>518</v>
      </c>
      <c r="H195" s="27" t="str">
        <f aca="false">IFERROR(INDEX('الإعدادات واللجنة'!$F$22:$F$29,MATCH(C195,'الإعدادات واللجنة'!$B$22:$B$29,0)),"")</f>
        <v>عضو 2</v>
      </c>
      <c r="I195" s="29"/>
      <c r="J195" s="29"/>
      <c r="K195" s="29"/>
      <c r="L195" s="29"/>
      <c r="M195" s="29"/>
      <c r="N195" s="29"/>
      <c r="O195" s="27" t="str">
        <f aca="false">IF(I195="","",IF(I195="غير متوفر",0,COUNTIF(J195:N195,"نعم")))</f>
        <v/>
      </c>
      <c r="P195" s="27" t="str">
        <f aca="false">IF(I195="","لم يُفحص",IF(I195="غير متوفر","غير موجود",IF(AND(O195=5,I195="متوفر"),"مكتمل",IF(O195&gt;=3,"مقبول","ضعيف"))))</f>
        <v>لم يُفحص</v>
      </c>
      <c r="Q195" s="27" t="str">
        <f aca="false">IF(I195="","",IF(AND(I195="متوفر",O195=5),"لا","نعم"))</f>
        <v/>
      </c>
      <c r="R195" s="27" t="str">
        <f aca="false">IF(Q195&lt;&gt;"نعم","",IF(OR(E195="نعم",I195="غير متوفر"),"عالية",IF(O195&gt;=3,"منخفضة","متوسطة")))</f>
        <v/>
      </c>
      <c r="S195" s="30"/>
      <c r="T195" s="30"/>
      <c r="U195" s="27" t="str">
        <f aca="false">IFERROR(INDEX('الإعدادات واللجنة'!$H$22:$H$29,MATCH(C195,'الإعدادات واللجنة'!$B$22:$B$29,0)),"")</f>
        <v>عضو 1</v>
      </c>
      <c r="V195" s="29"/>
      <c r="W195" s="30"/>
    </row>
    <row r="196" customFormat="false" ht="32.8" hidden="false" customHeight="false" outlineLevel="0" collapsed="false">
      <c r="A196" s="31" t="s">
        <v>519</v>
      </c>
      <c r="B196" s="32" t="s">
        <v>147</v>
      </c>
      <c r="C196" s="32" t="s">
        <v>127</v>
      </c>
      <c r="D196" s="32" t="s">
        <v>520</v>
      </c>
      <c r="E196" s="31" t="s">
        <v>185</v>
      </c>
      <c r="F196" s="31" t="n">
        <v>1</v>
      </c>
      <c r="G196" s="32" t="s">
        <v>521</v>
      </c>
      <c r="H196" s="27" t="str">
        <f aca="false">IFERROR(INDEX('الإعدادات واللجنة'!$F$22:$F$29,MATCH(C196,'الإعدادات واللجنة'!$B$22:$B$29,0)),"")</f>
        <v>عضو 2</v>
      </c>
      <c r="I196" s="29"/>
      <c r="J196" s="29"/>
      <c r="K196" s="29"/>
      <c r="L196" s="29"/>
      <c r="M196" s="29"/>
      <c r="N196" s="29"/>
      <c r="O196" s="27" t="str">
        <f aca="false">IF(I196="","",IF(I196="غير متوفر",0,COUNTIF(J196:N196,"نعم")))</f>
        <v/>
      </c>
      <c r="P196" s="27" t="str">
        <f aca="false">IF(I196="","لم يُفحص",IF(I196="غير متوفر","غير موجود",IF(AND(O196=5,I196="متوفر"),"مكتمل",IF(O196&gt;=3,"مقبول","ضعيف"))))</f>
        <v>لم يُفحص</v>
      </c>
      <c r="Q196" s="27" t="str">
        <f aca="false">IF(I196="","",IF(AND(I196="متوفر",O196=5),"لا","نعم"))</f>
        <v/>
      </c>
      <c r="R196" s="27" t="str">
        <f aca="false">IF(Q196&lt;&gt;"نعم","",IF(OR(E196="نعم",I196="غير متوفر"),"عالية",IF(O196&gt;=3,"منخفضة","متوسطة")))</f>
        <v/>
      </c>
      <c r="S196" s="30"/>
      <c r="T196" s="30"/>
      <c r="U196" s="27" t="str">
        <f aca="false">IFERROR(INDEX('الإعدادات واللجنة'!$H$22:$H$29,MATCH(C196,'الإعدادات واللجنة'!$B$22:$B$29,0)),"")</f>
        <v>عضو 1</v>
      </c>
      <c r="V196" s="29"/>
      <c r="W196" s="30"/>
    </row>
    <row r="197" customFormat="false" ht="32.8" hidden="false" customHeight="false" outlineLevel="0" collapsed="false">
      <c r="A197" s="31" t="s">
        <v>519</v>
      </c>
      <c r="B197" s="32" t="s">
        <v>147</v>
      </c>
      <c r="C197" s="32" t="s">
        <v>127</v>
      </c>
      <c r="D197" s="32" t="s">
        <v>520</v>
      </c>
      <c r="E197" s="31" t="s">
        <v>185</v>
      </c>
      <c r="F197" s="31" t="n">
        <v>2</v>
      </c>
      <c r="G197" s="32" t="s">
        <v>522</v>
      </c>
      <c r="H197" s="27" t="str">
        <f aca="false">IFERROR(INDEX('الإعدادات واللجنة'!$F$22:$F$29,MATCH(C197,'الإعدادات واللجنة'!$B$22:$B$29,0)),"")</f>
        <v>عضو 2</v>
      </c>
      <c r="I197" s="29"/>
      <c r="J197" s="29"/>
      <c r="K197" s="29"/>
      <c r="L197" s="29"/>
      <c r="M197" s="29"/>
      <c r="N197" s="29"/>
      <c r="O197" s="27" t="str">
        <f aca="false">IF(I197="","",IF(I197="غير متوفر",0,COUNTIF(J197:N197,"نعم")))</f>
        <v/>
      </c>
      <c r="P197" s="27" t="str">
        <f aca="false">IF(I197="","لم يُفحص",IF(I197="غير متوفر","غير موجود",IF(AND(O197=5,I197="متوفر"),"مكتمل",IF(O197&gt;=3,"مقبول","ضعيف"))))</f>
        <v>لم يُفحص</v>
      </c>
      <c r="Q197" s="27" t="str">
        <f aca="false">IF(I197="","",IF(AND(I197="متوفر",O197=5),"لا","نعم"))</f>
        <v/>
      </c>
      <c r="R197" s="27" t="str">
        <f aca="false">IF(Q197&lt;&gt;"نعم","",IF(OR(E197="نعم",I197="غير متوفر"),"عالية",IF(O197&gt;=3,"منخفضة","متوسطة")))</f>
        <v/>
      </c>
      <c r="S197" s="30"/>
      <c r="T197" s="30"/>
      <c r="U197" s="27" t="str">
        <f aca="false">IFERROR(INDEX('الإعدادات واللجنة'!$H$22:$H$29,MATCH(C197,'الإعدادات واللجنة'!$B$22:$B$29,0)),"")</f>
        <v>عضو 1</v>
      </c>
      <c r="V197" s="29"/>
      <c r="W197" s="30"/>
    </row>
    <row r="198" customFormat="false" ht="32.8" hidden="false" customHeight="false" outlineLevel="0" collapsed="false">
      <c r="A198" s="31" t="s">
        <v>519</v>
      </c>
      <c r="B198" s="32" t="s">
        <v>147</v>
      </c>
      <c r="C198" s="32" t="s">
        <v>127</v>
      </c>
      <c r="D198" s="32" t="s">
        <v>520</v>
      </c>
      <c r="E198" s="31" t="s">
        <v>185</v>
      </c>
      <c r="F198" s="31" t="n">
        <v>3</v>
      </c>
      <c r="G198" s="32" t="s">
        <v>523</v>
      </c>
      <c r="H198" s="27" t="str">
        <f aca="false">IFERROR(INDEX('الإعدادات واللجنة'!$F$22:$F$29,MATCH(C198,'الإعدادات واللجنة'!$B$22:$B$29,0)),"")</f>
        <v>عضو 2</v>
      </c>
      <c r="I198" s="29"/>
      <c r="J198" s="29"/>
      <c r="K198" s="29"/>
      <c r="L198" s="29"/>
      <c r="M198" s="29"/>
      <c r="N198" s="29"/>
      <c r="O198" s="27" t="str">
        <f aca="false">IF(I198="","",IF(I198="غير متوفر",0,COUNTIF(J198:N198,"نعم")))</f>
        <v/>
      </c>
      <c r="P198" s="27" t="str">
        <f aca="false">IF(I198="","لم يُفحص",IF(I198="غير متوفر","غير موجود",IF(AND(O198=5,I198="متوفر"),"مكتمل",IF(O198&gt;=3,"مقبول","ضعيف"))))</f>
        <v>لم يُفحص</v>
      </c>
      <c r="Q198" s="27" t="str">
        <f aca="false">IF(I198="","",IF(AND(I198="متوفر",O198=5),"لا","نعم"))</f>
        <v/>
      </c>
      <c r="R198" s="27" t="str">
        <f aca="false">IF(Q198&lt;&gt;"نعم","",IF(OR(E198="نعم",I198="غير متوفر"),"عالية",IF(O198&gt;=3,"منخفضة","متوسطة")))</f>
        <v/>
      </c>
      <c r="S198" s="30"/>
      <c r="T198" s="30"/>
      <c r="U198" s="27" t="str">
        <f aca="false">IFERROR(INDEX('الإعدادات واللجنة'!$H$22:$H$29,MATCH(C198,'الإعدادات واللجنة'!$B$22:$B$29,0)),"")</f>
        <v>عضو 1</v>
      </c>
      <c r="V198" s="29"/>
      <c r="W198" s="30"/>
    </row>
    <row r="199" customFormat="false" ht="32.8" hidden="false" customHeight="false" outlineLevel="0" collapsed="false">
      <c r="A199" s="31" t="s">
        <v>519</v>
      </c>
      <c r="B199" s="32" t="s">
        <v>147</v>
      </c>
      <c r="C199" s="32" t="s">
        <v>127</v>
      </c>
      <c r="D199" s="32" t="s">
        <v>520</v>
      </c>
      <c r="E199" s="31" t="s">
        <v>185</v>
      </c>
      <c r="F199" s="31" t="n">
        <v>4</v>
      </c>
      <c r="G199" s="32" t="s">
        <v>524</v>
      </c>
      <c r="H199" s="27" t="str">
        <f aca="false">IFERROR(INDEX('الإعدادات واللجنة'!$F$22:$F$29,MATCH(C199,'الإعدادات واللجنة'!$B$22:$B$29,0)),"")</f>
        <v>عضو 2</v>
      </c>
      <c r="I199" s="29"/>
      <c r="J199" s="29"/>
      <c r="K199" s="29"/>
      <c r="L199" s="29"/>
      <c r="M199" s="29"/>
      <c r="N199" s="29"/>
      <c r="O199" s="27" t="str">
        <f aca="false">IF(I199="","",IF(I199="غير متوفر",0,COUNTIF(J199:N199,"نعم")))</f>
        <v/>
      </c>
      <c r="P199" s="27" t="str">
        <f aca="false">IF(I199="","لم يُفحص",IF(I199="غير متوفر","غير موجود",IF(AND(O199=5,I199="متوفر"),"مكتمل",IF(O199&gt;=3,"مقبول","ضعيف"))))</f>
        <v>لم يُفحص</v>
      </c>
      <c r="Q199" s="27" t="str">
        <f aca="false">IF(I199="","",IF(AND(I199="متوفر",O199=5),"لا","نعم"))</f>
        <v/>
      </c>
      <c r="R199" s="27" t="str">
        <f aca="false">IF(Q199&lt;&gt;"نعم","",IF(OR(E199="نعم",I199="غير متوفر"),"عالية",IF(O199&gt;=3,"منخفضة","متوسطة")))</f>
        <v/>
      </c>
      <c r="S199" s="30"/>
      <c r="T199" s="30"/>
      <c r="U199" s="27" t="str">
        <f aca="false">IFERROR(INDEX('الإعدادات واللجنة'!$H$22:$H$29,MATCH(C199,'الإعدادات واللجنة'!$B$22:$B$29,0)),"")</f>
        <v>عضو 1</v>
      </c>
      <c r="V199" s="29"/>
      <c r="W199" s="30"/>
    </row>
    <row r="200" customFormat="false" ht="32.8" hidden="false" customHeight="false" outlineLevel="0" collapsed="false">
      <c r="A200" s="31" t="s">
        <v>519</v>
      </c>
      <c r="B200" s="32" t="s">
        <v>147</v>
      </c>
      <c r="C200" s="32" t="s">
        <v>127</v>
      </c>
      <c r="D200" s="32" t="s">
        <v>520</v>
      </c>
      <c r="E200" s="31" t="s">
        <v>185</v>
      </c>
      <c r="F200" s="31" t="n">
        <v>5</v>
      </c>
      <c r="G200" s="32" t="s">
        <v>525</v>
      </c>
      <c r="H200" s="27" t="str">
        <f aca="false">IFERROR(INDEX('الإعدادات واللجنة'!$F$22:$F$29,MATCH(C200,'الإعدادات واللجنة'!$B$22:$B$29,0)),"")</f>
        <v>عضو 2</v>
      </c>
      <c r="I200" s="29"/>
      <c r="J200" s="29"/>
      <c r="K200" s="29"/>
      <c r="L200" s="29"/>
      <c r="M200" s="29"/>
      <c r="N200" s="29"/>
      <c r="O200" s="27" t="str">
        <f aca="false">IF(I200="","",IF(I200="غير متوفر",0,COUNTIF(J200:N200,"نعم")))</f>
        <v/>
      </c>
      <c r="P200" s="27" t="str">
        <f aca="false">IF(I200="","لم يُفحص",IF(I200="غير متوفر","غير موجود",IF(AND(O200=5,I200="متوفر"),"مكتمل",IF(O200&gt;=3,"مقبول","ضعيف"))))</f>
        <v>لم يُفحص</v>
      </c>
      <c r="Q200" s="27" t="str">
        <f aca="false">IF(I200="","",IF(AND(I200="متوفر",O200=5),"لا","نعم"))</f>
        <v/>
      </c>
      <c r="R200" s="27" t="str">
        <f aca="false">IF(Q200&lt;&gt;"نعم","",IF(OR(E200="نعم",I200="غير متوفر"),"عالية",IF(O200&gt;=3,"منخفضة","متوسطة")))</f>
        <v/>
      </c>
      <c r="S200" s="30"/>
      <c r="T200" s="30"/>
      <c r="U200" s="27" t="str">
        <f aca="false">IFERROR(INDEX('الإعدادات واللجنة'!$H$22:$H$29,MATCH(C200,'الإعدادات واللجنة'!$B$22:$B$29,0)),"")</f>
        <v>عضو 1</v>
      </c>
      <c r="V200" s="29"/>
      <c r="W200" s="30"/>
    </row>
    <row r="201" customFormat="false" ht="32.8" hidden="false" customHeight="false" outlineLevel="0" collapsed="false">
      <c r="A201" s="31" t="s">
        <v>519</v>
      </c>
      <c r="B201" s="32" t="s">
        <v>147</v>
      </c>
      <c r="C201" s="32" t="s">
        <v>127</v>
      </c>
      <c r="D201" s="32" t="s">
        <v>520</v>
      </c>
      <c r="E201" s="31" t="s">
        <v>185</v>
      </c>
      <c r="F201" s="31" t="n">
        <v>6</v>
      </c>
      <c r="G201" s="32" t="s">
        <v>526</v>
      </c>
      <c r="H201" s="27" t="str">
        <f aca="false">IFERROR(INDEX('الإعدادات واللجنة'!$F$22:$F$29,MATCH(C201,'الإعدادات واللجنة'!$B$22:$B$29,0)),"")</f>
        <v>عضو 2</v>
      </c>
      <c r="I201" s="29"/>
      <c r="J201" s="29"/>
      <c r="K201" s="29"/>
      <c r="L201" s="29"/>
      <c r="M201" s="29"/>
      <c r="N201" s="29"/>
      <c r="O201" s="27" t="str">
        <f aca="false">IF(I201="","",IF(I201="غير متوفر",0,COUNTIF(J201:N201,"نعم")))</f>
        <v/>
      </c>
      <c r="P201" s="27" t="str">
        <f aca="false">IF(I201="","لم يُفحص",IF(I201="غير متوفر","غير موجود",IF(AND(O201=5,I201="متوفر"),"مكتمل",IF(O201&gt;=3,"مقبول","ضعيف"))))</f>
        <v>لم يُفحص</v>
      </c>
      <c r="Q201" s="27" t="str">
        <f aca="false">IF(I201="","",IF(AND(I201="متوفر",O201=5),"لا","نعم"))</f>
        <v/>
      </c>
      <c r="R201" s="27" t="str">
        <f aca="false">IF(Q201&lt;&gt;"نعم","",IF(OR(E201="نعم",I201="غير متوفر"),"عالية",IF(O201&gt;=3,"منخفضة","متوسطة")))</f>
        <v/>
      </c>
      <c r="S201" s="30"/>
      <c r="T201" s="30"/>
      <c r="U201" s="27" t="str">
        <f aca="false">IFERROR(INDEX('الإعدادات واللجنة'!$H$22:$H$29,MATCH(C201,'الإعدادات واللجنة'!$B$22:$B$29,0)),"")</f>
        <v>عضو 1</v>
      </c>
      <c r="V201" s="29"/>
      <c r="W201" s="30"/>
    </row>
    <row r="202" customFormat="false" ht="22.35" hidden="false" customHeight="false" outlineLevel="0" collapsed="false">
      <c r="A202" s="27" t="s">
        <v>527</v>
      </c>
      <c r="B202" s="28" t="s">
        <v>147</v>
      </c>
      <c r="C202" s="28" t="s">
        <v>127</v>
      </c>
      <c r="D202" s="28" t="s">
        <v>528</v>
      </c>
      <c r="E202" s="27"/>
      <c r="F202" s="27" t="n">
        <v>1</v>
      </c>
      <c r="G202" s="28" t="s">
        <v>529</v>
      </c>
      <c r="H202" s="27" t="str">
        <f aca="false">IFERROR(INDEX('الإعدادات واللجنة'!$F$22:$F$29,MATCH(C202,'الإعدادات واللجنة'!$B$22:$B$29,0)),"")</f>
        <v>عضو 2</v>
      </c>
      <c r="I202" s="29"/>
      <c r="J202" s="29"/>
      <c r="K202" s="29"/>
      <c r="L202" s="29"/>
      <c r="M202" s="29"/>
      <c r="N202" s="29"/>
      <c r="O202" s="27" t="str">
        <f aca="false">IF(I202="","",IF(I202="غير متوفر",0,COUNTIF(J202:N202,"نعم")))</f>
        <v/>
      </c>
      <c r="P202" s="27" t="str">
        <f aca="false">IF(I202="","لم يُفحص",IF(I202="غير متوفر","غير موجود",IF(AND(O202=5,I202="متوفر"),"مكتمل",IF(O202&gt;=3,"مقبول","ضعيف"))))</f>
        <v>لم يُفحص</v>
      </c>
      <c r="Q202" s="27" t="str">
        <f aca="false">IF(I202="","",IF(AND(I202="متوفر",O202=5),"لا","نعم"))</f>
        <v/>
      </c>
      <c r="R202" s="27" t="str">
        <f aca="false">IF(Q202&lt;&gt;"نعم","",IF(OR(E202="نعم",I202="غير متوفر"),"عالية",IF(O202&gt;=3,"منخفضة","متوسطة")))</f>
        <v/>
      </c>
      <c r="S202" s="30"/>
      <c r="T202" s="30"/>
      <c r="U202" s="27" t="str">
        <f aca="false">IFERROR(INDEX('الإعدادات واللجنة'!$H$22:$H$29,MATCH(C202,'الإعدادات واللجنة'!$B$22:$B$29,0)),"")</f>
        <v>عضو 1</v>
      </c>
      <c r="V202" s="29"/>
      <c r="W202" s="30"/>
    </row>
    <row r="203" customFormat="false" ht="22.35" hidden="false" customHeight="false" outlineLevel="0" collapsed="false">
      <c r="A203" s="27" t="s">
        <v>527</v>
      </c>
      <c r="B203" s="28" t="s">
        <v>147</v>
      </c>
      <c r="C203" s="28" t="s">
        <v>127</v>
      </c>
      <c r="D203" s="28" t="s">
        <v>528</v>
      </c>
      <c r="E203" s="27"/>
      <c r="F203" s="27" t="n">
        <v>2</v>
      </c>
      <c r="G203" s="28" t="s">
        <v>530</v>
      </c>
      <c r="H203" s="27" t="str">
        <f aca="false">IFERROR(INDEX('الإعدادات واللجنة'!$F$22:$F$29,MATCH(C203,'الإعدادات واللجنة'!$B$22:$B$29,0)),"")</f>
        <v>عضو 2</v>
      </c>
      <c r="I203" s="29"/>
      <c r="J203" s="29"/>
      <c r="K203" s="29"/>
      <c r="L203" s="29"/>
      <c r="M203" s="29"/>
      <c r="N203" s="29"/>
      <c r="O203" s="27" t="str">
        <f aca="false">IF(I203="","",IF(I203="غير متوفر",0,COUNTIF(J203:N203,"نعم")))</f>
        <v/>
      </c>
      <c r="P203" s="27" t="str">
        <f aca="false">IF(I203="","لم يُفحص",IF(I203="غير متوفر","غير موجود",IF(AND(O203=5,I203="متوفر"),"مكتمل",IF(O203&gt;=3,"مقبول","ضعيف"))))</f>
        <v>لم يُفحص</v>
      </c>
      <c r="Q203" s="27" t="str">
        <f aca="false">IF(I203="","",IF(AND(I203="متوفر",O203=5),"لا","نعم"))</f>
        <v/>
      </c>
      <c r="R203" s="27" t="str">
        <f aca="false">IF(Q203&lt;&gt;"نعم","",IF(OR(E203="نعم",I203="غير متوفر"),"عالية",IF(O203&gt;=3,"منخفضة","متوسطة")))</f>
        <v/>
      </c>
      <c r="S203" s="30"/>
      <c r="T203" s="30"/>
      <c r="U203" s="27" t="str">
        <f aca="false">IFERROR(INDEX('الإعدادات واللجنة'!$H$22:$H$29,MATCH(C203,'الإعدادات واللجنة'!$B$22:$B$29,0)),"")</f>
        <v>عضو 1</v>
      </c>
      <c r="V203" s="29"/>
      <c r="W203" s="30"/>
    </row>
    <row r="204" customFormat="false" ht="22.35" hidden="false" customHeight="false" outlineLevel="0" collapsed="false">
      <c r="A204" s="27" t="s">
        <v>527</v>
      </c>
      <c r="B204" s="28" t="s">
        <v>147</v>
      </c>
      <c r="C204" s="28" t="s">
        <v>127</v>
      </c>
      <c r="D204" s="28" t="s">
        <v>528</v>
      </c>
      <c r="E204" s="27"/>
      <c r="F204" s="27" t="n">
        <v>3</v>
      </c>
      <c r="G204" s="28" t="s">
        <v>531</v>
      </c>
      <c r="H204" s="27" t="str">
        <f aca="false">IFERROR(INDEX('الإعدادات واللجنة'!$F$22:$F$29,MATCH(C204,'الإعدادات واللجنة'!$B$22:$B$29,0)),"")</f>
        <v>عضو 2</v>
      </c>
      <c r="I204" s="29"/>
      <c r="J204" s="29"/>
      <c r="K204" s="29"/>
      <c r="L204" s="29"/>
      <c r="M204" s="29"/>
      <c r="N204" s="29"/>
      <c r="O204" s="27" t="str">
        <f aca="false">IF(I204="","",IF(I204="غير متوفر",0,COUNTIF(J204:N204,"نعم")))</f>
        <v/>
      </c>
      <c r="P204" s="27" t="str">
        <f aca="false">IF(I204="","لم يُفحص",IF(I204="غير متوفر","غير موجود",IF(AND(O204=5,I204="متوفر"),"مكتمل",IF(O204&gt;=3,"مقبول","ضعيف"))))</f>
        <v>لم يُفحص</v>
      </c>
      <c r="Q204" s="27" t="str">
        <f aca="false">IF(I204="","",IF(AND(I204="متوفر",O204=5),"لا","نعم"))</f>
        <v/>
      </c>
      <c r="R204" s="27" t="str">
        <f aca="false">IF(Q204&lt;&gt;"نعم","",IF(OR(E204="نعم",I204="غير متوفر"),"عالية",IF(O204&gt;=3,"منخفضة","متوسطة")))</f>
        <v/>
      </c>
      <c r="S204" s="30"/>
      <c r="T204" s="30"/>
      <c r="U204" s="27" t="str">
        <f aca="false">IFERROR(INDEX('الإعدادات واللجنة'!$H$22:$H$29,MATCH(C204,'الإعدادات واللجنة'!$B$22:$B$29,0)),"")</f>
        <v>عضو 1</v>
      </c>
      <c r="V204" s="29"/>
      <c r="W204" s="30"/>
    </row>
    <row r="205" customFormat="false" ht="22.35" hidden="false" customHeight="false" outlineLevel="0" collapsed="false">
      <c r="A205" s="27" t="s">
        <v>527</v>
      </c>
      <c r="B205" s="28" t="s">
        <v>147</v>
      </c>
      <c r="C205" s="28" t="s">
        <v>127</v>
      </c>
      <c r="D205" s="28" t="s">
        <v>528</v>
      </c>
      <c r="E205" s="27"/>
      <c r="F205" s="27" t="n">
        <v>4</v>
      </c>
      <c r="G205" s="28" t="s">
        <v>532</v>
      </c>
      <c r="H205" s="27" t="str">
        <f aca="false">IFERROR(INDEX('الإعدادات واللجنة'!$F$22:$F$29,MATCH(C205,'الإعدادات واللجنة'!$B$22:$B$29,0)),"")</f>
        <v>عضو 2</v>
      </c>
      <c r="I205" s="29"/>
      <c r="J205" s="29"/>
      <c r="K205" s="29"/>
      <c r="L205" s="29"/>
      <c r="M205" s="29"/>
      <c r="N205" s="29"/>
      <c r="O205" s="27" t="str">
        <f aca="false">IF(I205="","",IF(I205="غير متوفر",0,COUNTIF(J205:N205,"نعم")))</f>
        <v/>
      </c>
      <c r="P205" s="27" t="str">
        <f aca="false">IF(I205="","لم يُفحص",IF(I205="غير متوفر","غير موجود",IF(AND(O205=5,I205="متوفر"),"مكتمل",IF(O205&gt;=3,"مقبول","ضعيف"))))</f>
        <v>لم يُفحص</v>
      </c>
      <c r="Q205" s="27" t="str">
        <f aca="false">IF(I205="","",IF(AND(I205="متوفر",O205=5),"لا","نعم"))</f>
        <v/>
      </c>
      <c r="R205" s="27" t="str">
        <f aca="false">IF(Q205&lt;&gt;"نعم","",IF(OR(E205="نعم",I205="غير متوفر"),"عالية",IF(O205&gt;=3,"منخفضة","متوسطة")))</f>
        <v/>
      </c>
      <c r="S205" s="30"/>
      <c r="T205" s="30"/>
      <c r="U205" s="27" t="str">
        <f aca="false">IFERROR(INDEX('الإعدادات واللجنة'!$H$22:$H$29,MATCH(C205,'الإعدادات واللجنة'!$B$22:$B$29,0)),"")</f>
        <v>عضو 1</v>
      </c>
      <c r="V205" s="29"/>
      <c r="W205" s="30"/>
    </row>
    <row r="206" customFormat="false" ht="22.35" hidden="false" customHeight="false" outlineLevel="0" collapsed="false">
      <c r="A206" s="27" t="s">
        <v>527</v>
      </c>
      <c r="B206" s="28" t="s">
        <v>147</v>
      </c>
      <c r="C206" s="28" t="s">
        <v>127</v>
      </c>
      <c r="D206" s="28" t="s">
        <v>528</v>
      </c>
      <c r="E206" s="27"/>
      <c r="F206" s="27" t="n">
        <v>5</v>
      </c>
      <c r="G206" s="28" t="s">
        <v>533</v>
      </c>
      <c r="H206" s="27" t="str">
        <f aca="false">IFERROR(INDEX('الإعدادات واللجنة'!$F$22:$F$29,MATCH(C206,'الإعدادات واللجنة'!$B$22:$B$29,0)),"")</f>
        <v>عضو 2</v>
      </c>
      <c r="I206" s="29"/>
      <c r="J206" s="29"/>
      <c r="K206" s="29"/>
      <c r="L206" s="29"/>
      <c r="M206" s="29"/>
      <c r="N206" s="29"/>
      <c r="O206" s="27" t="str">
        <f aca="false">IF(I206="","",IF(I206="غير متوفر",0,COUNTIF(J206:N206,"نعم")))</f>
        <v/>
      </c>
      <c r="P206" s="27" t="str">
        <f aca="false">IF(I206="","لم يُفحص",IF(I206="غير متوفر","غير موجود",IF(AND(O206=5,I206="متوفر"),"مكتمل",IF(O206&gt;=3,"مقبول","ضعيف"))))</f>
        <v>لم يُفحص</v>
      </c>
      <c r="Q206" s="27" t="str">
        <f aca="false">IF(I206="","",IF(AND(I206="متوفر",O206=5),"لا","نعم"))</f>
        <v/>
      </c>
      <c r="R206" s="27" t="str">
        <f aca="false">IF(Q206&lt;&gt;"نعم","",IF(OR(E206="نعم",I206="غير متوفر"),"عالية",IF(O206&gt;=3,"منخفضة","متوسطة")))</f>
        <v/>
      </c>
      <c r="S206" s="30"/>
      <c r="T206" s="30"/>
      <c r="U206" s="27" t="str">
        <f aca="false">IFERROR(INDEX('الإعدادات واللجنة'!$H$22:$H$29,MATCH(C206,'الإعدادات واللجنة'!$B$22:$B$29,0)),"")</f>
        <v>عضو 1</v>
      </c>
      <c r="V206" s="29"/>
      <c r="W206" s="30"/>
    </row>
    <row r="207" customFormat="false" ht="22.35" hidden="false" customHeight="false" outlineLevel="0" collapsed="false">
      <c r="A207" s="27" t="s">
        <v>534</v>
      </c>
      <c r="B207" s="28" t="s">
        <v>147</v>
      </c>
      <c r="C207" s="28" t="s">
        <v>127</v>
      </c>
      <c r="D207" s="28" t="s">
        <v>535</v>
      </c>
      <c r="E207" s="27"/>
      <c r="F207" s="27" t="n">
        <v>1</v>
      </c>
      <c r="G207" s="28" t="s">
        <v>536</v>
      </c>
      <c r="H207" s="27" t="str">
        <f aca="false">IFERROR(INDEX('الإعدادات واللجنة'!$F$22:$F$29,MATCH(C207,'الإعدادات واللجنة'!$B$22:$B$29,0)),"")</f>
        <v>عضو 2</v>
      </c>
      <c r="I207" s="29"/>
      <c r="J207" s="29"/>
      <c r="K207" s="29"/>
      <c r="L207" s="29"/>
      <c r="M207" s="29"/>
      <c r="N207" s="29"/>
      <c r="O207" s="27" t="str">
        <f aca="false">IF(I207="","",IF(I207="غير متوفر",0,COUNTIF(J207:N207,"نعم")))</f>
        <v/>
      </c>
      <c r="P207" s="27" t="str">
        <f aca="false">IF(I207="","لم يُفحص",IF(I207="غير متوفر","غير موجود",IF(AND(O207=5,I207="متوفر"),"مكتمل",IF(O207&gt;=3,"مقبول","ضعيف"))))</f>
        <v>لم يُفحص</v>
      </c>
      <c r="Q207" s="27" t="str">
        <f aca="false">IF(I207="","",IF(AND(I207="متوفر",O207=5),"لا","نعم"))</f>
        <v/>
      </c>
      <c r="R207" s="27" t="str">
        <f aca="false">IF(Q207&lt;&gt;"نعم","",IF(OR(E207="نعم",I207="غير متوفر"),"عالية",IF(O207&gt;=3,"منخفضة","متوسطة")))</f>
        <v/>
      </c>
      <c r="S207" s="30"/>
      <c r="T207" s="30"/>
      <c r="U207" s="27" t="str">
        <f aca="false">IFERROR(INDEX('الإعدادات واللجنة'!$H$22:$H$29,MATCH(C207,'الإعدادات واللجنة'!$B$22:$B$29,0)),"")</f>
        <v>عضو 1</v>
      </c>
      <c r="V207" s="29"/>
      <c r="W207" s="30"/>
    </row>
    <row r="208" customFormat="false" ht="22.35" hidden="false" customHeight="false" outlineLevel="0" collapsed="false">
      <c r="A208" s="27" t="s">
        <v>534</v>
      </c>
      <c r="B208" s="28" t="s">
        <v>147</v>
      </c>
      <c r="C208" s="28" t="s">
        <v>127</v>
      </c>
      <c r="D208" s="28" t="s">
        <v>535</v>
      </c>
      <c r="E208" s="27"/>
      <c r="F208" s="27" t="n">
        <v>2</v>
      </c>
      <c r="G208" s="28" t="s">
        <v>537</v>
      </c>
      <c r="H208" s="27" t="str">
        <f aca="false">IFERROR(INDEX('الإعدادات واللجنة'!$F$22:$F$29,MATCH(C208,'الإعدادات واللجنة'!$B$22:$B$29,0)),"")</f>
        <v>عضو 2</v>
      </c>
      <c r="I208" s="29"/>
      <c r="J208" s="29"/>
      <c r="K208" s="29"/>
      <c r="L208" s="29"/>
      <c r="M208" s="29"/>
      <c r="N208" s="29"/>
      <c r="O208" s="27" t="str">
        <f aca="false">IF(I208="","",IF(I208="غير متوفر",0,COUNTIF(J208:N208,"نعم")))</f>
        <v/>
      </c>
      <c r="P208" s="27" t="str">
        <f aca="false">IF(I208="","لم يُفحص",IF(I208="غير متوفر","غير موجود",IF(AND(O208=5,I208="متوفر"),"مكتمل",IF(O208&gt;=3,"مقبول","ضعيف"))))</f>
        <v>لم يُفحص</v>
      </c>
      <c r="Q208" s="27" t="str">
        <f aca="false">IF(I208="","",IF(AND(I208="متوفر",O208=5),"لا","نعم"))</f>
        <v/>
      </c>
      <c r="R208" s="27" t="str">
        <f aca="false">IF(Q208&lt;&gt;"نعم","",IF(OR(E208="نعم",I208="غير متوفر"),"عالية",IF(O208&gt;=3,"منخفضة","متوسطة")))</f>
        <v/>
      </c>
      <c r="S208" s="30"/>
      <c r="T208" s="30"/>
      <c r="U208" s="27" t="str">
        <f aca="false">IFERROR(INDEX('الإعدادات واللجنة'!$H$22:$H$29,MATCH(C208,'الإعدادات واللجنة'!$B$22:$B$29,0)),"")</f>
        <v>عضو 1</v>
      </c>
      <c r="V208" s="29"/>
      <c r="W208" s="30"/>
    </row>
  </sheetData>
  <autoFilter ref="A4:W208"/>
  <mergeCells count="2">
    <mergeCell ref="A1:H1"/>
    <mergeCell ref="A2:N2"/>
  </mergeCells>
  <conditionalFormatting sqref="P5:P208">
    <cfRule type="cellIs" priority="2" operator="equal" aboveAverage="0" equalAverage="0" bottom="0" percent="0" rank="0" text="" dxfId="8">
      <formula>"مكتمل"</formula>
    </cfRule>
    <cfRule type="cellIs" priority="3" operator="equal" aboveAverage="0" equalAverage="0" bottom="0" percent="0" rank="0" text="" dxfId="9">
      <formula>"مقبول"</formula>
    </cfRule>
    <cfRule type="cellIs" priority="4" operator="equal" aboveAverage="0" equalAverage="0" bottom="0" percent="0" rank="0" text="" dxfId="10">
      <formula>"ضعيف"</formula>
    </cfRule>
    <cfRule type="cellIs" priority="5" operator="equal" aboveAverage="0" equalAverage="0" bottom="0" percent="0" rank="0" text="" dxfId="11">
      <formula>"غير موجود"</formula>
    </cfRule>
  </conditionalFormatting>
  <conditionalFormatting sqref="R5:R208">
    <cfRule type="cellIs" priority="6" operator="equal" aboveAverage="0" equalAverage="0" bottom="0" percent="0" rank="0" text="" dxfId="12">
      <formula>"عالية"</formula>
    </cfRule>
    <cfRule type="cellIs" priority="7" operator="equal" aboveAverage="0" equalAverage="0" bottom="0" percent="0" rank="0" text="" dxfId="13">
      <formula>"متوسطة"</formula>
    </cfRule>
  </conditionalFormatting>
  <dataValidations count="3">
    <dataValidation allowBlank="true" errorStyle="stop" operator="between" showDropDown="false" showErrorMessage="false" showInputMessage="false" sqref="I5:I208" type="list">
      <formula1>"متوفر,متوفر جزئياً,غير متوفر"</formula1>
      <formula2>0</formula2>
    </dataValidation>
    <dataValidation allowBlank="true" errorStyle="stop" operator="between" showDropDown="false" showErrorMessage="false" showInputMessage="false" sqref="J5:N208" type="list">
      <formula1>"نعم,لا"</formula1>
      <formula2>0</formula2>
    </dataValidation>
    <dataValidation allowBlank="true" errorStyle="stop" operator="between" showDropDown="false" showErrorMessage="false" showInputMessage="false" sqref="V5:V208" type="list">
      <formula1>"تمت – معتمد,تحتاج تعديل"</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P5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18"/>
    <col collapsed="false" customWidth="true" hidden="false" outlineLevel="0" max="4" min="4" style="0" width="50"/>
    <col collapsed="false" customWidth="true" hidden="false" outlineLevel="0" max="5" min="5" style="0" width="7"/>
    <col collapsed="false" customWidth="true" hidden="false" outlineLevel="0" max="8" min="6" style="0" width="9"/>
    <col collapsed="false" customWidth="true" hidden="false" outlineLevel="0" max="9" min="9" style="0" width="10"/>
    <col collapsed="false" customWidth="true" hidden="false" outlineLevel="0" max="10" min="10" style="0" width="12"/>
    <col collapsed="false" customWidth="true" hidden="false" outlineLevel="0" max="13" min="11" style="0" width="9"/>
    <col collapsed="false" customWidth="true" hidden="false" outlineLevel="0" max="14" min="14" style="0" width="10"/>
    <col collapsed="false" customWidth="true" hidden="false" outlineLevel="0" max="15" min="15" style="0" width="12"/>
    <col collapsed="false" customWidth="true" hidden="false" outlineLevel="0" max="16" min="16" style="0" width="9"/>
  </cols>
  <sheetData>
    <row r="1" customFormat="false" ht="17.9" hidden="false" customHeight="false" outlineLevel="0" collapsed="false">
      <c r="A1" s="1" t="s">
        <v>538</v>
      </c>
      <c r="B1" s="1"/>
      <c r="C1" s="1"/>
      <c r="D1" s="1"/>
      <c r="E1" s="1"/>
      <c r="F1" s="1"/>
      <c r="G1" s="1"/>
      <c r="H1" s="1"/>
      <c r="I1" s="1"/>
      <c r="J1" s="1"/>
      <c r="K1" s="1"/>
      <c r="L1" s="1"/>
      <c r="M1" s="1"/>
      <c r="N1" s="1"/>
      <c r="O1" s="1"/>
    </row>
    <row r="2" customFormat="false" ht="15" hidden="false" customHeight="false" outlineLevel="0" collapsed="false">
      <c r="A2" s="2" t="s">
        <v>539</v>
      </c>
      <c r="B2" s="2"/>
      <c r="C2" s="2"/>
      <c r="D2" s="2"/>
      <c r="E2" s="2"/>
      <c r="F2" s="2"/>
      <c r="G2" s="2"/>
      <c r="H2" s="2"/>
      <c r="I2" s="2"/>
      <c r="J2" s="2"/>
      <c r="K2" s="2"/>
      <c r="L2" s="2"/>
      <c r="M2" s="2"/>
      <c r="N2" s="2"/>
      <c r="O2" s="2"/>
    </row>
    <row r="3" customFormat="false" ht="15" hidden="false" customHeight="false" outlineLevel="0" collapsed="false">
      <c r="F3" s="33" t="str">
        <f aca="false">'الإعدادات واللجنة'!$B$4</f>
        <v>بكالوريوس ... (البرنامج الأول)</v>
      </c>
      <c r="G3" s="33"/>
      <c r="H3" s="33"/>
      <c r="I3" s="33"/>
      <c r="J3" s="33"/>
      <c r="K3" s="33" t="str">
        <f aca="false">'الإعدادات واللجنة'!$B$5</f>
        <v>بكالوريوس ... (البرنامج الثاني)</v>
      </c>
      <c r="L3" s="33"/>
      <c r="M3" s="33"/>
      <c r="N3" s="33"/>
      <c r="O3" s="33"/>
    </row>
    <row r="4" customFormat="false" ht="30" hidden="false" customHeight="true" outlineLevel="0" collapsed="false">
      <c r="A4" s="3" t="s">
        <v>211</v>
      </c>
      <c r="B4" s="3" t="s">
        <v>227</v>
      </c>
      <c r="C4" s="3" t="s">
        <v>113</v>
      </c>
      <c r="D4" s="3" t="s">
        <v>228</v>
      </c>
      <c r="E4" s="3" t="s">
        <v>229</v>
      </c>
      <c r="F4" s="3" t="s">
        <v>135</v>
      </c>
      <c r="G4" s="3" t="s">
        <v>540</v>
      </c>
      <c r="H4" s="3" t="s">
        <v>141</v>
      </c>
      <c r="I4" s="3" t="s">
        <v>140</v>
      </c>
      <c r="J4" s="3" t="s">
        <v>541</v>
      </c>
      <c r="K4" s="3" t="s">
        <v>135</v>
      </c>
      <c r="L4" s="3" t="s">
        <v>540</v>
      </c>
      <c r="M4" s="3" t="s">
        <v>141</v>
      </c>
      <c r="N4" s="3" t="s">
        <v>140</v>
      </c>
      <c r="O4" s="3" t="s">
        <v>541</v>
      </c>
      <c r="P4" s="3" t="s">
        <v>115</v>
      </c>
    </row>
    <row r="5" customFormat="false" ht="15" hidden="false" customHeight="false" outlineLevel="0" collapsed="false">
      <c r="A5" s="27" t="s">
        <v>212</v>
      </c>
      <c r="B5" s="28" t="s">
        <v>143</v>
      </c>
      <c r="C5" s="28" t="s">
        <v>120</v>
      </c>
      <c r="D5" s="28" t="s">
        <v>243</v>
      </c>
      <c r="E5" s="27"/>
      <c r="F5" s="27" t="n">
        <f aca="false">COUNTIFS('فحص-البرنامج1'!$A:$A,A5,'فحص-البرنامج1'!$I:$I,"&lt;&gt;")</f>
        <v>0</v>
      </c>
      <c r="G5" s="27" t="n">
        <f aca="false">COUNTIFS('فحص-البرنامج1'!$A:$A,A5,'فحص-البرنامج1'!$I:$I,"متوفر")</f>
        <v>0</v>
      </c>
      <c r="H5" s="27" t="n">
        <f aca="false">COUNTIFS('فحص-البرنامج1'!$A:$A,A5,'فحص-البرنامج1'!$Q:$Q,"نعم")</f>
        <v>0</v>
      </c>
      <c r="I5" s="34" t="n">
        <f aca="false">IF($P5=0,0,SUMIFS('فحص-البرنامج1'!$O:$O,'فحص-البرنامج1'!$A:$A,A5)/(5*$P5))</f>
        <v>0</v>
      </c>
      <c r="J5" s="27" t="str">
        <f aca="false">IF(F5=0,"لم يبدأ",IF(F5&lt;$P5,"قيد الفحص",IF(I5&gt;=0.8,"جاهز",IF(I5&gt;=0.5,"جاهز جزئياً","فجوة جوهرية"))))</f>
        <v>لم يبدأ</v>
      </c>
      <c r="K5" s="27" t="n">
        <f aca="false">COUNTIFS('فحص-البرنامج2'!$A:$A,A5,'فحص-البرنامج2'!$I:$I,"&lt;&gt;")</f>
        <v>0</v>
      </c>
      <c r="L5" s="27" t="n">
        <f aca="false">COUNTIFS('فحص-البرنامج2'!$A:$A,A5,'فحص-البرنامج2'!$I:$I,"متوفر")</f>
        <v>0</v>
      </c>
      <c r="M5" s="27" t="n">
        <f aca="false">COUNTIFS('فحص-البرنامج2'!$A:$A,A5,'فحص-البرنامج2'!$Q:$Q,"نعم")</f>
        <v>0</v>
      </c>
      <c r="N5" s="34" t="n">
        <f aca="false">IF($P5=0,0,SUMIFS('فحص-البرنامج2'!$O:$O,'فحص-البرنامج2'!$A:$A,A5)/(5*$P5))</f>
        <v>0</v>
      </c>
      <c r="O5" s="27" t="str">
        <f aca="false">IF(K5=0,"لم يبدأ",IF(K5&lt;$P5,"قيد الفحص",IF(N5&gt;=0.8,"جاهز",IF(N5&gt;=0.5,"جاهز جزئياً","فجوة جوهرية"))))</f>
        <v>لم يبدأ</v>
      </c>
      <c r="P5" s="27" t="n">
        <f aca="false">COUNTIF('فحص-البرنامج1'!$A:$A,A5)</f>
        <v>4</v>
      </c>
    </row>
    <row r="6" customFormat="false" ht="22.35" hidden="false" customHeight="false" outlineLevel="0" collapsed="false">
      <c r="A6" s="31" t="s">
        <v>247</v>
      </c>
      <c r="B6" s="32" t="s">
        <v>143</v>
      </c>
      <c r="C6" s="32" t="s">
        <v>120</v>
      </c>
      <c r="D6" s="32" t="s">
        <v>248</v>
      </c>
      <c r="E6" s="31" t="s">
        <v>185</v>
      </c>
      <c r="F6" s="27" t="n">
        <f aca="false">COUNTIFS('فحص-البرنامج1'!$A:$A,A6,'فحص-البرنامج1'!$I:$I,"&lt;&gt;")</f>
        <v>0</v>
      </c>
      <c r="G6" s="27" t="n">
        <f aca="false">COUNTIFS('فحص-البرنامج1'!$A:$A,A6,'فحص-البرنامج1'!$I:$I,"متوفر")</f>
        <v>0</v>
      </c>
      <c r="H6" s="27" t="n">
        <f aca="false">COUNTIFS('فحص-البرنامج1'!$A:$A,A6,'فحص-البرنامج1'!$Q:$Q,"نعم")</f>
        <v>0</v>
      </c>
      <c r="I6" s="34" t="n">
        <f aca="false">IF($P6=0,0,SUMIFS('فحص-البرنامج1'!$O:$O,'فحص-البرنامج1'!$A:$A,A6)/(5*$P6))</f>
        <v>0</v>
      </c>
      <c r="J6" s="27" t="str">
        <f aca="false">IF(F6=0,"لم يبدأ",IF(F6&lt;$P6,"قيد الفحص",IF(I6&gt;=0.8,"جاهز",IF(I6&gt;=0.5,"جاهز جزئياً","فجوة جوهرية"))))</f>
        <v>لم يبدأ</v>
      </c>
      <c r="K6" s="27" t="n">
        <f aca="false">COUNTIFS('فحص-البرنامج2'!$A:$A,A6,'فحص-البرنامج2'!$I:$I,"&lt;&gt;")</f>
        <v>0</v>
      </c>
      <c r="L6" s="27" t="n">
        <f aca="false">COUNTIFS('فحص-البرنامج2'!$A:$A,A6,'فحص-البرنامج2'!$I:$I,"متوفر")</f>
        <v>0</v>
      </c>
      <c r="M6" s="27" t="n">
        <f aca="false">COUNTIFS('فحص-البرنامج2'!$A:$A,A6,'فحص-البرنامج2'!$Q:$Q,"نعم")</f>
        <v>0</v>
      </c>
      <c r="N6" s="34" t="n">
        <f aca="false">IF($P6=0,0,SUMIFS('فحص-البرنامج2'!$O:$O,'فحص-البرنامج2'!$A:$A,A6)/(5*$P6))</f>
        <v>0</v>
      </c>
      <c r="O6" s="27" t="str">
        <f aca="false">IF(K6=0,"لم يبدأ",IF(K6&lt;$P6,"قيد الفحص",IF(N6&gt;=0.8,"جاهز",IF(N6&gt;=0.5,"جاهز جزئياً","فجوة جوهرية"))))</f>
        <v>لم يبدأ</v>
      </c>
      <c r="P6" s="27" t="n">
        <f aca="false">COUNTIF('فحص-البرنامج1'!$A:$A,A6)</f>
        <v>5</v>
      </c>
    </row>
    <row r="7" customFormat="false" ht="15" hidden="false" customHeight="false" outlineLevel="0" collapsed="false">
      <c r="A7" s="27" t="s">
        <v>254</v>
      </c>
      <c r="B7" s="28" t="s">
        <v>143</v>
      </c>
      <c r="C7" s="28" t="s">
        <v>120</v>
      </c>
      <c r="D7" s="28" t="s">
        <v>255</v>
      </c>
      <c r="E7" s="27"/>
      <c r="F7" s="27" t="n">
        <f aca="false">COUNTIFS('فحص-البرنامج1'!$A:$A,A7,'فحص-البرنامج1'!$I:$I,"&lt;&gt;")</f>
        <v>0</v>
      </c>
      <c r="G7" s="27" t="n">
        <f aca="false">COUNTIFS('فحص-البرنامج1'!$A:$A,A7,'فحص-البرنامج1'!$I:$I,"متوفر")</f>
        <v>0</v>
      </c>
      <c r="H7" s="27" t="n">
        <f aca="false">COUNTIFS('فحص-البرنامج1'!$A:$A,A7,'فحص-البرنامج1'!$Q:$Q,"نعم")</f>
        <v>0</v>
      </c>
      <c r="I7" s="34" t="n">
        <f aca="false">IF($P7=0,0,SUMIFS('فحص-البرنامج1'!$O:$O,'فحص-البرنامج1'!$A:$A,A7)/(5*$P7))</f>
        <v>0</v>
      </c>
      <c r="J7" s="27" t="str">
        <f aca="false">IF(F7=0,"لم يبدأ",IF(F7&lt;$P7,"قيد الفحص",IF(I7&gt;=0.8,"جاهز",IF(I7&gt;=0.5,"جاهز جزئياً","فجوة جوهرية"))))</f>
        <v>لم يبدأ</v>
      </c>
      <c r="K7" s="27" t="n">
        <f aca="false">COUNTIFS('فحص-البرنامج2'!$A:$A,A7,'فحص-البرنامج2'!$I:$I,"&lt;&gt;")</f>
        <v>0</v>
      </c>
      <c r="L7" s="27" t="n">
        <f aca="false">COUNTIFS('فحص-البرنامج2'!$A:$A,A7,'فحص-البرنامج2'!$I:$I,"متوفر")</f>
        <v>0</v>
      </c>
      <c r="M7" s="27" t="n">
        <f aca="false">COUNTIFS('فحص-البرنامج2'!$A:$A,A7,'فحص-البرنامج2'!$Q:$Q,"نعم")</f>
        <v>0</v>
      </c>
      <c r="N7" s="34" t="n">
        <f aca="false">IF($P7=0,0,SUMIFS('فحص-البرنامج2'!$O:$O,'فحص-البرنامج2'!$A:$A,A7)/(5*$P7))</f>
        <v>0</v>
      </c>
      <c r="O7" s="27" t="str">
        <f aca="false">IF(K7=0,"لم يبدأ",IF(K7&lt;$P7,"قيد الفحص",IF(N7&gt;=0.8,"جاهز",IF(N7&gt;=0.5,"جاهز جزئياً","فجوة جوهرية"))))</f>
        <v>لم يبدأ</v>
      </c>
      <c r="P7" s="27" t="n">
        <f aca="false">COUNTIF('فحص-البرنامج1'!$A:$A,A7)</f>
        <v>5</v>
      </c>
    </row>
    <row r="8" customFormat="false" ht="15" hidden="false" customHeight="false" outlineLevel="0" collapsed="false">
      <c r="A8" s="27" t="s">
        <v>261</v>
      </c>
      <c r="B8" s="28" t="s">
        <v>143</v>
      </c>
      <c r="C8" s="28" t="s">
        <v>120</v>
      </c>
      <c r="D8" s="28" t="s">
        <v>262</v>
      </c>
      <c r="E8" s="27"/>
      <c r="F8" s="27" t="n">
        <f aca="false">COUNTIFS('فحص-البرنامج1'!$A:$A,A8,'فحص-البرنامج1'!$I:$I,"&lt;&gt;")</f>
        <v>0</v>
      </c>
      <c r="G8" s="27" t="n">
        <f aca="false">COUNTIFS('فحص-البرنامج1'!$A:$A,A8,'فحص-البرنامج1'!$I:$I,"متوفر")</f>
        <v>0</v>
      </c>
      <c r="H8" s="27" t="n">
        <f aca="false">COUNTIFS('فحص-البرنامج1'!$A:$A,A8,'فحص-البرنامج1'!$Q:$Q,"نعم")</f>
        <v>0</v>
      </c>
      <c r="I8" s="34" t="n">
        <f aca="false">IF($P8=0,0,SUMIFS('فحص-البرنامج1'!$O:$O,'فحص-البرنامج1'!$A:$A,A8)/(5*$P8))</f>
        <v>0</v>
      </c>
      <c r="J8" s="27" t="str">
        <f aca="false">IF(F8=0,"لم يبدأ",IF(F8&lt;$P8,"قيد الفحص",IF(I8&gt;=0.8,"جاهز",IF(I8&gt;=0.5,"جاهز جزئياً","فجوة جوهرية"))))</f>
        <v>لم يبدأ</v>
      </c>
      <c r="K8" s="27" t="n">
        <f aca="false">COUNTIFS('فحص-البرنامج2'!$A:$A,A8,'فحص-البرنامج2'!$I:$I,"&lt;&gt;")</f>
        <v>0</v>
      </c>
      <c r="L8" s="27" t="n">
        <f aca="false">COUNTIFS('فحص-البرنامج2'!$A:$A,A8,'فحص-البرنامج2'!$I:$I,"متوفر")</f>
        <v>0</v>
      </c>
      <c r="M8" s="27" t="n">
        <f aca="false">COUNTIFS('فحص-البرنامج2'!$A:$A,A8,'فحص-البرنامج2'!$Q:$Q,"نعم")</f>
        <v>0</v>
      </c>
      <c r="N8" s="34" t="n">
        <f aca="false">IF($P8=0,0,SUMIFS('فحص-البرنامج2'!$O:$O,'فحص-البرنامج2'!$A:$A,A8)/(5*$P8))</f>
        <v>0</v>
      </c>
      <c r="O8" s="27" t="str">
        <f aca="false">IF(K8=0,"لم يبدأ",IF(K8&lt;$P8,"قيد الفحص",IF(N8&gt;=0.8,"جاهز",IF(N8&gt;=0.5,"جاهز جزئياً","فجوة جوهرية"))))</f>
        <v>لم يبدأ</v>
      </c>
      <c r="P8" s="27" t="n">
        <f aca="false">COUNTIF('فحص-البرنامج1'!$A:$A,A8)</f>
        <v>2</v>
      </c>
    </row>
    <row r="9" customFormat="false" ht="32.8" hidden="false" customHeight="false" outlineLevel="0" collapsed="false">
      <c r="A9" s="27" t="s">
        <v>265</v>
      </c>
      <c r="B9" s="28" t="s">
        <v>143</v>
      </c>
      <c r="C9" s="28" t="s">
        <v>120</v>
      </c>
      <c r="D9" s="28" t="s">
        <v>266</v>
      </c>
      <c r="E9" s="27"/>
      <c r="F9" s="27" t="n">
        <f aca="false">COUNTIFS('فحص-البرنامج1'!$A:$A,A9,'فحص-البرنامج1'!$I:$I,"&lt;&gt;")</f>
        <v>0</v>
      </c>
      <c r="G9" s="27" t="n">
        <f aca="false">COUNTIFS('فحص-البرنامج1'!$A:$A,A9,'فحص-البرنامج1'!$I:$I,"متوفر")</f>
        <v>0</v>
      </c>
      <c r="H9" s="27" t="n">
        <f aca="false">COUNTIFS('فحص-البرنامج1'!$A:$A,A9,'فحص-البرنامج1'!$Q:$Q,"نعم")</f>
        <v>0</v>
      </c>
      <c r="I9" s="34" t="n">
        <f aca="false">IF($P9=0,0,SUMIFS('فحص-البرنامج1'!$O:$O,'فحص-البرنامج1'!$A:$A,A9)/(5*$P9))</f>
        <v>0</v>
      </c>
      <c r="J9" s="27" t="str">
        <f aca="false">IF(F9=0,"لم يبدأ",IF(F9&lt;$P9,"قيد الفحص",IF(I9&gt;=0.8,"جاهز",IF(I9&gt;=0.5,"جاهز جزئياً","فجوة جوهرية"))))</f>
        <v>لم يبدأ</v>
      </c>
      <c r="K9" s="27" t="n">
        <f aca="false">COUNTIFS('فحص-البرنامج2'!$A:$A,A9,'فحص-البرنامج2'!$I:$I,"&lt;&gt;")</f>
        <v>0</v>
      </c>
      <c r="L9" s="27" t="n">
        <f aca="false">COUNTIFS('فحص-البرنامج2'!$A:$A,A9,'فحص-البرنامج2'!$I:$I,"متوفر")</f>
        <v>0</v>
      </c>
      <c r="M9" s="27" t="n">
        <f aca="false">COUNTIFS('فحص-البرنامج2'!$A:$A,A9,'فحص-البرنامج2'!$Q:$Q,"نعم")</f>
        <v>0</v>
      </c>
      <c r="N9" s="34" t="n">
        <f aca="false">IF($P9=0,0,SUMIFS('فحص-البرنامج2'!$O:$O,'فحص-البرنامج2'!$A:$A,A9)/(5*$P9))</f>
        <v>0</v>
      </c>
      <c r="O9" s="27" t="str">
        <f aca="false">IF(K9=0,"لم يبدأ",IF(K9&lt;$P9,"قيد الفحص",IF(N9&gt;=0.8,"جاهز",IF(N9&gt;=0.5,"جاهز جزئياً","فجوة جوهرية"))))</f>
        <v>لم يبدأ</v>
      </c>
      <c r="P9" s="27" t="n">
        <f aca="false">COUNTIF('فحص-البرنامج1'!$A:$A,A9)</f>
        <v>4</v>
      </c>
    </row>
    <row r="10" customFormat="false" ht="22.35" hidden="false" customHeight="false" outlineLevel="0" collapsed="false">
      <c r="A10" s="27" t="s">
        <v>271</v>
      </c>
      <c r="B10" s="28" t="s">
        <v>143</v>
      </c>
      <c r="C10" s="28" t="s">
        <v>120</v>
      </c>
      <c r="D10" s="28" t="s">
        <v>272</v>
      </c>
      <c r="E10" s="27"/>
      <c r="F10" s="27" t="n">
        <f aca="false">COUNTIFS('فحص-البرنامج1'!$A:$A,A10,'فحص-البرنامج1'!$I:$I,"&lt;&gt;")</f>
        <v>0</v>
      </c>
      <c r="G10" s="27" t="n">
        <f aca="false">COUNTIFS('فحص-البرنامج1'!$A:$A,A10,'فحص-البرنامج1'!$I:$I,"متوفر")</f>
        <v>0</v>
      </c>
      <c r="H10" s="27" t="n">
        <f aca="false">COUNTIFS('فحص-البرنامج1'!$A:$A,A10,'فحص-البرنامج1'!$Q:$Q,"نعم")</f>
        <v>0</v>
      </c>
      <c r="I10" s="34" t="n">
        <f aca="false">IF($P10=0,0,SUMIFS('فحص-البرنامج1'!$O:$O,'فحص-البرنامج1'!$A:$A,A10)/(5*$P10))</f>
        <v>0</v>
      </c>
      <c r="J10" s="27" t="str">
        <f aca="false">IF(F10=0,"لم يبدأ",IF(F10&lt;$P10,"قيد الفحص",IF(I10&gt;=0.8,"جاهز",IF(I10&gt;=0.5,"جاهز جزئياً","فجوة جوهرية"))))</f>
        <v>لم يبدأ</v>
      </c>
      <c r="K10" s="27" t="n">
        <f aca="false">COUNTIFS('فحص-البرنامج2'!$A:$A,A10,'فحص-البرنامج2'!$I:$I,"&lt;&gt;")</f>
        <v>0</v>
      </c>
      <c r="L10" s="27" t="n">
        <f aca="false">COUNTIFS('فحص-البرنامج2'!$A:$A,A10,'فحص-البرنامج2'!$I:$I,"متوفر")</f>
        <v>0</v>
      </c>
      <c r="M10" s="27" t="n">
        <f aca="false">COUNTIFS('فحص-البرنامج2'!$A:$A,A10,'فحص-البرنامج2'!$Q:$Q,"نعم")</f>
        <v>0</v>
      </c>
      <c r="N10" s="34" t="n">
        <f aca="false">IF($P10=0,0,SUMIFS('فحص-البرنامج2'!$O:$O,'فحص-البرنامج2'!$A:$A,A10)/(5*$P10))</f>
        <v>0</v>
      </c>
      <c r="O10" s="27" t="str">
        <f aca="false">IF(K10=0,"لم يبدأ",IF(K10&lt;$P10,"قيد الفحص",IF(N10&gt;=0.8,"جاهز",IF(N10&gt;=0.5,"جاهز جزئياً","فجوة جوهرية"))))</f>
        <v>لم يبدأ</v>
      </c>
      <c r="P10" s="27" t="n">
        <f aca="false">COUNTIF('فحص-البرنامج1'!$A:$A,A10)</f>
        <v>4</v>
      </c>
    </row>
    <row r="11" customFormat="false" ht="22.35" hidden="false" customHeight="false" outlineLevel="0" collapsed="false">
      <c r="A11" s="27" t="s">
        <v>277</v>
      </c>
      <c r="B11" s="28" t="s">
        <v>143</v>
      </c>
      <c r="C11" s="28" t="s">
        <v>120</v>
      </c>
      <c r="D11" s="28" t="s">
        <v>278</v>
      </c>
      <c r="E11" s="27"/>
      <c r="F11" s="27" t="n">
        <f aca="false">COUNTIFS('فحص-البرنامج1'!$A:$A,A11,'فحص-البرنامج1'!$I:$I,"&lt;&gt;")</f>
        <v>0</v>
      </c>
      <c r="G11" s="27" t="n">
        <f aca="false">COUNTIFS('فحص-البرنامج1'!$A:$A,A11,'فحص-البرنامج1'!$I:$I,"متوفر")</f>
        <v>0</v>
      </c>
      <c r="H11" s="27" t="n">
        <f aca="false">COUNTIFS('فحص-البرنامج1'!$A:$A,A11,'فحص-البرنامج1'!$Q:$Q,"نعم")</f>
        <v>0</v>
      </c>
      <c r="I11" s="34" t="n">
        <f aca="false">IF($P11=0,0,SUMIFS('فحص-البرنامج1'!$O:$O,'فحص-البرنامج1'!$A:$A,A11)/(5*$P11))</f>
        <v>0</v>
      </c>
      <c r="J11" s="27" t="str">
        <f aca="false">IF(F11=0,"لم يبدأ",IF(F11&lt;$P11,"قيد الفحص",IF(I11&gt;=0.8,"جاهز",IF(I11&gt;=0.5,"جاهز جزئياً","فجوة جوهرية"))))</f>
        <v>لم يبدأ</v>
      </c>
      <c r="K11" s="27" t="n">
        <f aca="false">COUNTIFS('فحص-البرنامج2'!$A:$A,A11,'فحص-البرنامج2'!$I:$I,"&lt;&gt;")</f>
        <v>0</v>
      </c>
      <c r="L11" s="27" t="n">
        <f aca="false">COUNTIFS('فحص-البرنامج2'!$A:$A,A11,'فحص-البرنامج2'!$I:$I,"متوفر")</f>
        <v>0</v>
      </c>
      <c r="M11" s="27" t="n">
        <f aca="false">COUNTIFS('فحص-البرنامج2'!$A:$A,A11,'فحص-البرنامج2'!$Q:$Q,"نعم")</f>
        <v>0</v>
      </c>
      <c r="N11" s="34" t="n">
        <f aca="false">IF($P11=0,0,SUMIFS('فحص-البرنامج2'!$O:$O,'فحص-البرنامج2'!$A:$A,A11)/(5*$P11))</f>
        <v>0</v>
      </c>
      <c r="O11" s="27" t="str">
        <f aca="false">IF(K11=0,"لم يبدأ",IF(K11&lt;$P11,"قيد الفحص",IF(N11&gt;=0.8,"جاهز",IF(N11&gt;=0.5,"جاهز جزئياً","فجوة جوهرية"))))</f>
        <v>لم يبدأ</v>
      </c>
      <c r="P11" s="27" t="n">
        <f aca="false">COUNTIF('فحص-البرنامج1'!$A:$A,A11)</f>
        <v>5</v>
      </c>
    </row>
    <row r="12" customFormat="false" ht="32.8" hidden="false" customHeight="false" outlineLevel="0" collapsed="false">
      <c r="A12" s="31" t="s">
        <v>284</v>
      </c>
      <c r="B12" s="32" t="s">
        <v>143</v>
      </c>
      <c r="C12" s="32" t="s">
        <v>120</v>
      </c>
      <c r="D12" s="32" t="s">
        <v>285</v>
      </c>
      <c r="E12" s="31" t="s">
        <v>185</v>
      </c>
      <c r="F12" s="27" t="n">
        <f aca="false">COUNTIFS('فحص-البرنامج1'!$A:$A,A12,'فحص-البرنامج1'!$I:$I,"&lt;&gt;")</f>
        <v>0</v>
      </c>
      <c r="G12" s="27" t="n">
        <f aca="false">COUNTIFS('فحص-البرنامج1'!$A:$A,A12,'فحص-البرنامج1'!$I:$I,"متوفر")</f>
        <v>0</v>
      </c>
      <c r="H12" s="27" t="n">
        <f aca="false">COUNTIFS('فحص-البرنامج1'!$A:$A,A12,'فحص-البرنامج1'!$Q:$Q,"نعم")</f>
        <v>0</v>
      </c>
      <c r="I12" s="34" t="n">
        <f aca="false">IF($P12=0,0,SUMIFS('فحص-البرنامج1'!$O:$O,'فحص-البرنامج1'!$A:$A,A12)/(5*$P12))</f>
        <v>0</v>
      </c>
      <c r="J12" s="27" t="str">
        <f aca="false">IF(F12=0,"لم يبدأ",IF(F12&lt;$P12,"قيد الفحص",IF(I12&gt;=0.8,"جاهز",IF(I12&gt;=0.5,"جاهز جزئياً","فجوة جوهرية"))))</f>
        <v>لم يبدأ</v>
      </c>
      <c r="K12" s="27" t="n">
        <f aca="false">COUNTIFS('فحص-البرنامج2'!$A:$A,A12,'فحص-البرنامج2'!$I:$I,"&lt;&gt;")</f>
        <v>0</v>
      </c>
      <c r="L12" s="27" t="n">
        <f aca="false">COUNTIFS('فحص-البرنامج2'!$A:$A,A12,'فحص-البرنامج2'!$I:$I,"متوفر")</f>
        <v>0</v>
      </c>
      <c r="M12" s="27" t="n">
        <f aca="false">COUNTIFS('فحص-البرنامج2'!$A:$A,A12,'فحص-البرنامج2'!$Q:$Q,"نعم")</f>
        <v>0</v>
      </c>
      <c r="N12" s="34" t="n">
        <f aca="false">IF($P12=0,0,SUMIFS('فحص-البرنامج2'!$O:$O,'فحص-البرنامج2'!$A:$A,A12)/(5*$P12))</f>
        <v>0</v>
      </c>
      <c r="O12" s="27" t="str">
        <f aca="false">IF(K12=0,"لم يبدأ",IF(K12&lt;$P12,"قيد الفحص",IF(N12&gt;=0.8,"جاهز",IF(N12&gt;=0.5,"جاهز جزئياً","فجوة جوهرية"))))</f>
        <v>لم يبدأ</v>
      </c>
      <c r="P12" s="27" t="n">
        <f aca="false">COUNTIF('فحص-البرنامج1'!$A:$A,A12)</f>
        <v>6</v>
      </c>
    </row>
    <row r="13" customFormat="false" ht="22.35" hidden="false" customHeight="false" outlineLevel="0" collapsed="false">
      <c r="A13" s="27" t="s">
        <v>292</v>
      </c>
      <c r="B13" s="28" t="s">
        <v>143</v>
      </c>
      <c r="C13" s="28" t="s">
        <v>120</v>
      </c>
      <c r="D13" s="28" t="s">
        <v>293</v>
      </c>
      <c r="E13" s="27"/>
      <c r="F13" s="27" t="n">
        <f aca="false">COUNTIFS('فحص-البرنامج1'!$A:$A,A13,'فحص-البرنامج1'!$I:$I,"&lt;&gt;")</f>
        <v>0</v>
      </c>
      <c r="G13" s="27" t="n">
        <f aca="false">COUNTIFS('فحص-البرنامج1'!$A:$A,A13,'فحص-البرنامج1'!$I:$I,"متوفر")</f>
        <v>0</v>
      </c>
      <c r="H13" s="27" t="n">
        <f aca="false">COUNTIFS('فحص-البرنامج1'!$A:$A,A13,'فحص-البرنامج1'!$Q:$Q,"نعم")</f>
        <v>0</v>
      </c>
      <c r="I13" s="34" t="n">
        <f aca="false">IF($P13=0,0,SUMIFS('فحص-البرنامج1'!$O:$O,'فحص-البرنامج1'!$A:$A,A13)/(5*$P13))</f>
        <v>0</v>
      </c>
      <c r="J13" s="27" t="str">
        <f aca="false">IF(F13=0,"لم يبدأ",IF(F13&lt;$P13,"قيد الفحص",IF(I13&gt;=0.8,"جاهز",IF(I13&gt;=0.5,"جاهز جزئياً","فجوة جوهرية"))))</f>
        <v>لم يبدأ</v>
      </c>
      <c r="K13" s="27" t="n">
        <f aca="false">COUNTIFS('فحص-البرنامج2'!$A:$A,A13,'فحص-البرنامج2'!$I:$I,"&lt;&gt;")</f>
        <v>0</v>
      </c>
      <c r="L13" s="27" t="n">
        <f aca="false">COUNTIFS('فحص-البرنامج2'!$A:$A,A13,'فحص-البرنامج2'!$I:$I,"متوفر")</f>
        <v>0</v>
      </c>
      <c r="M13" s="27" t="n">
        <f aca="false">COUNTIFS('فحص-البرنامج2'!$A:$A,A13,'فحص-البرنامج2'!$Q:$Q,"نعم")</f>
        <v>0</v>
      </c>
      <c r="N13" s="34" t="n">
        <f aca="false">IF($P13=0,0,SUMIFS('فحص-البرنامج2'!$O:$O,'فحص-البرنامج2'!$A:$A,A13)/(5*$P13))</f>
        <v>0</v>
      </c>
      <c r="O13" s="27" t="str">
        <f aca="false">IF(K13=0,"لم يبدأ",IF(K13&lt;$P13,"قيد الفحص",IF(N13&gt;=0.8,"جاهز",IF(N13&gt;=0.5,"جاهز جزئياً","فجوة جوهرية"))))</f>
        <v>لم يبدأ</v>
      </c>
      <c r="P13" s="27" t="n">
        <f aca="false">COUNTIF('فحص-البرنامج1'!$A:$A,A13)</f>
        <v>4</v>
      </c>
    </row>
    <row r="14" customFormat="false" ht="22.35" hidden="false" customHeight="false" outlineLevel="0" collapsed="false">
      <c r="A14" s="27" t="s">
        <v>298</v>
      </c>
      <c r="B14" s="28" t="s">
        <v>143</v>
      </c>
      <c r="C14" s="28" t="s">
        <v>121</v>
      </c>
      <c r="D14" s="28" t="s">
        <v>299</v>
      </c>
      <c r="E14" s="27"/>
      <c r="F14" s="27" t="n">
        <f aca="false">COUNTIFS('فحص-البرنامج1'!$A:$A,A14,'فحص-البرنامج1'!$I:$I,"&lt;&gt;")</f>
        <v>0</v>
      </c>
      <c r="G14" s="27" t="n">
        <f aca="false">COUNTIFS('فحص-البرنامج1'!$A:$A,A14,'فحص-البرنامج1'!$I:$I,"متوفر")</f>
        <v>0</v>
      </c>
      <c r="H14" s="27" t="n">
        <f aca="false">COUNTIFS('فحص-البرنامج1'!$A:$A,A14,'فحص-البرنامج1'!$Q:$Q,"نعم")</f>
        <v>0</v>
      </c>
      <c r="I14" s="34" t="n">
        <f aca="false">IF($P14=0,0,SUMIFS('فحص-البرنامج1'!$O:$O,'فحص-البرنامج1'!$A:$A,A14)/(5*$P14))</f>
        <v>0</v>
      </c>
      <c r="J14" s="27" t="str">
        <f aca="false">IF(F14=0,"لم يبدأ",IF(F14&lt;$P14,"قيد الفحص",IF(I14&gt;=0.8,"جاهز",IF(I14&gt;=0.5,"جاهز جزئياً","فجوة جوهرية"))))</f>
        <v>لم يبدأ</v>
      </c>
      <c r="K14" s="27" t="n">
        <f aca="false">COUNTIFS('فحص-البرنامج2'!$A:$A,A14,'فحص-البرنامج2'!$I:$I,"&lt;&gt;")</f>
        <v>0</v>
      </c>
      <c r="L14" s="27" t="n">
        <f aca="false">COUNTIFS('فحص-البرنامج2'!$A:$A,A14,'فحص-البرنامج2'!$I:$I,"متوفر")</f>
        <v>0</v>
      </c>
      <c r="M14" s="27" t="n">
        <f aca="false">COUNTIFS('فحص-البرنامج2'!$A:$A,A14,'فحص-البرنامج2'!$Q:$Q,"نعم")</f>
        <v>0</v>
      </c>
      <c r="N14" s="34" t="n">
        <f aca="false">IF($P14=0,0,SUMIFS('فحص-البرنامج2'!$O:$O,'فحص-البرنامج2'!$A:$A,A14)/(5*$P14))</f>
        <v>0</v>
      </c>
      <c r="O14" s="27" t="str">
        <f aca="false">IF(K14=0,"لم يبدأ",IF(K14&lt;$P14,"قيد الفحص",IF(N14&gt;=0.8,"جاهز",IF(N14&gt;=0.5,"جاهز جزئياً","فجوة جوهرية"))))</f>
        <v>لم يبدأ</v>
      </c>
      <c r="P14" s="27" t="n">
        <f aca="false">COUNTIF('فحص-البرنامج1'!$A:$A,A14)</f>
        <v>4</v>
      </c>
    </row>
    <row r="15" customFormat="false" ht="22.35" hidden="false" customHeight="false" outlineLevel="0" collapsed="false">
      <c r="A15" s="31" t="s">
        <v>304</v>
      </c>
      <c r="B15" s="32" t="s">
        <v>143</v>
      </c>
      <c r="C15" s="32" t="s">
        <v>121</v>
      </c>
      <c r="D15" s="32" t="s">
        <v>305</v>
      </c>
      <c r="E15" s="31" t="s">
        <v>185</v>
      </c>
      <c r="F15" s="27" t="n">
        <f aca="false">COUNTIFS('فحص-البرنامج1'!$A:$A,A15,'فحص-البرنامج1'!$I:$I,"&lt;&gt;")</f>
        <v>0</v>
      </c>
      <c r="G15" s="27" t="n">
        <f aca="false">COUNTIFS('فحص-البرنامج1'!$A:$A,A15,'فحص-البرنامج1'!$I:$I,"متوفر")</f>
        <v>0</v>
      </c>
      <c r="H15" s="27" t="n">
        <f aca="false">COUNTIFS('فحص-البرنامج1'!$A:$A,A15,'فحص-البرنامج1'!$Q:$Q,"نعم")</f>
        <v>0</v>
      </c>
      <c r="I15" s="34" t="n">
        <f aca="false">IF($P15=0,0,SUMIFS('فحص-البرنامج1'!$O:$O,'فحص-البرنامج1'!$A:$A,A15)/(5*$P15))</f>
        <v>0</v>
      </c>
      <c r="J15" s="27" t="str">
        <f aca="false">IF(F15=0,"لم يبدأ",IF(F15&lt;$P15,"قيد الفحص",IF(I15&gt;=0.8,"جاهز",IF(I15&gt;=0.5,"جاهز جزئياً","فجوة جوهرية"))))</f>
        <v>لم يبدأ</v>
      </c>
      <c r="K15" s="27" t="n">
        <f aca="false">COUNTIFS('فحص-البرنامج2'!$A:$A,A15,'فحص-البرنامج2'!$I:$I,"&lt;&gt;")</f>
        <v>0</v>
      </c>
      <c r="L15" s="27" t="n">
        <f aca="false">COUNTIFS('فحص-البرنامج2'!$A:$A,A15,'فحص-البرنامج2'!$I:$I,"متوفر")</f>
        <v>0</v>
      </c>
      <c r="M15" s="27" t="n">
        <f aca="false">COUNTIFS('فحص-البرنامج2'!$A:$A,A15,'فحص-البرنامج2'!$Q:$Q,"نعم")</f>
        <v>0</v>
      </c>
      <c r="N15" s="34" t="n">
        <f aca="false">IF($P15=0,0,SUMIFS('فحص-البرنامج2'!$O:$O,'فحص-البرنامج2'!$A:$A,A15)/(5*$P15))</f>
        <v>0</v>
      </c>
      <c r="O15" s="27" t="str">
        <f aca="false">IF(K15=0,"لم يبدأ",IF(K15&lt;$P15,"قيد الفحص",IF(N15&gt;=0.8,"جاهز",IF(N15&gt;=0.5,"جاهز جزئياً","فجوة جوهرية"))))</f>
        <v>لم يبدأ</v>
      </c>
      <c r="P15" s="27" t="n">
        <f aca="false">COUNTIF('فحص-البرنامج1'!$A:$A,A15)</f>
        <v>3</v>
      </c>
    </row>
    <row r="16" customFormat="false" ht="15" hidden="false" customHeight="false" outlineLevel="0" collapsed="false">
      <c r="A16" s="27" t="s">
        <v>309</v>
      </c>
      <c r="B16" s="28" t="s">
        <v>143</v>
      </c>
      <c r="C16" s="28" t="s">
        <v>121</v>
      </c>
      <c r="D16" s="28" t="s">
        <v>310</v>
      </c>
      <c r="E16" s="27"/>
      <c r="F16" s="27" t="n">
        <f aca="false">COUNTIFS('فحص-البرنامج1'!$A:$A,A16,'فحص-البرنامج1'!$I:$I,"&lt;&gt;")</f>
        <v>0</v>
      </c>
      <c r="G16" s="27" t="n">
        <f aca="false">COUNTIFS('فحص-البرنامج1'!$A:$A,A16,'فحص-البرنامج1'!$I:$I,"متوفر")</f>
        <v>0</v>
      </c>
      <c r="H16" s="27" t="n">
        <f aca="false">COUNTIFS('فحص-البرنامج1'!$A:$A,A16,'فحص-البرنامج1'!$Q:$Q,"نعم")</f>
        <v>0</v>
      </c>
      <c r="I16" s="34" t="n">
        <f aca="false">IF($P16=0,0,SUMIFS('فحص-البرنامج1'!$O:$O,'فحص-البرنامج1'!$A:$A,A16)/(5*$P16))</f>
        <v>0</v>
      </c>
      <c r="J16" s="27" t="str">
        <f aca="false">IF(F16=0,"لم يبدأ",IF(F16&lt;$P16,"قيد الفحص",IF(I16&gt;=0.8,"جاهز",IF(I16&gt;=0.5,"جاهز جزئياً","فجوة جوهرية"))))</f>
        <v>لم يبدأ</v>
      </c>
      <c r="K16" s="27" t="n">
        <f aca="false">COUNTIFS('فحص-البرنامج2'!$A:$A,A16,'فحص-البرنامج2'!$I:$I,"&lt;&gt;")</f>
        <v>0</v>
      </c>
      <c r="L16" s="27" t="n">
        <f aca="false">COUNTIFS('فحص-البرنامج2'!$A:$A,A16,'فحص-البرنامج2'!$I:$I,"متوفر")</f>
        <v>0</v>
      </c>
      <c r="M16" s="27" t="n">
        <f aca="false">COUNTIFS('فحص-البرنامج2'!$A:$A,A16,'فحص-البرنامج2'!$Q:$Q,"نعم")</f>
        <v>0</v>
      </c>
      <c r="N16" s="34" t="n">
        <f aca="false">IF($P16=0,0,SUMIFS('فحص-البرنامج2'!$O:$O,'فحص-البرنامج2'!$A:$A,A16)/(5*$P16))</f>
        <v>0</v>
      </c>
      <c r="O16" s="27" t="str">
        <f aca="false">IF(K16=0,"لم يبدأ",IF(K16&lt;$P16,"قيد الفحص",IF(N16&gt;=0.8,"جاهز",IF(N16&gt;=0.5,"جاهز جزئياً","فجوة جوهرية"))))</f>
        <v>لم يبدأ</v>
      </c>
      <c r="P16" s="27" t="n">
        <f aca="false">COUNTIF('فحص-البرنامج1'!$A:$A,A16)</f>
        <v>6</v>
      </c>
    </row>
    <row r="17" customFormat="false" ht="22.35" hidden="false" customHeight="false" outlineLevel="0" collapsed="false">
      <c r="A17" s="27" t="s">
        <v>317</v>
      </c>
      <c r="B17" s="28" t="s">
        <v>144</v>
      </c>
      <c r="C17" s="28" t="s">
        <v>122</v>
      </c>
      <c r="D17" s="28" t="s">
        <v>318</v>
      </c>
      <c r="E17" s="27"/>
      <c r="F17" s="27" t="n">
        <f aca="false">COUNTIFS('فحص-البرنامج1'!$A:$A,A17,'فحص-البرنامج1'!$I:$I,"&lt;&gt;")</f>
        <v>0</v>
      </c>
      <c r="G17" s="27" t="n">
        <f aca="false">COUNTIFS('فحص-البرنامج1'!$A:$A,A17,'فحص-البرنامج1'!$I:$I,"متوفر")</f>
        <v>0</v>
      </c>
      <c r="H17" s="27" t="n">
        <f aca="false">COUNTIFS('فحص-البرنامج1'!$A:$A,A17,'فحص-البرنامج1'!$Q:$Q,"نعم")</f>
        <v>0</v>
      </c>
      <c r="I17" s="34" t="n">
        <f aca="false">IF($P17=0,0,SUMIFS('فحص-البرنامج1'!$O:$O,'فحص-البرنامج1'!$A:$A,A17)/(5*$P17))</f>
        <v>0</v>
      </c>
      <c r="J17" s="27" t="str">
        <f aca="false">IF(F17=0,"لم يبدأ",IF(F17&lt;$P17,"قيد الفحص",IF(I17&gt;=0.8,"جاهز",IF(I17&gt;=0.5,"جاهز جزئياً","فجوة جوهرية"))))</f>
        <v>لم يبدأ</v>
      </c>
      <c r="K17" s="27" t="n">
        <f aca="false">COUNTIFS('فحص-البرنامج2'!$A:$A,A17,'فحص-البرنامج2'!$I:$I,"&lt;&gt;")</f>
        <v>0</v>
      </c>
      <c r="L17" s="27" t="n">
        <f aca="false">COUNTIFS('فحص-البرنامج2'!$A:$A,A17,'فحص-البرنامج2'!$I:$I,"متوفر")</f>
        <v>0</v>
      </c>
      <c r="M17" s="27" t="n">
        <f aca="false">COUNTIFS('فحص-البرنامج2'!$A:$A,A17,'فحص-البرنامج2'!$Q:$Q,"نعم")</f>
        <v>0</v>
      </c>
      <c r="N17" s="34" t="n">
        <f aca="false">IF($P17=0,0,SUMIFS('فحص-البرنامج2'!$O:$O,'فحص-البرنامج2'!$A:$A,A17)/(5*$P17))</f>
        <v>0</v>
      </c>
      <c r="O17" s="27" t="str">
        <f aca="false">IF(K17=0,"لم يبدأ",IF(K17&lt;$P17,"قيد الفحص",IF(N17&gt;=0.8,"جاهز",IF(N17&gt;=0.5,"جاهز جزئياً","فجوة جوهرية"))))</f>
        <v>لم يبدأ</v>
      </c>
      <c r="P17" s="27" t="n">
        <f aca="false">COUNTIF('فحص-البرنامج1'!$A:$A,A17)</f>
        <v>10</v>
      </c>
    </row>
    <row r="18" customFormat="false" ht="22.35" hidden="false" customHeight="false" outlineLevel="0" collapsed="false">
      <c r="A18" s="31" t="s">
        <v>329</v>
      </c>
      <c r="B18" s="32" t="s">
        <v>144</v>
      </c>
      <c r="C18" s="32" t="s">
        <v>122</v>
      </c>
      <c r="D18" s="32" t="s">
        <v>330</v>
      </c>
      <c r="E18" s="31" t="s">
        <v>185</v>
      </c>
      <c r="F18" s="27" t="n">
        <f aca="false">COUNTIFS('فحص-البرنامج1'!$A:$A,A18,'فحص-البرنامج1'!$I:$I,"&lt;&gt;")</f>
        <v>0</v>
      </c>
      <c r="G18" s="27" t="n">
        <f aca="false">COUNTIFS('فحص-البرنامج1'!$A:$A,A18,'فحص-البرنامج1'!$I:$I,"متوفر")</f>
        <v>0</v>
      </c>
      <c r="H18" s="27" t="n">
        <f aca="false">COUNTIFS('فحص-البرنامج1'!$A:$A,A18,'فحص-البرنامج1'!$Q:$Q,"نعم")</f>
        <v>0</v>
      </c>
      <c r="I18" s="34" t="n">
        <f aca="false">IF($P18=0,0,SUMIFS('فحص-البرنامج1'!$O:$O,'فحص-البرنامج1'!$A:$A,A18)/(5*$P18))</f>
        <v>0</v>
      </c>
      <c r="J18" s="27" t="str">
        <f aca="false">IF(F18=0,"لم يبدأ",IF(F18&lt;$P18,"قيد الفحص",IF(I18&gt;=0.8,"جاهز",IF(I18&gt;=0.5,"جاهز جزئياً","فجوة جوهرية"))))</f>
        <v>لم يبدأ</v>
      </c>
      <c r="K18" s="27" t="n">
        <f aca="false">COUNTIFS('فحص-البرنامج2'!$A:$A,A18,'فحص-البرنامج2'!$I:$I,"&lt;&gt;")</f>
        <v>0</v>
      </c>
      <c r="L18" s="27" t="n">
        <f aca="false">COUNTIFS('فحص-البرنامج2'!$A:$A,A18,'فحص-البرنامج2'!$I:$I,"متوفر")</f>
        <v>0</v>
      </c>
      <c r="M18" s="27" t="n">
        <f aca="false">COUNTIFS('فحص-البرنامج2'!$A:$A,A18,'فحص-البرنامج2'!$Q:$Q,"نعم")</f>
        <v>0</v>
      </c>
      <c r="N18" s="34" t="n">
        <f aca="false">IF($P18=0,0,SUMIFS('فحص-البرنامج2'!$O:$O,'فحص-البرنامج2'!$A:$A,A18)/(5*$P18))</f>
        <v>0</v>
      </c>
      <c r="O18" s="27" t="str">
        <f aca="false">IF(K18=0,"لم يبدأ",IF(K18&lt;$P18,"قيد الفحص",IF(N18&gt;=0.8,"جاهز",IF(N18&gt;=0.5,"جاهز جزئياً","فجوة جوهرية"))))</f>
        <v>لم يبدأ</v>
      </c>
      <c r="P18" s="27" t="n">
        <f aca="false">COUNTIF('فحص-البرنامج1'!$A:$A,A18)</f>
        <v>3</v>
      </c>
    </row>
    <row r="19" customFormat="false" ht="15" hidden="false" customHeight="false" outlineLevel="0" collapsed="false">
      <c r="A19" s="27" t="s">
        <v>334</v>
      </c>
      <c r="B19" s="28" t="s">
        <v>144</v>
      </c>
      <c r="C19" s="28" t="s">
        <v>122</v>
      </c>
      <c r="D19" s="28" t="s">
        <v>335</v>
      </c>
      <c r="E19" s="27"/>
      <c r="F19" s="27" t="n">
        <f aca="false">COUNTIFS('فحص-البرنامج1'!$A:$A,A19,'فحص-البرنامج1'!$I:$I,"&lt;&gt;")</f>
        <v>0</v>
      </c>
      <c r="G19" s="27" t="n">
        <f aca="false">COUNTIFS('فحص-البرنامج1'!$A:$A,A19,'فحص-البرنامج1'!$I:$I,"متوفر")</f>
        <v>0</v>
      </c>
      <c r="H19" s="27" t="n">
        <f aca="false">COUNTIFS('فحص-البرنامج1'!$A:$A,A19,'فحص-البرنامج1'!$Q:$Q,"نعم")</f>
        <v>0</v>
      </c>
      <c r="I19" s="34" t="n">
        <f aca="false">IF($P19=0,0,SUMIFS('فحص-البرنامج1'!$O:$O,'فحص-البرنامج1'!$A:$A,A19)/(5*$P19))</f>
        <v>0</v>
      </c>
      <c r="J19" s="27" t="str">
        <f aca="false">IF(F19=0,"لم يبدأ",IF(F19&lt;$P19,"قيد الفحص",IF(I19&gt;=0.8,"جاهز",IF(I19&gt;=0.5,"جاهز جزئياً","فجوة جوهرية"))))</f>
        <v>لم يبدأ</v>
      </c>
      <c r="K19" s="27" t="n">
        <f aca="false">COUNTIFS('فحص-البرنامج2'!$A:$A,A19,'فحص-البرنامج2'!$I:$I,"&lt;&gt;")</f>
        <v>0</v>
      </c>
      <c r="L19" s="27" t="n">
        <f aca="false">COUNTIFS('فحص-البرنامج2'!$A:$A,A19,'فحص-البرنامج2'!$I:$I,"متوفر")</f>
        <v>0</v>
      </c>
      <c r="M19" s="27" t="n">
        <f aca="false">COUNTIFS('فحص-البرنامج2'!$A:$A,A19,'فحص-البرنامج2'!$Q:$Q,"نعم")</f>
        <v>0</v>
      </c>
      <c r="N19" s="34" t="n">
        <f aca="false">IF($P19=0,0,SUMIFS('فحص-البرنامج2'!$O:$O,'فحص-البرنامج2'!$A:$A,A19)/(5*$P19))</f>
        <v>0</v>
      </c>
      <c r="O19" s="27" t="str">
        <f aca="false">IF(K19=0,"لم يبدأ",IF(K19&lt;$P19,"قيد الفحص",IF(N19&gt;=0.8,"جاهز",IF(N19&gt;=0.5,"جاهز جزئياً","فجوة جوهرية"))))</f>
        <v>لم يبدأ</v>
      </c>
      <c r="P19" s="27" t="n">
        <f aca="false">COUNTIF('فحص-البرنامج1'!$A:$A,A19)</f>
        <v>4</v>
      </c>
    </row>
    <row r="20" customFormat="false" ht="22.35" hidden="false" customHeight="false" outlineLevel="0" collapsed="false">
      <c r="A20" s="31" t="s">
        <v>340</v>
      </c>
      <c r="B20" s="32" t="s">
        <v>144</v>
      </c>
      <c r="C20" s="32" t="s">
        <v>122</v>
      </c>
      <c r="D20" s="32" t="s">
        <v>341</v>
      </c>
      <c r="E20" s="31" t="s">
        <v>185</v>
      </c>
      <c r="F20" s="27" t="n">
        <f aca="false">COUNTIFS('فحص-البرنامج1'!$A:$A,A20,'فحص-البرنامج1'!$I:$I,"&lt;&gt;")</f>
        <v>0</v>
      </c>
      <c r="G20" s="27" t="n">
        <f aca="false">COUNTIFS('فحص-البرنامج1'!$A:$A,A20,'فحص-البرنامج1'!$I:$I,"متوفر")</f>
        <v>0</v>
      </c>
      <c r="H20" s="27" t="n">
        <f aca="false">COUNTIFS('فحص-البرنامج1'!$A:$A,A20,'فحص-البرنامج1'!$Q:$Q,"نعم")</f>
        <v>0</v>
      </c>
      <c r="I20" s="34" t="n">
        <f aca="false">IF($P20=0,0,SUMIFS('فحص-البرنامج1'!$O:$O,'فحص-البرنامج1'!$A:$A,A20)/(5*$P20))</f>
        <v>0</v>
      </c>
      <c r="J20" s="27" t="str">
        <f aca="false">IF(F20=0,"لم يبدأ",IF(F20&lt;$P20,"قيد الفحص",IF(I20&gt;=0.8,"جاهز",IF(I20&gt;=0.5,"جاهز جزئياً","فجوة جوهرية"))))</f>
        <v>لم يبدأ</v>
      </c>
      <c r="K20" s="27" t="n">
        <f aca="false">COUNTIFS('فحص-البرنامج2'!$A:$A,A20,'فحص-البرنامج2'!$I:$I,"&lt;&gt;")</f>
        <v>0</v>
      </c>
      <c r="L20" s="27" t="n">
        <f aca="false">COUNTIFS('فحص-البرنامج2'!$A:$A,A20,'فحص-البرنامج2'!$I:$I,"متوفر")</f>
        <v>0</v>
      </c>
      <c r="M20" s="27" t="n">
        <f aca="false">COUNTIFS('فحص-البرنامج2'!$A:$A,A20,'فحص-البرنامج2'!$Q:$Q,"نعم")</f>
        <v>0</v>
      </c>
      <c r="N20" s="34" t="n">
        <f aca="false">IF($P20=0,0,SUMIFS('فحص-البرنامج2'!$O:$O,'فحص-البرنامج2'!$A:$A,A20)/(5*$P20))</f>
        <v>0</v>
      </c>
      <c r="O20" s="27" t="str">
        <f aca="false">IF(K20=0,"لم يبدأ",IF(K20&lt;$P20,"قيد الفحص",IF(N20&gt;=0.8,"جاهز",IF(N20&gt;=0.5,"جاهز جزئياً","فجوة جوهرية"))))</f>
        <v>لم يبدأ</v>
      </c>
      <c r="P20" s="27" t="n">
        <f aca="false">COUNTIF('فحص-البرنامج1'!$A:$A,A20)</f>
        <v>4</v>
      </c>
    </row>
    <row r="21" customFormat="false" ht="22.35" hidden="false" customHeight="false" outlineLevel="0" collapsed="false">
      <c r="A21" s="27" t="s">
        <v>345</v>
      </c>
      <c r="B21" s="28" t="s">
        <v>144</v>
      </c>
      <c r="C21" s="28" t="s">
        <v>122</v>
      </c>
      <c r="D21" s="28" t="s">
        <v>346</v>
      </c>
      <c r="E21" s="27"/>
      <c r="F21" s="27" t="n">
        <f aca="false">COUNTIFS('فحص-البرنامج1'!$A:$A,A21,'فحص-البرنامج1'!$I:$I,"&lt;&gt;")</f>
        <v>0</v>
      </c>
      <c r="G21" s="27" t="n">
        <f aca="false">COUNTIFS('فحص-البرنامج1'!$A:$A,A21,'فحص-البرنامج1'!$I:$I,"متوفر")</f>
        <v>0</v>
      </c>
      <c r="H21" s="27" t="n">
        <f aca="false">COUNTIFS('فحص-البرنامج1'!$A:$A,A21,'فحص-البرنامج1'!$Q:$Q,"نعم")</f>
        <v>0</v>
      </c>
      <c r="I21" s="34" t="n">
        <f aca="false">IF($P21=0,0,SUMIFS('فحص-البرنامج1'!$O:$O,'فحص-البرنامج1'!$A:$A,A21)/(5*$P21))</f>
        <v>0</v>
      </c>
      <c r="J21" s="27" t="str">
        <f aca="false">IF(F21=0,"لم يبدأ",IF(F21&lt;$P21,"قيد الفحص",IF(I21&gt;=0.8,"جاهز",IF(I21&gt;=0.5,"جاهز جزئياً","فجوة جوهرية"))))</f>
        <v>لم يبدأ</v>
      </c>
      <c r="K21" s="27" t="n">
        <f aca="false">COUNTIFS('فحص-البرنامج2'!$A:$A,A21,'فحص-البرنامج2'!$I:$I,"&lt;&gt;")</f>
        <v>0</v>
      </c>
      <c r="L21" s="27" t="n">
        <f aca="false">COUNTIFS('فحص-البرنامج2'!$A:$A,A21,'فحص-البرنامج2'!$I:$I,"متوفر")</f>
        <v>0</v>
      </c>
      <c r="M21" s="27" t="n">
        <f aca="false">COUNTIFS('فحص-البرنامج2'!$A:$A,A21,'فحص-البرنامج2'!$Q:$Q,"نعم")</f>
        <v>0</v>
      </c>
      <c r="N21" s="34" t="n">
        <f aca="false">IF($P21=0,0,SUMIFS('فحص-البرنامج2'!$O:$O,'فحص-البرنامج2'!$A:$A,A21)/(5*$P21))</f>
        <v>0</v>
      </c>
      <c r="O21" s="27" t="str">
        <f aca="false">IF(K21=0,"لم يبدأ",IF(K21&lt;$P21,"قيد الفحص",IF(N21&gt;=0.8,"جاهز",IF(N21&gt;=0.5,"جاهز جزئياً","فجوة جوهرية"))))</f>
        <v>لم يبدأ</v>
      </c>
      <c r="P21" s="27" t="n">
        <f aca="false">COUNTIF('فحص-البرنامج1'!$A:$A,A21)</f>
        <v>4</v>
      </c>
    </row>
    <row r="22" customFormat="false" ht="22.35" hidden="false" customHeight="false" outlineLevel="0" collapsed="false">
      <c r="A22" s="31" t="s">
        <v>351</v>
      </c>
      <c r="B22" s="32" t="s">
        <v>144</v>
      </c>
      <c r="C22" s="32" t="s">
        <v>123</v>
      </c>
      <c r="D22" s="32" t="s">
        <v>352</v>
      </c>
      <c r="E22" s="31" t="s">
        <v>185</v>
      </c>
      <c r="F22" s="27" t="n">
        <f aca="false">COUNTIFS('فحص-البرنامج1'!$A:$A,A22,'فحص-البرنامج1'!$I:$I,"&lt;&gt;")</f>
        <v>0</v>
      </c>
      <c r="G22" s="27" t="n">
        <f aca="false">COUNTIFS('فحص-البرنامج1'!$A:$A,A22,'فحص-البرنامج1'!$I:$I,"متوفر")</f>
        <v>0</v>
      </c>
      <c r="H22" s="27" t="n">
        <f aca="false">COUNTIFS('فحص-البرنامج1'!$A:$A,A22,'فحص-البرنامج1'!$Q:$Q,"نعم")</f>
        <v>0</v>
      </c>
      <c r="I22" s="34" t="n">
        <f aca="false">IF($P22=0,0,SUMIFS('فحص-البرنامج1'!$O:$O,'فحص-البرنامج1'!$A:$A,A22)/(5*$P22))</f>
        <v>0</v>
      </c>
      <c r="J22" s="27" t="str">
        <f aca="false">IF(F22=0,"لم يبدأ",IF(F22&lt;$P22,"قيد الفحص",IF(I22&gt;=0.8,"جاهز",IF(I22&gt;=0.5,"جاهز جزئياً","فجوة جوهرية"))))</f>
        <v>لم يبدأ</v>
      </c>
      <c r="K22" s="27" t="n">
        <f aca="false">COUNTIFS('فحص-البرنامج2'!$A:$A,A22,'فحص-البرنامج2'!$I:$I,"&lt;&gt;")</f>
        <v>0</v>
      </c>
      <c r="L22" s="27" t="n">
        <f aca="false">COUNTIFS('فحص-البرنامج2'!$A:$A,A22,'فحص-البرنامج2'!$I:$I,"متوفر")</f>
        <v>0</v>
      </c>
      <c r="M22" s="27" t="n">
        <f aca="false">COUNTIFS('فحص-البرنامج2'!$A:$A,A22,'فحص-البرنامج2'!$Q:$Q,"نعم")</f>
        <v>0</v>
      </c>
      <c r="N22" s="34" t="n">
        <f aca="false">IF($P22=0,0,SUMIFS('فحص-البرنامج2'!$O:$O,'فحص-البرنامج2'!$A:$A,A22)/(5*$P22))</f>
        <v>0</v>
      </c>
      <c r="O22" s="27" t="str">
        <f aca="false">IF(K22=0,"لم يبدأ",IF(K22&lt;$P22,"قيد الفحص",IF(N22&gt;=0.8,"جاهز",IF(N22&gt;=0.5,"جاهز جزئياً","فجوة جوهرية"))))</f>
        <v>لم يبدأ</v>
      </c>
      <c r="P22" s="27" t="n">
        <f aca="false">COUNTIF('فحص-البرنامج1'!$A:$A,A22)</f>
        <v>6</v>
      </c>
    </row>
    <row r="23" customFormat="false" ht="32.8" hidden="false" customHeight="false" outlineLevel="0" collapsed="false">
      <c r="A23" s="31" t="s">
        <v>359</v>
      </c>
      <c r="B23" s="32" t="s">
        <v>144</v>
      </c>
      <c r="C23" s="32" t="s">
        <v>123</v>
      </c>
      <c r="D23" s="32" t="s">
        <v>360</v>
      </c>
      <c r="E23" s="31" t="s">
        <v>185</v>
      </c>
      <c r="F23" s="27" t="n">
        <f aca="false">COUNTIFS('فحص-البرنامج1'!$A:$A,A23,'فحص-البرنامج1'!$I:$I,"&lt;&gt;")</f>
        <v>0</v>
      </c>
      <c r="G23" s="27" t="n">
        <f aca="false">COUNTIFS('فحص-البرنامج1'!$A:$A,A23,'فحص-البرنامج1'!$I:$I,"متوفر")</f>
        <v>0</v>
      </c>
      <c r="H23" s="27" t="n">
        <f aca="false">COUNTIFS('فحص-البرنامج1'!$A:$A,A23,'فحص-البرنامج1'!$Q:$Q,"نعم")</f>
        <v>0</v>
      </c>
      <c r="I23" s="34" t="n">
        <f aca="false">IF($P23=0,0,SUMIFS('فحص-البرنامج1'!$O:$O,'فحص-البرنامج1'!$A:$A,A23)/(5*$P23))</f>
        <v>0</v>
      </c>
      <c r="J23" s="27" t="str">
        <f aca="false">IF(F23=0,"لم يبدأ",IF(F23&lt;$P23,"قيد الفحص",IF(I23&gt;=0.8,"جاهز",IF(I23&gt;=0.5,"جاهز جزئياً","فجوة جوهرية"))))</f>
        <v>لم يبدأ</v>
      </c>
      <c r="K23" s="27" t="n">
        <f aca="false">COUNTIFS('فحص-البرنامج2'!$A:$A,A23,'فحص-البرنامج2'!$I:$I,"&lt;&gt;")</f>
        <v>0</v>
      </c>
      <c r="L23" s="27" t="n">
        <f aca="false">COUNTIFS('فحص-البرنامج2'!$A:$A,A23,'فحص-البرنامج2'!$I:$I,"متوفر")</f>
        <v>0</v>
      </c>
      <c r="M23" s="27" t="n">
        <f aca="false">COUNTIFS('فحص-البرنامج2'!$A:$A,A23,'فحص-البرنامج2'!$Q:$Q,"نعم")</f>
        <v>0</v>
      </c>
      <c r="N23" s="34" t="n">
        <f aca="false">IF($P23=0,0,SUMIFS('فحص-البرنامج2'!$O:$O,'فحص-البرنامج2'!$A:$A,A23)/(5*$P23))</f>
        <v>0</v>
      </c>
      <c r="O23" s="27" t="str">
        <f aca="false">IF(K23=0,"لم يبدأ",IF(K23&lt;$P23,"قيد الفحص",IF(N23&gt;=0.8,"جاهز",IF(N23&gt;=0.5,"جاهز جزئياً","فجوة جوهرية"))))</f>
        <v>لم يبدأ</v>
      </c>
      <c r="P23" s="27" t="n">
        <f aca="false">COUNTIF('فحص-البرنامج1'!$A:$A,A23)</f>
        <v>4</v>
      </c>
    </row>
    <row r="24" customFormat="false" ht="22.35" hidden="false" customHeight="false" outlineLevel="0" collapsed="false">
      <c r="A24" s="27" t="s">
        <v>364</v>
      </c>
      <c r="B24" s="28" t="s">
        <v>144</v>
      </c>
      <c r="C24" s="28" t="s">
        <v>123</v>
      </c>
      <c r="D24" s="28" t="s">
        <v>365</v>
      </c>
      <c r="E24" s="27"/>
      <c r="F24" s="27" t="n">
        <f aca="false">COUNTIFS('فحص-البرنامج1'!$A:$A,A24,'فحص-البرنامج1'!$I:$I,"&lt;&gt;")</f>
        <v>0</v>
      </c>
      <c r="G24" s="27" t="n">
        <f aca="false">COUNTIFS('فحص-البرنامج1'!$A:$A,A24,'فحص-البرنامج1'!$I:$I,"متوفر")</f>
        <v>0</v>
      </c>
      <c r="H24" s="27" t="n">
        <f aca="false">COUNTIFS('فحص-البرنامج1'!$A:$A,A24,'فحص-البرنامج1'!$Q:$Q,"نعم")</f>
        <v>0</v>
      </c>
      <c r="I24" s="34" t="n">
        <f aca="false">IF($P24=0,0,SUMIFS('فحص-البرنامج1'!$O:$O,'فحص-البرنامج1'!$A:$A,A24)/(5*$P24))</f>
        <v>0</v>
      </c>
      <c r="J24" s="27" t="str">
        <f aca="false">IF(F24=0,"لم يبدأ",IF(F24&lt;$P24,"قيد الفحص",IF(I24&gt;=0.8,"جاهز",IF(I24&gt;=0.5,"جاهز جزئياً","فجوة جوهرية"))))</f>
        <v>لم يبدأ</v>
      </c>
      <c r="K24" s="27" t="n">
        <f aca="false">COUNTIFS('فحص-البرنامج2'!$A:$A,A24,'فحص-البرنامج2'!$I:$I,"&lt;&gt;")</f>
        <v>0</v>
      </c>
      <c r="L24" s="27" t="n">
        <f aca="false">COUNTIFS('فحص-البرنامج2'!$A:$A,A24,'فحص-البرنامج2'!$I:$I,"متوفر")</f>
        <v>0</v>
      </c>
      <c r="M24" s="27" t="n">
        <f aca="false">COUNTIFS('فحص-البرنامج2'!$A:$A,A24,'فحص-البرنامج2'!$Q:$Q,"نعم")</f>
        <v>0</v>
      </c>
      <c r="N24" s="34" t="n">
        <f aca="false">IF($P24=0,0,SUMIFS('فحص-البرنامج2'!$O:$O,'فحص-البرنامج2'!$A:$A,A24)/(5*$P24))</f>
        <v>0</v>
      </c>
      <c r="O24" s="27" t="str">
        <f aca="false">IF(K24=0,"لم يبدأ",IF(K24&lt;$P24,"قيد الفحص",IF(N24&gt;=0.8,"جاهز",IF(N24&gt;=0.5,"جاهز جزئياً","فجوة جوهرية"))))</f>
        <v>لم يبدأ</v>
      </c>
      <c r="P24" s="27" t="n">
        <f aca="false">COUNTIF('فحص-البرنامج1'!$A:$A,A24)</f>
        <v>4</v>
      </c>
    </row>
    <row r="25" customFormat="false" ht="22.35" hidden="false" customHeight="false" outlineLevel="0" collapsed="false">
      <c r="A25" s="27" t="s">
        <v>370</v>
      </c>
      <c r="B25" s="28" t="s">
        <v>144</v>
      </c>
      <c r="C25" s="28" t="s">
        <v>123</v>
      </c>
      <c r="D25" s="28" t="s">
        <v>371</v>
      </c>
      <c r="E25" s="27"/>
      <c r="F25" s="27" t="n">
        <f aca="false">COUNTIFS('فحص-البرنامج1'!$A:$A,A25,'فحص-البرنامج1'!$I:$I,"&lt;&gt;")</f>
        <v>0</v>
      </c>
      <c r="G25" s="27" t="n">
        <f aca="false">COUNTIFS('فحص-البرنامج1'!$A:$A,A25,'فحص-البرنامج1'!$I:$I,"متوفر")</f>
        <v>0</v>
      </c>
      <c r="H25" s="27" t="n">
        <f aca="false">COUNTIFS('فحص-البرنامج1'!$A:$A,A25,'فحص-البرنامج1'!$Q:$Q,"نعم")</f>
        <v>0</v>
      </c>
      <c r="I25" s="34" t="n">
        <f aca="false">IF($P25=0,0,SUMIFS('فحص-البرنامج1'!$O:$O,'فحص-البرنامج1'!$A:$A,A25)/(5*$P25))</f>
        <v>0</v>
      </c>
      <c r="J25" s="27" t="str">
        <f aca="false">IF(F25=0,"لم يبدأ",IF(F25&lt;$P25,"قيد الفحص",IF(I25&gt;=0.8,"جاهز",IF(I25&gt;=0.5,"جاهز جزئياً","فجوة جوهرية"))))</f>
        <v>لم يبدأ</v>
      </c>
      <c r="K25" s="27" t="n">
        <f aca="false">COUNTIFS('فحص-البرنامج2'!$A:$A,A25,'فحص-البرنامج2'!$I:$I,"&lt;&gt;")</f>
        <v>0</v>
      </c>
      <c r="L25" s="27" t="n">
        <f aca="false">COUNTIFS('فحص-البرنامج2'!$A:$A,A25,'فحص-البرنامج2'!$I:$I,"متوفر")</f>
        <v>0</v>
      </c>
      <c r="M25" s="27" t="n">
        <f aca="false">COUNTIFS('فحص-البرنامج2'!$A:$A,A25,'فحص-البرنامج2'!$Q:$Q,"نعم")</f>
        <v>0</v>
      </c>
      <c r="N25" s="34" t="n">
        <f aca="false">IF($P25=0,0,SUMIFS('فحص-البرنامج2'!$O:$O,'فحص-البرنامج2'!$A:$A,A25)/(5*$P25))</f>
        <v>0</v>
      </c>
      <c r="O25" s="27" t="str">
        <f aca="false">IF(K25=0,"لم يبدأ",IF(K25&lt;$P25,"قيد الفحص",IF(N25&gt;=0.8,"جاهز",IF(N25&gt;=0.5,"جاهز جزئياً","فجوة جوهرية"))))</f>
        <v>لم يبدأ</v>
      </c>
      <c r="P25" s="27" t="n">
        <f aca="false">COUNTIF('فحص-البرنامج1'!$A:$A,A25)</f>
        <v>4</v>
      </c>
    </row>
    <row r="26" customFormat="false" ht="22.35" hidden="false" customHeight="false" outlineLevel="0" collapsed="false">
      <c r="A26" s="27" t="s">
        <v>375</v>
      </c>
      <c r="B26" s="28" t="s">
        <v>144</v>
      </c>
      <c r="C26" s="28" t="s">
        <v>123</v>
      </c>
      <c r="D26" s="28" t="s">
        <v>376</v>
      </c>
      <c r="E26" s="27"/>
      <c r="F26" s="27" t="n">
        <f aca="false">COUNTIFS('فحص-البرنامج1'!$A:$A,A26,'فحص-البرنامج1'!$I:$I,"&lt;&gt;")</f>
        <v>0</v>
      </c>
      <c r="G26" s="27" t="n">
        <f aca="false">COUNTIFS('فحص-البرنامج1'!$A:$A,A26,'فحص-البرنامج1'!$I:$I,"متوفر")</f>
        <v>0</v>
      </c>
      <c r="H26" s="27" t="n">
        <f aca="false">COUNTIFS('فحص-البرنامج1'!$A:$A,A26,'فحص-البرنامج1'!$Q:$Q,"نعم")</f>
        <v>0</v>
      </c>
      <c r="I26" s="34" t="n">
        <f aca="false">IF($P26=0,0,SUMIFS('فحص-البرنامج1'!$O:$O,'فحص-البرنامج1'!$A:$A,A26)/(5*$P26))</f>
        <v>0</v>
      </c>
      <c r="J26" s="27" t="str">
        <f aca="false">IF(F26=0,"لم يبدأ",IF(F26&lt;$P26,"قيد الفحص",IF(I26&gt;=0.8,"جاهز",IF(I26&gt;=0.5,"جاهز جزئياً","فجوة جوهرية"))))</f>
        <v>لم يبدأ</v>
      </c>
      <c r="K26" s="27" t="n">
        <f aca="false">COUNTIFS('فحص-البرنامج2'!$A:$A,A26,'فحص-البرنامج2'!$I:$I,"&lt;&gt;")</f>
        <v>0</v>
      </c>
      <c r="L26" s="27" t="n">
        <f aca="false">COUNTIFS('فحص-البرنامج2'!$A:$A,A26,'فحص-البرنامج2'!$I:$I,"متوفر")</f>
        <v>0</v>
      </c>
      <c r="M26" s="27" t="n">
        <f aca="false">COUNTIFS('فحص-البرنامج2'!$A:$A,A26,'فحص-البرنامج2'!$Q:$Q,"نعم")</f>
        <v>0</v>
      </c>
      <c r="N26" s="34" t="n">
        <f aca="false">IF($P26=0,0,SUMIFS('فحص-البرنامج2'!$O:$O,'فحص-البرنامج2'!$A:$A,A26)/(5*$P26))</f>
        <v>0</v>
      </c>
      <c r="O26" s="27" t="str">
        <f aca="false">IF(K26=0,"لم يبدأ",IF(K26&lt;$P26,"قيد الفحص",IF(N26&gt;=0.8,"جاهز",IF(N26&gt;=0.5,"جاهز جزئياً","فجوة جوهرية"))))</f>
        <v>لم يبدأ</v>
      </c>
      <c r="P26" s="27" t="n">
        <f aca="false">COUNTIF('فحص-البرنامج1'!$A:$A,A26)</f>
        <v>2</v>
      </c>
    </row>
    <row r="27" customFormat="false" ht="22.35" hidden="false" customHeight="false" outlineLevel="0" collapsed="false">
      <c r="A27" s="27" t="s">
        <v>379</v>
      </c>
      <c r="B27" s="28" t="s">
        <v>144</v>
      </c>
      <c r="C27" s="28" t="s">
        <v>123</v>
      </c>
      <c r="D27" s="28" t="s">
        <v>380</v>
      </c>
      <c r="E27" s="27"/>
      <c r="F27" s="27" t="n">
        <f aca="false">COUNTIFS('فحص-البرنامج1'!$A:$A,A27,'فحص-البرنامج1'!$I:$I,"&lt;&gt;")</f>
        <v>0</v>
      </c>
      <c r="G27" s="27" t="n">
        <f aca="false">COUNTIFS('فحص-البرنامج1'!$A:$A,A27,'فحص-البرنامج1'!$I:$I,"متوفر")</f>
        <v>0</v>
      </c>
      <c r="H27" s="27" t="n">
        <f aca="false">COUNTIFS('فحص-البرنامج1'!$A:$A,A27,'فحص-البرنامج1'!$Q:$Q,"نعم")</f>
        <v>0</v>
      </c>
      <c r="I27" s="34" t="n">
        <f aca="false">IF($P27=0,0,SUMIFS('فحص-البرنامج1'!$O:$O,'فحص-البرنامج1'!$A:$A,A27)/(5*$P27))</f>
        <v>0</v>
      </c>
      <c r="J27" s="27" t="str">
        <f aca="false">IF(F27=0,"لم يبدأ",IF(F27&lt;$P27,"قيد الفحص",IF(I27&gt;=0.8,"جاهز",IF(I27&gt;=0.5,"جاهز جزئياً","فجوة جوهرية"))))</f>
        <v>لم يبدأ</v>
      </c>
      <c r="K27" s="27" t="n">
        <f aca="false">COUNTIFS('فحص-البرنامج2'!$A:$A,A27,'فحص-البرنامج2'!$I:$I,"&lt;&gt;")</f>
        <v>0</v>
      </c>
      <c r="L27" s="27" t="n">
        <f aca="false">COUNTIFS('فحص-البرنامج2'!$A:$A,A27,'فحص-البرنامج2'!$I:$I,"متوفر")</f>
        <v>0</v>
      </c>
      <c r="M27" s="27" t="n">
        <f aca="false">COUNTIFS('فحص-البرنامج2'!$A:$A,A27,'فحص-البرنامج2'!$Q:$Q,"نعم")</f>
        <v>0</v>
      </c>
      <c r="N27" s="34" t="n">
        <f aca="false">IF($P27=0,0,SUMIFS('فحص-البرنامج2'!$O:$O,'فحص-البرنامج2'!$A:$A,A27)/(5*$P27))</f>
        <v>0</v>
      </c>
      <c r="O27" s="27" t="str">
        <f aca="false">IF(K27=0,"لم يبدأ",IF(K27&lt;$P27,"قيد الفحص",IF(N27&gt;=0.8,"جاهز",IF(N27&gt;=0.5,"جاهز جزئياً","فجوة جوهرية"))))</f>
        <v>لم يبدأ</v>
      </c>
      <c r="P27" s="27" t="n">
        <f aca="false">COUNTIF('فحص-البرنامج1'!$A:$A,A27)</f>
        <v>3</v>
      </c>
    </row>
    <row r="28" customFormat="false" ht="22.35" hidden="false" customHeight="false" outlineLevel="0" collapsed="false">
      <c r="A28" s="31" t="s">
        <v>384</v>
      </c>
      <c r="B28" s="32" t="s">
        <v>144</v>
      </c>
      <c r="C28" s="32" t="s">
        <v>123</v>
      </c>
      <c r="D28" s="32" t="s">
        <v>385</v>
      </c>
      <c r="E28" s="31" t="s">
        <v>185</v>
      </c>
      <c r="F28" s="27" t="n">
        <f aca="false">COUNTIFS('فحص-البرنامج1'!$A:$A,A28,'فحص-البرنامج1'!$I:$I,"&lt;&gt;")</f>
        <v>0</v>
      </c>
      <c r="G28" s="27" t="n">
        <f aca="false">COUNTIFS('فحص-البرنامج1'!$A:$A,A28,'فحص-البرنامج1'!$I:$I,"متوفر")</f>
        <v>0</v>
      </c>
      <c r="H28" s="27" t="n">
        <f aca="false">COUNTIFS('فحص-البرنامج1'!$A:$A,A28,'فحص-البرنامج1'!$Q:$Q,"نعم")</f>
        <v>0</v>
      </c>
      <c r="I28" s="34" t="n">
        <f aca="false">IF($P28=0,0,SUMIFS('فحص-البرنامج1'!$O:$O,'فحص-البرنامج1'!$A:$A,A28)/(5*$P28))</f>
        <v>0</v>
      </c>
      <c r="J28" s="27" t="str">
        <f aca="false">IF(F28=0,"لم يبدأ",IF(F28&lt;$P28,"قيد الفحص",IF(I28&gt;=0.8,"جاهز",IF(I28&gt;=0.5,"جاهز جزئياً","فجوة جوهرية"))))</f>
        <v>لم يبدأ</v>
      </c>
      <c r="K28" s="27" t="n">
        <f aca="false">COUNTIFS('فحص-البرنامج2'!$A:$A,A28,'فحص-البرنامج2'!$I:$I,"&lt;&gt;")</f>
        <v>0</v>
      </c>
      <c r="L28" s="27" t="n">
        <f aca="false">COUNTIFS('فحص-البرنامج2'!$A:$A,A28,'فحص-البرنامج2'!$I:$I,"متوفر")</f>
        <v>0</v>
      </c>
      <c r="M28" s="27" t="n">
        <f aca="false">COUNTIFS('فحص-البرنامج2'!$A:$A,A28,'فحص-البرنامج2'!$Q:$Q,"نعم")</f>
        <v>0</v>
      </c>
      <c r="N28" s="34" t="n">
        <f aca="false">IF($P28=0,0,SUMIFS('فحص-البرنامج2'!$O:$O,'فحص-البرنامج2'!$A:$A,A28)/(5*$P28))</f>
        <v>0</v>
      </c>
      <c r="O28" s="27" t="str">
        <f aca="false">IF(K28=0,"لم يبدأ",IF(K28&lt;$P28,"قيد الفحص",IF(N28&gt;=0.8,"جاهز",IF(N28&gt;=0.5,"جاهز جزئياً","فجوة جوهرية"))))</f>
        <v>لم يبدأ</v>
      </c>
      <c r="P28" s="27" t="n">
        <f aca="false">COUNTIF('فحص-البرنامج1'!$A:$A,A28)</f>
        <v>2</v>
      </c>
    </row>
    <row r="29" customFormat="false" ht="32.8" hidden="false" customHeight="false" outlineLevel="0" collapsed="false">
      <c r="A29" s="31" t="s">
        <v>388</v>
      </c>
      <c r="B29" s="32" t="s">
        <v>144</v>
      </c>
      <c r="C29" s="32" t="s">
        <v>124</v>
      </c>
      <c r="D29" s="32" t="s">
        <v>389</v>
      </c>
      <c r="E29" s="31" t="s">
        <v>185</v>
      </c>
      <c r="F29" s="27" t="n">
        <f aca="false">COUNTIFS('فحص-البرنامج1'!$A:$A,A29,'فحص-البرنامج1'!$I:$I,"&lt;&gt;")</f>
        <v>0</v>
      </c>
      <c r="G29" s="27" t="n">
        <f aca="false">COUNTIFS('فحص-البرنامج1'!$A:$A,A29,'فحص-البرنامج1'!$I:$I,"متوفر")</f>
        <v>0</v>
      </c>
      <c r="H29" s="27" t="n">
        <f aca="false">COUNTIFS('فحص-البرنامج1'!$A:$A,A29,'فحص-البرنامج1'!$Q:$Q,"نعم")</f>
        <v>0</v>
      </c>
      <c r="I29" s="34" t="n">
        <f aca="false">IF($P29=0,0,SUMIFS('فحص-البرنامج1'!$O:$O,'فحص-البرنامج1'!$A:$A,A29)/(5*$P29))</f>
        <v>0</v>
      </c>
      <c r="J29" s="27" t="str">
        <f aca="false">IF(F29=0,"لم يبدأ",IF(F29&lt;$P29,"قيد الفحص",IF(I29&gt;=0.8,"جاهز",IF(I29&gt;=0.5,"جاهز جزئياً","فجوة جوهرية"))))</f>
        <v>لم يبدأ</v>
      </c>
      <c r="K29" s="27" t="n">
        <f aca="false">COUNTIFS('فحص-البرنامج2'!$A:$A,A29,'فحص-البرنامج2'!$I:$I,"&lt;&gt;")</f>
        <v>0</v>
      </c>
      <c r="L29" s="27" t="n">
        <f aca="false">COUNTIFS('فحص-البرنامج2'!$A:$A,A29,'فحص-البرنامج2'!$I:$I,"متوفر")</f>
        <v>0</v>
      </c>
      <c r="M29" s="27" t="n">
        <f aca="false">COUNTIFS('فحص-البرنامج2'!$A:$A,A29,'فحص-البرنامج2'!$Q:$Q,"نعم")</f>
        <v>0</v>
      </c>
      <c r="N29" s="34" t="n">
        <f aca="false">IF($P29=0,0,SUMIFS('فحص-البرنامج2'!$O:$O,'فحص-البرنامج2'!$A:$A,A29)/(5*$P29))</f>
        <v>0</v>
      </c>
      <c r="O29" s="27" t="str">
        <f aca="false">IF(K29=0,"لم يبدأ",IF(K29&lt;$P29,"قيد الفحص",IF(N29&gt;=0.8,"جاهز",IF(N29&gt;=0.5,"جاهز جزئياً","فجوة جوهرية"))))</f>
        <v>لم يبدأ</v>
      </c>
      <c r="P29" s="27" t="n">
        <f aca="false">COUNTIF('فحص-البرنامج1'!$A:$A,A29)</f>
        <v>5</v>
      </c>
    </row>
    <row r="30" customFormat="false" ht="22.35" hidden="false" customHeight="false" outlineLevel="0" collapsed="false">
      <c r="A30" s="27" t="s">
        <v>395</v>
      </c>
      <c r="B30" s="28" t="s">
        <v>144</v>
      </c>
      <c r="C30" s="28" t="s">
        <v>124</v>
      </c>
      <c r="D30" s="28" t="s">
        <v>396</v>
      </c>
      <c r="E30" s="27"/>
      <c r="F30" s="27" t="n">
        <f aca="false">COUNTIFS('فحص-البرنامج1'!$A:$A,A30,'فحص-البرنامج1'!$I:$I,"&lt;&gt;")</f>
        <v>0</v>
      </c>
      <c r="G30" s="27" t="n">
        <f aca="false">COUNTIFS('فحص-البرنامج1'!$A:$A,A30,'فحص-البرنامج1'!$I:$I,"متوفر")</f>
        <v>0</v>
      </c>
      <c r="H30" s="27" t="n">
        <f aca="false">COUNTIFS('فحص-البرنامج1'!$A:$A,A30,'فحص-البرنامج1'!$Q:$Q,"نعم")</f>
        <v>0</v>
      </c>
      <c r="I30" s="34" t="n">
        <f aca="false">IF($P30=0,0,SUMIFS('فحص-البرنامج1'!$O:$O,'فحص-البرنامج1'!$A:$A,A30)/(5*$P30))</f>
        <v>0</v>
      </c>
      <c r="J30" s="27" t="str">
        <f aca="false">IF(F30=0,"لم يبدأ",IF(F30&lt;$P30,"قيد الفحص",IF(I30&gt;=0.8,"جاهز",IF(I30&gt;=0.5,"جاهز جزئياً","فجوة جوهرية"))))</f>
        <v>لم يبدأ</v>
      </c>
      <c r="K30" s="27" t="n">
        <f aca="false">COUNTIFS('فحص-البرنامج2'!$A:$A,A30,'فحص-البرنامج2'!$I:$I,"&lt;&gt;")</f>
        <v>0</v>
      </c>
      <c r="L30" s="27" t="n">
        <f aca="false">COUNTIFS('فحص-البرنامج2'!$A:$A,A30,'فحص-البرنامج2'!$I:$I,"متوفر")</f>
        <v>0</v>
      </c>
      <c r="M30" s="27" t="n">
        <f aca="false">COUNTIFS('فحص-البرنامج2'!$A:$A,A30,'فحص-البرنامج2'!$Q:$Q,"نعم")</f>
        <v>0</v>
      </c>
      <c r="N30" s="34" t="n">
        <f aca="false">IF($P30=0,0,SUMIFS('فحص-البرنامج2'!$O:$O,'فحص-البرنامج2'!$A:$A,A30)/(5*$P30))</f>
        <v>0</v>
      </c>
      <c r="O30" s="27" t="str">
        <f aca="false">IF(K30=0,"لم يبدأ",IF(K30&lt;$P30,"قيد الفحص",IF(N30&gt;=0.8,"جاهز",IF(N30&gt;=0.5,"جاهز جزئياً","فجوة جوهرية"))))</f>
        <v>لم يبدأ</v>
      </c>
      <c r="P30" s="27" t="n">
        <f aca="false">COUNTIF('فحص-البرنامج1'!$A:$A,A30)</f>
        <v>4</v>
      </c>
    </row>
    <row r="31" customFormat="false" ht="32.8" hidden="false" customHeight="false" outlineLevel="0" collapsed="false">
      <c r="A31" s="27" t="s">
        <v>401</v>
      </c>
      <c r="B31" s="28" t="s">
        <v>144</v>
      </c>
      <c r="C31" s="28" t="s">
        <v>124</v>
      </c>
      <c r="D31" s="28" t="s">
        <v>402</v>
      </c>
      <c r="E31" s="27"/>
      <c r="F31" s="27" t="n">
        <f aca="false">COUNTIFS('فحص-البرنامج1'!$A:$A,A31,'فحص-البرنامج1'!$I:$I,"&lt;&gt;")</f>
        <v>0</v>
      </c>
      <c r="G31" s="27" t="n">
        <f aca="false">COUNTIFS('فحص-البرنامج1'!$A:$A,A31,'فحص-البرنامج1'!$I:$I,"متوفر")</f>
        <v>0</v>
      </c>
      <c r="H31" s="27" t="n">
        <f aca="false">COUNTIFS('فحص-البرنامج1'!$A:$A,A31,'فحص-البرنامج1'!$Q:$Q,"نعم")</f>
        <v>0</v>
      </c>
      <c r="I31" s="34" t="n">
        <f aca="false">IF($P31=0,0,SUMIFS('فحص-البرنامج1'!$O:$O,'فحص-البرنامج1'!$A:$A,A31)/(5*$P31))</f>
        <v>0</v>
      </c>
      <c r="J31" s="27" t="str">
        <f aca="false">IF(F31=0,"لم يبدأ",IF(F31&lt;$P31,"قيد الفحص",IF(I31&gt;=0.8,"جاهز",IF(I31&gt;=0.5,"جاهز جزئياً","فجوة جوهرية"))))</f>
        <v>لم يبدأ</v>
      </c>
      <c r="K31" s="27" t="n">
        <f aca="false">COUNTIFS('فحص-البرنامج2'!$A:$A,A31,'فحص-البرنامج2'!$I:$I,"&lt;&gt;")</f>
        <v>0</v>
      </c>
      <c r="L31" s="27" t="n">
        <f aca="false">COUNTIFS('فحص-البرنامج2'!$A:$A,A31,'فحص-البرنامج2'!$I:$I,"متوفر")</f>
        <v>0</v>
      </c>
      <c r="M31" s="27" t="n">
        <f aca="false">COUNTIFS('فحص-البرنامج2'!$A:$A,A31,'فحص-البرنامج2'!$Q:$Q,"نعم")</f>
        <v>0</v>
      </c>
      <c r="N31" s="34" t="n">
        <f aca="false">IF($P31=0,0,SUMIFS('فحص-البرنامج2'!$O:$O,'فحص-البرنامج2'!$A:$A,A31)/(5*$P31))</f>
        <v>0</v>
      </c>
      <c r="O31" s="27" t="str">
        <f aca="false">IF(K31=0,"لم يبدأ",IF(K31&lt;$P31,"قيد الفحص",IF(N31&gt;=0.8,"جاهز",IF(N31&gt;=0.5,"جاهز جزئياً","فجوة جوهرية"))))</f>
        <v>لم يبدأ</v>
      </c>
      <c r="P31" s="27" t="n">
        <f aca="false">COUNTIF('فحص-البرنامج1'!$A:$A,A31)</f>
        <v>3</v>
      </c>
    </row>
    <row r="32" customFormat="false" ht="22.35" hidden="false" customHeight="false" outlineLevel="0" collapsed="false">
      <c r="A32" s="27" t="s">
        <v>406</v>
      </c>
      <c r="B32" s="28" t="s">
        <v>144</v>
      </c>
      <c r="C32" s="28" t="s">
        <v>124</v>
      </c>
      <c r="D32" s="28" t="s">
        <v>407</v>
      </c>
      <c r="E32" s="27"/>
      <c r="F32" s="27" t="n">
        <f aca="false">COUNTIFS('فحص-البرنامج1'!$A:$A,A32,'فحص-البرنامج1'!$I:$I,"&lt;&gt;")</f>
        <v>0</v>
      </c>
      <c r="G32" s="27" t="n">
        <f aca="false">COUNTIFS('فحص-البرنامج1'!$A:$A,A32,'فحص-البرنامج1'!$I:$I,"متوفر")</f>
        <v>0</v>
      </c>
      <c r="H32" s="27" t="n">
        <f aca="false">COUNTIFS('فحص-البرنامج1'!$A:$A,A32,'فحص-البرنامج1'!$Q:$Q,"نعم")</f>
        <v>0</v>
      </c>
      <c r="I32" s="34" t="n">
        <f aca="false">IF($P32=0,0,SUMIFS('فحص-البرنامج1'!$O:$O,'فحص-البرنامج1'!$A:$A,A32)/(5*$P32))</f>
        <v>0</v>
      </c>
      <c r="J32" s="27" t="str">
        <f aca="false">IF(F32=0,"لم يبدأ",IF(F32&lt;$P32,"قيد الفحص",IF(I32&gt;=0.8,"جاهز",IF(I32&gt;=0.5,"جاهز جزئياً","فجوة جوهرية"))))</f>
        <v>لم يبدأ</v>
      </c>
      <c r="K32" s="27" t="n">
        <f aca="false">COUNTIFS('فحص-البرنامج2'!$A:$A,A32,'فحص-البرنامج2'!$I:$I,"&lt;&gt;")</f>
        <v>0</v>
      </c>
      <c r="L32" s="27" t="n">
        <f aca="false">COUNTIFS('فحص-البرنامج2'!$A:$A,A32,'فحص-البرنامج2'!$I:$I,"متوفر")</f>
        <v>0</v>
      </c>
      <c r="M32" s="27" t="n">
        <f aca="false">COUNTIFS('فحص-البرنامج2'!$A:$A,A32,'فحص-البرنامج2'!$Q:$Q,"نعم")</f>
        <v>0</v>
      </c>
      <c r="N32" s="34" t="n">
        <f aca="false">IF($P32=0,0,SUMIFS('فحص-البرنامج2'!$O:$O,'فحص-البرنامج2'!$A:$A,A32)/(5*$P32))</f>
        <v>0</v>
      </c>
      <c r="O32" s="27" t="str">
        <f aca="false">IF(K32=0,"لم يبدأ",IF(K32&lt;$P32,"قيد الفحص",IF(N32&gt;=0.8,"جاهز",IF(N32&gt;=0.5,"جاهز جزئياً","فجوة جوهرية"))))</f>
        <v>لم يبدأ</v>
      </c>
      <c r="P32" s="27" t="n">
        <f aca="false">COUNTIF('فحص-البرنامج1'!$A:$A,A32)</f>
        <v>3</v>
      </c>
    </row>
    <row r="33" customFormat="false" ht="22.35" hidden="false" customHeight="false" outlineLevel="0" collapsed="false">
      <c r="A33" s="27" t="s">
        <v>411</v>
      </c>
      <c r="B33" s="28" t="s">
        <v>144</v>
      </c>
      <c r="C33" s="28" t="s">
        <v>124</v>
      </c>
      <c r="D33" s="28" t="s">
        <v>412</v>
      </c>
      <c r="E33" s="27"/>
      <c r="F33" s="27" t="n">
        <f aca="false">COUNTIFS('فحص-البرنامج1'!$A:$A,A33,'فحص-البرنامج1'!$I:$I,"&lt;&gt;")</f>
        <v>0</v>
      </c>
      <c r="G33" s="27" t="n">
        <f aca="false">COUNTIFS('فحص-البرنامج1'!$A:$A,A33,'فحص-البرنامج1'!$I:$I,"متوفر")</f>
        <v>0</v>
      </c>
      <c r="H33" s="27" t="n">
        <f aca="false">COUNTIFS('فحص-البرنامج1'!$A:$A,A33,'فحص-البرنامج1'!$Q:$Q,"نعم")</f>
        <v>0</v>
      </c>
      <c r="I33" s="34" t="n">
        <f aca="false">IF($P33=0,0,SUMIFS('فحص-البرنامج1'!$O:$O,'فحص-البرنامج1'!$A:$A,A33)/(5*$P33))</f>
        <v>0</v>
      </c>
      <c r="J33" s="27" t="str">
        <f aca="false">IF(F33=0,"لم يبدأ",IF(F33&lt;$P33,"قيد الفحص",IF(I33&gt;=0.8,"جاهز",IF(I33&gt;=0.5,"جاهز جزئياً","فجوة جوهرية"))))</f>
        <v>لم يبدأ</v>
      </c>
      <c r="K33" s="27" t="n">
        <f aca="false">COUNTIFS('فحص-البرنامج2'!$A:$A,A33,'فحص-البرنامج2'!$I:$I,"&lt;&gt;")</f>
        <v>0</v>
      </c>
      <c r="L33" s="27" t="n">
        <f aca="false">COUNTIFS('فحص-البرنامج2'!$A:$A,A33,'فحص-البرنامج2'!$I:$I,"متوفر")</f>
        <v>0</v>
      </c>
      <c r="M33" s="27" t="n">
        <f aca="false">COUNTIFS('فحص-البرنامج2'!$A:$A,A33,'فحص-البرنامج2'!$Q:$Q,"نعم")</f>
        <v>0</v>
      </c>
      <c r="N33" s="34" t="n">
        <f aca="false">IF($P33=0,0,SUMIFS('فحص-البرنامج2'!$O:$O,'فحص-البرنامج2'!$A:$A,A33)/(5*$P33))</f>
        <v>0</v>
      </c>
      <c r="O33" s="27" t="str">
        <f aca="false">IF(K33=0,"لم يبدأ",IF(K33&lt;$P33,"قيد الفحص",IF(N33&gt;=0.8,"جاهز",IF(N33&gt;=0.5,"جاهز جزئياً","فجوة جوهرية"))))</f>
        <v>لم يبدأ</v>
      </c>
      <c r="P33" s="27" t="n">
        <f aca="false">COUNTIF('فحص-البرنامج1'!$A:$A,A33)</f>
        <v>5</v>
      </c>
    </row>
    <row r="34" customFormat="false" ht="22.35" hidden="false" customHeight="false" outlineLevel="0" collapsed="false">
      <c r="A34" s="31" t="s">
        <v>418</v>
      </c>
      <c r="B34" s="32" t="s">
        <v>144</v>
      </c>
      <c r="C34" s="32" t="s">
        <v>124</v>
      </c>
      <c r="D34" s="32" t="s">
        <v>419</v>
      </c>
      <c r="E34" s="31" t="s">
        <v>185</v>
      </c>
      <c r="F34" s="27" t="n">
        <f aca="false">COUNTIFS('فحص-البرنامج1'!$A:$A,A34,'فحص-البرنامج1'!$I:$I,"&lt;&gt;")</f>
        <v>0</v>
      </c>
      <c r="G34" s="27" t="n">
        <f aca="false">COUNTIFS('فحص-البرنامج1'!$A:$A,A34,'فحص-البرنامج1'!$I:$I,"متوفر")</f>
        <v>0</v>
      </c>
      <c r="H34" s="27" t="n">
        <f aca="false">COUNTIFS('فحص-البرنامج1'!$A:$A,A34,'فحص-البرنامج1'!$Q:$Q,"نعم")</f>
        <v>0</v>
      </c>
      <c r="I34" s="34" t="n">
        <f aca="false">IF($P34=0,0,SUMIFS('فحص-البرنامج1'!$O:$O,'فحص-البرنامج1'!$A:$A,A34)/(5*$P34))</f>
        <v>0</v>
      </c>
      <c r="J34" s="27" t="str">
        <f aca="false">IF(F34=0,"لم يبدأ",IF(F34&lt;$P34,"قيد الفحص",IF(I34&gt;=0.8,"جاهز",IF(I34&gt;=0.5,"جاهز جزئياً","فجوة جوهرية"))))</f>
        <v>لم يبدأ</v>
      </c>
      <c r="K34" s="27" t="n">
        <f aca="false">COUNTIFS('فحص-البرنامج2'!$A:$A,A34,'فحص-البرنامج2'!$I:$I,"&lt;&gt;")</f>
        <v>0</v>
      </c>
      <c r="L34" s="27" t="n">
        <f aca="false">COUNTIFS('فحص-البرنامج2'!$A:$A,A34,'فحص-البرنامج2'!$I:$I,"متوفر")</f>
        <v>0</v>
      </c>
      <c r="M34" s="27" t="n">
        <f aca="false">COUNTIFS('فحص-البرنامج2'!$A:$A,A34,'فحص-البرنامج2'!$Q:$Q,"نعم")</f>
        <v>0</v>
      </c>
      <c r="N34" s="34" t="n">
        <f aca="false">IF($P34=0,0,SUMIFS('فحص-البرنامج2'!$O:$O,'فحص-البرنامج2'!$A:$A,A34)/(5*$P34))</f>
        <v>0</v>
      </c>
      <c r="O34" s="27" t="str">
        <f aca="false">IF(K34=0,"لم يبدأ",IF(K34&lt;$P34,"قيد الفحص",IF(N34&gt;=0.8,"جاهز",IF(N34&gt;=0.5,"جاهز جزئياً","فجوة جوهرية"))))</f>
        <v>لم يبدأ</v>
      </c>
      <c r="P34" s="27" t="n">
        <f aca="false">COUNTIF('فحص-البرنامج1'!$A:$A,A34)</f>
        <v>5</v>
      </c>
    </row>
    <row r="35" customFormat="false" ht="32.8" hidden="false" customHeight="false" outlineLevel="0" collapsed="false">
      <c r="A35" s="27" t="s">
        <v>425</v>
      </c>
      <c r="B35" s="28" t="s">
        <v>145</v>
      </c>
      <c r="C35" s="28" t="s">
        <v>125</v>
      </c>
      <c r="D35" s="28" t="s">
        <v>426</v>
      </c>
      <c r="E35" s="27"/>
      <c r="F35" s="27" t="n">
        <f aca="false">COUNTIFS('فحص-البرنامج1'!$A:$A,A35,'فحص-البرنامج1'!$I:$I,"&lt;&gt;")</f>
        <v>0</v>
      </c>
      <c r="G35" s="27" t="n">
        <f aca="false">COUNTIFS('فحص-البرنامج1'!$A:$A,A35,'فحص-البرنامج1'!$I:$I,"متوفر")</f>
        <v>0</v>
      </c>
      <c r="H35" s="27" t="n">
        <f aca="false">COUNTIFS('فحص-البرنامج1'!$A:$A,A35,'فحص-البرنامج1'!$Q:$Q,"نعم")</f>
        <v>0</v>
      </c>
      <c r="I35" s="34" t="n">
        <f aca="false">IF($P35=0,0,SUMIFS('فحص-البرنامج1'!$O:$O,'فحص-البرنامج1'!$A:$A,A35)/(5*$P35))</f>
        <v>0</v>
      </c>
      <c r="J35" s="27" t="str">
        <f aca="false">IF(F35=0,"لم يبدأ",IF(F35&lt;$P35,"قيد الفحص",IF(I35&gt;=0.8,"جاهز",IF(I35&gt;=0.5,"جاهز جزئياً","فجوة جوهرية"))))</f>
        <v>لم يبدأ</v>
      </c>
      <c r="K35" s="27" t="n">
        <f aca="false">COUNTIFS('فحص-البرنامج2'!$A:$A,A35,'فحص-البرنامج2'!$I:$I,"&lt;&gt;")</f>
        <v>0</v>
      </c>
      <c r="L35" s="27" t="n">
        <f aca="false">COUNTIFS('فحص-البرنامج2'!$A:$A,A35,'فحص-البرنامج2'!$I:$I,"متوفر")</f>
        <v>0</v>
      </c>
      <c r="M35" s="27" t="n">
        <f aca="false">COUNTIFS('فحص-البرنامج2'!$A:$A,A35,'فحص-البرنامج2'!$Q:$Q,"نعم")</f>
        <v>0</v>
      </c>
      <c r="N35" s="34" t="n">
        <f aca="false">IF($P35=0,0,SUMIFS('فحص-البرنامج2'!$O:$O,'فحص-البرنامج2'!$A:$A,A35)/(5*$P35))</f>
        <v>0</v>
      </c>
      <c r="O35" s="27" t="str">
        <f aca="false">IF(K35=0,"لم يبدأ",IF(K35&lt;$P35,"قيد الفحص",IF(N35&gt;=0.8,"جاهز",IF(N35&gt;=0.5,"جاهز جزئياً","فجوة جوهرية"))))</f>
        <v>لم يبدأ</v>
      </c>
      <c r="P35" s="27" t="n">
        <f aca="false">COUNTIF('فحص-البرنامج1'!$A:$A,A35)</f>
        <v>5</v>
      </c>
    </row>
    <row r="36" customFormat="false" ht="22.35" hidden="false" customHeight="false" outlineLevel="0" collapsed="false">
      <c r="A36" s="31" t="s">
        <v>432</v>
      </c>
      <c r="B36" s="32" t="s">
        <v>145</v>
      </c>
      <c r="C36" s="32" t="s">
        <v>125</v>
      </c>
      <c r="D36" s="32" t="s">
        <v>433</v>
      </c>
      <c r="E36" s="31" t="s">
        <v>185</v>
      </c>
      <c r="F36" s="27" t="n">
        <f aca="false">COUNTIFS('فحص-البرنامج1'!$A:$A,A36,'فحص-البرنامج1'!$I:$I,"&lt;&gt;")</f>
        <v>0</v>
      </c>
      <c r="G36" s="27" t="n">
        <f aca="false">COUNTIFS('فحص-البرنامج1'!$A:$A,A36,'فحص-البرنامج1'!$I:$I,"متوفر")</f>
        <v>0</v>
      </c>
      <c r="H36" s="27" t="n">
        <f aca="false">COUNTIFS('فحص-البرنامج1'!$A:$A,A36,'فحص-البرنامج1'!$Q:$Q,"نعم")</f>
        <v>0</v>
      </c>
      <c r="I36" s="34" t="n">
        <f aca="false">IF($P36=0,0,SUMIFS('فحص-البرنامج1'!$O:$O,'فحص-البرنامج1'!$A:$A,A36)/(5*$P36))</f>
        <v>0</v>
      </c>
      <c r="J36" s="27" t="str">
        <f aca="false">IF(F36=0,"لم يبدأ",IF(F36&lt;$P36,"قيد الفحص",IF(I36&gt;=0.8,"جاهز",IF(I36&gt;=0.5,"جاهز جزئياً","فجوة جوهرية"))))</f>
        <v>لم يبدأ</v>
      </c>
      <c r="K36" s="27" t="n">
        <f aca="false">COUNTIFS('فحص-البرنامج2'!$A:$A,A36,'فحص-البرنامج2'!$I:$I,"&lt;&gt;")</f>
        <v>0</v>
      </c>
      <c r="L36" s="27" t="n">
        <f aca="false">COUNTIFS('فحص-البرنامج2'!$A:$A,A36,'فحص-البرنامج2'!$I:$I,"متوفر")</f>
        <v>0</v>
      </c>
      <c r="M36" s="27" t="n">
        <f aca="false">COUNTIFS('فحص-البرنامج2'!$A:$A,A36,'فحص-البرنامج2'!$Q:$Q,"نعم")</f>
        <v>0</v>
      </c>
      <c r="N36" s="34" t="n">
        <f aca="false">IF($P36=0,0,SUMIFS('فحص-البرنامج2'!$O:$O,'فحص-البرنامج2'!$A:$A,A36)/(5*$P36))</f>
        <v>0</v>
      </c>
      <c r="O36" s="27" t="str">
        <f aca="false">IF(K36=0,"لم يبدأ",IF(K36&lt;$P36,"قيد الفحص",IF(N36&gt;=0.8,"جاهز",IF(N36&gt;=0.5,"جاهز جزئياً","فجوة جوهرية"))))</f>
        <v>لم يبدأ</v>
      </c>
      <c r="P36" s="27" t="n">
        <f aca="false">COUNTIF('فحص-البرنامج1'!$A:$A,A36)</f>
        <v>3</v>
      </c>
    </row>
    <row r="37" customFormat="false" ht="22.35" hidden="false" customHeight="false" outlineLevel="0" collapsed="false">
      <c r="A37" s="31" t="s">
        <v>437</v>
      </c>
      <c r="B37" s="32" t="s">
        <v>145</v>
      </c>
      <c r="C37" s="32" t="s">
        <v>125</v>
      </c>
      <c r="D37" s="32" t="s">
        <v>438</v>
      </c>
      <c r="E37" s="31" t="s">
        <v>185</v>
      </c>
      <c r="F37" s="27" t="n">
        <f aca="false">COUNTIFS('فحص-البرنامج1'!$A:$A,A37,'فحص-البرنامج1'!$I:$I,"&lt;&gt;")</f>
        <v>0</v>
      </c>
      <c r="G37" s="27" t="n">
        <f aca="false">COUNTIFS('فحص-البرنامج1'!$A:$A,A37,'فحص-البرنامج1'!$I:$I,"متوفر")</f>
        <v>0</v>
      </c>
      <c r="H37" s="27" t="n">
        <f aca="false">COUNTIFS('فحص-البرنامج1'!$A:$A,A37,'فحص-البرنامج1'!$Q:$Q,"نعم")</f>
        <v>0</v>
      </c>
      <c r="I37" s="34" t="n">
        <f aca="false">IF($P37=0,0,SUMIFS('فحص-البرنامج1'!$O:$O,'فحص-البرنامج1'!$A:$A,A37)/(5*$P37))</f>
        <v>0</v>
      </c>
      <c r="J37" s="27" t="str">
        <f aca="false">IF(F37=0,"لم يبدأ",IF(F37&lt;$P37,"قيد الفحص",IF(I37&gt;=0.8,"جاهز",IF(I37&gt;=0.5,"جاهز جزئياً","فجوة جوهرية"))))</f>
        <v>لم يبدأ</v>
      </c>
      <c r="K37" s="27" t="n">
        <f aca="false">COUNTIFS('فحص-البرنامج2'!$A:$A,A37,'فحص-البرنامج2'!$I:$I,"&lt;&gt;")</f>
        <v>0</v>
      </c>
      <c r="L37" s="27" t="n">
        <f aca="false">COUNTIFS('فحص-البرنامج2'!$A:$A,A37,'فحص-البرنامج2'!$I:$I,"متوفر")</f>
        <v>0</v>
      </c>
      <c r="M37" s="27" t="n">
        <f aca="false">COUNTIFS('فحص-البرنامج2'!$A:$A,A37,'فحص-البرنامج2'!$Q:$Q,"نعم")</f>
        <v>0</v>
      </c>
      <c r="N37" s="34" t="n">
        <f aca="false">IF($P37=0,0,SUMIFS('فحص-البرنامج2'!$O:$O,'فحص-البرنامج2'!$A:$A,A37)/(5*$P37))</f>
        <v>0</v>
      </c>
      <c r="O37" s="27" t="str">
        <f aca="false">IF(K37=0,"لم يبدأ",IF(K37&lt;$P37,"قيد الفحص",IF(N37&gt;=0.8,"جاهز",IF(N37&gt;=0.5,"جاهز جزئياً","فجوة جوهرية"))))</f>
        <v>لم يبدأ</v>
      </c>
      <c r="P37" s="27" t="n">
        <f aca="false">COUNTIF('فحص-البرنامج1'!$A:$A,A37)</f>
        <v>7</v>
      </c>
    </row>
    <row r="38" customFormat="false" ht="22.35" hidden="false" customHeight="false" outlineLevel="0" collapsed="false">
      <c r="A38" s="27" t="s">
        <v>446</v>
      </c>
      <c r="B38" s="28" t="s">
        <v>145</v>
      </c>
      <c r="C38" s="28" t="s">
        <v>125</v>
      </c>
      <c r="D38" s="28" t="s">
        <v>447</v>
      </c>
      <c r="E38" s="27"/>
      <c r="F38" s="27" t="n">
        <f aca="false">COUNTIFS('فحص-البرنامج1'!$A:$A,A38,'فحص-البرنامج1'!$I:$I,"&lt;&gt;")</f>
        <v>0</v>
      </c>
      <c r="G38" s="27" t="n">
        <f aca="false">COUNTIFS('فحص-البرنامج1'!$A:$A,A38,'فحص-البرنامج1'!$I:$I,"متوفر")</f>
        <v>0</v>
      </c>
      <c r="H38" s="27" t="n">
        <f aca="false">COUNTIFS('فحص-البرنامج1'!$A:$A,A38,'فحص-البرنامج1'!$Q:$Q,"نعم")</f>
        <v>0</v>
      </c>
      <c r="I38" s="34" t="n">
        <f aca="false">IF($P38=0,0,SUMIFS('فحص-البرنامج1'!$O:$O,'فحص-البرنامج1'!$A:$A,A38)/(5*$P38))</f>
        <v>0</v>
      </c>
      <c r="J38" s="27" t="str">
        <f aca="false">IF(F38=0,"لم يبدأ",IF(F38&lt;$P38,"قيد الفحص",IF(I38&gt;=0.8,"جاهز",IF(I38&gt;=0.5,"جاهز جزئياً","فجوة جوهرية"))))</f>
        <v>لم يبدأ</v>
      </c>
      <c r="K38" s="27" t="n">
        <f aca="false">COUNTIFS('فحص-البرنامج2'!$A:$A,A38,'فحص-البرنامج2'!$I:$I,"&lt;&gt;")</f>
        <v>0</v>
      </c>
      <c r="L38" s="27" t="n">
        <f aca="false">COUNTIFS('فحص-البرنامج2'!$A:$A,A38,'فحص-البرنامج2'!$I:$I,"متوفر")</f>
        <v>0</v>
      </c>
      <c r="M38" s="27" t="n">
        <f aca="false">COUNTIFS('فحص-البرنامج2'!$A:$A,A38,'فحص-البرنامج2'!$Q:$Q,"نعم")</f>
        <v>0</v>
      </c>
      <c r="N38" s="34" t="n">
        <f aca="false">IF($P38=0,0,SUMIFS('فحص-البرنامج2'!$O:$O,'فحص-البرنامج2'!$A:$A,A38)/(5*$P38))</f>
        <v>0</v>
      </c>
      <c r="O38" s="27" t="str">
        <f aca="false">IF(K38=0,"لم يبدأ",IF(K38&lt;$P38,"قيد الفحص",IF(N38&gt;=0.8,"جاهز",IF(N38&gt;=0.5,"جاهز جزئياً","فجوة جوهرية"))))</f>
        <v>لم يبدأ</v>
      </c>
      <c r="P38" s="27" t="n">
        <f aca="false">COUNTIF('فحص-البرنامج1'!$A:$A,A38)</f>
        <v>4</v>
      </c>
    </row>
    <row r="39" customFormat="false" ht="22.35" hidden="false" customHeight="false" outlineLevel="0" collapsed="false">
      <c r="A39" s="27" t="s">
        <v>452</v>
      </c>
      <c r="B39" s="28" t="s">
        <v>145</v>
      </c>
      <c r="C39" s="28" t="s">
        <v>125</v>
      </c>
      <c r="D39" s="28" t="s">
        <v>453</v>
      </c>
      <c r="E39" s="27"/>
      <c r="F39" s="27" t="n">
        <f aca="false">COUNTIFS('فحص-البرنامج1'!$A:$A,A39,'فحص-البرنامج1'!$I:$I,"&lt;&gt;")</f>
        <v>0</v>
      </c>
      <c r="G39" s="27" t="n">
        <f aca="false">COUNTIFS('فحص-البرنامج1'!$A:$A,A39,'فحص-البرنامج1'!$I:$I,"متوفر")</f>
        <v>0</v>
      </c>
      <c r="H39" s="27" t="n">
        <f aca="false">COUNTIFS('فحص-البرنامج1'!$A:$A,A39,'فحص-البرنامج1'!$Q:$Q,"نعم")</f>
        <v>0</v>
      </c>
      <c r="I39" s="34" t="n">
        <f aca="false">IF($P39=0,0,SUMIFS('فحص-البرنامج1'!$O:$O,'فحص-البرنامج1'!$A:$A,A39)/(5*$P39))</f>
        <v>0</v>
      </c>
      <c r="J39" s="27" t="str">
        <f aca="false">IF(F39=0,"لم يبدأ",IF(F39&lt;$P39,"قيد الفحص",IF(I39&gt;=0.8,"جاهز",IF(I39&gt;=0.5,"جاهز جزئياً","فجوة جوهرية"))))</f>
        <v>لم يبدأ</v>
      </c>
      <c r="K39" s="27" t="n">
        <f aca="false">COUNTIFS('فحص-البرنامج2'!$A:$A,A39,'فحص-البرنامج2'!$I:$I,"&lt;&gt;")</f>
        <v>0</v>
      </c>
      <c r="L39" s="27" t="n">
        <f aca="false">COUNTIFS('فحص-البرنامج2'!$A:$A,A39,'فحص-البرنامج2'!$I:$I,"متوفر")</f>
        <v>0</v>
      </c>
      <c r="M39" s="27" t="n">
        <f aca="false">COUNTIFS('فحص-البرنامج2'!$A:$A,A39,'فحص-البرنامج2'!$Q:$Q,"نعم")</f>
        <v>0</v>
      </c>
      <c r="N39" s="34" t="n">
        <f aca="false">IF($P39=0,0,SUMIFS('فحص-البرنامج2'!$O:$O,'فحص-البرنامج2'!$A:$A,A39)/(5*$P39))</f>
        <v>0</v>
      </c>
      <c r="O39" s="27" t="str">
        <f aca="false">IF(K39=0,"لم يبدأ",IF(K39&lt;$P39,"قيد الفحص",IF(N39&gt;=0.8,"جاهز",IF(N39&gt;=0.5,"جاهز جزئياً","فجوة جوهرية"))))</f>
        <v>لم يبدأ</v>
      </c>
      <c r="P39" s="27" t="n">
        <f aca="false">COUNTIF('فحص-البرنامج1'!$A:$A,A39)</f>
        <v>4</v>
      </c>
    </row>
    <row r="40" customFormat="false" ht="32.8" hidden="false" customHeight="false" outlineLevel="0" collapsed="false">
      <c r="A40" s="27" t="s">
        <v>458</v>
      </c>
      <c r="B40" s="28" t="s">
        <v>145</v>
      </c>
      <c r="C40" s="28" t="s">
        <v>125</v>
      </c>
      <c r="D40" s="28" t="s">
        <v>459</v>
      </c>
      <c r="E40" s="27"/>
      <c r="F40" s="27" t="n">
        <f aca="false">COUNTIFS('فحص-البرنامج1'!$A:$A,A40,'فحص-البرنامج1'!$I:$I,"&lt;&gt;")</f>
        <v>0</v>
      </c>
      <c r="G40" s="27" t="n">
        <f aca="false">COUNTIFS('فحص-البرنامج1'!$A:$A,A40,'فحص-البرنامج1'!$I:$I,"متوفر")</f>
        <v>0</v>
      </c>
      <c r="H40" s="27" t="n">
        <f aca="false">COUNTIFS('فحص-البرنامج1'!$A:$A,A40,'فحص-البرنامج1'!$Q:$Q,"نعم")</f>
        <v>0</v>
      </c>
      <c r="I40" s="34" t="n">
        <f aca="false">IF($P40=0,0,SUMIFS('فحص-البرنامج1'!$O:$O,'فحص-البرنامج1'!$A:$A,A40)/(5*$P40))</f>
        <v>0</v>
      </c>
      <c r="J40" s="27" t="str">
        <f aca="false">IF(F40=0,"لم يبدأ",IF(F40&lt;$P40,"قيد الفحص",IF(I40&gt;=0.8,"جاهز",IF(I40&gt;=0.5,"جاهز جزئياً","فجوة جوهرية"))))</f>
        <v>لم يبدأ</v>
      </c>
      <c r="K40" s="27" t="n">
        <f aca="false">COUNTIFS('فحص-البرنامج2'!$A:$A,A40,'فحص-البرنامج2'!$I:$I,"&lt;&gt;")</f>
        <v>0</v>
      </c>
      <c r="L40" s="27" t="n">
        <f aca="false">COUNTIFS('فحص-البرنامج2'!$A:$A,A40,'فحص-البرنامج2'!$I:$I,"متوفر")</f>
        <v>0</v>
      </c>
      <c r="M40" s="27" t="n">
        <f aca="false">COUNTIFS('فحص-البرنامج2'!$A:$A,A40,'فحص-البرنامج2'!$Q:$Q,"نعم")</f>
        <v>0</v>
      </c>
      <c r="N40" s="34" t="n">
        <f aca="false">IF($P40=0,0,SUMIFS('فحص-البرنامج2'!$O:$O,'فحص-البرنامج2'!$A:$A,A40)/(5*$P40))</f>
        <v>0</v>
      </c>
      <c r="O40" s="27" t="str">
        <f aca="false">IF(K40=0,"لم يبدأ",IF(K40&lt;$P40,"قيد الفحص",IF(N40&gt;=0.8,"جاهز",IF(N40&gt;=0.5,"جاهز جزئياً","فجوة جوهرية"))))</f>
        <v>لم يبدأ</v>
      </c>
      <c r="P40" s="27" t="n">
        <f aca="false">COUNTIF('فحص-البرنامج1'!$A:$A,A40)</f>
        <v>6</v>
      </c>
    </row>
    <row r="41" customFormat="false" ht="22.35" hidden="false" customHeight="false" outlineLevel="0" collapsed="false">
      <c r="A41" s="31" t="s">
        <v>466</v>
      </c>
      <c r="B41" s="32" t="s">
        <v>145</v>
      </c>
      <c r="C41" s="32" t="s">
        <v>125</v>
      </c>
      <c r="D41" s="32" t="s">
        <v>467</v>
      </c>
      <c r="E41" s="31" t="s">
        <v>185</v>
      </c>
      <c r="F41" s="27" t="n">
        <f aca="false">COUNTIFS('فحص-البرنامج1'!$A:$A,A41,'فحص-البرنامج1'!$I:$I,"&lt;&gt;")</f>
        <v>0</v>
      </c>
      <c r="G41" s="27" t="n">
        <f aca="false">COUNTIFS('فحص-البرنامج1'!$A:$A,A41,'فحص-البرنامج1'!$I:$I,"متوفر")</f>
        <v>0</v>
      </c>
      <c r="H41" s="27" t="n">
        <f aca="false">COUNTIFS('فحص-البرنامج1'!$A:$A,A41,'فحص-البرنامج1'!$Q:$Q,"نعم")</f>
        <v>0</v>
      </c>
      <c r="I41" s="34" t="n">
        <f aca="false">IF($P41=0,0,SUMIFS('فحص-البرنامج1'!$O:$O,'فحص-البرنامج1'!$A:$A,A41)/(5*$P41))</f>
        <v>0</v>
      </c>
      <c r="J41" s="27" t="str">
        <f aca="false">IF(F41=0,"لم يبدأ",IF(F41&lt;$P41,"قيد الفحص",IF(I41&gt;=0.8,"جاهز",IF(I41&gt;=0.5,"جاهز جزئياً","فجوة جوهرية"))))</f>
        <v>لم يبدأ</v>
      </c>
      <c r="K41" s="27" t="n">
        <f aca="false">COUNTIFS('فحص-البرنامج2'!$A:$A,A41,'فحص-البرنامج2'!$I:$I,"&lt;&gt;")</f>
        <v>0</v>
      </c>
      <c r="L41" s="27" t="n">
        <f aca="false">COUNTIFS('فحص-البرنامج2'!$A:$A,A41,'فحص-البرنامج2'!$I:$I,"متوفر")</f>
        <v>0</v>
      </c>
      <c r="M41" s="27" t="n">
        <f aca="false">COUNTIFS('فحص-البرنامج2'!$A:$A,A41,'فحص-البرنامج2'!$Q:$Q,"نعم")</f>
        <v>0</v>
      </c>
      <c r="N41" s="34" t="n">
        <f aca="false">IF($P41=0,0,SUMIFS('فحص-البرنامج2'!$O:$O,'فحص-البرنامج2'!$A:$A,A41)/(5*$P41))</f>
        <v>0</v>
      </c>
      <c r="O41" s="27" t="str">
        <f aca="false">IF(K41=0,"لم يبدأ",IF(K41&lt;$P41,"قيد الفحص",IF(N41&gt;=0.8,"جاهز",IF(N41&gt;=0.5,"جاهز جزئياً","فجوة جوهرية"))))</f>
        <v>لم يبدأ</v>
      </c>
      <c r="P41" s="27" t="n">
        <f aca="false">COUNTIF('فحص-البرنامج1'!$A:$A,A41)</f>
        <v>3</v>
      </c>
    </row>
    <row r="42" customFormat="false" ht="22.35" hidden="false" customHeight="false" outlineLevel="0" collapsed="false">
      <c r="A42" s="31" t="s">
        <v>471</v>
      </c>
      <c r="B42" s="32" t="s">
        <v>146</v>
      </c>
      <c r="C42" s="32" t="s">
        <v>126</v>
      </c>
      <c r="D42" s="32" t="s">
        <v>472</v>
      </c>
      <c r="E42" s="31" t="s">
        <v>185</v>
      </c>
      <c r="F42" s="27" t="n">
        <f aca="false">COUNTIFS('فحص-البرنامج1'!$A:$A,A42,'فحص-البرنامج1'!$I:$I,"&lt;&gt;")</f>
        <v>0</v>
      </c>
      <c r="G42" s="27" t="n">
        <f aca="false">COUNTIFS('فحص-البرنامج1'!$A:$A,A42,'فحص-البرنامج1'!$I:$I,"متوفر")</f>
        <v>0</v>
      </c>
      <c r="H42" s="27" t="n">
        <f aca="false">COUNTIFS('فحص-البرنامج1'!$A:$A,A42,'فحص-البرنامج1'!$Q:$Q,"نعم")</f>
        <v>0</v>
      </c>
      <c r="I42" s="34" t="n">
        <f aca="false">IF($P42=0,0,SUMIFS('فحص-البرنامج1'!$O:$O,'فحص-البرنامج1'!$A:$A,A42)/(5*$P42))</f>
        <v>0</v>
      </c>
      <c r="J42" s="27" t="str">
        <f aca="false">IF(F42=0,"لم يبدأ",IF(F42&lt;$P42,"قيد الفحص",IF(I42&gt;=0.8,"جاهز",IF(I42&gt;=0.5,"جاهز جزئياً","فجوة جوهرية"))))</f>
        <v>لم يبدأ</v>
      </c>
      <c r="K42" s="27" t="n">
        <f aca="false">COUNTIFS('فحص-البرنامج2'!$A:$A,A42,'فحص-البرنامج2'!$I:$I,"&lt;&gt;")</f>
        <v>0</v>
      </c>
      <c r="L42" s="27" t="n">
        <f aca="false">COUNTIFS('فحص-البرنامج2'!$A:$A,A42,'فحص-البرنامج2'!$I:$I,"متوفر")</f>
        <v>0</v>
      </c>
      <c r="M42" s="27" t="n">
        <f aca="false">COUNTIFS('فحص-البرنامج2'!$A:$A,A42,'فحص-البرنامج2'!$Q:$Q,"نعم")</f>
        <v>0</v>
      </c>
      <c r="N42" s="34" t="n">
        <f aca="false">IF($P42=0,0,SUMIFS('فحص-البرنامج2'!$O:$O,'فحص-البرنامج2'!$A:$A,A42)/(5*$P42))</f>
        <v>0</v>
      </c>
      <c r="O42" s="27" t="str">
        <f aca="false">IF(K42=0,"لم يبدأ",IF(K42&lt;$P42,"قيد الفحص",IF(N42&gt;=0.8,"جاهز",IF(N42&gt;=0.5,"جاهز جزئياً","فجوة جوهرية"))))</f>
        <v>لم يبدأ</v>
      </c>
      <c r="P42" s="27" t="n">
        <f aca="false">COUNTIF('فحص-البرنامج1'!$A:$A,A42)</f>
        <v>4</v>
      </c>
    </row>
    <row r="43" customFormat="false" ht="22.35" hidden="false" customHeight="false" outlineLevel="0" collapsed="false">
      <c r="A43" s="27" t="s">
        <v>477</v>
      </c>
      <c r="B43" s="28" t="s">
        <v>146</v>
      </c>
      <c r="C43" s="28" t="s">
        <v>126</v>
      </c>
      <c r="D43" s="28" t="s">
        <v>478</v>
      </c>
      <c r="E43" s="27"/>
      <c r="F43" s="27" t="n">
        <f aca="false">COUNTIFS('فحص-البرنامج1'!$A:$A,A43,'فحص-البرنامج1'!$I:$I,"&lt;&gt;")</f>
        <v>0</v>
      </c>
      <c r="G43" s="27" t="n">
        <f aca="false">COUNTIFS('فحص-البرنامج1'!$A:$A,A43,'فحص-البرنامج1'!$I:$I,"متوفر")</f>
        <v>0</v>
      </c>
      <c r="H43" s="27" t="n">
        <f aca="false">COUNTIFS('فحص-البرنامج1'!$A:$A,A43,'فحص-البرنامج1'!$Q:$Q,"نعم")</f>
        <v>0</v>
      </c>
      <c r="I43" s="34" t="n">
        <f aca="false">IF($P43=0,0,SUMIFS('فحص-البرنامج1'!$O:$O,'فحص-البرنامج1'!$A:$A,A43)/(5*$P43))</f>
        <v>0</v>
      </c>
      <c r="J43" s="27" t="str">
        <f aca="false">IF(F43=0,"لم يبدأ",IF(F43&lt;$P43,"قيد الفحص",IF(I43&gt;=0.8,"جاهز",IF(I43&gt;=0.5,"جاهز جزئياً","فجوة جوهرية"))))</f>
        <v>لم يبدأ</v>
      </c>
      <c r="K43" s="27" t="n">
        <f aca="false">COUNTIFS('فحص-البرنامج2'!$A:$A,A43,'فحص-البرنامج2'!$I:$I,"&lt;&gt;")</f>
        <v>0</v>
      </c>
      <c r="L43" s="27" t="n">
        <f aca="false">COUNTIFS('فحص-البرنامج2'!$A:$A,A43,'فحص-البرنامج2'!$I:$I,"متوفر")</f>
        <v>0</v>
      </c>
      <c r="M43" s="27" t="n">
        <f aca="false">COUNTIFS('فحص-البرنامج2'!$A:$A,A43,'فحص-البرنامج2'!$Q:$Q,"نعم")</f>
        <v>0</v>
      </c>
      <c r="N43" s="34" t="n">
        <f aca="false">IF($P43=0,0,SUMIFS('فحص-البرنامج2'!$O:$O,'فحص-البرنامج2'!$A:$A,A43)/(5*$P43))</f>
        <v>0</v>
      </c>
      <c r="O43" s="27" t="str">
        <f aca="false">IF(K43=0,"لم يبدأ",IF(K43&lt;$P43,"قيد الفحص",IF(N43&gt;=0.8,"جاهز",IF(N43&gt;=0.5,"جاهز جزئياً","فجوة جوهرية"))))</f>
        <v>لم يبدأ</v>
      </c>
      <c r="P43" s="27" t="n">
        <f aca="false">COUNTIF('فحص-البرنامج1'!$A:$A,A43)</f>
        <v>2</v>
      </c>
    </row>
    <row r="44" customFormat="false" ht="22.35" hidden="false" customHeight="false" outlineLevel="0" collapsed="false">
      <c r="A44" s="27" t="s">
        <v>481</v>
      </c>
      <c r="B44" s="28" t="s">
        <v>146</v>
      </c>
      <c r="C44" s="28" t="s">
        <v>126</v>
      </c>
      <c r="D44" s="28" t="s">
        <v>482</v>
      </c>
      <c r="E44" s="27"/>
      <c r="F44" s="27" t="n">
        <f aca="false">COUNTIFS('فحص-البرنامج1'!$A:$A,A44,'فحص-البرنامج1'!$I:$I,"&lt;&gt;")</f>
        <v>0</v>
      </c>
      <c r="G44" s="27" t="n">
        <f aca="false">COUNTIFS('فحص-البرنامج1'!$A:$A,A44,'فحص-البرنامج1'!$I:$I,"متوفر")</f>
        <v>0</v>
      </c>
      <c r="H44" s="27" t="n">
        <f aca="false">COUNTIFS('فحص-البرنامج1'!$A:$A,A44,'فحص-البرنامج1'!$Q:$Q,"نعم")</f>
        <v>0</v>
      </c>
      <c r="I44" s="34" t="n">
        <f aca="false">IF($P44=0,0,SUMIFS('فحص-البرنامج1'!$O:$O,'فحص-البرنامج1'!$A:$A,A44)/(5*$P44))</f>
        <v>0</v>
      </c>
      <c r="J44" s="27" t="str">
        <f aca="false">IF(F44=0,"لم يبدأ",IF(F44&lt;$P44,"قيد الفحص",IF(I44&gt;=0.8,"جاهز",IF(I44&gt;=0.5,"جاهز جزئياً","فجوة جوهرية"))))</f>
        <v>لم يبدأ</v>
      </c>
      <c r="K44" s="27" t="n">
        <f aca="false">COUNTIFS('فحص-البرنامج2'!$A:$A,A44,'فحص-البرنامج2'!$I:$I,"&lt;&gt;")</f>
        <v>0</v>
      </c>
      <c r="L44" s="27" t="n">
        <f aca="false">COUNTIFS('فحص-البرنامج2'!$A:$A,A44,'فحص-البرنامج2'!$I:$I,"متوفر")</f>
        <v>0</v>
      </c>
      <c r="M44" s="27" t="n">
        <f aca="false">COUNTIFS('فحص-البرنامج2'!$A:$A,A44,'فحص-البرنامج2'!$Q:$Q,"نعم")</f>
        <v>0</v>
      </c>
      <c r="N44" s="34" t="n">
        <f aca="false">IF($P44=0,0,SUMIFS('فحص-البرنامج2'!$O:$O,'فحص-البرنامج2'!$A:$A,A44)/(5*$P44))</f>
        <v>0</v>
      </c>
      <c r="O44" s="27" t="str">
        <f aca="false">IF(K44=0,"لم يبدأ",IF(K44&lt;$P44,"قيد الفحص",IF(N44&gt;=0.8,"جاهز",IF(N44&gt;=0.5,"جاهز جزئياً","فجوة جوهرية"))))</f>
        <v>لم يبدأ</v>
      </c>
      <c r="P44" s="27" t="n">
        <f aca="false">COUNTIF('فحص-البرنامج1'!$A:$A,A44)</f>
        <v>7</v>
      </c>
    </row>
    <row r="45" customFormat="false" ht="22.35" hidden="false" customHeight="false" outlineLevel="0" collapsed="false">
      <c r="A45" s="27" t="s">
        <v>490</v>
      </c>
      <c r="B45" s="28" t="s">
        <v>146</v>
      </c>
      <c r="C45" s="28" t="s">
        <v>126</v>
      </c>
      <c r="D45" s="28" t="s">
        <v>491</v>
      </c>
      <c r="E45" s="27"/>
      <c r="F45" s="27" t="n">
        <f aca="false">COUNTIFS('فحص-البرنامج1'!$A:$A,A45,'فحص-البرنامج1'!$I:$I,"&lt;&gt;")</f>
        <v>0</v>
      </c>
      <c r="G45" s="27" t="n">
        <f aca="false">COUNTIFS('فحص-البرنامج1'!$A:$A,A45,'فحص-البرنامج1'!$I:$I,"متوفر")</f>
        <v>0</v>
      </c>
      <c r="H45" s="27" t="n">
        <f aca="false">COUNTIFS('فحص-البرنامج1'!$A:$A,A45,'فحص-البرنامج1'!$Q:$Q,"نعم")</f>
        <v>0</v>
      </c>
      <c r="I45" s="34" t="n">
        <f aca="false">IF($P45=0,0,SUMIFS('فحص-البرنامج1'!$O:$O,'فحص-البرنامج1'!$A:$A,A45)/(5*$P45))</f>
        <v>0</v>
      </c>
      <c r="J45" s="27" t="str">
        <f aca="false">IF(F45=0,"لم يبدأ",IF(F45&lt;$P45,"قيد الفحص",IF(I45&gt;=0.8,"جاهز",IF(I45&gt;=0.5,"جاهز جزئياً","فجوة جوهرية"))))</f>
        <v>لم يبدأ</v>
      </c>
      <c r="K45" s="27" t="n">
        <f aca="false">COUNTIFS('فحص-البرنامج2'!$A:$A,A45,'فحص-البرنامج2'!$I:$I,"&lt;&gt;")</f>
        <v>0</v>
      </c>
      <c r="L45" s="27" t="n">
        <f aca="false">COUNTIFS('فحص-البرنامج2'!$A:$A,A45,'فحص-البرنامج2'!$I:$I,"متوفر")</f>
        <v>0</v>
      </c>
      <c r="M45" s="27" t="n">
        <f aca="false">COUNTIFS('فحص-البرنامج2'!$A:$A,A45,'فحص-البرنامج2'!$Q:$Q,"نعم")</f>
        <v>0</v>
      </c>
      <c r="N45" s="34" t="n">
        <f aca="false">IF($P45=0,0,SUMIFS('فحص-البرنامج2'!$O:$O,'فحص-البرنامج2'!$A:$A,A45)/(5*$P45))</f>
        <v>0</v>
      </c>
      <c r="O45" s="27" t="str">
        <f aca="false">IF(K45=0,"لم يبدأ",IF(K45&lt;$P45,"قيد الفحص",IF(N45&gt;=0.8,"جاهز",IF(N45&gt;=0.5,"جاهز جزئياً","فجوة جوهرية"))))</f>
        <v>لم يبدأ</v>
      </c>
      <c r="P45" s="27" t="n">
        <f aca="false">COUNTIF('فحص-البرنامج1'!$A:$A,A45)</f>
        <v>3</v>
      </c>
    </row>
    <row r="46" customFormat="false" ht="22.35" hidden="false" customHeight="false" outlineLevel="0" collapsed="false">
      <c r="A46" s="27" t="s">
        <v>495</v>
      </c>
      <c r="B46" s="28" t="s">
        <v>146</v>
      </c>
      <c r="C46" s="28" t="s">
        <v>126</v>
      </c>
      <c r="D46" s="28" t="s">
        <v>496</v>
      </c>
      <c r="E46" s="27"/>
      <c r="F46" s="27" t="n">
        <f aca="false">COUNTIFS('فحص-البرنامج1'!$A:$A,A46,'فحص-البرنامج1'!$I:$I,"&lt;&gt;")</f>
        <v>0</v>
      </c>
      <c r="G46" s="27" t="n">
        <f aca="false">COUNTIFS('فحص-البرنامج1'!$A:$A,A46,'فحص-البرنامج1'!$I:$I,"متوفر")</f>
        <v>0</v>
      </c>
      <c r="H46" s="27" t="n">
        <f aca="false">COUNTIFS('فحص-البرنامج1'!$A:$A,A46,'فحص-البرنامج1'!$Q:$Q,"نعم")</f>
        <v>0</v>
      </c>
      <c r="I46" s="34" t="n">
        <f aca="false">IF($P46=0,0,SUMIFS('فحص-البرنامج1'!$O:$O,'فحص-البرنامج1'!$A:$A,A46)/(5*$P46))</f>
        <v>0</v>
      </c>
      <c r="J46" s="27" t="str">
        <f aca="false">IF(F46=0,"لم يبدأ",IF(F46&lt;$P46,"قيد الفحص",IF(I46&gt;=0.8,"جاهز",IF(I46&gt;=0.5,"جاهز جزئياً","فجوة جوهرية"))))</f>
        <v>لم يبدأ</v>
      </c>
      <c r="K46" s="27" t="n">
        <f aca="false">COUNTIFS('فحص-البرنامج2'!$A:$A,A46,'فحص-البرنامج2'!$I:$I,"&lt;&gt;")</f>
        <v>0</v>
      </c>
      <c r="L46" s="27" t="n">
        <f aca="false">COUNTIFS('فحص-البرنامج2'!$A:$A,A46,'فحص-البرنامج2'!$I:$I,"متوفر")</f>
        <v>0</v>
      </c>
      <c r="M46" s="27" t="n">
        <f aca="false">COUNTIFS('فحص-البرنامج2'!$A:$A,A46,'فحص-البرنامج2'!$Q:$Q,"نعم")</f>
        <v>0</v>
      </c>
      <c r="N46" s="34" t="n">
        <f aca="false">IF($P46=0,0,SUMIFS('فحص-البرنامج2'!$O:$O,'فحص-البرنامج2'!$A:$A,A46)/(5*$P46))</f>
        <v>0</v>
      </c>
      <c r="O46" s="27" t="str">
        <f aca="false">IF(K46=0,"لم يبدأ",IF(K46&lt;$P46,"قيد الفحص",IF(N46&gt;=0.8,"جاهز",IF(N46&gt;=0.5,"جاهز جزئياً","فجوة جوهرية"))))</f>
        <v>لم يبدأ</v>
      </c>
      <c r="P46" s="27" t="n">
        <f aca="false">COUNTIF('فحص-البرنامج1'!$A:$A,A46)</f>
        <v>5</v>
      </c>
    </row>
    <row r="47" customFormat="false" ht="22.35" hidden="false" customHeight="false" outlineLevel="0" collapsed="false">
      <c r="A47" s="27" t="s">
        <v>502</v>
      </c>
      <c r="B47" s="28" t="s">
        <v>146</v>
      </c>
      <c r="C47" s="28" t="s">
        <v>126</v>
      </c>
      <c r="D47" s="28" t="s">
        <v>503</v>
      </c>
      <c r="E47" s="27"/>
      <c r="F47" s="27" t="n">
        <f aca="false">COUNTIFS('فحص-البرنامج1'!$A:$A,A47,'فحص-البرنامج1'!$I:$I,"&lt;&gt;")</f>
        <v>0</v>
      </c>
      <c r="G47" s="27" t="n">
        <f aca="false">COUNTIFS('فحص-البرنامج1'!$A:$A,A47,'فحص-البرنامج1'!$I:$I,"متوفر")</f>
        <v>0</v>
      </c>
      <c r="H47" s="27" t="n">
        <f aca="false">COUNTIFS('فحص-البرنامج1'!$A:$A,A47,'فحص-البرنامج1'!$Q:$Q,"نعم")</f>
        <v>0</v>
      </c>
      <c r="I47" s="34" t="n">
        <f aca="false">IF($P47=0,0,SUMIFS('فحص-البرنامج1'!$O:$O,'فحص-البرنامج1'!$A:$A,A47)/(5*$P47))</f>
        <v>0</v>
      </c>
      <c r="J47" s="27" t="str">
        <f aca="false">IF(F47=0,"لم يبدأ",IF(F47&lt;$P47,"قيد الفحص",IF(I47&gt;=0.8,"جاهز",IF(I47&gt;=0.5,"جاهز جزئياً","فجوة جوهرية"))))</f>
        <v>لم يبدأ</v>
      </c>
      <c r="K47" s="27" t="n">
        <f aca="false">COUNTIFS('فحص-البرنامج2'!$A:$A,A47,'فحص-البرنامج2'!$I:$I,"&lt;&gt;")</f>
        <v>0</v>
      </c>
      <c r="L47" s="27" t="n">
        <f aca="false">COUNTIFS('فحص-البرنامج2'!$A:$A,A47,'فحص-البرنامج2'!$I:$I,"متوفر")</f>
        <v>0</v>
      </c>
      <c r="M47" s="27" t="n">
        <f aca="false">COUNTIFS('فحص-البرنامج2'!$A:$A,A47,'فحص-البرنامج2'!$Q:$Q,"نعم")</f>
        <v>0</v>
      </c>
      <c r="N47" s="34" t="n">
        <f aca="false">IF($P47=0,0,SUMIFS('فحص-البرنامج2'!$O:$O,'فحص-البرنامج2'!$A:$A,A47)/(5*$P47))</f>
        <v>0</v>
      </c>
      <c r="O47" s="27" t="str">
        <f aca="false">IF(K47=0,"لم يبدأ",IF(K47&lt;$P47,"قيد الفحص",IF(N47&gt;=0.8,"جاهز",IF(N47&gt;=0.5,"جاهز جزئياً","فجوة جوهرية"))))</f>
        <v>لم يبدأ</v>
      </c>
      <c r="P47" s="27" t="n">
        <f aca="false">COUNTIF('فحص-البرنامج1'!$A:$A,A47)</f>
        <v>5</v>
      </c>
    </row>
    <row r="48" customFormat="false" ht="22.35" hidden="false" customHeight="false" outlineLevel="0" collapsed="false">
      <c r="A48" s="27" t="s">
        <v>509</v>
      </c>
      <c r="B48" s="28" t="s">
        <v>147</v>
      </c>
      <c r="C48" s="28" t="s">
        <v>127</v>
      </c>
      <c r="D48" s="28" t="s">
        <v>510</v>
      </c>
      <c r="E48" s="27"/>
      <c r="F48" s="27" t="n">
        <f aca="false">COUNTIFS('فحص-البرنامج1'!$A:$A,A48,'فحص-البرنامج1'!$I:$I,"&lt;&gt;")</f>
        <v>0</v>
      </c>
      <c r="G48" s="27" t="n">
        <f aca="false">COUNTIFS('فحص-البرنامج1'!$A:$A,A48,'فحص-البرنامج1'!$I:$I,"متوفر")</f>
        <v>0</v>
      </c>
      <c r="H48" s="27" t="n">
        <f aca="false">COUNTIFS('فحص-البرنامج1'!$A:$A,A48,'فحص-البرنامج1'!$Q:$Q,"نعم")</f>
        <v>0</v>
      </c>
      <c r="I48" s="34" t="n">
        <f aca="false">IF($P48=0,0,SUMIFS('فحص-البرنامج1'!$O:$O,'فحص-البرنامج1'!$A:$A,A48)/(5*$P48))</f>
        <v>0</v>
      </c>
      <c r="J48" s="27" t="str">
        <f aca="false">IF(F48=0,"لم يبدأ",IF(F48&lt;$P48,"قيد الفحص",IF(I48&gt;=0.8,"جاهز",IF(I48&gt;=0.5,"جاهز جزئياً","فجوة جوهرية"))))</f>
        <v>لم يبدأ</v>
      </c>
      <c r="K48" s="27" t="n">
        <f aca="false">COUNTIFS('فحص-البرنامج2'!$A:$A,A48,'فحص-البرنامج2'!$I:$I,"&lt;&gt;")</f>
        <v>0</v>
      </c>
      <c r="L48" s="27" t="n">
        <f aca="false">COUNTIFS('فحص-البرنامج2'!$A:$A,A48,'فحص-البرنامج2'!$I:$I,"متوفر")</f>
        <v>0</v>
      </c>
      <c r="M48" s="27" t="n">
        <f aca="false">COUNTIFS('فحص-البرنامج2'!$A:$A,A48,'فحص-البرنامج2'!$Q:$Q,"نعم")</f>
        <v>0</v>
      </c>
      <c r="N48" s="34" t="n">
        <f aca="false">IF($P48=0,0,SUMIFS('فحص-البرنامج2'!$O:$O,'فحص-البرنامج2'!$A:$A,A48)/(5*$P48))</f>
        <v>0</v>
      </c>
      <c r="O48" s="27" t="str">
        <f aca="false">IF(K48=0,"لم يبدأ",IF(K48&lt;$P48,"قيد الفحص",IF(N48&gt;=0.8,"جاهز",IF(N48&gt;=0.5,"جاهز جزئياً","فجوة جوهرية"))))</f>
        <v>لم يبدأ</v>
      </c>
      <c r="P48" s="27" t="n">
        <f aca="false">COUNTIF('فحص-البرنامج1'!$A:$A,A48)</f>
        <v>3</v>
      </c>
    </row>
    <row r="49" customFormat="false" ht="22.35" hidden="false" customHeight="false" outlineLevel="0" collapsed="false">
      <c r="A49" s="27" t="s">
        <v>514</v>
      </c>
      <c r="B49" s="28" t="s">
        <v>147</v>
      </c>
      <c r="C49" s="28" t="s">
        <v>127</v>
      </c>
      <c r="D49" s="28" t="s">
        <v>515</v>
      </c>
      <c r="E49" s="27"/>
      <c r="F49" s="27" t="n">
        <f aca="false">COUNTIFS('فحص-البرنامج1'!$A:$A,A49,'فحص-البرنامج1'!$I:$I,"&lt;&gt;")</f>
        <v>0</v>
      </c>
      <c r="G49" s="27" t="n">
        <f aca="false">COUNTIFS('فحص-البرنامج1'!$A:$A,A49,'فحص-البرنامج1'!$I:$I,"متوفر")</f>
        <v>0</v>
      </c>
      <c r="H49" s="27" t="n">
        <f aca="false">COUNTIFS('فحص-البرنامج1'!$A:$A,A49,'فحص-البرنامج1'!$Q:$Q,"نعم")</f>
        <v>0</v>
      </c>
      <c r="I49" s="34" t="n">
        <f aca="false">IF($P49=0,0,SUMIFS('فحص-البرنامج1'!$O:$O,'فحص-البرنامج1'!$A:$A,A49)/(5*$P49))</f>
        <v>0</v>
      </c>
      <c r="J49" s="27" t="str">
        <f aca="false">IF(F49=0,"لم يبدأ",IF(F49&lt;$P49,"قيد الفحص",IF(I49&gt;=0.8,"جاهز",IF(I49&gt;=0.5,"جاهز جزئياً","فجوة جوهرية"))))</f>
        <v>لم يبدأ</v>
      </c>
      <c r="K49" s="27" t="n">
        <f aca="false">COUNTIFS('فحص-البرنامج2'!$A:$A,A49,'فحص-البرنامج2'!$I:$I,"&lt;&gt;")</f>
        <v>0</v>
      </c>
      <c r="L49" s="27" t="n">
        <f aca="false">COUNTIFS('فحص-البرنامج2'!$A:$A,A49,'فحص-البرنامج2'!$I:$I,"متوفر")</f>
        <v>0</v>
      </c>
      <c r="M49" s="27" t="n">
        <f aca="false">COUNTIFS('فحص-البرنامج2'!$A:$A,A49,'فحص-البرنامج2'!$Q:$Q,"نعم")</f>
        <v>0</v>
      </c>
      <c r="N49" s="34" t="n">
        <f aca="false">IF($P49=0,0,SUMIFS('فحص-البرنامج2'!$O:$O,'فحص-البرنامج2'!$A:$A,A49)/(5*$P49))</f>
        <v>0</v>
      </c>
      <c r="O49" s="27" t="str">
        <f aca="false">IF(K49=0,"لم يبدأ",IF(K49&lt;$P49,"قيد الفحص",IF(N49&gt;=0.8,"جاهز",IF(N49&gt;=0.5,"جاهز جزئياً","فجوة جوهرية"))))</f>
        <v>لم يبدأ</v>
      </c>
      <c r="P49" s="27" t="n">
        <f aca="false">COUNTIF('فحص-البرنامج1'!$A:$A,A49)</f>
        <v>3</v>
      </c>
    </row>
    <row r="50" customFormat="false" ht="32.8" hidden="false" customHeight="false" outlineLevel="0" collapsed="false">
      <c r="A50" s="31" t="s">
        <v>519</v>
      </c>
      <c r="B50" s="32" t="s">
        <v>147</v>
      </c>
      <c r="C50" s="32" t="s">
        <v>127</v>
      </c>
      <c r="D50" s="32" t="s">
        <v>520</v>
      </c>
      <c r="E50" s="31" t="s">
        <v>185</v>
      </c>
      <c r="F50" s="27" t="n">
        <f aca="false">COUNTIFS('فحص-البرنامج1'!$A:$A,A50,'فحص-البرنامج1'!$I:$I,"&lt;&gt;")</f>
        <v>0</v>
      </c>
      <c r="G50" s="27" t="n">
        <f aca="false">COUNTIFS('فحص-البرنامج1'!$A:$A,A50,'فحص-البرنامج1'!$I:$I,"متوفر")</f>
        <v>0</v>
      </c>
      <c r="H50" s="27" t="n">
        <f aca="false">COUNTIFS('فحص-البرنامج1'!$A:$A,A50,'فحص-البرنامج1'!$Q:$Q,"نعم")</f>
        <v>0</v>
      </c>
      <c r="I50" s="34" t="n">
        <f aca="false">IF($P50=0,0,SUMIFS('فحص-البرنامج1'!$O:$O,'فحص-البرنامج1'!$A:$A,A50)/(5*$P50))</f>
        <v>0</v>
      </c>
      <c r="J50" s="27" t="str">
        <f aca="false">IF(F50=0,"لم يبدأ",IF(F50&lt;$P50,"قيد الفحص",IF(I50&gt;=0.8,"جاهز",IF(I50&gt;=0.5,"جاهز جزئياً","فجوة جوهرية"))))</f>
        <v>لم يبدأ</v>
      </c>
      <c r="K50" s="27" t="n">
        <f aca="false">COUNTIFS('فحص-البرنامج2'!$A:$A,A50,'فحص-البرنامج2'!$I:$I,"&lt;&gt;")</f>
        <v>0</v>
      </c>
      <c r="L50" s="27" t="n">
        <f aca="false">COUNTIFS('فحص-البرنامج2'!$A:$A,A50,'فحص-البرنامج2'!$I:$I,"متوفر")</f>
        <v>0</v>
      </c>
      <c r="M50" s="27" t="n">
        <f aca="false">COUNTIFS('فحص-البرنامج2'!$A:$A,A50,'فحص-البرنامج2'!$Q:$Q,"نعم")</f>
        <v>0</v>
      </c>
      <c r="N50" s="34" t="n">
        <f aca="false">IF($P50=0,0,SUMIFS('فحص-البرنامج2'!$O:$O,'فحص-البرنامج2'!$A:$A,A50)/(5*$P50))</f>
        <v>0</v>
      </c>
      <c r="O50" s="27" t="str">
        <f aca="false">IF(K50=0,"لم يبدأ",IF(K50&lt;$P50,"قيد الفحص",IF(N50&gt;=0.8,"جاهز",IF(N50&gt;=0.5,"جاهز جزئياً","فجوة جوهرية"))))</f>
        <v>لم يبدأ</v>
      </c>
      <c r="P50" s="27" t="n">
        <f aca="false">COUNTIF('فحص-البرنامج1'!$A:$A,A50)</f>
        <v>6</v>
      </c>
    </row>
    <row r="51" customFormat="false" ht="22.35" hidden="false" customHeight="false" outlineLevel="0" collapsed="false">
      <c r="A51" s="27" t="s">
        <v>527</v>
      </c>
      <c r="B51" s="28" t="s">
        <v>147</v>
      </c>
      <c r="C51" s="28" t="s">
        <v>127</v>
      </c>
      <c r="D51" s="28" t="s">
        <v>528</v>
      </c>
      <c r="E51" s="27"/>
      <c r="F51" s="27" t="n">
        <f aca="false">COUNTIFS('فحص-البرنامج1'!$A:$A,A51,'فحص-البرنامج1'!$I:$I,"&lt;&gt;")</f>
        <v>0</v>
      </c>
      <c r="G51" s="27" t="n">
        <f aca="false">COUNTIFS('فحص-البرنامج1'!$A:$A,A51,'فحص-البرنامج1'!$I:$I,"متوفر")</f>
        <v>0</v>
      </c>
      <c r="H51" s="27" t="n">
        <f aca="false">COUNTIFS('فحص-البرنامج1'!$A:$A,A51,'فحص-البرنامج1'!$Q:$Q,"نعم")</f>
        <v>0</v>
      </c>
      <c r="I51" s="34" t="n">
        <f aca="false">IF($P51=0,0,SUMIFS('فحص-البرنامج1'!$O:$O,'فحص-البرنامج1'!$A:$A,A51)/(5*$P51))</f>
        <v>0</v>
      </c>
      <c r="J51" s="27" t="str">
        <f aca="false">IF(F51=0,"لم يبدأ",IF(F51&lt;$P51,"قيد الفحص",IF(I51&gt;=0.8,"جاهز",IF(I51&gt;=0.5,"جاهز جزئياً","فجوة جوهرية"))))</f>
        <v>لم يبدأ</v>
      </c>
      <c r="K51" s="27" t="n">
        <f aca="false">COUNTIFS('فحص-البرنامج2'!$A:$A,A51,'فحص-البرنامج2'!$I:$I,"&lt;&gt;")</f>
        <v>0</v>
      </c>
      <c r="L51" s="27" t="n">
        <f aca="false">COUNTIFS('فحص-البرنامج2'!$A:$A,A51,'فحص-البرنامج2'!$I:$I,"متوفر")</f>
        <v>0</v>
      </c>
      <c r="M51" s="27" t="n">
        <f aca="false">COUNTIFS('فحص-البرنامج2'!$A:$A,A51,'فحص-البرنامج2'!$Q:$Q,"نعم")</f>
        <v>0</v>
      </c>
      <c r="N51" s="34" t="n">
        <f aca="false">IF($P51=0,0,SUMIFS('فحص-البرنامج2'!$O:$O,'فحص-البرنامج2'!$A:$A,A51)/(5*$P51))</f>
        <v>0</v>
      </c>
      <c r="O51" s="27" t="str">
        <f aca="false">IF(K51=0,"لم يبدأ",IF(K51&lt;$P51,"قيد الفحص",IF(N51&gt;=0.8,"جاهز",IF(N51&gt;=0.5,"جاهز جزئياً","فجوة جوهرية"))))</f>
        <v>لم يبدأ</v>
      </c>
      <c r="P51" s="27" t="n">
        <f aca="false">COUNTIF('فحص-البرنامج1'!$A:$A,A51)</f>
        <v>5</v>
      </c>
    </row>
    <row r="52" customFormat="false" ht="22.35" hidden="false" customHeight="false" outlineLevel="0" collapsed="false">
      <c r="A52" s="27" t="s">
        <v>534</v>
      </c>
      <c r="B52" s="28" t="s">
        <v>147</v>
      </c>
      <c r="C52" s="28" t="s">
        <v>127</v>
      </c>
      <c r="D52" s="28" t="s">
        <v>535</v>
      </c>
      <c r="E52" s="27"/>
      <c r="F52" s="27" t="n">
        <f aca="false">COUNTIFS('فحص-البرنامج1'!$A:$A,A52,'فحص-البرنامج1'!$I:$I,"&lt;&gt;")</f>
        <v>0</v>
      </c>
      <c r="G52" s="27" t="n">
        <f aca="false">COUNTIFS('فحص-البرنامج1'!$A:$A,A52,'فحص-البرنامج1'!$I:$I,"متوفر")</f>
        <v>0</v>
      </c>
      <c r="H52" s="27" t="n">
        <f aca="false">COUNTIFS('فحص-البرنامج1'!$A:$A,A52,'فحص-البرنامج1'!$Q:$Q,"نعم")</f>
        <v>0</v>
      </c>
      <c r="I52" s="34" t="n">
        <f aca="false">IF($P52=0,0,SUMIFS('فحص-البرنامج1'!$O:$O,'فحص-البرنامج1'!$A:$A,A52)/(5*$P52))</f>
        <v>0</v>
      </c>
      <c r="J52" s="27" t="str">
        <f aca="false">IF(F52=0,"لم يبدأ",IF(F52&lt;$P52,"قيد الفحص",IF(I52&gt;=0.8,"جاهز",IF(I52&gt;=0.5,"جاهز جزئياً","فجوة جوهرية"))))</f>
        <v>لم يبدأ</v>
      </c>
      <c r="K52" s="27" t="n">
        <f aca="false">COUNTIFS('فحص-البرنامج2'!$A:$A,A52,'فحص-البرنامج2'!$I:$I,"&lt;&gt;")</f>
        <v>0</v>
      </c>
      <c r="L52" s="27" t="n">
        <f aca="false">COUNTIFS('فحص-البرنامج2'!$A:$A,A52,'فحص-البرنامج2'!$I:$I,"متوفر")</f>
        <v>0</v>
      </c>
      <c r="M52" s="27" t="n">
        <f aca="false">COUNTIFS('فحص-البرنامج2'!$A:$A,A52,'فحص-البرنامج2'!$Q:$Q,"نعم")</f>
        <v>0</v>
      </c>
      <c r="N52" s="34" t="n">
        <f aca="false">IF($P52=0,0,SUMIFS('فحص-البرنامج2'!$O:$O,'فحص-البرنامج2'!$A:$A,A52)/(5*$P52))</f>
        <v>0</v>
      </c>
      <c r="O52" s="27" t="str">
        <f aca="false">IF(K52=0,"لم يبدأ",IF(K52&lt;$P52,"قيد الفحص",IF(N52&gt;=0.8,"جاهز",IF(N52&gt;=0.5,"جاهز جزئياً","فجوة جوهرية"))))</f>
        <v>لم يبدأ</v>
      </c>
      <c r="P52" s="27" t="n">
        <f aca="false">COUNTIF('فحص-البرنامج1'!$A:$A,A52)</f>
        <v>2</v>
      </c>
    </row>
    <row r="54" customFormat="false" ht="15" hidden="false" customHeight="false" outlineLevel="0" collapsed="false">
      <c r="A54" s="22" t="s">
        <v>542</v>
      </c>
    </row>
  </sheetData>
  <autoFilter ref="A4:P52"/>
  <mergeCells count="4">
    <mergeCell ref="A1:O1"/>
    <mergeCell ref="A2:O2"/>
    <mergeCell ref="F3:J3"/>
    <mergeCell ref="K3:O3"/>
  </mergeCells>
  <conditionalFormatting sqref="J5:J52">
    <cfRule type="cellIs" priority="2" operator="equal" aboveAverage="0" equalAverage="0" bottom="0" percent="0" rank="0" text="" dxfId="1">
      <formula>"جاهز"</formula>
    </cfRule>
    <cfRule type="cellIs" priority="3" operator="equal" aboveAverage="0" equalAverage="0" bottom="0" percent="0" rank="0" text="" dxfId="13">
      <formula>"جاهز جزئياً"</formula>
    </cfRule>
    <cfRule type="cellIs" priority="4" operator="equal" aboveAverage="0" equalAverage="0" bottom="0" percent="0" rank="0" text="" dxfId="12">
      <formula>"فجوة جوهرية"</formula>
    </cfRule>
  </conditionalFormatting>
  <conditionalFormatting sqref="O5:O52">
    <cfRule type="cellIs" priority="5" operator="equal" aboveAverage="0" equalAverage="0" bottom="0" percent="0" rank="0" text="" dxfId="1">
      <formula>"جاهز"</formula>
    </cfRule>
    <cfRule type="cellIs" priority="6" operator="equal" aboveAverage="0" equalAverage="0" bottom="0" percent="0" rank="0" text="" dxfId="13">
      <formula>"جاهز جزئياً"</formula>
    </cfRule>
    <cfRule type="cellIs" priority="7" operator="equal" aboveAverage="0" equalAverage="0" bottom="0" percent="0" rank="0" text="" dxfId="12">
      <formula>"فجوة جوهرية"</formula>
    </cfRule>
  </conditionalFormatting>
  <conditionalFormatting sqref="I5:I52">
    <cfRule type="dataBar" priority="8">
      <dataBar showValue="1" minLength="10" maxLength="90">
        <cfvo type="num" val="0"/>
        <cfvo type="num" val="1"/>
        <color rgb="FF5B9BD5"/>
      </dataBar>
      <extLst>
        <ext xmlns:x14="http://schemas.microsoft.com/office/spreadsheetml/2009/9/main" uri="{B025F937-C7B1-47D3-B67F-A62EFF666E3E}">
          <x14:id>{922BDDB1-4797-4E65-8CCA-B0C170DA1626}</x14:id>
        </ext>
      </extLst>
    </cfRule>
  </conditionalFormatting>
  <conditionalFormatting sqref="N5:N52">
    <cfRule type="dataBar" priority="9">
      <dataBar showValue="1" minLength="10" maxLength="90">
        <cfvo type="num" val="0"/>
        <cfvo type="num" val="1"/>
        <color rgb="FF5B9BD5"/>
      </dataBar>
      <extLst>
        <ext xmlns:x14="http://schemas.microsoft.com/office/spreadsheetml/2009/9/main" uri="{B025F937-C7B1-47D3-B67F-A62EFF666E3E}">
          <x14:id>{295D2BC7-9EFA-4EE2-A139-B55C4EF01D2B}</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922BDDB1-4797-4E65-8CCA-B0C170DA1626}">
            <x14:dataBar minLength="10" maxLength="90" axisPosition="none" gradient="true">
              <x14:cfvo type="num">
                <xm:f>0</xm:f>
              </x14:cfvo>
              <x14:cfvo type="num">
                <xm:f>1</xm:f>
              </x14:cfvo>
              <x14:negativeFillColor rgb="FF5B9BD5"/>
              <x14:axisColor rgb="FF000000"/>
            </x14:dataBar>
          </x14:cfRule>
          <xm:sqref>I5:I52</xm:sqref>
        </x14:conditionalFormatting>
        <x14:conditionalFormatting xmlns:xm="http://schemas.microsoft.com/office/excel/2006/main">
          <x14:cfRule type="dataBar" id="{295D2BC7-9EFA-4EE2-A139-B55C4EF01D2B}">
            <x14:dataBar minLength="10" maxLength="90" axisPosition="none" gradient="true">
              <x14:cfvo type="num">
                <xm:f>0</xm:f>
              </x14:cfvo>
              <x14:cfvo type="num">
                <xm:f>1</xm:f>
              </x14:cfvo>
              <x14:negativeFillColor rgb="FF5B9BD5"/>
              <x14:axisColor rgb="FF000000"/>
            </x14:dataBar>
          </x14:cfRule>
          <xm:sqref>N5:N52</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P12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8"/>
    <col collapsed="false" customWidth="true" hidden="false" outlineLevel="0" max="3" min="3" style="0" width="10"/>
    <col collapsed="false" customWidth="true" hidden="false" outlineLevel="0" max="4" min="4" style="0" width="9"/>
    <col collapsed="false" customWidth="true" hidden="false" outlineLevel="0" max="5" min="5" style="0" width="32"/>
    <col collapsed="false" customWidth="true" hidden="false" outlineLevel="0" max="6" min="6" style="0" width="18"/>
    <col collapsed="false" customWidth="true" hidden="false" outlineLevel="0" max="7" min="7" style="0" width="34"/>
    <col collapsed="false" customWidth="true" hidden="false" outlineLevel="0" max="8" min="8" style="0" width="26"/>
    <col collapsed="false" customWidth="true" hidden="false" outlineLevel="0" max="9" min="9" style="0" width="16"/>
    <col collapsed="false" customWidth="true" hidden="false" outlineLevel="0" max="10" min="10" style="0" width="9"/>
    <col collapsed="false" customWidth="true" hidden="false" outlineLevel="0" max="11" min="11" style="0" width="34"/>
    <col collapsed="false" customWidth="true" hidden="false" outlineLevel="0" max="12" min="12" style="0" width="14"/>
    <col collapsed="false" customWidth="true" hidden="false" outlineLevel="0" max="13" min="13" style="0" width="18"/>
    <col collapsed="false" customWidth="true" hidden="false" outlineLevel="0" max="14" min="14" style="0" width="13"/>
    <col collapsed="false" customWidth="true" hidden="false" outlineLevel="0" max="15" min="15" style="0" width="12"/>
    <col collapsed="false" customWidth="true" hidden="false" outlineLevel="0" max="16" min="16" style="0" width="22"/>
  </cols>
  <sheetData>
    <row r="1" customFormat="false" ht="18.55" hidden="false" customHeight="false" outlineLevel="0" collapsed="false">
      <c r="A1" s="1" t="s">
        <v>543</v>
      </c>
      <c r="B1" s="1"/>
      <c r="C1" s="1"/>
      <c r="D1" s="1"/>
      <c r="E1" s="1"/>
      <c r="F1" s="1"/>
      <c r="G1" s="1"/>
      <c r="H1" s="1"/>
      <c r="I1" s="1"/>
      <c r="J1" s="1"/>
      <c r="K1" s="1"/>
      <c r="L1" s="1"/>
      <c r="M1" s="1"/>
      <c r="N1" s="1"/>
      <c r="O1" s="1"/>
    </row>
    <row r="2" customFormat="false" ht="15" hidden="false" customHeight="false" outlineLevel="0" collapsed="false">
      <c r="A2" s="2" t="s">
        <v>544</v>
      </c>
      <c r="B2" s="2"/>
      <c r="C2" s="2"/>
      <c r="D2" s="2"/>
      <c r="E2" s="2"/>
      <c r="F2" s="2"/>
      <c r="G2" s="2"/>
      <c r="H2" s="2"/>
      <c r="I2" s="2"/>
      <c r="J2" s="2"/>
      <c r="K2" s="2"/>
      <c r="L2" s="2"/>
      <c r="M2" s="2"/>
      <c r="N2" s="2"/>
      <c r="O2" s="2"/>
    </row>
    <row r="4" customFormat="false" ht="30" hidden="false" customHeight="true" outlineLevel="0" collapsed="false">
      <c r="A4" s="3" t="s">
        <v>2</v>
      </c>
      <c r="B4" s="3" t="s">
        <v>84</v>
      </c>
      <c r="C4" s="3" t="s">
        <v>545</v>
      </c>
      <c r="D4" s="3" t="s">
        <v>546</v>
      </c>
      <c r="E4" s="3" t="s">
        <v>547</v>
      </c>
      <c r="F4" s="3" t="s">
        <v>548</v>
      </c>
      <c r="G4" s="3" t="s">
        <v>549</v>
      </c>
      <c r="H4" s="3" t="s">
        <v>550</v>
      </c>
      <c r="I4" s="3" t="s">
        <v>551</v>
      </c>
      <c r="J4" s="3" t="s">
        <v>238</v>
      </c>
      <c r="K4" s="3" t="s">
        <v>552</v>
      </c>
      <c r="L4" s="3" t="s">
        <v>5</v>
      </c>
      <c r="M4" s="3" t="s">
        <v>553</v>
      </c>
      <c r="N4" s="3" t="s">
        <v>554</v>
      </c>
      <c r="O4" s="3" t="s">
        <v>555</v>
      </c>
      <c r="P4" s="3" t="s">
        <v>12</v>
      </c>
    </row>
    <row r="5" customFormat="false" ht="15" hidden="false" customHeight="false" outlineLevel="0" collapsed="false">
      <c r="A5" s="27" t="n">
        <v>1</v>
      </c>
      <c r="B5" s="29"/>
      <c r="C5" s="29"/>
      <c r="D5" s="27" t="str">
        <f aca="false">IF(C5="","",IF(INDEX('ملخص المعايير'!$E$5:$E$52,MATCH(C5,'ملخص المعايير'!$A$5:$A$52,0))="نعم","نعم","لا"))</f>
        <v/>
      </c>
      <c r="E5" s="30"/>
      <c r="F5" s="29"/>
      <c r="G5" s="30"/>
      <c r="H5" s="30"/>
      <c r="I5" s="29"/>
      <c r="J5" s="29"/>
      <c r="K5" s="30"/>
      <c r="L5" s="30"/>
      <c r="M5" s="30"/>
      <c r="N5" s="35"/>
      <c r="O5" s="29"/>
      <c r="P5" s="30"/>
    </row>
    <row r="6" customFormat="false" ht="15" hidden="false" customHeight="false" outlineLevel="0" collapsed="false">
      <c r="A6" s="27" t="n">
        <v>2</v>
      </c>
      <c r="B6" s="29"/>
      <c r="C6" s="29"/>
      <c r="D6" s="27" t="str">
        <f aca="false">IF(C6="","",IF(INDEX('ملخص المعايير'!$E$5:$E$52,MATCH(C6,'ملخص المعايير'!$A$5:$A$52,0))="نعم","نعم","لا"))</f>
        <v/>
      </c>
      <c r="E6" s="30"/>
      <c r="F6" s="29"/>
      <c r="G6" s="30"/>
      <c r="H6" s="30"/>
      <c r="I6" s="29"/>
      <c r="J6" s="29"/>
      <c r="K6" s="30"/>
      <c r="L6" s="30"/>
      <c r="M6" s="30"/>
      <c r="N6" s="35"/>
      <c r="O6" s="29"/>
      <c r="P6" s="30"/>
    </row>
    <row r="7" customFormat="false" ht="15" hidden="false" customHeight="false" outlineLevel="0" collapsed="false">
      <c r="A7" s="27" t="n">
        <v>3</v>
      </c>
      <c r="B7" s="29"/>
      <c r="C7" s="29"/>
      <c r="D7" s="27" t="str">
        <f aca="false">IF(C7="","",IF(INDEX('ملخص المعايير'!$E$5:$E$52,MATCH(C7,'ملخص المعايير'!$A$5:$A$52,0))="نعم","نعم","لا"))</f>
        <v/>
      </c>
      <c r="E7" s="30"/>
      <c r="F7" s="29"/>
      <c r="G7" s="30"/>
      <c r="H7" s="30"/>
      <c r="I7" s="29"/>
      <c r="J7" s="29"/>
      <c r="K7" s="30"/>
      <c r="L7" s="30"/>
      <c r="M7" s="30"/>
      <c r="N7" s="35"/>
      <c r="O7" s="29"/>
      <c r="P7" s="30"/>
    </row>
    <row r="8" customFormat="false" ht="15" hidden="false" customHeight="false" outlineLevel="0" collapsed="false">
      <c r="A8" s="27" t="n">
        <v>4</v>
      </c>
      <c r="B8" s="29"/>
      <c r="C8" s="29"/>
      <c r="D8" s="27" t="str">
        <f aca="false">IF(C8="","",IF(INDEX('ملخص المعايير'!$E$5:$E$52,MATCH(C8,'ملخص المعايير'!$A$5:$A$52,0))="نعم","نعم","لا"))</f>
        <v/>
      </c>
      <c r="E8" s="30"/>
      <c r="F8" s="29"/>
      <c r="G8" s="30"/>
      <c r="H8" s="30"/>
      <c r="I8" s="29"/>
      <c r="J8" s="29"/>
      <c r="K8" s="30"/>
      <c r="L8" s="30"/>
      <c r="M8" s="30"/>
      <c r="N8" s="35"/>
      <c r="O8" s="29"/>
      <c r="P8" s="30"/>
    </row>
    <row r="9" customFormat="false" ht="15" hidden="false" customHeight="false" outlineLevel="0" collapsed="false">
      <c r="A9" s="27" t="n">
        <v>5</v>
      </c>
      <c r="B9" s="29"/>
      <c r="C9" s="29"/>
      <c r="D9" s="27" t="str">
        <f aca="false">IF(C9="","",IF(INDEX('ملخص المعايير'!$E$5:$E$52,MATCH(C9,'ملخص المعايير'!$A$5:$A$52,0))="نعم","نعم","لا"))</f>
        <v/>
      </c>
      <c r="E9" s="30"/>
      <c r="F9" s="29"/>
      <c r="G9" s="30"/>
      <c r="H9" s="30"/>
      <c r="I9" s="29"/>
      <c r="J9" s="29"/>
      <c r="K9" s="30"/>
      <c r="L9" s="30"/>
      <c r="M9" s="30"/>
      <c r="N9" s="35"/>
      <c r="O9" s="29"/>
      <c r="P9" s="30"/>
    </row>
    <row r="10" customFormat="false" ht="15" hidden="false" customHeight="false" outlineLevel="0" collapsed="false">
      <c r="A10" s="27" t="n">
        <v>6</v>
      </c>
      <c r="B10" s="29"/>
      <c r="C10" s="29"/>
      <c r="D10" s="27" t="str">
        <f aca="false">IF(C10="","",IF(INDEX('ملخص المعايير'!$E$5:$E$52,MATCH(C10,'ملخص المعايير'!$A$5:$A$52,0))="نعم","نعم","لا"))</f>
        <v/>
      </c>
      <c r="E10" s="30"/>
      <c r="F10" s="29"/>
      <c r="G10" s="30"/>
      <c r="H10" s="30"/>
      <c r="I10" s="29"/>
      <c r="J10" s="29"/>
      <c r="K10" s="30"/>
      <c r="L10" s="30"/>
      <c r="M10" s="30"/>
      <c r="N10" s="35"/>
      <c r="O10" s="29"/>
      <c r="P10" s="30"/>
    </row>
    <row r="11" customFormat="false" ht="15" hidden="false" customHeight="false" outlineLevel="0" collapsed="false">
      <c r="A11" s="27" t="n">
        <v>7</v>
      </c>
      <c r="B11" s="29"/>
      <c r="C11" s="29"/>
      <c r="D11" s="27" t="str">
        <f aca="false">IF(C11="","",IF(INDEX('ملخص المعايير'!$E$5:$E$52,MATCH(C11,'ملخص المعايير'!$A$5:$A$52,0))="نعم","نعم","لا"))</f>
        <v/>
      </c>
      <c r="E11" s="30"/>
      <c r="F11" s="29"/>
      <c r="G11" s="30"/>
      <c r="H11" s="30"/>
      <c r="I11" s="29"/>
      <c r="J11" s="29"/>
      <c r="K11" s="30"/>
      <c r="L11" s="30"/>
      <c r="M11" s="30"/>
      <c r="N11" s="35"/>
      <c r="O11" s="29"/>
      <c r="P11" s="30"/>
    </row>
    <row r="12" customFormat="false" ht="15" hidden="false" customHeight="false" outlineLevel="0" collapsed="false">
      <c r="A12" s="27" t="n">
        <v>8</v>
      </c>
      <c r="B12" s="29"/>
      <c r="C12" s="29"/>
      <c r="D12" s="27" t="str">
        <f aca="false">IF(C12="","",IF(INDEX('ملخص المعايير'!$E$5:$E$52,MATCH(C12,'ملخص المعايير'!$A$5:$A$52,0))="نعم","نعم","لا"))</f>
        <v/>
      </c>
      <c r="E12" s="30"/>
      <c r="F12" s="29"/>
      <c r="G12" s="30"/>
      <c r="H12" s="30"/>
      <c r="I12" s="29"/>
      <c r="J12" s="29"/>
      <c r="K12" s="30"/>
      <c r="L12" s="30"/>
      <c r="M12" s="30"/>
      <c r="N12" s="35"/>
      <c r="O12" s="29"/>
      <c r="P12" s="30"/>
    </row>
    <row r="13" customFormat="false" ht="15" hidden="false" customHeight="false" outlineLevel="0" collapsed="false">
      <c r="A13" s="27" t="n">
        <v>9</v>
      </c>
      <c r="B13" s="29"/>
      <c r="C13" s="29"/>
      <c r="D13" s="27" t="str">
        <f aca="false">IF(C13="","",IF(INDEX('ملخص المعايير'!$E$5:$E$52,MATCH(C13,'ملخص المعايير'!$A$5:$A$52,0))="نعم","نعم","لا"))</f>
        <v/>
      </c>
      <c r="E13" s="30"/>
      <c r="F13" s="29"/>
      <c r="G13" s="30"/>
      <c r="H13" s="30"/>
      <c r="I13" s="29"/>
      <c r="J13" s="29"/>
      <c r="K13" s="30"/>
      <c r="L13" s="30"/>
      <c r="M13" s="30"/>
      <c r="N13" s="35"/>
      <c r="O13" s="29"/>
      <c r="P13" s="30"/>
    </row>
    <row r="14" customFormat="false" ht="15" hidden="false" customHeight="false" outlineLevel="0" collapsed="false">
      <c r="A14" s="27" t="n">
        <v>10</v>
      </c>
      <c r="B14" s="29"/>
      <c r="C14" s="29"/>
      <c r="D14" s="27" t="str">
        <f aca="false">IF(C14="","",IF(INDEX('ملخص المعايير'!$E$5:$E$52,MATCH(C14,'ملخص المعايير'!$A$5:$A$52,0))="نعم","نعم","لا"))</f>
        <v/>
      </c>
      <c r="E14" s="30"/>
      <c r="F14" s="29"/>
      <c r="G14" s="30"/>
      <c r="H14" s="30"/>
      <c r="I14" s="29"/>
      <c r="J14" s="29"/>
      <c r="K14" s="30"/>
      <c r="L14" s="30"/>
      <c r="M14" s="30"/>
      <c r="N14" s="35"/>
      <c r="O14" s="29"/>
      <c r="P14" s="30"/>
    </row>
    <row r="15" customFormat="false" ht="15" hidden="false" customHeight="false" outlineLevel="0" collapsed="false">
      <c r="A15" s="27" t="n">
        <v>11</v>
      </c>
      <c r="B15" s="29"/>
      <c r="C15" s="29"/>
      <c r="D15" s="27" t="str">
        <f aca="false">IF(C15="","",IF(INDEX('ملخص المعايير'!$E$5:$E$52,MATCH(C15,'ملخص المعايير'!$A$5:$A$52,0))="نعم","نعم","لا"))</f>
        <v/>
      </c>
      <c r="E15" s="30"/>
      <c r="F15" s="29"/>
      <c r="G15" s="30"/>
      <c r="H15" s="30"/>
      <c r="I15" s="29"/>
      <c r="J15" s="29"/>
      <c r="K15" s="30"/>
      <c r="L15" s="30"/>
      <c r="M15" s="30"/>
      <c r="N15" s="35"/>
      <c r="O15" s="29"/>
      <c r="P15" s="30"/>
    </row>
    <row r="16" customFormat="false" ht="15" hidden="false" customHeight="false" outlineLevel="0" collapsed="false">
      <c r="A16" s="27" t="n">
        <v>12</v>
      </c>
      <c r="B16" s="29"/>
      <c r="C16" s="29"/>
      <c r="D16" s="27" t="str">
        <f aca="false">IF(C16="","",IF(INDEX('ملخص المعايير'!$E$5:$E$52,MATCH(C16,'ملخص المعايير'!$A$5:$A$52,0))="نعم","نعم","لا"))</f>
        <v/>
      </c>
      <c r="E16" s="30"/>
      <c r="F16" s="29"/>
      <c r="G16" s="30"/>
      <c r="H16" s="30"/>
      <c r="I16" s="29"/>
      <c r="J16" s="29"/>
      <c r="K16" s="30"/>
      <c r="L16" s="30"/>
      <c r="M16" s="30"/>
      <c r="N16" s="35"/>
      <c r="O16" s="29"/>
      <c r="P16" s="30"/>
    </row>
    <row r="17" customFormat="false" ht="15" hidden="false" customHeight="false" outlineLevel="0" collapsed="false">
      <c r="A17" s="27" t="n">
        <v>13</v>
      </c>
      <c r="B17" s="29"/>
      <c r="C17" s="29"/>
      <c r="D17" s="27" t="str">
        <f aca="false">IF(C17="","",IF(INDEX('ملخص المعايير'!$E$5:$E$52,MATCH(C17,'ملخص المعايير'!$A$5:$A$52,0))="نعم","نعم","لا"))</f>
        <v/>
      </c>
      <c r="E17" s="30"/>
      <c r="F17" s="29"/>
      <c r="G17" s="30"/>
      <c r="H17" s="30"/>
      <c r="I17" s="29"/>
      <c r="J17" s="29"/>
      <c r="K17" s="30"/>
      <c r="L17" s="30"/>
      <c r="M17" s="30"/>
      <c r="N17" s="35"/>
      <c r="O17" s="29"/>
      <c r="P17" s="30"/>
    </row>
    <row r="18" customFormat="false" ht="15" hidden="false" customHeight="false" outlineLevel="0" collapsed="false">
      <c r="A18" s="27" t="n">
        <v>14</v>
      </c>
      <c r="B18" s="29"/>
      <c r="C18" s="29"/>
      <c r="D18" s="27" t="str">
        <f aca="false">IF(C18="","",IF(INDEX('ملخص المعايير'!$E$5:$E$52,MATCH(C18,'ملخص المعايير'!$A$5:$A$52,0))="نعم","نعم","لا"))</f>
        <v/>
      </c>
      <c r="E18" s="30"/>
      <c r="F18" s="29"/>
      <c r="G18" s="30"/>
      <c r="H18" s="30"/>
      <c r="I18" s="29"/>
      <c r="J18" s="29"/>
      <c r="K18" s="30"/>
      <c r="L18" s="30"/>
      <c r="M18" s="30"/>
      <c r="N18" s="35"/>
      <c r="O18" s="29"/>
      <c r="P18" s="30"/>
    </row>
    <row r="19" customFormat="false" ht="15" hidden="false" customHeight="false" outlineLevel="0" collapsed="false">
      <c r="A19" s="27" t="n">
        <v>15</v>
      </c>
      <c r="B19" s="29"/>
      <c r="C19" s="29"/>
      <c r="D19" s="27" t="str">
        <f aca="false">IF(C19="","",IF(INDEX('ملخص المعايير'!$E$5:$E$52,MATCH(C19,'ملخص المعايير'!$A$5:$A$52,0))="نعم","نعم","لا"))</f>
        <v/>
      </c>
      <c r="E19" s="30"/>
      <c r="F19" s="29"/>
      <c r="G19" s="30"/>
      <c r="H19" s="30"/>
      <c r="I19" s="29"/>
      <c r="J19" s="29"/>
      <c r="K19" s="30"/>
      <c r="L19" s="30"/>
      <c r="M19" s="30"/>
      <c r="N19" s="35"/>
      <c r="O19" s="29"/>
      <c r="P19" s="30"/>
    </row>
    <row r="20" customFormat="false" ht="15" hidden="false" customHeight="false" outlineLevel="0" collapsed="false">
      <c r="A20" s="27" t="n">
        <v>16</v>
      </c>
      <c r="B20" s="29"/>
      <c r="C20" s="29"/>
      <c r="D20" s="27" t="str">
        <f aca="false">IF(C20="","",IF(INDEX('ملخص المعايير'!$E$5:$E$52,MATCH(C20,'ملخص المعايير'!$A$5:$A$52,0))="نعم","نعم","لا"))</f>
        <v/>
      </c>
      <c r="E20" s="30"/>
      <c r="F20" s="29"/>
      <c r="G20" s="30"/>
      <c r="H20" s="30"/>
      <c r="I20" s="29"/>
      <c r="J20" s="29"/>
      <c r="K20" s="30"/>
      <c r="L20" s="30"/>
      <c r="M20" s="30"/>
      <c r="N20" s="35"/>
      <c r="O20" s="29"/>
      <c r="P20" s="30"/>
    </row>
    <row r="21" customFormat="false" ht="15" hidden="false" customHeight="false" outlineLevel="0" collapsed="false">
      <c r="A21" s="27" t="n">
        <v>17</v>
      </c>
      <c r="B21" s="29"/>
      <c r="C21" s="29"/>
      <c r="D21" s="27" t="str">
        <f aca="false">IF(C21="","",IF(INDEX('ملخص المعايير'!$E$5:$E$52,MATCH(C21,'ملخص المعايير'!$A$5:$A$52,0))="نعم","نعم","لا"))</f>
        <v/>
      </c>
      <c r="E21" s="30"/>
      <c r="F21" s="29"/>
      <c r="G21" s="30"/>
      <c r="H21" s="30"/>
      <c r="I21" s="29"/>
      <c r="J21" s="29"/>
      <c r="K21" s="30"/>
      <c r="L21" s="30"/>
      <c r="M21" s="30"/>
      <c r="N21" s="35"/>
      <c r="O21" s="29"/>
      <c r="P21" s="30"/>
    </row>
    <row r="22" customFormat="false" ht="15" hidden="false" customHeight="false" outlineLevel="0" collapsed="false">
      <c r="A22" s="27" t="n">
        <v>18</v>
      </c>
      <c r="B22" s="29"/>
      <c r="C22" s="29"/>
      <c r="D22" s="27" t="str">
        <f aca="false">IF(C22="","",IF(INDEX('ملخص المعايير'!$E$5:$E$52,MATCH(C22,'ملخص المعايير'!$A$5:$A$52,0))="نعم","نعم","لا"))</f>
        <v/>
      </c>
      <c r="E22" s="30"/>
      <c r="F22" s="29"/>
      <c r="G22" s="30"/>
      <c r="H22" s="30"/>
      <c r="I22" s="29"/>
      <c r="J22" s="29"/>
      <c r="K22" s="30"/>
      <c r="L22" s="30"/>
      <c r="M22" s="30"/>
      <c r="N22" s="35"/>
      <c r="O22" s="29"/>
      <c r="P22" s="30"/>
    </row>
    <row r="23" customFormat="false" ht="15" hidden="false" customHeight="false" outlineLevel="0" collapsed="false">
      <c r="A23" s="27" t="n">
        <v>19</v>
      </c>
      <c r="B23" s="29"/>
      <c r="C23" s="29"/>
      <c r="D23" s="27" t="str">
        <f aca="false">IF(C23="","",IF(INDEX('ملخص المعايير'!$E$5:$E$52,MATCH(C23,'ملخص المعايير'!$A$5:$A$52,0))="نعم","نعم","لا"))</f>
        <v/>
      </c>
      <c r="E23" s="30"/>
      <c r="F23" s="29"/>
      <c r="G23" s="30"/>
      <c r="H23" s="30"/>
      <c r="I23" s="29"/>
      <c r="J23" s="29"/>
      <c r="K23" s="30"/>
      <c r="L23" s="30"/>
      <c r="M23" s="30"/>
      <c r="N23" s="35"/>
      <c r="O23" s="29"/>
      <c r="P23" s="30"/>
    </row>
    <row r="24" customFormat="false" ht="15" hidden="false" customHeight="false" outlineLevel="0" collapsed="false">
      <c r="A24" s="27" t="n">
        <v>20</v>
      </c>
      <c r="B24" s="29"/>
      <c r="C24" s="29"/>
      <c r="D24" s="27" t="str">
        <f aca="false">IF(C24="","",IF(INDEX('ملخص المعايير'!$E$5:$E$52,MATCH(C24,'ملخص المعايير'!$A$5:$A$52,0))="نعم","نعم","لا"))</f>
        <v/>
      </c>
      <c r="E24" s="30"/>
      <c r="F24" s="29"/>
      <c r="G24" s="30"/>
      <c r="H24" s="30"/>
      <c r="I24" s="29"/>
      <c r="J24" s="29"/>
      <c r="K24" s="30"/>
      <c r="L24" s="30"/>
      <c r="M24" s="30"/>
      <c r="N24" s="35"/>
      <c r="O24" s="29"/>
      <c r="P24" s="30"/>
    </row>
    <row r="25" customFormat="false" ht="15" hidden="false" customHeight="false" outlineLevel="0" collapsed="false">
      <c r="A25" s="27" t="n">
        <v>21</v>
      </c>
      <c r="B25" s="29"/>
      <c r="C25" s="29"/>
      <c r="D25" s="27" t="str">
        <f aca="false">IF(C25="","",IF(INDEX('ملخص المعايير'!$E$5:$E$52,MATCH(C25,'ملخص المعايير'!$A$5:$A$52,0))="نعم","نعم","لا"))</f>
        <v/>
      </c>
      <c r="E25" s="30"/>
      <c r="F25" s="29"/>
      <c r="G25" s="30"/>
      <c r="H25" s="30"/>
      <c r="I25" s="29"/>
      <c r="J25" s="29"/>
      <c r="K25" s="30"/>
      <c r="L25" s="30"/>
      <c r="M25" s="30"/>
      <c r="N25" s="35"/>
      <c r="O25" s="29"/>
      <c r="P25" s="30"/>
    </row>
    <row r="26" customFormat="false" ht="15" hidden="false" customHeight="false" outlineLevel="0" collapsed="false">
      <c r="A26" s="27" t="n">
        <v>22</v>
      </c>
      <c r="B26" s="29"/>
      <c r="C26" s="29"/>
      <c r="D26" s="27" t="str">
        <f aca="false">IF(C26="","",IF(INDEX('ملخص المعايير'!$E$5:$E$52,MATCH(C26,'ملخص المعايير'!$A$5:$A$52,0))="نعم","نعم","لا"))</f>
        <v/>
      </c>
      <c r="E26" s="30"/>
      <c r="F26" s="29"/>
      <c r="G26" s="30"/>
      <c r="H26" s="30"/>
      <c r="I26" s="29"/>
      <c r="J26" s="29"/>
      <c r="K26" s="30"/>
      <c r="L26" s="30"/>
      <c r="M26" s="30"/>
      <c r="N26" s="35"/>
      <c r="O26" s="29"/>
      <c r="P26" s="30"/>
    </row>
    <row r="27" customFormat="false" ht="15" hidden="false" customHeight="false" outlineLevel="0" collapsed="false">
      <c r="A27" s="27" t="n">
        <v>23</v>
      </c>
      <c r="B27" s="29"/>
      <c r="C27" s="29"/>
      <c r="D27" s="27" t="str">
        <f aca="false">IF(C27="","",IF(INDEX('ملخص المعايير'!$E$5:$E$52,MATCH(C27,'ملخص المعايير'!$A$5:$A$52,0))="نعم","نعم","لا"))</f>
        <v/>
      </c>
      <c r="E27" s="30"/>
      <c r="F27" s="29"/>
      <c r="G27" s="30"/>
      <c r="H27" s="30"/>
      <c r="I27" s="29"/>
      <c r="J27" s="29"/>
      <c r="K27" s="30"/>
      <c r="L27" s="30"/>
      <c r="M27" s="30"/>
      <c r="N27" s="35"/>
      <c r="O27" s="29"/>
      <c r="P27" s="30"/>
    </row>
    <row r="28" customFormat="false" ht="15" hidden="false" customHeight="false" outlineLevel="0" collapsed="false">
      <c r="A28" s="27" t="n">
        <v>24</v>
      </c>
      <c r="B28" s="29"/>
      <c r="C28" s="29"/>
      <c r="D28" s="27" t="str">
        <f aca="false">IF(C28="","",IF(INDEX('ملخص المعايير'!$E$5:$E$52,MATCH(C28,'ملخص المعايير'!$A$5:$A$52,0))="نعم","نعم","لا"))</f>
        <v/>
      </c>
      <c r="E28" s="30"/>
      <c r="F28" s="29"/>
      <c r="G28" s="30"/>
      <c r="H28" s="30"/>
      <c r="I28" s="29"/>
      <c r="J28" s="29"/>
      <c r="K28" s="30"/>
      <c r="L28" s="30"/>
      <c r="M28" s="30"/>
      <c r="N28" s="35"/>
      <c r="O28" s="29"/>
      <c r="P28" s="30"/>
    </row>
    <row r="29" customFormat="false" ht="15" hidden="false" customHeight="false" outlineLevel="0" collapsed="false">
      <c r="A29" s="27" t="n">
        <v>25</v>
      </c>
      <c r="B29" s="29"/>
      <c r="C29" s="29"/>
      <c r="D29" s="27" t="str">
        <f aca="false">IF(C29="","",IF(INDEX('ملخص المعايير'!$E$5:$E$52,MATCH(C29,'ملخص المعايير'!$A$5:$A$52,0))="نعم","نعم","لا"))</f>
        <v/>
      </c>
      <c r="E29" s="30"/>
      <c r="F29" s="29"/>
      <c r="G29" s="30"/>
      <c r="H29" s="30"/>
      <c r="I29" s="29"/>
      <c r="J29" s="29"/>
      <c r="K29" s="30"/>
      <c r="L29" s="30"/>
      <c r="M29" s="30"/>
      <c r="N29" s="35"/>
      <c r="O29" s="29"/>
      <c r="P29" s="30"/>
    </row>
    <row r="30" customFormat="false" ht="15" hidden="false" customHeight="false" outlineLevel="0" collapsed="false">
      <c r="A30" s="27" t="n">
        <v>26</v>
      </c>
      <c r="B30" s="29"/>
      <c r="C30" s="29"/>
      <c r="D30" s="27" t="str">
        <f aca="false">IF(C30="","",IF(INDEX('ملخص المعايير'!$E$5:$E$52,MATCH(C30,'ملخص المعايير'!$A$5:$A$52,0))="نعم","نعم","لا"))</f>
        <v/>
      </c>
      <c r="E30" s="30"/>
      <c r="F30" s="29"/>
      <c r="G30" s="30"/>
      <c r="H30" s="30"/>
      <c r="I30" s="29"/>
      <c r="J30" s="29"/>
      <c r="K30" s="30"/>
      <c r="L30" s="30"/>
      <c r="M30" s="30"/>
      <c r="N30" s="35"/>
      <c r="O30" s="29"/>
      <c r="P30" s="30"/>
    </row>
    <row r="31" customFormat="false" ht="15" hidden="false" customHeight="false" outlineLevel="0" collapsed="false">
      <c r="A31" s="27" t="n">
        <v>27</v>
      </c>
      <c r="B31" s="29"/>
      <c r="C31" s="29"/>
      <c r="D31" s="27" t="str">
        <f aca="false">IF(C31="","",IF(INDEX('ملخص المعايير'!$E$5:$E$52,MATCH(C31,'ملخص المعايير'!$A$5:$A$52,0))="نعم","نعم","لا"))</f>
        <v/>
      </c>
      <c r="E31" s="30"/>
      <c r="F31" s="29"/>
      <c r="G31" s="30"/>
      <c r="H31" s="30"/>
      <c r="I31" s="29"/>
      <c r="J31" s="29"/>
      <c r="K31" s="30"/>
      <c r="L31" s="30"/>
      <c r="M31" s="30"/>
      <c r="N31" s="35"/>
      <c r="O31" s="29"/>
      <c r="P31" s="30"/>
    </row>
    <row r="32" customFormat="false" ht="15" hidden="false" customHeight="false" outlineLevel="0" collapsed="false">
      <c r="A32" s="27" t="n">
        <v>28</v>
      </c>
      <c r="B32" s="29"/>
      <c r="C32" s="29"/>
      <c r="D32" s="27" t="str">
        <f aca="false">IF(C32="","",IF(INDEX('ملخص المعايير'!$E$5:$E$52,MATCH(C32,'ملخص المعايير'!$A$5:$A$52,0))="نعم","نعم","لا"))</f>
        <v/>
      </c>
      <c r="E32" s="30"/>
      <c r="F32" s="29"/>
      <c r="G32" s="30"/>
      <c r="H32" s="30"/>
      <c r="I32" s="29"/>
      <c r="J32" s="29"/>
      <c r="K32" s="30"/>
      <c r="L32" s="30"/>
      <c r="M32" s="30"/>
      <c r="N32" s="35"/>
      <c r="O32" s="29"/>
      <c r="P32" s="30"/>
    </row>
    <row r="33" customFormat="false" ht="15" hidden="false" customHeight="false" outlineLevel="0" collapsed="false">
      <c r="A33" s="27" t="n">
        <v>29</v>
      </c>
      <c r="B33" s="29"/>
      <c r="C33" s="29"/>
      <c r="D33" s="27" t="str">
        <f aca="false">IF(C33="","",IF(INDEX('ملخص المعايير'!$E$5:$E$52,MATCH(C33,'ملخص المعايير'!$A$5:$A$52,0))="نعم","نعم","لا"))</f>
        <v/>
      </c>
      <c r="E33" s="30"/>
      <c r="F33" s="29"/>
      <c r="G33" s="30"/>
      <c r="H33" s="30"/>
      <c r="I33" s="29"/>
      <c r="J33" s="29"/>
      <c r="K33" s="30"/>
      <c r="L33" s="30"/>
      <c r="M33" s="30"/>
      <c r="N33" s="35"/>
      <c r="O33" s="29"/>
      <c r="P33" s="30"/>
    </row>
    <row r="34" customFormat="false" ht="15" hidden="false" customHeight="false" outlineLevel="0" collapsed="false">
      <c r="A34" s="27" t="n">
        <v>30</v>
      </c>
      <c r="B34" s="29"/>
      <c r="C34" s="29"/>
      <c r="D34" s="27" t="str">
        <f aca="false">IF(C34="","",IF(INDEX('ملخص المعايير'!$E$5:$E$52,MATCH(C34,'ملخص المعايير'!$A$5:$A$52,0))="نعم","نعم","لا"))</f>
        <v/>
      </c>
      <c r="E34" s="30"/>
      <c r="F34" s="29"/>
      <c r="G34" s="30"/>
      <c r="H34" s="30"/>
      <c r="I34" s="29"/>
      <c r="J34" s="29"/>
      <c r="K34" s="30"/>
      <c r="L34" s="30"/>
      <c r="M34" s="30"/>
      <c r="N34" s="35"/>
      <c r="O34" s="29"/>
      <c r="P34" s="30"/>
    </row>
    <row r="35" customFormat="false" ht="15" hidden="false" customHeight="false" outlineLevel="0" collapsed="false">
      <c r="A35" s="27" t="n">
        <v>31</v>
      </c>
      <c r="B35" s="29"/>
      <c r="C35" s="29"/>
      <c r="D35" s="27" t="str">
        <f aca="false">IF(C35="","",IF(INDEX('ملخص المعايير'!$E$5:$E$52,MATCH(C35,'ملخص المعايير'!$A$5:$A$52,0))="نعم","نعم","لا"))</f>
        <v/>
      </c>
      <c r="E35" s="30"/>
      <c r="F35" s="29"/>
      <c r="G35" s="30"/>
      <c r="H35" s="30"/>
      <c r="I35" s="29"/>
      <c r="J35" s="29"/>
      <c r="K35" s="30"/>
      <c r="L35" s="30"/>
      <c r="M35" s="30"/>
      <c r="N35" s="35"/>
      <c r="O35" s="29"/>
      <c r="P35" s="30"/>
    </row>
    <row r="36" customFormat="false" ht="15" hidden="false" customHeight="false" outlineLevel="0" collapsed="false">
      <c r="A36" s="27" t="n">
        <v>32</v>
      </c>
      <c r="B36" s="29"/>
      <c r="C36" s="29"/>
      <c r="D36" s="27" t="str">
        <f aca="false">IF(C36="","",IF(INDEX('ملخص المعايير'!$E$5:$E$52,MATCH(C36,'ملخص المعايير'!$A$5:$A$52,0))="نعم","نعم","لا"))</f>
        <v/>
      </c>
      <c r="E36" s="30"/>
      <c r="F36" s="29"/>
      <c r="G36" s="30"/>
      <c r="H36" s="30"/>
      <c r="I36" s="29"/>
      <c r="J36" s="29"/>
      <c r="K36" s="30"/>
      <c r="L36" s="30"/>
      <c r="M36" s="30"/>
      <c r="N36" s="35"/>
      <c r="O36" s="29"/>
      <c r="P36" s="30"/>
    </row>
    <row r="37" customFormat="false" ht="15" hidden="false" customHeight="false" outlineLevel="0" collapsed="false">
      <c r="A37" s="27" t="n">
        <v>33</v>
      </c>
      <c r="B37" s="29"/>
      <c r="C37" s="29"/>
      <c r="D37" s="27" t="str">
        <f aca="false">IF(C37="","",IF(INDEX('ملخص المعايير'!$E$5:$E$52,MATCH(C37,'ملخص المعايير'!$A$5:$A$52,0))="نعم","نعم","لا"))</f>
        <v/>
      </c>
      <c r="E37" s="30"/>
      <c r="F37" s="29"/>
      <c r="G37" s="30"/>
      <c r="H37" s="30"/>
      <c r="I37" s="29"/>
      <c r="J37" s="29"/>
      <c r="K37" s="30"/>
      <c r="L37" s="30"/>
      <c r="M37" s="30"/>
      <c r="N37" s="35"/>
      <c r="O37" s="29"/>
      <c r="P37" s="30"/>
    </row>
    <row r="38" customFormat="false" ht="15" hidden="false" customHeight="false" outlineLevel="0" collapsed="false">
      <c r="A38" s="27" t="n">
        <v>34</v>
      </c>
      <c r="B38" s="29"/>
      <c r="C38" s="29"/>
      <c r="D38" s="27" t="str">
        <f aca="false">IF(C38="","",IF(INDEX('ملخص المعايير'!$E$5:$E$52,MATCH(C38,'ملخص المعايير'!$A$5:$A$52,0))="نعم","نعم","لا"))</f>
        <v/>
      </c>
      <c r="E38" s="30"/>
      <c r="F38" s="29"/>
      <c r="G38" s="30"/>
      <c r="H38" s="30"/>
      <c r="I38" s="29"/>
      <c r="J38" s="29"/>
      <c r="K38" s="30"/>
      <c r="L38" s="30"/>
      <c r="M38" s="30"/>
      <c r="N38" s="35"/>
      <c r="O38" s="29"/>
      <c r="P38" s="30"/>
    </row>
    <row r="39" customFormat="false" ht="15" hidden="false" customHeight="false" outlineLevel="0" collapsed="false">
      <c r="A39" s="27" t="n">
        <v>35</v>
      </c>
      <c r="B39" s="29"/>
      <c r="C39" s="29"/>
      <c r="D39" s="27" t="str">
        <f aca="false">IF(C39="","",IF(INDEX('ملخص المعايير'!$E$5:$E$52,MATCH(C39,'ملخص المعايير'!$A$5:$A$52,0))="نعم","نعم","لا"))</f>
        <v/>
      </c>
      <c r="E39" s="30"/>
      <c r="F39" s="29"/>
      <c r="G39" s="30"/>
      <c r="H39" s="30"/>
      <c r="I39" s="29"/>
      <c r="J39" s="29"/>
      <c r="K39" s="30"/>
      <c r="L39" s="30"/>
      <c r="M39" s="30"/>
      <c r="N39" s="35"/>
      <c r="O39" s="29"/>
      <c r="P39" s="30"/>
    </row>
    <row r="40" customFormat="false" ht="15" hidden="false" customHeight="false" outlineLevel="0" collapsed="false">
      <c r="A40" s="27" t="n">
        <v>36</v>
      </c>
      <c r="B40" s="29"/>
      <c r="C40" s="29"/>
      <c r="D40" s="27" t="str">
        <f aca="false">IF(C40="","",IF(INDEX('ملخص المعايير'!$E$5:$E$52,MATCH(C40,'ملخص المعايير'!$A$5:$A$52,0))="نعم","نعم","لا"))</f>
        <v/>
      </c>
      <c r="E40" s="30"/>
      <c r="F40" s="29"/>
      <c r="G40" s="30"/>
      <c r="H40" s="30"/>
      <c r="I40" s="29"/>
      <c r="J40" s="29"/>
      <c r="K40" s="30"/>
      <c r="L40" s="30"/>
      <c r="M40" s="30"/>
      <c r="N40" s="35"/>
      <c r="O40" s="29"/>
      <c r="P40" s="30"/>
    </row>
    <row r="41" customFormat="false" ht="15" hidden="false" customHeight="false" outlineLevel="0" collapsed="false">
      <c r="A41" s="27" t="n">
        <v>37</v>
      </c>
      <c r="B41" s="29"/>
      <c r="C41" s="29"/>
      <c r="D41" s="27" t="str">
        <f aca="false">IF(C41="","",IF(INDEX('ملخص المعايير'!$E$5:$E$52,MATCH(C41,'ملخص المعايير'!$A$5:$A$52,0))="نعم","نعم","لا"))</f>
        <v/>
      </c>
      <c r="E41" s="30"/>
      <c r="F41" s="29"/>
      <c r="G41" s="30"/>
      <c r="H41" s="30"/>
      <c r="I41" s="29"/>
      <c r="J41" s="29"/>
      <c r="K41" s="30"/>
      <c r="L41" s="30"/>
      <c r="M41" s="30"/>
      <c r="N41" s="35"/>
      <c r="O41" s="29"/>
      <c r="P41" s="30"/>
    </row>
    <row r="42" customFormat="false" ht="15" hidden="false" customHeight="false" outlineLevel="0" collapsed="false">
      <c r="A42" s="27" t="n">
        <v>38</v>
      </c>
      <c r="B42" s="29"/>
      <c r="C42" s="29"/>
      <c r="D42" s="27" t="str">
        <f aca="false">IF(C42="","",IF(INDEX('ملخص المعايير'!$E$5:$E$52,MATCH(C42,'ملخص المعايير'!$A$5:$A$52,0))="نعم","نعم","لا"))</f>
        <v/>
      </c>
      <c r="E42" s="30"/>
      <c r="F42" s="29"/>
      <c r="G42" s="30"/>
      <c r="H42" s="30"/>
      <c r="I42" s="29"/>
      <c r="J42" s="29"/>
      <c r="K42" s="30"/>
      <c r="L42" s="30"/>
      <c r="M42" s="30"/>
      <c r="N42" s="35"/>
      <c r="O42" s="29"/>
      <c r="P42" s="30"/>
    </row>
    <row r="43" customFormat="false" ht="15" hidden="false" customHeight="false" outlineLevel="0" collapsed="false">
      <c r="A43" s="27" t="n">
        <v>39</v>
      </c>
      <c r="B43" s="29"/>
      <c r="C43" s="29"/>
      <c r="D43" s="27" t="str">
        <f aca="false">IF(C43="","",IF(INDEX('ملخص المعايير'!$E$5:$E$52,MATCH(C43,'ملخص المعايير'!$A$5:$A$52,0))="نعم","نعم","لا"))</f>
        <v/>
      </c>
      <c r="E43" s="30"/>
      <c r="F43" s="29"/>
      <c r="G43" s="30"/>
      <c r="H43" s="30"/>
      <c r="I43" s="29"/>
      <c r="J43" s="29"/>
      <c r="K43" s="30"/>
      <c r="L43" s="30"/>
      <c r="M43" s="30"/>
      <c r="N43" s="35"/>
      <c r="O43" s="29"/>
      <c r="P43" s="30"/>
    </row>
    <row r="44" customFormat="false" ht="15" hidden="false" customHeight="false" outlineLevel="0" collapsed="false">
      <c r="A44" s="27" t="n">
        <v>40</v>
      </c>
      <c r="B44" s="29"/>
      <c r="C44" s="29"/>
      <c r="D44" s="27" t="str">
        <f aca="false">IF(C44="","",IF(INDEX('ملخص المعايير'!$E$5:$E$52,MATCH(C44,'ملخص المعايير'!$A$5:$A$52,0))="نعم","نعم","لا"))</f>
        <v/>
      </c>
      <c r="E44" s="30"/>
      <c r="F44" s="29"/>
      <c r="G44" s="30"/>
      <c r="H44" s="30"/>
      <c r="I44" s="29"/>
      <c r="J44" s="29"/>
      <c r="K44" s="30"/>
      <c r="L44" s="30"/>
      <c r="M44" s="30"/>
      <c r="N44" s="35"/>
      <c r="O44" s="29"/>
      <c r="P44" s="30"/>
    </row>
    <row r="45" customFormat="false" ht="15" hidden="false" customHeight="false" outlineLevel="0" collapsed="false">
      <c r="A45" s="27" t="n">
        <v>41</v>
      </c>
      <c r="B45" s="29"/>
      <c r="C45" s="29"/>
      <c r="D45" s="27" t="str">
        <f aca="false">IF(C45="","",IF(INDEX('ملخص المعايير'!$E$5:$E$52,MATCH(C45,'ملخص المعايير'!$A$5:$A$52,0))="نعم","نعم","لا"))</f>
        <v/>
      </c>
      <c r="E45" s="30"/>
      <c r="F45" s="29"/>
      <c r="G45" s="30"/>
      <c r="H45" s="30"/>
      <c r="I45" s="29"/>
      <c r="J45" s="29"/>
      <c r="K45" s="30"/>
      <c r="L45" s="30"/>
      <c r="M45" s="30"/>
      <c r="N45" s="35"/>
      <c r="O45" s="29"/>
      <c r="P45" s="30"/>
    </row>
    <row r="46" customFormat="false" ht="15" hidden="false" customHeight="false" outlineLevel="0" collapsed="false">
      <c r="A46" s="27" t="n">
        <v>42</v>
      </c>
      <c r="B46" s="29"/>
      <c r="C46" s="29"/>
      <c r="D46" s="27" t="str">
        <f aca="false">IF(C46="","",IF(INDEX('ملخص المعايير'!$E$5:$E$52,MATCH(C46,'ملخص المعايير'!$A$5:$A$52,0))="نعم","نعم","لا"))</f>
        <v/>
      </c>
      <c r="E46" s="30"/>
      <c r="F46" s="29"/>
      <c r="G46" s="30"/>
      <c r="H46" s="30"/>
      <c r="I46" s="29"/>
      <c r="J46" s="29"/>
      <c r="K46" s="30"/>
      <c r="L46" s="30"/>
      <c r="M46" s="30"/>
      <c r="N46" s="35"/>
      <c r="O46" s="29"/>
      <c r="P46" s="30"/>
    </row>
    <row r="47" customFormat="false" ht="15" hidden="false" customHeight="false" outlineLevel="0" collapsed="false">
      <c r="A47" s="27" t="n">
        <v>43</v>
      </c>
      <c r="B47" s="29"/>
      <c r="C47" s="29"/>
      <c r="D47" s="27" t="str">
        <f aca="false">IF(C47="","",IF(INDEX('ملخص المعايير'!$E$5:$E$52,MATCH(C47,'ملخص المعايير'!$A$5:$A$52,0))="نعم","نعم","لا"))</f>
        <v/>
      </c>
      <c r="E47" s="30"/>
      <c r="F47" s="29"/>
      <c r="G47" s="30"/>
      <c r="H47" s="30"/>
      <c r="I47" s="29"/>
      <c r="J47" s="29"/>
      <c r="K47" s="30"/>
      <c r="L47" s="30"/>
      <c r="M47" s="30"/>
      <c r="N47" s="35"/>
      <c r="O47" s="29"/>
      <c r="P47" s="30"/>
    </row>
    <row r="48" customFormat="false" ht="15" hidden="false" customHeight="false" outlineLevel="0" collapsed="false">
      <c r="A48" s="27" t="n">
        <v>44</v>
      </c>
      <c r="B48" s="29"/>
      <c r="C48" s="29"/>
      <c r="D48" s="27" t="str">
        <f aca="false">IF(C48="","",IF(INDEX('ملخص المعايير'!$E$5:$E$52,MATCH(C48,'ملخص المعايير'!$A$5:$A$52,0))="نعم","نعم","لا"))</f>
        <v/>
      </c>
      <c r="E48" s="30"/>
      <c r="F48" s="29"/>
      <c r="G48" s="30"/>
      <c r="H48" s="30"/>
      <c r="I48" s="29"/>
      <c r="J48" s="29"/>
      <c r="K48" s="30"/>
      <c r="L48" s="30"/>
      <c r="M48" s="30"/>
      <c r="N48" s="35"/>
      <c r="O48" s="29"/>
      <c r="P48" s="30"/>
    </row>
    <row r="49" customFormat="false" ht="15" hidden="false" customHeight="false" outlineLevel="0" collapsed="false">
      <c r="A49" s="27" t="n">
        <v>45</v>
      </c>
      <c r="B49" s="29"/>
      <c r="C49" s="29"/>
      <c r="D49" s="27" t="str">
        <f aca="false">IF(C49="","",IF(INDEX('ملخص المعايير'!$E$5:$E$52,MATCH(C49,'ملخص المعايير'!$A$5:$A$52,0))="نعم","نعم","لا"))</f>
        <v/>
      </c>
      <c r="E49" s="30"/>
      <c r="F49" s="29"/>
      <c r="G49" s="30"/>
      <c r="H49" s="30"/>
      <c r="I49" s="29"/>
      <c r="J49" s="29"/>
      <c r="K49" s="30"/>
      <c r="L49" s="30"/>
      <c r="M49" s="30"/>
      <c r="N49" s="35"/>
      <c r="O49" s="29"/>
      <c r="P49" s="30"/>
    </row>
    <row r="50" customFormat="false" ht="15" hidden="false" customHeight="false" outlineLevel="0" collapsed="false">
      <c r="A50" s="27" t="n">
        <v>46</v>
      </c>
      <c r="B50" s="29"/>
      <c r="C50" s="29"/>
      <c r="D50" s="27" t="str">
        <f aca="false">IF(C50="","",IF(INDEX('ملخص المعايير'!$E$5:$E$52,MATCH(C50,'ملخص المعايير'!$A$5:$A$52,0))="نعم","نعم","لا"))</f>
        <v/>
      </c>
      <c r="E50" s="30"/>
      <c r="F50" s="29"/>
      <c r="G50" s="30"/>
      <c r="H50" s="30"/>
      <c r="I50" s="29"/>
      <c r="J50" s="29"/>
      <c r="K50" s="30"/>
      <c r="L50" s="30"/>
      <c r="M50" s="30"/>
      <c r="N50" s="35"/>
      <c r="O50" s="29"/>
      <c r="P50" s="30"/>
    </row>
    <row r="51" customFormat="false" ht="15" hidden="false" customHeight="false" outlineLevel="0" collapsed="false">
      <c r="A51" s="27" t="n">
        <v>47</v>
      </c>
      <c r="B51" s="29"/>
      <c r="C51" s="29"/>
      <c r="D51" s="27" t="str">
        <f aca="false">IF(C51="","",IF(INDEX('ملخص المعايير'!$E$5:$E$52,MATCH(C51,'ملخص المعايير'!$A$5:$A$52,0))="نعم","نعم","لا"))</f>
        <v/>
      </c>
      <c r="E51" s="30"/>
      <c r="F51" s="29"/>
      <c r="G51" s="30"/>
      <c r="H51" s="30"/>
      <c r="I51" s="29"/>
      <c r="J51" s="29"/>
      <c r="K51" s="30"/>
      <c r="L51" s="30"/>
      <c r="M51" s="30"/>
      <c r="N51" s="35"/>
      <c r="O51" s="29"/>
      <c r="P51" s="30"/>
    </row>
    <row r="52" customFormat="false" ht="15" hidden="false" customHeight="false" outlineLevel="0" collapsed="false">
      <c r="A52" s="27" t="n">
        <v>48</v>
      </c>
      <c r="B52" s="29"/>
      <c r="C52" s="29"/>
      <c r="D52" s="27" t="str">
        <f aca="false">IF(C52="","",IF(INDEX('ملخص المعايير'!$E$5:$E$52,MATCH(C52,'ملخص المعايير'!$A$5:$A$52,0))="نعم","نعم","لا"))</f>
        <v/>
      </c>
      <c r="E52" s="30"/>
      <c r="F52" s="29"/>
      <c r="G52" s="30"/>
      <c r="H52" s="30"/>
      <c r="I52" s="29"/>
      <c r="J52" s="29"/>
      <c r="K52" s="30"/>
      <c r="L52" s="30"/>
      <c r="M52" s="30"/>
      <c r="N52" s="35"/>
      <c r="O52" s="29"/>
      <c r="P52" s="30"/>
    </row>
    <row r="53" customFormat="false" ht="15" hidden="false" customHeight="false" outlineLevel="0" collapsed="false">
      <c r="A53" s="27" t="n">
        <v>49</v>
      </c>
      <c r="B53" s="29"/>
      <c r="C53" s="29"/>
      <c r="D53" s="27" t="str">
        <f aca="false">IF(C53="","",IF(INDEX('ملخص المعايير'!$E$5:$E$52,MATCH(C53,'ملخص المعايير'!$A$5:$A$52,0))="نعم","نعم","لا"))</f>
        <v/>
      </c>
      <c r="E53" s="30"/>
      <c r="F53" s="29"/>
      <c r="G53" s="30"/>
      <c r="H53" s="30"/>
      <c r="I53" s="29"/>
      <c r="J53" s="29"/>
      <c r="K53" s="30"/>
      <c r="L53" s="30"/>
      <c r="M53" s="30"/>
      <c r="N53" s="35"/>
      <c r="O53" s="29"/>
      <c r="P53" s="30"/>
    </row>
    <row r="54" customFormat="false" ht="15" hidden="false" customHeight="false" outlineLevel="0" collapsed="false">
      <c r="A54" s="27" t="n">
        <v>50</v>
      </c>
      <c r="B54" s="29"/>
      <c r="C54" s="29"/>
      <c r="D54" s="27" t="str">
        <f aca="false">IF(C54="","",IF(INDEX('ملخص المعايير'!$E$5:$E$52,MATCH(C54,'ملخص المعايير'!$A$5:$A$52,0))="نعم","نعم","لا"))</f>
        <v/>
      </c>
      <c r="E54" s="30"/>
      <c r="F54" s="29"/>
      <c r="G54" s="30"/>
      <c r="H54" s="30"/>
      <c r="I54" s="29"/>
      <c r="J54" s="29"/>
      <c r="K54" s="30"/>
      <c r="L54" s="30"/>
      <c r="M54" s="30"/>
      <c r="N54" s="35"/>
      <c r="O54" s="29"/>
      <c r="P54" s="30"/>
    </row>
    <row r="55" customFormat="false" ht="15" hidden="false" customHeight="false" outlineLevel="0" collapsed="false">
      <c r="A55" s="27" t="n">
        <v>51</v>
      </c>
      <c r="B55" s="29"/>
      <c r="C55" s="29"/>
      <c r="D55" s="27" t="str">
        <f aca="false">IF(C55="","",IF(INDEX('ملخص المعايير'!$E$5:$E$52,MATCH(C55,'ملخص المعايير'!$A$5:$A$52,0))="نعم","نعم","لا"))</f>
        <v/>
      </c>
      <c r="E55" s="30"/>
      <c r="F55" s="29"/>
      <c r="G55" s="30"/>
      <c r="H55" s="30"/>
      <c r="I55" s="29"/>
      <c r="J55" s="29"/>
      <c r="K55" s="30"/>
      <c r="L55" s="30"/>
      <c r="M55" s="30"/>
      <c r="N55" s="35"/>
      <c r="O55" s="29"/>
      <c r="P55" s="30"/>
    </row>
    <row r="56" customFormat="false" ht="15" hidden="false" customHeight="false" outlineLevel="0" collapsed="false">
      <c r="A56" s="27" t="n">
        <v>52</v>
      </c>
      <c r="B56" s="29"/>
      <c r="C56" s="29"/>
      <c r="D56" s="27" t="str">
        <f aca="false">IF(C56="","",IF(INDEX('ملخص المعايير'!$E$5:$E$52,MATCH(C56,'ملخص المعايير'!$A$5:$A$52,0))="نعم","نعم","لا"))</f>
        <v/>
      </c>
      <c r="E56" s="30"/>
      <c r="F56" s="29"/>
      <c r="G56" s="30"/>
      <c r="H56" s="30"/>
      <c r="I56" s="29"/>
      <c r="J56" s="29"/>
      <c r="K56" s="30"/>
      <c r="L56" s="30"/>
      <c r="M56" s="30"/>
      <c r="N56" s="35"/>
      <c r="O56" s="29"/>
      <c r="P56" s="30"/>
    </row>
    <row r="57" customFormat="false" ht="15" hidden="false" customHeight="false" outlineLevel="0" collapsed="false">
      <c r="A57" s="27" t="n">
        <v>53</v>
      </c>
      <c r="B57" s="29"/>
      <c r="C57" s="29"/>
      <c r="D57" s="27" t="str">
        <f aca="false">IF(C57="","",IF(INDEX('ملخص المعايير'!$E$5:$E$52,MATCH(C57,'ملخص المعايير'!$A$5:$A$52,0))="نعم","نعم","لا"))</f>
        <v/>
      </c>
      <c r="E57" s="30"/>
      <c r="F57" s="29"/>
      <c r="G57" s="30"/>
      <c r="H57" s="30"/>
      <c r="I57" s="29"/>
      <c r="J57" s="29"/>
      <c r="K57" s="30"/>
      <c r="L57" s="30"/>
      <c r="M57" s="30"/>
      <c r="N57" s="35"/>
      <c r="O57" s="29"/>
      <c r="P57" s="30"/>
    </row>
    <row r="58" customFormat="false" ht="15" hidden="false" customHeight="false" outlineLevel="0" collapsed="false">
      <c r="A58" s="27" t="n">
        <v>54</v>
      </c>
      <c r="B58" s="29"/>
      <c r="C58" s="29"/>
      <c r="D58" s="27" t="str">
        <f aca="false">IF(C58="","",IF(INDEX('ملخص المعايير'!$E$5:$E$52,MATCH(C58,'ملخص المعايير'!$A$5:$A$52,0))="نعم","نعم","لا"))</f>
        <v/>
      </c>
      <c r="E58" s="30"/>
      <c r="F58" s="29"/>
      <c r="G58" s="30"/>
      <c r="H58" s="30"/>
      <c r="I58" s="29"/>
      <c r="J58" s="29"/>
      <c r="K58" s="30"/>
      <c r="L58" s="30"/>
      <c r="M58" s="30"/>
      <c r="N58" s="35"/>
      <c r="O58" s="29"/>
      <c r="P58" s="30"/>
    </row>
    <row r="59" customFormat="false" ht="15" hidden="false" customHeight="false" outlineLevel="0" collapsed="false">
      <c r="A59" s="27" t="n">
        <v>55</v>
      </c>
      <c r="B59" s="29"/>
      <c r="C59" s="29"/>
      <c r="D59" s="27" t="str">
        <f aca="false">IF(C59="","",IF(INDEX('ملخص المعايير'!$E$5:$E$52,MATCH(C59,'ملخص المعايير'!$A$5:$A$52,0))="نعم","نعم","لا"))</f>
        <v/>
      </c>
      <c r="E59" s="30"/>
      <c r="F59" s="29"/>
      <c r="G59" s="30"/>
      <c r="H59" s="30"/>
      <c r="I59" s="29"/>
      <c r="J59" s="29"/>
      <c r="K59" s="30"/>
      <c r="L59" s="30"/>
      <c r="M59" s="30"/>
      <c r="N59" s="35"/>
      <c r="O59" s="29"/>
      <c r="P59" s="30"/>
    </row>
    <row r="60" customFormat="false" ht="15" hidden="false" customHeight="false" outlineLevel="0" collapsed="false">
      <c r="A60" s="27" t="n">
        <v>56</v>
      </c>
      <c r="B60" s="29"/>
      <c r="C60" s="29"/>
      <c r="D60" s="27" t="str">
        <f aca="false">IF(C60="","",IF(INDEX('ملخص المعايير'!$E$5:$E$52,MATCH(C60,'ملخص المعايير'!$A$5:$A$52,0))="نعم","نعم","لا"))</f>
        <v/>
      </c>
      <c r="E60" s="30"/>
      <c r="F60" s="29"/>
      <c r="G60" s="30"/>
      <c r="H60" s="30"/>
      <c r="I60" s="29"/>
      <c r="J60" s="29"/>
      <c r="K60" s="30"/>
      <c r="L60" s="30"/>
      <c r="M60" s="30"/>
      <c r="N60" s="35"/>
      <c r="O60" s="29"/>
      <c r="P60" s="30"/>
    </row>
    <row r="61" customFormat="false" ht="15" hidden="false" customHeight="false" outlineLevel="0" collapsed="false">
      <c r="A61" s="27" t="n">
        <v>57</v>
      </c>
      <c r="B61" s="29"/>
      <c r="C61" s="29"/>
      <c r="D61" s="27" t="str">
        <f aca="false">IF(C61="","",IF(INDEX('ملخص المعايير'!$E$5:$E$52,MATCH(C61,'ملخص المعايير'!$A$5:$A$52,0))="نعم","نعم","لا"))</f>
        <v/>
      </c>
      <c r="E61" s="30"/>
      <c r="F61" s="29"/>
      <c r="G61" s="30"/>
      <c r="H61" s="30"/>
      <c r="I61" s="29"/>
      <c r="J61" s="29"/>
      <c r="K61" s="30"/>
      <c r="L61" s="30"/>
      <c r="M61" s="30"/>
      <c r="N61" s="35"/>
      <c r="O61" s="29"/>
      <c r="P61" s="30"/>
    </row>
    <row r="62" customFormat="false" ht="15" hidden="false" customHeight="false" outlineLevel="0" collapsed="false">
      <c r="A62" s="27" t="n">
        <v>58</v>
      </c>
      <c r="B62" s="29"/>
      <c r="C62" s="29"/>
      <c r="D62" s="27" t="str">
        <f aca="false">IF(C62="","",IF(INDEX('ملخص المعايير'!$E$5:$E$52,MATCH(C62,'ملخص المعايير'!$A$5:$A$52,0))="نعم","نعم","لا"))</f>
        <v/>
      </c>
      <c r="E62" s="30"/>
      <c r="F62" s="29"/>
      <c r="G62" s="30"/>
      <c r="H62" s="30"/>
      <c r="I62" s="29"/>
      <c r="J62" s="29"/>
      <c r="K62" s="30"/>
      <c r="L62" s="30"/>
      <c r="M62" s="30"/>
      <c r="N62" s="35"/>
      <c r="O62" s="29"/>
      <c r="P62" s="30"/>
    </row>
    <row r="63" customFormat="false" ht="15" hidden="false" customHeight="false" outlineLevel="0" collapsed="false">
      <c r="A63" s="27" t="n">
        <v>59</v>
      </c>
      <c r="B63" s="29"/>
      <c r="C63" s="29"/>
      <c r="D63" s="27" t="str">
        <f aca="false">IF(C63="","",IF(INDEX('ملخص المعايير'!$E$5:$E$52,MATCH(C63,'ملخص المعايير'!$A$5:$A$52,0))="نعم","نعم","لا"))</f>
        <v/>
      </c>
      <c r="E63" s="30"/>
      <c r="F63" s="29"/>
      <c r="G63" s="30"/>
      <c r="H63" s="30"/>
      <c r="I63" s="29"/>
      <c r="J63" s="29"/>
      <c r="K63" s="30"/>
      <c r="L63" s="30"/>
      <c r="M63" s="30"/>
      <c r="N63" s="35"/>
      <c r="O63" s="29"/>
      <c r="P63" s="30"/>
    </row>
    <row r="64" customFormat="false" ht="15" hidden="false" customHeight="false" outlineLevel="0" collapsed="false">
      <c r="A64" s="27" t="n">
        <v>60</v>
      </c>
      <c r="B64" s="29"/>
      <c r="C64" s="29"/>
      <c r="D64" s="27" t="str">
        <f aca="false">IF(C64="","",IF(INDEX('ملخص المعايير'!$E$5:$E$52,MATCH(C64,'ملخص المعايير'!$A$5:$A$52,0))="نعم","نعم","لا"))</f>
        <v/>
      </c>
      <c r="E64" s="30"/>
      <c r="F64" s="29"/>
      <c r="G64" s="30"/>
      <c r="H64" s="30"/>
      <c r="I64" s="29"/>
      <c r="J64" s="29"/>
      <c r="K64" s="30"/>
      <c r="L64" s="30"/>
      <c r="M64" s="30"/>
      <c r="N64" s="35"/>
      <c r="O64" s="29"/>
      <c r="P64" s="30"/>
    </row>
    <row r="65" customFormat="false" ht="15" hidden="false" customHeight="false" outlineLevel="0" collapsed="false">
      <c r="A65" s="27" t="n">
        <v>61</v>
      </c>
      <c r="B65" s="29"/>
      <c r="C65" s="29"/>
      <c r="D65" s="27" t="str">
        <f aca="false">IF(C65="","",IF(INDEX('ملخص المعايير'!$E$5:$E$52,MATCH(C65,'ملخص المعايير'!$A$5:$A$52,0))="نعم","نعم","لا"))</f>
        <v/>
      </c>
      <c r="E65" s="30"/>
      <c r="F65" s="29"/>
      <c r="G65" s="30"/>
      <c r="H65" s="30"/>
      <c r="I65" s="29"/>
      <c r="J65" s="29"/>
      <c r="K65" s="30"/>
      <c r="L65" s="30"/>
      <c r="M65" s="30"/>
      <c r="N65" s="35"/>
      <c r="O65" s="29"/>
      <c r="P65" s="30"/>
    </row>
    <row r="66" customFormat="false" ht="15" hidden="false" customHeight="false" outlineLevel="0" collapsed="false">
      <c r="A66" s="27" t="n">
        <v>62</v>
      </c>
      <c r="B66" s="29"/>
      <c r="C66" s="29"/>
      <c r="D66" s="27" t="str">
        <f aca="false">IF(C66="","",IF(INDEX('ملخص المعايير'!$E$5:$E$52,MATCH(C66,'ملخص المعايير'!$A$5:$A$52,0))="نعم","نعم","لا"))</f>
        <v/>
      </c>
      <c r="E66" s="30"/>
      <c r="F66" s="29"/>
      <c r="G66" s="30"/>
      <c r="H66" s="30"/>
      <c r="I66" s="29"/>
      <c r="J66" s="29"/>
      <c r="K66" s="30"/>
      <c r="L66" s="30"/>
      <c r="M66" s="30"/>
      <c r="N66" s="35"/>
      <c r="O66" s="29"/>
      <c r="P66" s="30"/>
    </row>
    <row r="67" customFormat="false" ht="15" hidden="false" customHeight="false" outlineLevel="0" collapsed="false">
      <c r="A67" s="27" t="n">
        <v>63</v>
      </c>
      <c r="B67" s="29"/>
      <c r="C67" s="29"/>
      <c r="D67" s="27" t="str">
        <f aca="false">IF(C67="","",IF(INDEX('ملخص المعايير'!$E$5:$E$52,MATCH(C67,'ملخص المعايير'!$A$5:$A$52,0))="نعم","نعم","لا"))</f>
        <v/>
      </c>
      <c r="E67" s="30"/>
      <c r="F67" s="29"/>
      <c r="G67" s="30"/>
      <c r="H67" s="30"/>
      <c r="I67" s="29"/>
      <c r="J67" s="29"/>
      <c r="K67" s="30"/>
      <c r="L67" s="30"/>
      <c r="M67" s="30"/>
      <c r="N67" s="35"/>
      <c r="O67" s="29"/>
      <c r="P67" s="30"/>
    </row>
    <row r="68" customFormat="false" ht="15" hidden="false" customHeight="false" outlineLevel="0" collapsed="false">
      <c r="A68" s="27" t="n">
        <v>64</v>
      </c>
      <c r="B68" s="29"/>
      <c r="C68" s="29"/>
      <c r="D68" s="27" t="str">
        <f aca="false">IF(C68="","",IF(INDEX('ملخص المعايير'!$E$5:$E$52,MATCH(C68,'ملخص المعايير'!$A$5:$A$52,0))="نعم","نعم","لا"))</f>
        <v/>
      </c>
      <c r="E68" s="30"/>
      <c r="F68" s="29"/>
      <c r="G68" s="30"/>
      <c r="H68" s="30"/>
      <c r="I68" s="29"/>
      <c r="J68" s="29"/>
      <c r="K68" s="30"/>
      <c r="L68" s="30"/>
      <c r="M68" s="30"/>
      <c r="N68" s="35"/>
      <c r="O68" s="29"/>
      <c r="P68" s="30"/>
    </row>
    <row r="69" customFormat="false" ht="15" hidden="false" customHeight="false" outlineLevel="0" collapsed="false">
      <c r="A69" s="27" t="n">
        <v>65</v>
      </c>
      <c r="B69" s="29"/>
      <c r="C69" s="29"/>
      <c r="D69" s="27" t="str">
        <f aca="false">IF(C69="","",IF(INDEX('ملخص المعايير'!$E$5:$E$52,MATCH(C69,'ملخص المعايير'!$A$5:$A$52,0))="نعم","نعم","لا"))</f>
        <v/>
      </c>
      <c r="E69" s="30"/>
      <c r="F69" s="29"/>
      <c r="G69" s="30"/>
      <c r="H69" s="30"/>
      <c r="I69" s="29"/>
      <c r="J69" s="29"/>
      <c r="K69" s="30"/>
      <c r="L69" s="30"/>
      <c r="M69" s="30"/>
      <c r="N69" s="35"/>
      <c r="O69" s="29"/>
      <c r="P69" s="30"/>
    </row>
    <row r="70" customFormat="false" ht="15" hidden="false" customHeight="false" outlineLevel="0" collapsed="false">
      <c r="A70" s="27" t="n">
        <v>66</v>
      </c>
      <c r="B70" s="29"/>
      <c r="C70" s="29"/>
      <c r="D70" s="27" t="str">
        <f aca="false">IF(C70="","",IF(INDEX('ملخص المعايير'!$E$5:$E$52,MATCH(C70,'ملخص المعايير'!$A$5:$A$52,0))="نعم","نعم","لا"))</f>
        <v/>
      </c>
      <c r="E70" s="30"/>
      <c r="F70" s="29"/>
      <c r="G70" s="30"/>
      <c r="H70" s="30"/>
      <c r="I70" s="29"/>
      <c r="J70" s="29"/>
      <c r="K70" s="30"/>
      <c r="L70" s="30"/>
      <c r="M70" s="30"/>
      <c r="N70" s="35"/>
      <c r="O70" s="29"/>
      <c r="P70" s="30"/>
    </row>
    <row r="71" customFormat="false" ht="15" hidden="false" customHeight="false" outlineLevel="0" collapsed="false">
      <c r="A71" s="27" t="n">
        <v>67</v>
      </c>
      <c r="B71" s="29"/>
      <c r="C71" s="29"/>
      <c r="D71" s="27" t="str">
        <f aca="false">IF(C71="","",IF(INDEX('ملخص المعايير'!$E$5:$E$52,MATCH(C71,'ملخص المعايير'!$A$5:$A$52,0))="نعم","نعم","لا"))</f>
        <v/>
      </c>
      <c r="E71" s="30"/>
      <c r="F71" s="29"/>
      <c r="G71" s="30"/>
      <c r="H71" s="30"/>
      <c r="I71" s="29"/>
      <c r="J71" s="29"/>
      <c r="K71" s="30"/>
      <c r="L71" s="30"/>
      <c r="M71" s="30"/>
      <c r="N71" s="35"/>
      <c r="O71" s="29"/>
      <c r="P71" s="30"/>
    </row>
    <row r="72" customFormat="false" ht="15" hidden="false" customHeight="false" outlineLevel="0" collapsed="false">
      <c r="A72" s="27" t="n">
        <v>68</v>
      </c>
      <c r="B72" s="29"/>
      <c r="C72" s="29"/>
      <c r="D72" s="27" t="str">
        <f aca="false">IF(C72="","",IF(INDEX('ملخص المعايير'!$E$5:$E$52,MATCH(C72,'ملخص المعايير'!$A$5:$A$52,0))="نعم","نعم","لا"))</f>
        <v/>
      </c>
      <c r="E72" s="30"/>
      <c r="F72" s="29"/>
      <c r="G72" s="30"/>
      <c r="H72" s="30"/>
      <c r="I72" s="29"/>
      <c r="J72" s="29"/>
      <c r="K72" s="30"/>
      <c r="L72" s="30"/>
      <c r="M72" s="30"/>
      <c r="N72" s="35"/>
      <c r="O72" s="29"/>
      <c r="P72" s="30"/>
    </row>
    <row r="73" customFormat="false" ht="15" hidden="false" customHeight="false" outlineLevel="0" collapsed="false">
      <c r="A73" s="27" t="n">
        <v>69</v>
      </c>
      <c r="B73" s="29"/>
      <c r="C73" s="29"/>
      <c r="D73" s="27" t="str">
        <f aca="false">IF(C73="","",IF(INDEX('ملخص المعايير'!$E$5:$E$52,MATCH(C73,'ملخص المعايير'!$A$5:$A$52,0))="نعم","نعم","لا"))</f>
        <v/>
      </c>
      <c r="E73" s="30"/>
      <c r="F73" s="29"/>
      <c r="G73" s="30"/>
      <c r="H73" s="30"/>
      <c r="I73" s="29"/>
      <c r="J73" s="29"/>
      <c r="K73" s="30"/>
      <c r="L73" s="30"/>
      <c r="M73" s="30"/>
      <c r="N73" s="35"/>
      <c r="O73" s="29"/>
      <c r="P73" s="30"/>
    </row>
    <row r="74" customFormat="false" ht="15" hidden="false" customHeight="false" outlineLevel="0" collapsed="false">
      <c r="A74" s="27" t="n">
        <v>70</v>
      </c>
      <c r="B74" s="29"/>
      <c r="C74" s="29"/>
      <c r="D74" s="27" t="str">
        <f aca="false">IF(C74="","",IF(INDEX('ملخص المعايير'!$E$5:$E$52,MATCH(C74,'ملخص المعايير'!$A$5:$A$52,0))="نعم","نعم","لا"))</f>
        <v/>
      </c>
      <c r="E74" s="30"/>
      <c r="F74" s="29"/>
      <c r="G74" s="30"/>
      <c r="H74" s="30"/>
      <c r="I74" s="29"/>
      <c r="J74" s="29"/>
      <c r="K74" s="30"/>
      <c r="L74" s="30"/>
      <c r="M74" s="30"/>
      <c r="N74" s="35"/>
      <c r="O74" s="29"/>
      <c r="P74" s="30"/>
    </row>
    <row r="75" customFormat="false" ht="15" hidden="false" customHeight="false" outlineLevel="0" collapsed="false">
      <c r="A75" s="27" t="n">
        <v>71</v>
      </c>
      <c r="B75" s="29"/>
      <c r="C75" s="29"/>
      <c r="D75" s="27" t="str">
        <f aca="false">IF(C75="","",IF(INDEX('ملخص المعايير'!$E$5:$E$52,MATCH(C75,'ملخص المعايير'!$A$5:$A$52,0))="نعم","نعم","لا"))</f>
        <v/>
      </c>
      <c r="E75" s="30"/>
      <c r="F75" s="29"/>
      <c r="G75" s="30"/>
      <c r="H75" s="30"/>
      <c r="I75" s="29"/>
      <c r="J75" s="29"/>
      <c r="K75" s="30"/>
      <c r="L75" s="30"/>
      <c r="M75" s="30"/>
      <c r="N75" s="35"/>
      <c r="O75" s="29"/>
      <c r="P75" s="30"/>
    </row>
    <row r="76" customFormat="false" ht="15" hidden="false" customHeight="false" outlineLevel="0" collapsed="false">
      <c r="A76" s="27" t="n">
        <v>72</v>
      </c>
      <c r="B76" s="29"/>
      <c r="C76" s="29"/>
      <c r="D76" s="27" t="str">
        <f aca="false">IF(C76="","",IF(INDEX('ملخص المعايير'!$E$5:$E$52,MATCH(C76,'ملخص المعايير'!$A$5:$A$52,0))="نعم","نعم","لا"))</f>
        <v/>
      </c>
      <c r="E76" s="30"/>
      <c r="F76" s="29"/>
      <c r="G76" s="30"/>
      <c r="H76" s="30"/>
      <c r="I76" s="29"/>
      <c r="J76" s="29"/>
      <c r="K76" s="30"/>
      <c r="L76" s="30"/>
      <c r="M76" s="30"/>
      <c r="N76" s="35"/>
      <c r="O76" s="29"/>
      <c r="P76" s="30"/>
    </row>
    <row r="77" customFormat="false" ht="15" hidden="false" customHeight="false" outlineLevel="0" collapsed="false">
      <c r="A77" s="27" t="n">
        <v>73</v>
      </c>
      <c r="B77" s="29"/>
      <c r="C77" s="29"/>
      <c r="D77" s="27" t="str">
        <f aca="false">IF(C77="","",IF(INDEX('ملخص المعايير'!$E$5:$E$52,MATCH(C77,'ملخص المعايير'!$A$5:$A$52,0))="نعم","نعم","لا"))</f>
        <v/>
      </c>
      <c r="E77" s="30"/>
      <c r="F77" s="29"/>
      <c r="G77" s="30"/>
      <c r="H77" s="30"/>
      <c r="I77" s="29"/>
      <c r="J77" s="29"/>
      <c r="K77" s="30"/>
      <c r="L77" s="30"/>
      <c r="M77" s="30"/>
      <c r="N77" s="35"/>
      <c r="O77" s="29"/>
      <c r="P77" s="30"/>
    </row>
    <row r="78" customFormat="false" ht="15" hidden="false" customHeight="false" outlineLevel="0" collapsed="false">
      <c r="A78" s="27" t="n">
        <v>74</v>
      </c>
      <c r="B78" s="29"/>
      <c r="C78" s="29"/>
      <c r="D78" s="27" t="str">
        <f aca="false">IF(C78="","",IF(INDEX('ملخص المعايير'!$E$5:$E$52,MATCH(C78,'ملخص المعايير'!$A$5:$A$52,0))="نعم","نعم","لا"))</f>
        <v/>
      </c>
      <c r="E78" s="30"/>
      <c r="F78" s="29"/>
      <c r="G78" s="30"/>
      <c r="H78" s="30"/>
      <c r="I78" s="29"/>
      <c r="J78" s="29"/>
      <c r="K78" s="30"/>
      <c r="L78" s="30"/>
      <c r="M78" s="30"/>
      <c r="N78" s="35"/>
      <c r="O78" s="29"/>
      <c r="P78" s="30"/>
    </row>
    <row r="79" customFormat="false" ht="15" hidden="false" customHeight="false" outlineLevel="0" collapsed="false">
      <c r="A79" s="27" t="n">
        <v>75</v>
      </c>
      <c r="B79" s="29"/>
      <c r="C79" s="29"/>
      <c r="D79" s="27" t="str">
        <f aca="false">IF(C79="","",IF(INDEX('ملخص المعايير'!$E$5:$E$52,MATCH(C79,'ملخص المعايير'!$A$5:$A$52,0))="نعم","نعم","لا"))</f>
        <v/>
      </c>
      <c r="E79" s="30"/>
      <c r="F79" s="29"/>
      <c r="G79" s="30"/>
      <c r="H79" s="30"/>
      <c r="I79" s="29"/>
      <c r="J79" s="29"/>
      <c r="K79" s="30"/>
      <c r="L79" s="30"/>
      <c r="M79" s="30"/>
      <c r="N79" s="35"/>
      <c r="O79" s="29"/>
      <c r="P79" s="30"/>
    </row>
    <row r="80" customFormat="false" ht="15" hidden="false" customHeight="false" outlineLevel="0" collapsed="false">
      <c r="A80" s="27" t="n">
        <v>76</v>
      </c>
      <c r="B80" s="29"/>
      <c r="C80" s="29"/>
      <c r="D80" s="27" t="str">
        <f aca="false">IF(C80="","",IF(INDEX('ملخص المعايير'!$E$5:$E$52,MATCH(C80,'ملخص المعايير'!$A$5:$A$52,0))="نعم","نعم","لا"))</f>
        <v/>
      </c>
      <c r="E80" s="30"/>
      <c r="F80" s="29"/>
      <c r="G80" s="30"/>
      <c r="H80" s="30"/>
      <c r="I80" s="29"/>
      <c r="J80" s="29"/>
      <c r="K80" s="30"/>
      <c r="L80" s="30"/>
      <c r="M80" s="30"/>
      <c r="N80" s="35"/>
      <c r="O80" s="29"/>
      <c r="P80" s="30"/>
    </row>
    <row r="81" customFormat="false" ht="15" hidden="false" customHeight="false" outlineLevel="0" collapsed="false">
      <c r="A81" s="27" t="n">
        <v>77</v>
      </c>
      <c r="B81" s="29"/>
      <c r="C81" s="29"/>
      <c r="D81" s="27" t="str">
        <f aca="false">IF(C81="","",IF(INDEX('ملخص المعايير'!$E$5:$E$52,MATCH(C81,'ملخص المعايير'!$A$5:$A$52,0))="نعم","نعم","لا"))</f>
        <v/>
      </c>
      <c r="E81" s="30"/>
      <c r="F81" s="29"/>
      <c r="G81" s="30"/>
      <c r="H81" s="30"/>
      <c r="I81" s="29"/>
      <c r="J81" s="29"/>
      <c r="K81" s="30"/>
      <c r="L81" s="30"/>
      <c r="M81" s="30"/>
      <c r="N81" s="35"/>
      <c r="O81" s="29"/>
      <c r="P81" s="30"/>
    </row>
    <row r="82" customFormat="false" ht="15" hidden="false" customHeight="false" outlineLevel="0" collapsed="false">
      <c r="A82" s="27" t="n">
        <v>78</v>
      </c>
      <c r="B82" s="29"/>
      <c r="C82" s="29"/>
      <c r="D82" s="27" t="str">
        <f aca="false">IF(C82="","",IF(INDEX('ملخص المعايير'!$E$5:$E$52,MATCH(C82,'ملخص المعايير'!$A$5:$A$52,0))="نعم","نعم","لا"))</f>
        <v/>
      </c>
      <c r="E82" s="30"/>
      <c r="F82" s="29"/>
      <c r="G82" s="30"/>
      <c r="H82" s="30"/>
      <c r="I82" s="29"/>
      <c r="J82" s="29"/>
      <c r="K82" s="30"/>
      <c r="L82" s="30"/>
      <c r="M82" s="30"/>
      <c r="N82" s="35"/>
      <c r="O82" s="29"/>
      <c r="P82" s="30"/>
    </row>
    <row r="83" customFormat="false" ht="15" hidden="false" customHeight="false" outlineLevel="0" collapsed="false">
      <c r="A83" s="27" t="n">
        <v>79</v>
      </c>
      <c r="B83" s="29"/>
      <c r="C83" s="29"/>
      <c r="D83" s="27" t="str">
        <f aca="false">IF(C83="","",IF(INDEX('ملخص المعايير'!$E$5:$E$52,MATCH(C83,'ملخص المعايير'!$A$5:$A$52,0))="نعم","نعم","لا"))</f>
        <v/>
      </c>
      <c r="E83" s="30"/>
      <c r="F83" s="29"/>
      <c r="G83" s="30"/>
      <c r="H83" s="30"/>
      <c r="I83" s="29"/>
      <c r="J83" s="29"/>
      <c r="K83" s="30"/>
      <c r="L83" s="30"/>
      <c r="M83" s="30"/>
      <c r="N83" s="35"/>
      <c r="O83" s="29"/>
      <c r="P83" s="30"/>
    </row>
    <row r="84" customFormat="false" ht="15" hidden="false" customHeight="false" outlineLevel="0" collapsed="false">
      <c r="A84" s="27" t="n">
        <v>80</v>
      </c>
      <c r="B84" s="29"/>
      <c r="C84" s="29"/>
      <c r="D84" s="27" t="str">
        <f aca="false">IF(C84="","",IF(INDEX('ملخص المعايير'!$E$5:$E$52,MATCH(C84,'ملخص المعايير'!$A$5:$A$52,0))="نعم","نعم","لا"))</f>
        <v/>
      </c>
      <c r="E84" s="30"/>
      <c r="F84" s="29"/>
      <c r="G84" s="30"/>
      <c r="H84" s="30"/>
      <c r="I84" s="29"/>
      <c r="J84" s="29"/>
      <c r="K84" s="30"/>
      <c r="L84" s="30"/>
      <c r="M84" s="30"/>
      <c r="N84" s="35"/>
      <c r="O84" s="29"/>
      <c r="P84" s="30"/>
    </row>
    <row r="85" customFormat="false" ht="15" hidden="false" customHeight="false" outlineLevel="0" collapsed="false">
      <c r="A85" s="27" t="n">
        <v>81</v>
      </c>
      <c r="B85" s="29"/>
      <c r="C85" s="29"/>
      <c r="D85" s="27" t="str">
        <f aca="false">IF(C85="","",IF(INDEX('ملخص المعايير'!$E$5:$E$52,MATCH(C85,'ملخص المعايير'!$A$5:$A$52,0))="نعم","نعم","لا"))</f>
        <v/>
      </c>
      <c r="E85" s="30"/>
      <c r="F85" s="29"/>
      <c r="G85" s="30"/>
      <c r="H85" s="30"/>
      <c r="I85" s="29"/>
      <c r="J85" s="29"/>
      <c r="K85" s="30"/>
      <c r="L85" s="30"/>
      <c r="M85" s="30"/>
      <c r="N85" s="35"/>
      <c r="O85" s="29"/>
      <c r="P85" s="30"/>
    </row>
    <row r="86" customFormat="false" ht="15" hidden="false" customHeight="false" outlineLevel="0" collapsed="false">
      <c r="A86" s="27" t="n">
        <v>82</v>
      </c>
      <c r="B86" s="29"/>
      <c r="C86" s="29"/>
      <c r="D86" s="27" t="str">
        <f aca="false">IF(C86="","",IF(INDEX('ملخص المعايير'!$E$5:$E$52,MATCH(C86,'ملخص المعايير'!$A$5:$A$52,0))="نعم","نعم","لا"))</f>
        <v/>
      </c>
      <c r="E86" s="30"/>
      <c r="F86" s="29"/>
      <c r="G86" s="30"/>
      <c r="H86" s="30"/>
      <c r="I86" s="29"/>
      <c r="J86" s="29"/>
      <c r="K86" s="30"/>
      <c r="L86" s="30"/>
      <c r="M86" s="30"/>
      <c r="N86" s="35"/>
      <c r="O86" s="29"/>
      <c r="P86" s="30"/>
    </row>
    <row r="87" customFormat="false" ht="15" hidden="false" customHeight="false" outlineLevel="0" collapsed="false">
      <c r="A87" s="27" t="n">
        <v>83</v>
      </c>
      <c r="B87" s="29"/>
      <c r="C87" s="29"/>
      <c r="D87" s="27" t="str">
        <f aca="false">IF(C87="","",IF(INDEX('ملخص المعايير'!$E$5:$E$52,MATCH(C87,'ملخص المعايير'!$A$5:$A$52,0))="نعم","نعم","لا"))</f>
        <v/>
      </c>
      <c r="E87" s="30"/>
      <c r="F87" s="29"/>
      <c r="G87" s="30"/>
      <c r="H87" s="30"/>
      <c r="I87" s="29"/>
      <c r="J87" s="29"/>
      <c r="K87" s="30"/>
      <c r="L87" s="30"/>
      <c r="M87" s="30"/>
      <c r="N87" s="35"/>
      <c r="O87" s="29"/>
      <c r="P87" s="30"/>
    </row>
    <row r="88" customFormat="false" ht="15" hidden="false" customHeight="false" outlineLevel="0" collapsed="false">
      <c r="A88" s="27" t="n">
        <v>84</v>
      </c>
      <c r="B88" s="29"/>
      <c r="C88" s="29"/>
      <c r="D88" s="27" t="str">
        <f aca="false">IF(C88="","",IF(INDEX('ملخص المعايير'!$E$5:$E$52,MATCH(C88,'ملخص المعايير'!$A$5:$A$52,0))="نعم","نعم","لا"))</f>
        <v/>
      </c>
      <c r="E88" s="30"/>
      <c r="F88" s="29"/>
      <c r="G88" s="30"/>
      <c r="H88" s="30"/>
      <c r="I88" s="29"/>
      <c r="J88" s="29"/>
      <c r="K88" s="30"/>
      <c r="L88" s="30"/>
      <c r="M88" s="30"/>
      <c r="N88" s="35"/>
      <c r="O88" s="29"/>
      <c r="P88" s="30"/>
    </row>
    <row r="89" customFormat="false" ht="15" hidden="false" customHeight="false" outlineLevel="0" collapsed="false">
      <c r="A89" s="27" t="n">
        <v>85</v>
      </c>
      <c r="B89" s="29"/>
      <c r="C89" s="29"/>
      <c r="D89" s="27" t="str">
        <f aca="false">IF(C89="","",IF(INDEX('ملخص المعايير'!$E$5:$E$52,MATCH(C89,'ملخص المعايير'!$A$5:$A$52,0))="نعم","نعم","لا"))</f>
        <v/>
      </c>
      <c r="E89" s="30"/>
      <c r="F89" s="29"/>
      <c r="G89" s="30"/>
      <c r="H89" s="30"/>
      <c r="I89" s="29"/>
      <c r="J89" s="29"/>
      <c r="K89" s="30"/>
      <c r="L89" s="30"/>
      <c r="M89" s="30"/>
      <c r="N89" s="35"/>
      <c r="O89" s="29"/>
      <c r="P89" s="30"/>
    </row>
    <row r="90" customFormat="false" ht="15" hidden="false" customHeight="false" outlineLevel="0" collapsed="false">
      <c r="A90" s="27" t="n">
        <v>86</v>
      </c>
      <c r="B90" s="29"/>
      <c r="C90" s="29"/>
      <c r="D90" s="27" t="str">
        <f aca="false">IF(C90="","",IF(INDEX('ملخص المعايير'!$E$5:$E$52,MATCH(C90,'ملخص المعايير'!$A$5:$A$52,0))="نعم","نعم","لا"))</f>
        <v/>
      </c>
      <c r="E90" s="30"/>
      <c r="F90" s="29"/>
      <c r="G90" s="30"/>
      <c r="H90" s="30"/>
      <c r="I90" s="29"/>
      <c r="J90" s="29"/>
      <c r="K90" s="30"/>
      <c r="L90" s="30"/>
      <c r="M90" s="30"/>
      <c r="N90" s="35"/>
      <c r="O90" s="29"/>
      <c r="P90" s="30"/>
    </row>
    <row r="91" customFormat="false" ht="15" hidden="false" customHeight="false" outlineLevel="0" collapsed="false">
      <c r="A91" s="27" t="n">
        <v>87</v>
      </c>
      <c r="B91" s="29"/>
      <c r="C91" s="29"/>
      <c r="D91" s="27" t="str">
        <f aca="false">IF(C91="","",IF(INDEX('ملخص المعايير'!$E$5:$E$52,MATCH(C91,'ملخص المعايير'!$A$5:$A$52,0))="نعم","نعم","لا"))</f>
        <v/>
      </c>
      <c r="E91" s="30"/>
      <c r="F91" s="29"/>
      <c r="G91" s="30"/>
      <c r="H91" s="30"/>
      <c r="I91" s="29"/>
      <c r="J91" s="29"/>
      <c r="K91" s="30"/>
      <c r="L91" s="30"/>
      <c r="M91" s="30"/>
      <c r="N91" s="35"/>
      <c r="O91" s="29"/>
      <c r="P91" s="30"/>
    </row>
    <row r="92" customFormat="false" ht="15" hidden="false" customHeight="false" outlineLevel="0" collapsed="false">
      <c r="A92" s="27" t="n">
        <v>88</v>
      </c>
      <c r="B92" s="29"/>
      <c r="C92" s="29"/>
      <c r="D92" s="27" t="str">
        <f aca="false">IF(C92="","",IF(INDEX('ملخص المعايير'!$E$5:$E$52,MATCH(C92,'ملخص المعايير'!$A$5:$A$52,0))="نعم","نعم","لا"))</f>
        <v/>
      </c>
      <c r="E92" s="30"/>
      <c r="F92" s="29"/>
      <c r="G92" s="30"/>
      <c r="H92" s="30"/>
      <c r="I92" s="29"/>
      <c r="J92" s="29"/>
      <c r="K92" s="30"/>
      <c r="L92" s="30"/>
      <c r="M92" s="30"/>
      <c r="N92" s="35"/>
      <c r="O92" s="29"/>
      <c r="P92" s="30"/>
    </row>
    <row r="93" customFormat="false" ht="15" hidden="false" customHeight="false" outlineLevel="0" collapsed="false">
      <c r="A93" s="27" t="n">
        <v>89</v>
      </c>
      <c r="B93" s="29"/>
      <c r="C93" s="29"/>
      <c r="D93" s="27" t="str">
        <f aca="false">IF(C93="","",IF(INDEX('ملخص المعايير'!$E$5:$E$52,MATCH(C93,'ملخص المعايير'!$A$5:$A$52,0))="نعم","نعم","لا"))</f>
        <v/>
      </c>
      <c r="E93" s="30"/>
      <c r="F93" s="29"/>
      <c r="G93" s="30"/>
      <c r="H93" s="30"/>
      <c r="I93" s="29"/>
      <c r="J93" s="29"/>
      <c r="K93" s="30"/>
      <c r="L93" s="30"/>
      <c r="M93" s="30"/>
      <c r="N93" s="35"/>
      <c r="O93" s="29"/>
      <c r="P93" s="30"/>
    </row>
    <row r="94" customFormat="false" ht="15" hidden="false" customHeight="false" outlineLevel="0" collapsed="false">
      <c r="A94" s="27" t="n">
        <v>90</v>
      </c>
      <c r="B94" s="29"/>
      <c r="C94" s="29"/>
      <c r="D94" s="27" t="str">
        <f aca="false">IF(C94="","",IF(INDEX('ملخص المعايير'!$E$5:$E$52,MATCH(C94,'ملخص المعايير'!$A$5:$A$52,0))="نعم","نعم","لا"))</f>
        <v/>
      </c>
      <c r="E94" s="30"/>
      <c r="F94" s="29"/>
      <c r="G94" s="30"/>
      <c r="H94" s="30"/>
      <c r="I94" s="29"/>
      <c r="J94" s="29"/>
      <c r="K94" s="30"/>
      <c r="L94" s="30"/>
      <c r="M94" s="30"/>
      <c r="N94" s="35"/>
      <c r="O94" s="29"/>
      <c r="P94" s="30"/>
    </row>
    <row r="95" customFormat="false" ht="15" hidden="false" customHeight="false" outlineLevel="0" collapsed="false">
      <c r="A95" s="27" t="n">
        <v>91</v>
      </c>
      <c r="B95" s="29"/>
      <c r="C95" s="29"/>
      <c r="D95" s="27" t="str">
        <f aca="false">IF(C95="","",IF(INDEX('ملخص المعايير'!$E$5:$E$52,MATCH(C95,'ملخص المعايير'!$A$5:$A$52,0))="نعم","نعم","لا"))</f>
        <v/>
      </c>
      <c r="E95" s="30"/>
      <c r="F95" s="29"/>
      <c r="G95" s="30"/>
      <c r="H95" s="30"/>
      <c r="I95" s="29"/>
      <c r="J95" s="29"/>
      <c r="K95" s="30"/>
      <c r="L95" s="30"/>
      <c r="M95" s="30"/>
      <c r="N95" s="35"/>
      <c r="O95" s="29"/>
      <c r="P95" s="30"/>
    </row>
    <row r="96" customFormat="false" ht="15" hidden="false" customHeight="false" outlineLevel="0" collapsed="false">
      <c r="A96" s="27" t="n">
        <v>92</v>
      </c>
      <c r="B96" s="29"/>
      <c r="C96" s="29"/>
      <c r="D96" s="27" t="str">
        <f aca="false">IF(C96="","",IF(INDEX('ملخص المعايير'!$E$5:$E$52,MATCH(C96,'ملخص المعايير'!$A$5:$A$52,0))="نعم","نعم","لا"))</f>
        <v/>
      </c>
      <c r="E96" s="30"/>
      <c r="F96" s="29"/>
      <c r="G96" s="30"/>
      <c r="H96" s="30"/>
      <c r="I96" s="29"/>
      <c r="J96" s="29"/>
      <c r="K96" s="30"/>
      <c r="L96" s="30"/>
      <c r="M96" s="30"/>
      <c r="N96" s="35"/>
      <c r="O96" s="29"/>
      <c r="P96" s="30"/>
    </row>
    <row r="97" customFormat="false" ht="15" hidden="false" customHeight="false" outlineLevel="0" collapsed="false">
      <c r="A97" s="27" t="n">
        <v>93</v>
      </c>
      <c r="B97" s="29"/>
      <c r="C97" s="29"/>
      <c r="D97" s="27" t="str">
        <f aca="false">IF(C97="","",IF(INDEX('ملخص المعايير'!$E$5:$E$52,MATCH(C97,'ملخص المعايير'!$A$5:$A$52,0))="نعم","نعم","لا"))</f>
        <v/>
      </c>
      <c r="E97" s="30"/>
      <c r="F97" s="29"/>
      <c r="G97" s="30"/>
      <c r="H97" s="30"/>
      <c r="I97" s="29"/>
      <c r="J97" s="29"/>
      <c r="K97" s="30"/>
      <c r="L97" s="30"/>
      <c r="M97" s="30"/>
      <c r="N97" s="35"/>
      <c r="O97" s="29"/>
      <c r="P97" s="30"/>
    </row>
    <row r="98" customFormat="false" ht="15" hidden="false" customHeight="false" outlineLevel="0" collapsed="false">
      <c r="A98" s="27" t="n">
        <v>94</v>
      </c>
      <c r="B98" s="29"/>
      <c r="C98" s="29"/>
      <c r="D98" s="27" t="str">
        <f aca="false">IF(C98="","",IF(INDEX('ملخص المعايير'!$E$5:$E$52,MATCH(C98,'ملخص المعايير'!$A$5:$A$52,0))="نعم","نعم","لا"))</f>
        <v/>
      </c>
      <c r="E98" s="30"/>
      <c r="F98" s="29"/>
      <c r="G98" s="30"/>
      <c r="H98" s="30"/>
      <c r="I98" s="29"/>
      <c r="J98" s="29"/>
      <c r="K98" s="30"/>
      <c r="L98" s="30"/>
      <c r="M98" s="30"/>
      <c r="N98" s="35"/>
      <c r="O98" s="29"/>
      <c r="P98" s="30"/>
    </row>
    <row r="99" customFormat="false" ht="15" hidden="false" customHeight="false" outlineLevel="0" collapsed="false">
      <c r="A99" s="27" t="n">
        <v>95</v>
      </c>
      <c r="B99" s="29"/>
      <c r="C99" s="29"/>
      <c r="D99" s="27" t="str">
        <f aca="false">IF(C99="","",IF(INDEX('ملخص المعايير'!$E$5:$E$52,MATCH(C99,'ملخص المعايير'!$A$5:$A$52,0))="نعم","نعم","لا"))</f>
        <v/>
      </c>
      <c r="E99" s="30"/>
      <c r="F99" s="29"/>
      <c r="G99" s="30"/>
      <c r="H99" s="30"/>
      <c r="I99" s="29"/>
      <c r="J99" s="29"/>
      <c r="K99" s="30"/>
      <c r="L99" s="30"/>
      <c r="M99" s="30"/>
      <c r="N99" s="35"/>
      <c r="O99" s="29"/>
      <c r="P99" s="30"/>
    </row>
    <row r="100" customFormat="false" ht="15" hidden="false" customHeight="false" outlineLevel="0" collapsed="false">
      <c r="A100" s="27" t="n">
        <v>96</v>
      </c>
      <c r="B100" s="29"/>
      <c r="C100" s="29"/>
      <c r="D100" s="27" t="str">
        <f aca="false">IF(C100="","",IF(INDEX('ملخص المعايير'!$E$5:$E$52,MATCH(C100,'ملخص المعايير'!$A$5:$A$52,0))="نعم","نعم","لا"))</f>
        <v/>
      </c>
      <c r="E100" s="30"/>
      <c r="F100" s="29"/>
      <c r="G100" s="30"/>
      <c r="H100" s="30"/>
      <c r="I100" s="29"/>
      <c r="J100" s="29"/>
      <c r="K100" s="30"/>
      <c r="L100" s="30"/>
      <c r="M100" s="30"/>
      <c r="N100" s="35"/>
      <c r="O100" s="29"/>
      <c r="P100" s="30"/>
    </row>
    <row r="101" customFormat="false" ht="15" hidden="false" customHeight="false" outlineLevel="0" collapsed="false">
      <c r="A101" s="27" t="n">
        <v>97</v>
      </c>
      <c r="B101" s="29"/>
      <c r="C101" s="29"/>
      <c r="D101" s="27" t="str">
        <f aca="false">IF(C101="","",IF(INDEX('ملخص المعايير'!$E$5:$E$52,MATCH(C101,'ملخص المعايير'!$A$5:$A$52,0))="نعم","نعم","لا"))</f>
        <v/>
      </c>
      <c r="E101" s="30"/>
      <c r="F101" s="29"/>
      <c r="G101" s="30"/>
      <c r="H101" s="30"/>
      <c r="I101" s="29"/>
      <c r="J101" s="29"/>
      <c r="K101" s="30"/>
      <c r="L101" s="30"/>
      <c r="M101" s="30"/>
      <c r="N101" s="35"/>
      <c r="O101" s="29"/>
      <c r="P101" s="30"/>
    </row>
    <row r="102" customFormat="false" ht="15" hidden="false" customHeight="false" outlineLevel="0" collapsed="false">
      <c r="A102" s="27" t="n">
        <v>98</v>
      </c>
      <c r="B102" s="29"/>
      <c r="C102" s="29"/>
      <c r="D102" s="27" t="str">
        <f aca="false">IF(C102="","",IF(INDEX('ملخص المعايير'!$E$5:$E$52,MATCH(C102,'ملخص المعايير'!$A$5:$A$52,0))="نعم","نعم","لا"))</f>
        <v/>
      </c>
      <c r="E102" s="30"/>
      <c r="F102" s="29"/>
      <c r="G102" s="30"/>
      <c r="H102" s="30"/>
      <c r="I102" s="29"/>
      <c r="J102" s="29"/>
      <c r="K102" s="30"/>
      <c r="L102" s="30"/>
      <c r="M102" s="30"/>
      <c r="N102" s="35"/>
      <c r="O102" s="29"/>
      <c r="P102" s="30"/>
    </row>
    <row r="103" customFormat="false" ht="15" hidden="false" customHeight="false" outlineLevel="0" collapsed="false">
      <c r="A103" s="27" t="n">
        <v>99</v>
      </c>
      <c r="B103" s="29"/>
      <c r="C103" s="29"/>
      <c r="D103" s="27" t="str">
        <f aca="false">IF(C103="","",IF(INDEX('ملخص المعايير'!$E$5:$E$52,MATCH(C103,'ملخص المعايير'!$A$5:$A$52,0))="نعم","نعم","لا"))</f>
        <v/>
      </c>
      <c r="E103" s="30"/>
      <c r="F103" s="29"/>
      <c r="G103" s="30"/>
      <c r="H103" s="30"/>
      <c r="I103" s="29"/>
      <c r="J103" s="29"/>
      <c r="K103" s="30"/>
      <c r="L103" s="30"/>
      <c r="M103" s="30"/>
      <c r="N103" s="35"/>
      <c r="O103" s="29"/>
      <c r="P103" s="30"/>
    </row>
    <row r="104" customFormat="false" ht="15" hidden="false" customHeight="false" outlineLevel="0" collapsed="false">
      <c r="A104" s="27" t="n">
        <v>100</v>
      </c>
      <c r="B104" s="29"/>
      <c r="C104" s="29"/>
      <c r="D104" s="27" t="str">
        <f aca="false">IF(C104="","",IF(INDEX('ملخص المعايير'!$E$5:$E$52,MATCH(C104,'ملخص المعايير'!$A$5:$A$52,0))="نعم","نعم","لا"))</f>
        <v/>
      </c>
      <c r="E104" s="30"/>
      <c r="F104" s="29"/>
      <c r="G104" s="30"/>
      <c r="H104" s="30"/>
      <c r="I104" s="29"/>
      <c r="J104" s="29"/>
      <c r="K104" s="30"/>
      <c r="L104" s="30"/>
      <c r="M104" s="30"/>
      <c r="N104" s="35"/>
      <c r="O104" s="29"/>
      <c r="P104" s="30"/>
    </row>
    <row r="105" customFormat="false" ht="15" hidden="false" customHeight="false" outlineLevel="0" collapsed="false">
      <c r="A105" s="27" t="n">
        <v>101</v>
      </c>
      <c r="B105" s="29"/>
      <c r="C105" s="29"/>
      <c r="D105" s="27" t="str">
        <f aca="false">IF(C105="","",IF(INDEX('ملخص المعايير'!$E$5:$E$52,MATCH(C105,'ملخص المعايير'!$A$5:$A$52,0))="نعم","نعم","لا"))</f>
        <v/>
      </c>
      <c r="E105" s="30"/>
      <c r="F105" s="29"/>
      <c r="G105" s="30"/>
      <c r="H105" s="30"/>
      <c r="I105" s="29"/>
      <c r="J105" s="29"/>
      <c r="K105" s="30"/>
      <c r="L105" s="30"/>
      <c r="M105" s="30"/>
      <c r="N105" s="35"/>
      <c r="O105" s="29"/>
      <c r="P105" s="30"/>
    </row>
    <row r="106" customFormat="false" ht="15" hidden="false" customHeight="false" outlineLevel="0" collapsed="false">
      <c r="A106" s="27" t="n">
        <v>102</v>
      </c>
      <c r="B106" s="29"/>
      <c r="C106" s="29"/>
      <c r="D106" s="27" t="str">
        <f aca="false">IF(C106="","",IF(INDEX('ملخص المعايير'!$E$5:$E$52,MATCH(C106,'ملخص المعايير'!$A$5:$A$52,0))="نعم","نعم","لا"))</f>
        <v/>
      </c>
      <c r="E106" s="30"/>
      <c r="F106" s="29"/>
      <c r="G106" s="30"/>
      <c r="H106" s="30"/>
      <c r="I106" s="29"/>
      <c r="J106" s="29"/>
      <c r="K106" s="30"/>
      <c r="L106" s="30"/>
      <c r="M106" s="30"/>
      <c r="N106" s="35"/>
      <c r="O106" s="29"/>
      <c r="P106" s="30"/>
    </row>
    <row r="107" customFormat="false" ht="15" hidden="false" customHeight="false" outlineLevel="0" collapsed="false">
      <c r="A107" s="27" t="n">
        <v>103</v>
      </c>
      <c r="B107" s="29"/>
      <c r="C107" s="29"/>
      <c r="D107" s="27" t="str">
        <f aca="false">IF(C107="","",IF(INDEX('ملخص المعايير'!$E$5:$E$52,MATCH(C107,'ملخص المعايير'!$A$5:$A$52,0))="نعم","نعم","لا"))</f>
        <v/>
      </c>
      <c r="E107" s="30"/>
      <c r="F107" s="29"/>
      <c r="G107" s="30"/>
      <c r="H107" s="30"/>
      <c r="I107" s="29"/>
      <c r="J107" s="29"/>
      <c r="K107" s="30"/>
      <c r="L107" s="30"/>
      <c r="M107" s="30"/>
      <c r="N107" s="35"/>
      <c r="O107" s="29"/>
      <c r="P107" s="30"/>
    </row>
    <row r="108" customFormat="false" ht="15" hidden="false" customHeight="false" outlineLevel="0" collapsed="false">
      <c r="A108" s="27" t="n">
        <v>104</v>
      </c>
      <c r="B108" s="29"/>
      <c r="C108" s="29"/>
      <c r="D108" s="27" t="str">
        <f aca="false">IF(C108="","",IF(INDEX('ملخص المعايير'!$E$5:$E$52,MATCH(C108,'ملخص المعايير'!$A$5:$A$52,0))="نعم","نعم","لا"))</f>
        <v/>
      </c>
      <c r="E108" s="30"/>
      <c r="F108" s="29"/>
      <c r="G108" s="30"/>
      <c r="H108" s="30"/>
      <c r="I108" s="29"/>
      <c r="J108" s="29"/>
      <c r="K108" s="30"/>
      <c r="L108" s="30"/>
      <c r="M108" s="30"/>
      <c r="N108" s="35"/>
      <c r="O108" s="29"/>
      <c r="P108" s="30"/>
    </row>
    <row r="109" customFormat="false" ht="15" hidden="false" customHeight="false" outlineLevel="0" collapsed="false">
      <c r="A109" s="27" t="n">
        <v>105</v>
      </c>
      <c r="B109" s="29"/>
      <c r="C109" s="29"/>
      <c r="D109" s="27" t="str">
        <f aca="false">IF(C109="","",IF(INDEX('ملخص المعايير'!$E$5:$E$52,MATCH(C109,'ملخص المعايير'!$A$5:$A$52,0))="نعم","نعم","لا"))</f>
        <v/>
      </c>
      <c r="E109" s="30"/>
      <c r="F109" s="29"/>
      <c r="G109" s="30"/>
      <c r="H109" s="30"/>
      <c r="I109" s="29"/>
      <c r="J109" s="29"/>
      <c r="K109" s="30"/>
      <c r="L109" s="30"/>
      <c r="M109" s="30"/>
      <c r="N109" s="35"/>
      <c r="O109" s="29"/>
      <c r="P109" s="30"/>
    </row>
    <row r="110" customFormat="false" ht="15" hidden="false" customHeight="false" outlineLevel="0" collapsed="false">
      <c r="A110" s="27" t="n">
        <v>106</v>
      </c>
      <c r="B110" s="29"/>
      <c r="C110" s="29"/>
      <c r="D110" s="27" t="str">
        <f aca="false">IF(C110="","",IF(INDEX('ملخص المعايير'!$E$5:$E$52,MATCH(C110,'ملخص المعايير'!$A$5:$A$52,0))="نعم","نعم","لا"))</f>
        <v/>
      </c>
      <c r="E110" s="30"/>
      <c r="F110" s="29"/>
      <c r="G110" s="30"/>
      <c r="H110" s="30"/>
      <c r="I110" s="29"/>
      <c r="J110" s="29"/>
      <c r="K110" s="30"/>
      <c r="L110" s="30"/>
      <c r="M110" s="30"/>
      <c r="N110" s="35"/>
      <c r="O110" s="29"/>
      <c r="P110" s="30"/>
    </row>
    <row r="111" customFormat="false" ht="15" hidden="false" customHeight="false" outlineLevel="0" collapsed="false">
      <c r="A111" s="27" t="n">
        <v>107</v>
      </c>
      <c r="B111" s="29"/>
      <c r="C111" s="29"/>
      <c r="D111" s="27" t="str">
        <f aca="false">IF(C111="","",IF(INDEX('ملخص المعايير'!$E$5:$E$52,MATCH(C111,'ملخص المعايير'!$A$5:$A$52,0))="نعم","نعم","لا"))</f>
        <v/>
      </c>
      <c r="E111" s="30"/>
      <c r="F111" s="29"/>
      <c r="G111" s="30"/>
      <c r="H111" s="30"/>
      <c r="I111" s="29"/>
      <c r="J111" s="29"/>
      <c r="K111" s="30"/>
      <c r="L111" s="30"/>
      <c r="M111" s="30"/>
      <c r="N111" s="35"/>
      <c r="O111" s="29"/>
      <c r="P111" s="30"/>
    </row>
    <row r="112" customFormat="false" ht="15" hidden="false" customHeight="false" outlineLevel="0" collapsed="false">
      <c r="A112" s="27" t="n">
        <v>108</v>
      </c>
      <c r="B112" s="29"/>
      <c r="C112" s="29"/>
      <c r="D112" s="27" t="str">
        <f aca="false">IF(C112="","",IF(INDEX('ملخص المعايير'!$E$5:$E$52,MATCH(C112,'ملخص المعايير'!$A$5:$A$52,0))="نعم","نعم","لا"))</f>
        <v/>
      </c>
      <c r="E112" s="30"/>
      <c r="F112" s="29"/>
      <c r="G112" s="30"/>
      <c r="H112" s="30"/>
      <c r="I112" s="29"/>
      <c r="J112" s="29"/>
      <c r="K112" s="30"/>
      <c r="L112" s="30"/>
      <c r="M112" s="30"/>
      <c r="N112" s="35"/>
      <c r="O112" s="29"/>
      <c r="P112" s="30"/>
    </row>
    <row r="113" customFormat="false" ht="15" hidden="false" customHeight="false" outlineLevel="0" collapsed="false">
      <c r="A113" s="27" t="n">
        <v>109</v>
      </c>
      <c r="B113" s="29"/>
      <c r="C113" s="29"/>
      <c r="D113" s="27" t="str">
        <f aca="false">IF(C113="","",IF(INDEX('ملخص المعايير'!$E$5:$E$52,MATCH(C113,'ملخص المعايير'!$A$5:$A$52,0))="نعم","نعم","لا"))</f>
        <v/>
      </c>
      <c r="E113" s="30"/>
      <c r="F113" s="29"/>
      <c r="G113" s="30"/>
      <c r="H113" s="30"/>
      <c r="I113" s="29"/>
      <c r="J113" s="29"/>
      <c r="K113" s="30"/>
      <c r="L113" s="30"/>
      <c r="M113" s="30"/>
      <c r="N113" s="35"/>
      <c r="O113" s="29"/>
      <c r="P113" s="30"/>
    </row>
    <row r="114" customFormat="false" ht="15" hidden="false" customHeight="false" outlineLevel="0" collapsed="false">
      <c r="A114" s="27" t="n">
        <v>110</v>
      </c>
      <c r="B114" s="29"/>
      <c r="C114" s="29"/>
      <c r="D114" s="27" t="str">
        <f aca="false">IF(C114="","",IF(INDEX('ملخص المعايير'!$E$5:$E$52,MATCH(C114,'ملخص المعايير'!$A$5:$A$52,0))="نعم","نعم","لا"))</f>
        <v/>
      </c>
      <c r="E114" s="30"/>
      <c r="F114" s="29"/>
      <c r="G114" s="30"/>
      <c r="H114" s="30"/>
      <c r="I114" s="29"/>
      <c r="J114" s="29"/>
      <c r="K114" s="30"/>
      <c r="L114" s="30"/>
      <c r="M114" s="30"/>
      <c r="N114" s="35"/>
      <c r="O114" s="29"/>
      <c r="P114" s="30"/>
    </row>
    <row r="115" customFormat="false" ht="15" hidden="false" customHeight="false" outlineLevel="0" collapsed="false">
      <c r="A115" s="27" t="n">
        <v>111</v>
      </c>
      <c r="B115" s="29"/>
      <c r="C115" s="29"/>
      <c r="D115" s="27" t="str">
        <f aca="false">IF(C115="","",IF(INDEX('ملخص المعايير'!$E$5:$E$52,MATCH(C115,'ملخص المعايير'!$A$5:$A$52,0))="نعم","نعم","لا"))</f>
        <v/>
      </c>
      <c r="E115" s="30"/>
      <c r="F115" s="29"/>
      <c r="G115" s="30"/>
      <c r="H115" s="30"/>
      <c r="I115" s="29"/>
      <c r="J115" s="29"/>
      <c r="K115" s="30"/>
      <c r="L115" s="30"/>
      <c r="M115" s="30"/>
      <c r="N115" s="35"/>
      <c r="O115" s="29"/>
      <c r="P115" s="30"/>
    </row>
    <row r="116" customFormat="false" ht="15" hidden="false" customHeight="false" outlineLevel="0" collapsed="false">
      <c r="A116" s="27" t="n">
        <v>112</v>
      </c>
      <c r="B116" s="29"/>
      <c r="C116" s="29"/>
      <c r="D116" s="27" t="str">
        <f aca="false">IF(C116="","",IF(INDEX('ملخص المعايير'!$E$5:$E$52,MATCH(C116,'ملخص المعايير'!$A$5:$A$52,0))="نعم","نعم","لا"))</f>
        <v/>
      </c>
      <c r="E116" s="30"/>
      <c r="F116" s="29"/>
      <c r="G116" s="30"/>
      <c r="H116" s="30"/>
      <c r="I116" s="29"/>
      <c r="J116" s="29"/>
      <c r="K116" s="30"/>
      <c r="L116" s="30"/>
      <c r="M116" s="30"/>
      <c r="N116" s="35"/>
      <c r="O116" s="29"/>
      <c r="P116" s="30"/>
    </row>
    <row r="117" customFormat="false" ht="15" hidden="false" customHeight="false" outlineLevel="0" collapsed="false">
      <c r="A117" s="27" t="n">
        <v>113</v>
      </c>
      <c r="B117" s="29"/>
      <c r="C117" s="29"/>
      <c r="D117" s="27" t="str">
        <f aca="false">IF(C117="","",IF(INDEX('ملخص المعايير'!$E$5:$E$52,MATCH(C117,'ملخص المعايير'!$A$5:$A$52,0))="نعم","نعم","لا"))</f>
        <v/>
      </c>
      <c r="E117" s="30"/>
      <c r="F117" s="29"/>
      <c r="G117" s="30"/>
      <c r="H117" s="30"/>
      <c r="I117" s="29"/>
      <c r="J117" s="29"/>
      <c r="K117" s="30"/>
      <c r="L117" s="30"/>
      <c r="M117" s="30"/>
      <c r="N117" s="35"/>
      <c r="O117" s="29"/>
      <c r="P117" s="30"/>
    </row>
    <row r="118" customFormat="false" ht="15" hidden="false" customHeight="false" outlineLevel="0" collapsed="false">
      <c r="A118" s="27" t="n">
        <v>114</v>
      </c>
      <c r="B118" s="29"/>
      <c r="C118" s="29"/>
      <c r="D118" s="27" t="str">
        <f aca="false">IF(C118="","",IF(INDEX('ملخص المعايير'!$E$5:$E$52,MATCH(C118,'ملخص المعايير'!$A$5:$A$52,0))="نعم","نعم","لا"))</f>
        <v/>
      </c>
      <c r="E118" s="30"/>
      <c r="F118" s="29"/>
      <c r="G118" s="30"/>
      <c r="H118" s="30"/>
      <c r="I118" s="29"/>
      <c r="J118" s="29"/>
      <c r="K118" s="30"/>
      <c r="L118" s="30"/>
      <c r="M118" s="30"/>
      <c r="N118" s="35"/>
      <c r="O118" s="29"/>
      <c r="P118" s="30"/>
    </row>
    <row r="119" customFormat="false" ht="15" hidden="false" customHeight="false" outlineLevel="0" collapsed="false">
      <c r="A119" s="27" t="n">
        <v>115</v>
      </c>
      <c r="B119" s="29"/>
      <c r="C119" s="29"/>
      <c r="D119" s="27" t="str">
        <f aca="false">IF(C119="","",IF(INDEX('ملخص المعايير'!$E$5:$E$52,MATCH(C119,'ملخص المعايير'!$A$5:$A$52,0))="نعم","نعم","لا"))</f>
        <v/>
      </c>
      <c r="E119" s="30"/>
      <c r="F119" s="29"/>
      <c r="G119" s="30"/>
      <c r="H119" s="30"/>
      <c r="I119" s="29"/>
      <c r="J119" s="29"/>
      <c r="K119" s="30"/>
      <c r="L119" s="30"/>
      <c r="M119" s="30"/>
      <c r="N119" s="35"/>
      <c r="O119" s="29"/>
      <c r="P119" s="30"/>
    </row>
    <row r="120" customFormat="false" ht="15" hidden="false" customHeight="false" outlineLevel="0" collapsed="false">
      <c r="A120" s="27" t="n">
        <v>116</v>
      </c>
      <c r="B120" s="29"/>
      <c r="C120" s="29"/>
      <c r="D120" s="27" t="str">
        <f aca="false">IF(C120="","",IF(INDEX('ملخص المعايير'!$E$5:$E$52,MATCH(C120,'ملخص المعايير'!$A$5:$A$52,0))="نعم","نعم","لا"))</f>
        <v/>
      </c>
      <c r="E120" s="30"/>
      <c r="F120" s="29"/>
      <c r="G120" s="30"/>
      <c r="H120" s="30"/>
      <c r="I120" s="29"/>
      <c r="J120" s="29"/>
      <c r="K120" s="30"/>
      <c r="L120" s="30"/>
      <c r="M120" s="30"/>
      <c r="N120" s="35"/>
      <c r="O120" s="29"/>
      <c r="P120" s="30"/>
    </row>
    <row r="121" customFormat="false" ht="15" hidden="false" customHeight="false" outlineLevel="0" collapsed="false">
      <c r="A121" s="27" t="n">
        <v>117</v>
      </c>
      <c r="B121" s="29"/>
      <c r="C121" s="29"/>
      <c r="D121" s="27" t="str">
        <f aca="false">IF(C121="","",IF(INDEX('ملخص المعايير'!$E$5:$E$52,MATCH(C121,'ملخص المعايير'!$A$5:$A$52,0))="نعم","نعم","لا"))</f>
        <v/>
      </c>
      <c r="E121" s="30"/>
      <c r="F121" s="29"/>
      <c r="G121" s="30"/>
      <c r="H121" s="30"/>
      <c r="I121" s="29"/>
      <c r="J121" s="29"/>
      <c r="K121" s="30"/>
      <c r="L121" s="30"/>
      <c r="M121" s="30"/>
      <c r="N121" s="35"/>
      <c r="O121" s="29"/>
      <c r="P121" s="30"/>
    </row>
    <row r="122" customFormat="false" ht="15" hidden="false" customHeight="false" outlineLevel="0" collapsed="false">
      <c r="A122" s="27" t="n">
        <v>118</v>
      </c>
      <c r="B122" s="29"/>
      <c r="C122" s="29"/>
      <c r="D122" s="27" t="str">
        <f aca="false">IF(C122="","",IF(INDEX('ملخص المعايير'!$E$5:$E$52,MATCH(C122,'ملخص المعايير'!$A$5:$A$52,0))="نعم","نعم","لا"))</f>
        <v/>
      </c>
      <c r="E122" s="30"/>
      <c r="F122" s="29"/>
      <c r="G122" s="30"/>
      <c r="H122" s="30"/>
      <c r="I122" s="29"/>
      <c r="J122" s="29"/>
      <c r="K122" s="30"/>
      <c r="L122" s="30"/>
      <c r="M122" s="30"/>
      <c r="N122" s="35"/>
      <c r="O122" s="29"/>
      <c r="P122" s="30"/>
    </row>
    <row r="123" customFormat="false" ht="15" hidden="false" customHeight="false" outlineLevel="0" collapsed="false">
      <c r="A123" s="27" t="n">
        <v>119</v>
      </c>
      <c r="B123" s="29"/>
      <c r="C123" s="29"/>
      <c r="D123" s="27" t="str">
        <f aca="false">IF(C123="","",IF(INDEX('ملخص المعايير'!$E$5:$E$52,MATCH(C123,'ملخص المعايير'!$A$5:$A$52,0))="نعم","نعم","لا"))</f>
        <v/>
      </c>
      <c r="E123" s="30"/>
      <c r="F123" s="29"/>
      <c r="G123" s="30"/>
      <c r="H123" s="30"/>
      <c r="I123" s="29"/>
      <c r="J123" s="29"/>
      <c r="K123" s="30"/>
      <c r="L123" s="30"/>
      <c r="M123" s="30"/>
      <c r="N123" s="35"/>
      <c r="O123" s="29"/>
      <c r="P123" s="30"/>
    </row>
    <row r="124" customFormat="false" ht="15" hidden="false" customHeight="false" outlineLevel="0" collapsed="false">
      <c r="A124" s="27" t="n">
        <v>120</v>
      </c>
      <c r="B124" s="29"/>
      <c r="C124" s="29"/>
      <c r="D124" s="27" t="str">
        <f aca="false">IF(C124="","",IF(INDEX('ملخص المعايير'!$E$5:$E$52,MATCH(C124,'ملخص المعايير'!$A$5:$A$52,0))="نعم","نعم","لا"))</f>
        <v/>
      </c>
      <c r="E124" s="30"/>
      <c r="F124" s="29"/>
      <c r="G124" s="30"/>
      <c r="H124" s="30"/>
      <c r="I124" s="29"/>
      <c r="J124" s="29"/>
      <c r="K124" s="30"/>
      <c r="L124" s="30"/>
      <c r="M124" s="30"/>
      <c r="N124" s="35"/>
      <c r="O124" s="29"/>
      <c r="P124" s="30"/>
    </row>
  </sheetData>
  <autoFilter ref="A4:P124"/>
  <mergeCells count="2">
    <mergeCell ref="A1:O1"/>
    <mergeCell ref="A2:O2"/>
  </mergeCells>
  <conditionalFormatting sqref="J5:J124">
    <cfRule type="cellIs" priority="2" operator="equal" aboveAverage="0" equalAverage="0" bottom="0" percent="0" rank="0" text="" dxfId="12">
      <formula>"عالية"</formula>
    </cfRule>
  </conditionalFormatting>
  <conditionalFormatting sqref="O5:O124">
    <cfRule type="cellIs" priority="3" operator="equal" aboveAverage="0" equalAverage="0" bottom="0" percent="0" rank="0" text="" dxfId="1">
      <formula>"مكتملة"</formula>
    </cfRule>
    <cfRule type="cellIs" priority="4" operator="equal" aboveAverage="0" equalAverage="0" bottom="0" percent="0" rank="0" text="" dxfId="2">
      <formula>"متعثرة"</formula>
    </cfRule>
  </conditionalFormatting>
  <dataValidations count="7">
    <dataValidation allowBlank="true" errorStyle="stop" operator="between" showDropDown="false" showErrorMessage="false" showInputMessage="false" sqref="B5:B124" type="list">
      <formula1>'الإعدادات واللجنة'!$B$4:$B$5</formula1>
      <formula2>0</formula2>
    </dataValidation>
    <dataValidation allowBlank="true" errorStyle="stop" operator="between" showDropDown="false" showErrorMessage="false" showInputMessage="false" sqref="C5:C124" type="list">
      <formula1>'ملخص المعايير'!$A$5:$A$52</formula1>
      <formula2>0</formula2>
    </dataValidation>
    <dataValidation allowBlank="true" errorStyle="stop" operator="between" showDropDown="false" showErrorMessage="false" showInputMessage="false" sqref="F5:F124" type="list">
      <formula1>"غير موجود,غير معتمد,غير محدث,لا يغطي المعيار كاملاً,لا يوجد دليل تطبيق,لا يوجد قياس وتحسين,غير منظم أو يصعب الوصول إليه"</formula1>
      <formula2>0</formula2>
    </dataValidation>
    <dataValidation allowBlank="true" errorStyle="stop" operator="between" showDropDown="false" showErrorMessage="false" showInputMessage="false" sqref="I5:I124" type="list">
      <formula1>"مشتركة بين البرنامجين,خاصة بالبرنامج,مؤسسية (خارج صلاحية القسم)"</formula1>
      <formula2>0</formula2>
    </dataValidation>
    <dataValidation allowBlank="true" errorStyle="stop" operator="between" showDropDown="false" showErrorMessage="false" showInputMessage="false" sqref="J5:J124" type="list">
      <formula1>"عالية,متوسطة,منخفضة"</formula1>
      <formula2>0</formula2>
    </dataValidation>
    <dataValidation allowBlank="true" errorStyle="stop" operator="between" showDropDown="false" showErrorMessage="false" showInputMessage="false" sqref="O5:O124" type="list">
      <formula1>"لم تبدأ,قيد التنفيذ,مكتملة,متعثرة"</formula1>
      <formula2>0</formula2>
    </dataValidation>
    <dataValidation allowBlank="true" errorStyle="stop" operator="between" showDropDown="false" showErrorMessage="false" showInputMessage="false" sqref="L5:L124" type="list">
      <formula1>'الإعدادات واللجنة'!$B$11:$B$18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2026-10-18T12:46:11Z</dcterms:created>
  <dc:creator>openpyxl</dc:creator>
  <dc:description/>
  <dc:language>en-US</dc:language>
  <cp:lastModifiedBy/>
  <dcterms:modified xsi:type="dcterms:W3CDTF">2026-10-18T12:46:12Z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