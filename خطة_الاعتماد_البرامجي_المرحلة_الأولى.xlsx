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D418E6A5-E0B9-E74B-A1AE-5C6F99B23229}" xr6:coauthVersionLast="47" xr6:coauthVersionMax="47" xr10:uidLastSave="{00000000-0000-0000-0000-000000000000}"/>
  <bookViews>
    <workbookView xWindow="0" yWindow="500" windowWidth="28800" windowHeight="1638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فحص-حاسب-بكالوريوس" sheetId="6" r:id="rId6"/>
    <sheet name="فحص-بيانات-بكالوريوس" sheetId="7" r:id="rId7"/>
    <sheet name="فحص-بيانات-ماجستير" sheetId="8" r:id="rId8"/>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H29" i="3"/>
  <c r="E29" i="3"/>
  <c r="D29" i="3"/>
  <c r="C29" i="3"/>
  <c r="B29" i="3"/>
  <c r="I28" i="3"/>
  <c r="H28" i="3"/>
  <c r="E28" i="3"/>
  <c r="D28" i="3"/>
  <c r="C28" i="3"/>
  <c r="B28" i="3"/>
  <c r="I27" i="3"/>
  <c r="E27" i="3"/>
  <c r="D27" i="3"/>
  <c r="C27" i="3"/>
  <c r="B27" i="3"/>
  <c r="I26" i="3"/>
  <c r="H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H11" i="3"/>
  <c r="E11" i="3"/>
  <c r="D11" i="3"/>
  <c r="C11" i="3"/>
  <c r="B11" i="3"/>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12" i="3" l="1"/>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alcChain>
</file>

<file path=xl/sharedStrings.xml><?xml version="1.0" encoding="utf-8"?>
<sst xmlns="http://schemas.openxmlformats.org/spreadsheetml/2006/main" count="3324" uniqueCount="654">
  <si>
    <t>الخطة التنفيذية للاعتماد البرامجي – برامج الكلية المستهدفة</t>
  </si>
  <si>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</si>
  <si>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</si>
  <si>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</si>
  <si>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</si>
  <si>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</si>
  <si>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</si>
  <si>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</si>
  <si>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</si>
  <si>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</si>
  <si>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</si>
  <si>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</si>
  <si>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</si>
  <si>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</si>
  <si>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</si>
  <si>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</si>
  <si>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</si>
  <si>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</si>
  <si>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</si>
  <si>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</si>
  <si>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</si>
  <si>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</si>
  <si>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</si>
  <si>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</si>
  <si>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</si>
  <si>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</si>
  <si>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</si>
  <si>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</si>
  <si>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</si>
  <si>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</si>
  <si>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</si>
  <si>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</si>
  <si>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</si>
  <si>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</si>
  <si>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</si>
  <si>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</si>
  <si>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</si>
  <si>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</si>
  <si>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</si>
  <si>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</si>
  <si>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</si>
  <si>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</si>
  <si>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</si>
  <si>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</si>
  <si>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</si>
  <si>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</si>
  <si>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</si>
  <si>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</si>
  <si>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</si>
  <si>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</si>
  <si>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</si>
  <si>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</si>
  <si>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</si>
  <si>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د. نهلة بنت سعد القثامي + أ. فاطمة بنت سلمان الخزعل + د. عبير بنت عبدالله راجحي</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</si>
  <si>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</si>
  <si>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</si>
  <si>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</si>
  <si>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</si>
  <si>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 برنامج الماجستير: يراجع وفق معايير الدراسات العليا ذات العلاقة، بما في ذلك معيار البحث والمشاريع، مع تطبيق نفس منهجية تقييم الأدلة وتحليل الفجوات.</t>
  </si>
  <si>
    <t>طريقة تقييم الدليل</t>
  </si>
  <si>
    <t>• حالة الدليل: متوفر ومكتمل • متوفر ويحتاج تحسين • غير متوفر • غير منطبق.</t>
  </si>
  <si>
    <t>• سبب النقص: غير معتمد • غير محدّث • لا يغطي المحك كاملًا • لا يثبت التطبيق الفعلي • لا توجد نتائج وتحسين.</t>
  </si>
  <si>
    <t>• الدليل المكتمل: معتمد، محدث، يغطي المحك، يثبت التطبيق، وتظهر فيه النتائج والتحسين عند انطباق ذلك.</t>
  </si>
  <si>
    <t>• لا يكفي وجود المستند؛ يتم التحقق من جودة الممارسة والنتائج والتحسين المستمر.</t>
  </si>
  <si>
    <t>ما المقصود بالفجوات في المرحلة الأولى؟</t>
  </si>
  <si>
    <t>• فجوة تطبيق: يوجد متطلب أو إجراء، لكن التطبيق الفعلي غير مكتمل أو غير منتظم أو لا توجد نتائج كافية تثبته.</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</si>
  <si>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</si>
  <si>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</si>
  <si>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</si>
  <si>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</si>
  <si>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</si>
  <si>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</si>
  <si>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</si>
  <si>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</si>
  <si>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</si>
  <si>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</si>
  <si>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</si>
  <si>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</si>
  <si>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</si>
  <si>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</si>
  <si>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</si>
  <si>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</si>
  <si>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</si>
  <si>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</si>
  <si>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</si>
  <si>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</si>
  <si>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</si>
  <si>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</si>
  <si>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</si>
  <si>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</si>
  <si>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</si>
  <si>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</si>
  <si>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</si>
  <si>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</si>
  <si>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</si>
  <si>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</si>
  <si>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</si>
  <si>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</si>
  <si>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</si>
  <si>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</si>
  <si>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</si>
  <si>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</si>
  <si>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</si>
  <si>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</si>
  <si>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</si>
  <si>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</si>
  <si>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</si>
  <si>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</si>
  <si>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</si>
  <si>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</si>
  <si>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</si>
  <si>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</si>
  <si>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</si>
  <si>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</si>
  <si>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</si>
  <si>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</si>
  <si>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</si>
  <si>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</si>
  <si>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</si>
  <si>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</si>
  <si>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</si>
  <si>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</si>
  <si>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</si>
  <si>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</si>
  <si>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</si>
  <si>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</si>
  <si>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</si>
  <si>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</si>
  <si>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</si>
  <si>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</si>
  <si>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</si>
  <si>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</si>
  <si>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</si>
  <si>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</si>
  <si>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</si>
  <si>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</si>
  <si>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</si>
  <si>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</si>
  <si>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</si>
  <si>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</si>
  <si>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</si>
  <si>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</si>
  <si>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</si>
  <si>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</si>
  <si>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</si>
  <si>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</si>
  <si>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</si>
  <si>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</si>
  <si>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</si>
  <si>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 xml:space="preserve">نوع الفجوات</t>
  </si>
  <si>
    <t xml:space="preserve">نوع الفجوة</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</si>
  <si>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</si>
  <si>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</si>
  <si>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</si>
  <si>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</si>
  <si>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</si>
  <si>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</si>
  <si>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</si>
  <si>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</si>
  <si>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</si>
  <si>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</si>
  <si>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</si>
  <si>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</si>
  <si>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</si>
  <si>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</si>
  <si>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</si>
  <si>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</si>
  <si>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</si>
  <si>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</si>
  <si>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</si>
  <si>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</si>
  <si>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</si>
  <si>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</si>
  <si>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</si>
  <si>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</si>
  <si>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</si>
  <si>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</si>
  <si>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</si>
  <si>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</si>
  <si>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</si>
  <si>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</si>
  <si>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</si>
  <si>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</si>
  <si>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</si>
  <si>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</si>
  <si>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</si>
  <si>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</si>
  <si>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</si>
  <si>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</si>
  <si>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</si>
  <si>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</si>
  <si>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</si>
  <si>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</si>
  <si>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</si>
  <si>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</si>
  <si>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</si>
  <si>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</si>
  <si>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</si>
  <si>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</si>
  <si>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</si>
  <si>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</si>
  <si>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</si>
  <si>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</si>
  <si>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</si>
  <si>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</si>
  <si>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</si>
  <si>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</si>
  <si>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</si>
  <si>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</si>
  <si>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</si>
  <si>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</si>
  <si>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</si>
  <si>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</si>
  <si>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</si>
  <si>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</si>
  <si>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</si>
  <si>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</si>
  <si>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</si>
  <si>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</si>
  <si>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</si>
  <si>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</si>
  <si>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</si>
  <si>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</si>
  <si>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</si>
  <si>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</si>
  <si>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</si>
  <si>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</si>
  <si>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</si>
  <si>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</si>
  <si>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</si>
  <si>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</si>
  <si>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</si>
  <si>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</si>
  <si>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</si>
  <si>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</si>
  <si>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</si>
  <si>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</si>
  <si>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</si>
  <si>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</si>
  <si>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</si>
  <si>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</si>
  <si>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</si>
  <si>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</si>
  <si>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</si>
  <si>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</si>
  <si>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</si>
  <si>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</si>
  <si>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</si>
  <si>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</si>
  <si>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</si>
  <si>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</si>
  <si>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</si>
  <si>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</si>
  <si>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</si>
  <si>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</si>
  <si>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</si>
  <si>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 xml:space="preserve">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</si>
  <si>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</si>
  <si>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</si>
  <si>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</si>
  <si>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</si>
  <si>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</si>
  <si>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</si>
  <si>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</si>
  <si>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</si>
  <si>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</si>
  <si>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</si>
  <si>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</si>
  <si>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</si>
  <si>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</si>
  <si>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</si>
  <si>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</si>
  <si>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</si>
  <si>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</si>
  <si>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</si>
  <si>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</si>
  <si>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</si>
  <si>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</si>
  <si>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</si>
  <si>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</si>
  <si>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</si>
  <si>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</si>
  <si>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</si>
  <si>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</si>
  <si>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</si>
  <si>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</si>
  <si>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</si>
  <si>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</si>
  <si>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</si>
  <si>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</si>
  <si>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</si>
  <si>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</si>
  <si>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</si>
  <si>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</si>
  <si>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</si>
  <si>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</si>
  <si>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</si>
  <si>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</si>
  <si>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</si>
  <si>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</si>
  <si>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</si>
  <si>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</si>
  <si>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</si>
  <si>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</si>
  <si>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</si>
  <si>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</si>
  <si>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</si>
  <si>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</si>
  <si>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</si>
  <si>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</si>
  <si>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</si>
  <si>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</si>
  <si>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</si>
  <si>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</si>
  <si>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</si>
  <si>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</si>
  <si>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</si>
  <si>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</si>
  <si>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</si>
  <si>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</si>
  <si>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</si>
  <si>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</si>
  <si>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</si>
  <si>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</si>
  <si>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</si>
  <si>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</si>
  <si>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</si>
  <si>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</si>
  <si>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</si>
  <si>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</si>
  <si>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</si>
  <si>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</si>
  <si>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</si>
  <si>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</si>
  <si>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</si>
  <si>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</si>
  <si>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</si>
  <si>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</si>
  <si>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</si>
  <si>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</si>
  <si>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</si>
  <si>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</si>
  <si>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</si>
  <si>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</si>
  <si>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</si>
  <si>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</si>
  <si>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</si>
  <si>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</si>
  <si>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</si>
  <si>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</si>
  <si>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</si>
  <si>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</si>
  <si>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</si>
  <si>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</si>
  <si>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</si>
  <si>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</si>
  <si>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</si>
  <si>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</si>
  <si>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</si>
  <si>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</si>
  <si>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</si>
  <si>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</si>
  <si>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</si>
  <si>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</si>
  <si>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</si>
  <si>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</si>
  <si>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</si>
  <si>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</si>
  <si>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</si>
  <si>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</si>
  <si>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</si>
  <si>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</si>
  <si>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</si>
  <si>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</si>
  <si>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</si>
  <si>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</si>
  <si>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</si>
  <si>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</si>
  <si>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</si>
  <si>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</si>
  <si>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</si>
  <si>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</si>
  <si>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</si>
  <si>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</si>
  <si>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</si>
  <si>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</si>
  <si>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</si>
  <si>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</si>
  <si>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</si>
  <si>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</si>
  <si>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</si>
  <si>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</si>
  <si>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</si>
  <si>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</si>
  <si>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</si>
  <si>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</si>
  <si>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</si>
  <si>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</si>
  <si>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</si>
  <si>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</si>
  <si>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</si>
  <si>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</si>
  <si>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</si>
  <si>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</si>
  <si>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</si>
  <si>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</si>
  <si>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</si>
  <si>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</si>
  <si>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</si>
  <si>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</si>
  <si>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</si>
  <si>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</si>
  <si>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</si>
  <si>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</si>
  <si>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</si>
  <si>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</si>
  <si>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</si>
  <si>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</si>
  <si>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</si>
  <si>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</si>
  <si>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</si>
  <si>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</si>
  <si>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</si>
  <si>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</si>
  <si>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</si>
  <si>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</si>
  <si>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</si>
  <si>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</si>
  <si>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</si>
  <si>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</si>
  <si>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</si>
  <si>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</si>
  <si>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</si>
  <si>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</si>
  <si>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</si>
  <si>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</si>
  <si>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</si>
  <si>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</si>
  <si>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</si>
  <si>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</si>
  <si>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</si>
  <si>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</si>
  <si>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</si>
  <si>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</si>
  <si>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</si>
  <si>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</si>
  <si>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</si>
  <si>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</si>
  <si>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</si>
  <si>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</si>
  <si>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</si>
  <si>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</si>
  <si>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</si>
  <si>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</si>
  <si>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</si>
  <si>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</si>
  <si>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</si>
  <si>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</si>
  <si>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</si>
  <si>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</si>
  <si>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</si>
  <si>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</si>
  <si>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</si>
  <si>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</si>
  <si>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</si>
  <si>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</si>
  <si>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</si>
  <si>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</si>
  <si>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</si>
  <si>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</si>
  <si>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</si>
  <si>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</si>
  <si>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</si>
  <si>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</si>
  <si>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</si>
  <si>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</si>
  <si>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</si>
  <si>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</si>
  <si>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</si>
  <si>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</si>
  <si>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</si>
  <si>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</si>
  <si>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</si>
  <si>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</si>
  <si>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</si>
  <si>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</si>
  <si>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</si>
  <si>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</si>
  <si>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</si>
  <si>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</si>
  <si>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</si>
  <si>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</si>
  <si>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</si>
  <si>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</si>
  <si>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</si>
  <si>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</si>
  <si>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</si>
  <si>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</si>
  <si>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</si>
  <si>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</si>
  <si>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</si>
  <si>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</si>
  <si>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</si>
  <si>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</si>
  <si>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</si>
  <si>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</si>
  <si>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</si>
  <si>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</si>
  <si>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</si>
  <si>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</si>
  <si>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</si>
  <si>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</si>
  <si>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</si>
  <si>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</si>
  <si>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</si>
  <si>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</si>
  <si>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</si>
  <si>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</si>
  <si>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</si>
  <si>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</si>
  <si>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</si>
  <si>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</si>
  <si>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</si>
  <si>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</si>
  <si>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</si>
  <si>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</si>
  <si>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</si>
  <si>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</si>
  <si>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</si>
  <si>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</si>
  <si>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</si>
  <si>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</si>
  <si>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</si>
  <si>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</si>
  <si>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</si>
  <si>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</si>
  <si>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</si>
  <si>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</si>
  <si>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</si>
  <si>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</si>
  <si>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</si>
  <si>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</si>
  <si>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</si>
  <si>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</si>
  <si>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</si>
  <si>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</si>
  <si>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</si>
  <si>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</si>
  <si>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</si>
  <si>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</si>
  <si>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</si>
  <si>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</si>
  <si>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</si>
  <si>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</si>
  <si>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</si>
  <si>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</si>
  <si>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</si>
  <si>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</si>
  <si>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</si>
  <si>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</si>
  <si>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</si>
  <si>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</si>
  <si>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</si>
  <si>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</si>
  <si>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</si>
  <si>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</si>
  <si>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</si>
  <si>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</si>
  <si>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</si>
  <si>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</si>
  <si>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</si>
  <si>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</si>
  <si>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</si>
  <si>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</si>
  <si>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</si>
  <si>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</si>
  <si>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</si>
  <si>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</si>
  <si>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</si>
  <si>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</si>
  <si>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</si>
  <si>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</si>
  <si>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</si>
  <si>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</si>
  <si>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</si>
  <si>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</si>
  <si>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</si>
  <si>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</si>
  <si>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</si>
  <si>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</si>
  <si>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</si>
  <si>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</si>
  <si>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</si>
  <si>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</si>
  <si>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</si>
  <si>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</si>
  <si>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</si>
  <si>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</si>
  <si>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</si>
  <si>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</si>
  <si>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</si>
  <si>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</si>
  <si>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</si>
  <si>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</si>
  <si>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</si>
  <si>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</si>
  <si>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</si>
  <si>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</si>
  <si>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</si>
  <si>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</si>
  <si>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</si>
  <si>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</si>
  <si>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</si>
  <si>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</si>
  <si>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</si>
  <si>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</si>
  <si>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</si>
  <si>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</si>
  <si>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</si>
  <si>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</si>
  <si>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</si>
  <si>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</si>
  <si>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</si>
  <si>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</si>
  <si>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</si>
  <si>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</si>
  <si>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</si>
  <si>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</si>
  <si>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</si>
  <si>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</si>
  <si>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</si>
  <si>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</si>
  <si>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</si>
  <si>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</si>
  <si>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</si>
  <si>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</si>
  <si>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</si>
  <si>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</si>
  <si>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</si>
  <si>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جمع الأدلة وتقييمها وتسجيل الفجوات في أوراق الفحص</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</si>
  <si>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</si>
  <si>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</si>
  <si>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</si>
  <si>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</si>
  <si>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</si>
  <si>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</si>
  <si>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</si>
  <si>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إعداد خطة الاستكمال (الإجراء، والمسؤول، والأولوية، والموعد) ومناقشتها في اجتماع الفجوات</t>
  </si>
  <si>
    <t>الأعضاء + د. نهلة بنت سعد القثامي</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</si>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</sst>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
      <b/>
      <sz val="16"/>
      <color rgb="FFFFFFFF"/>
      <name val="Arial"/>
      <family val="2"/>
    </font>
    <font>
      <b/>
      <sz val="11"/>
      <color rgb="FF34205C"/>
      <name val="Arial"/>
      <family val="2"/>
    </font>
    <font>
      <b/>
      <sz val="10"/>
      <color rgb="FF2B1B47"/>
      <name val="Arial"/>
      <family val="2"/>
    </font>
    <font>
      <b/>
      <sz val="10"/>
      <color rgb="FF7F6000"/>
      <name val="Arial"/>
      <family val="2"/>
    </font>
    <font>
      <b/>
      <sz val="10"/>
      <color rgb="FF375623"/>
      <name val="Arial"/>
      <family val="2"/>
    </font>
    <font>
      <b/>
      <sz val="10"/>
      <color rgb="FF000000"/>
      <name val="Arial"/>
      <family val="2"/>
    </font>
    <font>
      <sz val="10"/>
      <color rgb="FF000000"/>
      <name val="Arial"/>
      <family val="2"/>
    </font>
    <font>
      <i/>
      <sz val="10"/>
      <color rgb="FF000000"/>
      <name val="Arial"/>
      <family val="2"/>
    </font>
    <font>
      <b/>
      <sz val="10"/>
      <color rgb="FF34205C"/>
      <name val="Arial"/>
      <family val="2"/>
    </font>
  </fonts>
  <fills count="23">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19" fillId="12" borderId="1" xfId="0" applyFont="1" applyFill="1" applyBorder="1" applyAlignment="1">
      <alignment horizontal="center" vertical="center" wrapText="1"/>
    </xf>
    <xf numFmtId="0" fontId="20" fillId="12" borderId="1" xfId="0" applyFont="1" applyFill="1" applyBorder="1" applyAlignment="1">
      <alignment horizontal="right" vertical="center" wrapText="1"/>
    </xf>
    <xf numFmtId="0" fontId="20" fillId="12" borderId="1" xfId="0" applyFont="1" applyFill="1" applyBorder="1" applyAlignment="1">
      <alignment horizontal="center" vertical="center" wrapText="1"/>
    </xf>
    <xf numFmtId="0" fontId="20" fillId="12" borderId="0" xfId="0" applyFont="1" applyFill="1" applyAlignment="1">
      <alignment horizontal="right" vertical="center" wrapText="1"/>
    </xf>
    <xf numFmtId="0" fontId="20" fillId="12" borderId="3" xfId="0" applyFont="1" applyFill="1" applyBorder="1" applyAlignment="1">
      <alignment horizontal="center" vertical="center" wrapText="1"/>
    </xf>
    <xf numFmtId="0" fontId="20" fillId="12" borderId="4" xfId="0" applyFont="1" applyFill="1" applyBorder="1" applyAlignment="1">
      <alignment horizontal="right" vertical="center" wrapText="1"/>
    </xf>
    <xf numFmtId="0" fontId="20" fillId="12" borderId="4" xfId="0" applyFont="1" applyFill="1" applyBorder="1" applyAlignment="1">
      <alignment horizontal="center" vertical="center" wrapText="1"/>
    </xf>
    <xf numFmtId="0" fontId="20" fillId="12" borderId="5" xfId="0" applyFont="1" applyFill="1" applyBorder="1" applyAlignment="1">
      <alignment horizontal="right" vertical="center" wrapText="1"/>
    </xf>
    <xf numFmtId="0" fontId="16" fillId="17" borderId="1" xfId="0" applyFont="1" applyFill="1" applyBorder="1" applyAlignment="1">
      <alignment horizontal="right" vertical="center" wrapText="1"/>
    </xf>
    <xf numFmtId="0" fontId="16" fillId="17" borderId="1" xfId="0" applyFont="1" applyFill="1" applyBorder="1" applyAlignment="1">
      <alignment horizontal="center" vertical="center" wrapText="1"/>
    </xf>
    <xf numFmtId="0" fontId="16" fillId="18" borderId="1" xfId="0" applyFont="1" applyFill="1" applyBorder="1" applyAlignment="1">
      <alignment horizontal="center" vertical="center" wrapText="1"/>
    </xf>
    <xf numFmtId="0" fontId="19" fillId="19" borderId="1" xfId="0" applyFont="1" applyFill="1" applyBorder="1" applyAlignment="1">
      <alignment horizontal="center" vertical="center" wrapText="1"/>
    </xf>
    <xf numFmtId="0" fontId="20" fillId="19" borderId="1" xfId="0" applyFont="1" applyFill="1" applyBorder="1" applyAlignment="1">
      <alignment horizontal="right" vertical="center" wrapText="1"/>
    </xf>
    <xf numFmtId="0" fontId="20" fillId="19" borderId="1" xfId="0" applyFont="1" applyFill="1" applyBorder="1" applyAlignment="1">
      <alignment horizontal="center" vertical="center" wrapText="1"/>
    </xf>
    <xf numFmtId="0" fontId="14" fillId="13" borderId="0" xfId="0" applyFont="1" applyFill="1" applyAlignment="1">
      <alignment horizontal="center" vertical="center" wrapText="1"/>
    </xf>
    <xf numFmtId="0" fontId="15" fillId="14" borderId="0" xfId="0" applyFont="1" applyFill="1" applyAlignment="1">
      <alignment horizontal="center" vertical="center" wrapText="1"/>
    </xf>
    <xf numFmtId="0" fontId="7" fillId="15" borderId="1" xfId="0" applyFont="1" applyFill="1" applyBorder="1" applyAlignment="1">
      <alignment horizontal="right" vertical="center" wrapText="1"/>
    </xf>
    <xf numFmtId="0" fontId="7" fillId="15" borderId="1" xfId="0" applyFont="1" applyFill="1" applyBorder="1" applyAlignment="1">
      <alignment horizontal="center" vertical="center" wrapText="1"/>
    </xf>
    <xf numFmtId="0" fontId="22" fillId="16" borderId="1" xfId="0" applyFont="1" applyFill="1" applyBorder="1" applyAlignment="1">
      <alignment horizontal="center" vertical="center" wrapText="1"/>
    </xf>
    <xf numFmtId="0" fontId="22" fillId="16" borderId="1" xfId="0" applyFont="1" applyFill="1" applyBorder="1" applyAlignment="1">
      <alignment horizontal="right" vertical="center" wrapText="1"/>
    </xf>
    <xf numFmtId="0" fontId="7" fillId="15" borderId="0" xfId="0" applyFont="1" applyFill="1" applyAlignment="1">
      <alignment horizontal="right" vertical="center" wrapText="1"/>
    </xf>
    <xf numFmtId="0" fontId="20" fillId="12" borderId="0" xfId="0" applyFont="1" applyFill="1" applyAlignment="1">
      <alignment horizontal="right" vertical="center" wrapText="1"/>
    </xf>
    <xf numFmtId="0" fontId="21" fillId="12" borderId="0" xfId="0" applyFont="1" applyFill="1" applyAlignment="1">
      <alignment horizontal="right" vertical="center" wrapText="1"/>
    </xf>
    <xf numFmtId="0" fontId="7" fillId="20" borderId="0" xfId="0" applyFont="1" applyFill="1" applyAlignment="1">
      <alignment horizontal="right" vertical="center" wrapText="1"/>
    </xf>
    <xf numFmtId="0" fontId="20" fillId="21" borderId="0" xfId="0" applyFont="1" applyFill="1" applyAlignment="1">
      <alignment horizontal="right" vertical="center" wrapText="1"/>
    </xf>
    <xf numFmtId="0" fontId="17" fillId="22" borderId="0" xfId="0" applyFont="1" applyFill="1" applyAlignment="1">
      <alignment horizontal="right" vertical="center" wrapText="1"/>
    </xf>
    <xf numFmtId="0" fontId="16" fillId="17" borderId="1" xfId="0" applyFont="1" applyFill="1" applyBorder="1" applyAlignment="1">
      <alignment horizontal="right" vertical="center" wrapText="1"/>
    </xf>
    <xf numFmtId="0" fontId="20" fillId="12" borderId="1" xfId="0" applyFont="1" applyFill="1" applyBorder="1" applyAlignment="1">
      <alignment horizontal="right" vertical="center" wrapText="1"/>
    </xf>
    <xf numFmtId="0" fontId="20" fillId="12" borderId="4"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6" fillId="8" borderId="0" xfId="0" applyFont="1" applyFill="1" applyAlignment="1">
      <alignment horizontal="right" vertical="center" wrapText="1"/>
    </xf>
    <xf numFmtId="0" fontId="2" fillId="0" borderId="0" xfId="0" applyFont="1" applyAlignment="1">
      <alignment horizontal="right" vertical="center" wrapText="1"/>
    </xf>
    <xf numFmtId="0" fontId="5" fillId="0" borderId="0" xfId="0" applyFont="1" applyAlignment="1">
      <alignment horizontal="right" vertical="center" wrapText="1"/>
    </xf>
    <xf numFmtId="0" fontId="18" fillId="11" borderId="0" xfId="0" applyFont="1" applyFill="1" applyAlignment="1">
      <alignment horizontal="center" vertical="center" wrapText="1"/>
    </xf>
    <xf numFmtId="0" fontId="7" fillId="8" borderId="0" xfId="0" applyFont="1" applyFill="1"/>
    <xf numFmtId="0" fontId="5" fillId="0" borderId="1" xfId="0" applyFont="1" applyBorder="1" applyAlignment="1">
      <alignment horizontal="right" vertical="center" wrapText="1"/>
    </xf>
    <xf numFmtId="0" fontId="4" fillId="2" borderId="1" xfId="0" applyFont="1" applyFill="1" applyBorder="1" applyAlignment="1">
      <alignment horizontal="center" vertical="center" wrapText="1"/>
    </xf>
    <xf numFmtId="0" fontId="8" fillId="0" borderId="0" xfId="0" applyFont="1"/>
  </cellXfs>
  <cellStyles count="1">
    <cellStyle name="Normal" xfId="0" builtinId="0"/>
  </cellStyles>
  <dxfs count="26">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
      <fill>
        <patternFill patternType="solid">
          <fgColor rgb="FFD9D9D9"/>
          <bgColor rgb="FFD9D9D9"/>
        </patternFill>
      </fill>
    </dxf>
    <dxf>
      <font>
        <color rgb="FF9C0006"/>
      </font>
      <fill>
        <patternFill patternType="solid">
          <fgColor rgb="FFFFC7CE"/>
          <bgColor rgb="FFFFC7CE"/>
        </patternFill>
      </fill>
    </dxf>
    <dxf>
      <fill>
        <patternFill patternType="solid">
          <fgColor rgb="FFFFD966"/>
          <bgColor rgb="FFFFD966"/>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4"/>
  <sheetViews>
    <sheetView rightToLeft="1" tabSelected="1" topLeftCell="A39" workbookViewId="0">
      <selection activeCell="A42" sqref="A42:G48"/>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60" t="s">
        <v>0</v>
      </c>
      <c r="B1" s="60"/>
      <c r="C1" s="60"/>
      <c r="D1" s="60"/>
      <c r="E1" s="60"/>
      <c r="F1" s="60"/>
      <c r="G1" s="60"/>
    </row>
    <row r="2" spans="1:7" ht="42.75" customHeight="1" x14ac:dyDescent="0.2">
      <c r="A2" s="61" t="s">
        <v>1</v>
      </c>
      <c r="B2" s="61"/>
      <c r="C2" s="61"/>
      <c r="D2" s="61"/>
      <c r="E2" s="61"/>
      <c r="F2" s="61"/>
      <c r="G2" s="61"/>
    </row>
    <row r="3" spans="1:7" x14ac:dyDescent="0.2">
      <c r="A3" s="49"/>
      <c r="B3" s="49"/>
      <c r="C3" s="49"/>
      <c r="D3" s="49"/>
      <c r="E3" s="49"/>
      <c r="F3" s="49"/>
      <c r="G3" s="49"/>
    </row>
    <row r="4" spans="1:7" ht="42.75" customHeight="1" x14ac:dyDescent="0.2">
      <c r="A4" s="62" t="s">
        <v>2</v>
      </c>
      <c r="B4" s="62"/>
      <c r="C4" s="62"/>
      <c r="D4" s="62"/>
      <c r="E4" s="62"/>
      <c r="F4" s="62"/>
      <c r="G4" s="62"/>
    </row>
    <row r="5" spans="1:7" ht="49.75" customHeight="1" x14ac:dyDescent="0.2">
      <c r="A5" s="56" t="s">
        <v>3</v>
      </c>
      <c r="B5" s="56" t="s">
        <v>4</v>
      </c>
      <c r="C5" s="56" t="s">
        <v>5</v>
      </c>
      <c r="D5" s="56" t="s">
        <v>6</v>
      </c>
      <c r="E5" s="56" t="s">
        <v>7</v>
      </c>
      <c r="F5" s="56" t="s">
        <v>8</v>
      </c>
      <c r="G5" s="56" t="s">
        <v>9</v>
      </c>
    </row>
    <row r="6" spans="1:7" ht="103" customHeight="1" x14ac:dyDescent="0.2">
      <c r="A6" s="57" t="s">
        <v>10</v>
      </c>
      <c r="B6" s="58" t="s">
        <v>11</v>
      </c>
      <c r="C6" s="58" t="s">
        <v>627</v>
      </c>
      <c r="D6" s="58" t="s">
        <v>12</v>
      </c>
      <c r="E6" s="58" t="s">
        <v>13</v>
      </c>
      <c r="F6" s="59" t="s">
        <v>14</v>
      </c>
      <c r="G6" s="58" t="s">
        <v>15</v>
      </c>
    </row>
    <row r="7" spans="1:7" ht="103" customHeight="1" x14ac:dyDescent="0.2">
      <c r="A7" s="46" t="s">
        <v>16</v>
      </c>
      <c r="B7" s="47" t="s">
        <v>17</v>
      </c>
      <c r="C7" s="47" t="s">
        <v>629</v>
      </c>
      <c r="D7" s="47" t="s">
        <v>630</v>
      </c>
      <c r="E7" s="47" t="s">
        <v>18</v>
      </c>
      <c r="F7" s="48" t="s">
        <v>19</v>
      </c>
      <c r="G7" s="47" t="s">
        <v>631</v>
      </c>
    </row>
    <row r="8" spans="1:7" ht="103" customHeight="1" x14ac:dyDescent="0.2">
      <c r="A8" s="46" t="s">
        <v>20</v>
      </c>
      <c r="B8" s="47" t="s">
        <v>21</v>
      </c>
      <c r="C8" s="47" t="s">
        <v>628</v>
      </c>
      <c r="D8" s="47" t="s">
        <v>22</v>
      </c>
      <c r="E8" s="47" t="s">
        <v>23</v>
      </c>
      <c r="F8" s="48" t="s">
        <v>14</v>
      </c>
      <c r="G8" s="47" t="s">
        <v>24</v>
      </c>
    </row>
    <row r="9" spans="1:7" ht="103" customHeight="1" x14ac:dyDescent="0.2">
      <c r="A9" s="46" t="s">
        <v>25</v>
      </c>
      <c r="B9" s="47" t="s">
        <v>26</v>
      </c>
      <c r="C9" s="47" t="s">
        <v>27</v>
      </c>
      <c r="D9" s="47" t="s">
        <v>28</v>
      </c>
      <c r="E9" s="47" t="s">
        <v>29</v>
      </c>
      <c r="F9" s="48" t="s">
        <v>30</v>
      </c>
      <c r="G9" s="47" t="s">
        <v>31</v>
      </c>
    </row>
    <row r="10" spans="1:7" ht="64" customHeight="1" x14ac:dyDescent="0.2">
      <c r="A10" s="46"/>
      <c r="B10" s="47"/>
      <c r="C10" s="47"/>
      <c r="D10" s="47"/>
      <c r="E10" s="47"/>
      <c r="F10" s="48"/>
      <c r="G10" s="47"/>
    </row>
    <row r="11" spans="1:7" ht="42.75" customHeight="1" x14ac:dyDescent="0.2">
      <c r="A11" s="63" t="s">
        <v>32</v>
      </c>
      <c r="B11" s="62"/>
      <c r="C11" s="62"/>
      <c r="D11" s="62"/>
      <c r="E11" s="62"/>
      <c r="F11" s="63"/>
      <c r="G11" s="62"/>
    </row>
    <row r="12" spans="1:7" ht="39" customHeight="1" x14ac:dyDescent="0.2">
      <c r="A12" s="64" t="s">
        <v>33</v>
      </c>
      <c r="B12" s="65"/>
      <c r="C12" s="65"/>
      <c r="D12" s="65"/>
      <c r="E12" s="65"/>
      <c r="F12" s="64"/>
      <c r="G12" s="65"/>
    </row>
    <row r="13" spans="1:7" ht="64" customHeight="1" x14ac:dyDescent="0.2">
      <c r="A13" s="46"/>
      <c r="B13" s="47"/>
      <c r="C13" s="47"/>
      <c r="D13" s="47"/>
      <c r="E13" s="47"/>
      <c r="F13" s="48"/>
      <c r="G13" s="47"/>
    </row>
    <row r="14" spans="1:7" ht="32" customHeight="1" x14ac:dyDescent="0.2">
      <c r="A14" s="55" t="s">
        <v>34</v>
      </c>
      <c r="B14" s="72" t="s">
        <v>35</v>
      </c>
      <c r="C14" s="72"/>
      <c r="D14" s="54" t="s">
        <v>36</v>
      </c>
      <c r="E14" s="54" t="s">
        <v>37</v>
      </c>
      <c r="F14" s="55" t="s">
        <v>38</v>
      </c>
      <c r="G14" s="54" t="s">
        <v>9</v>
      </c>
    </row>
    <row r="15" spans="1:7" ht="40" customHeight="1" x14ac:dyDescent="0.2">
      <c r="A15" s="46" t="s">
        <v>39</v>
      </c>
      <c r="B15" s="73" t="s">
        <v>632</v>
      </c>
      <c r="C15" s="73"/>
      <c r="D15" s="47" t="str">
        <f>'الإعدادات واللجنة'!$B$12</f>
        <v>د. نهلة بنت سعد القثامي</v>
      </c>
      <c r="E15" s="47" t="s">
        <v>633</v>
      </c>
      <c r="F15" s="48" t="s">
        <v>41</v>
      </c>
      <c r="G15" s="47"/>
    </row>
    <row r="16" spans="1:7" ht="40" customHeight="1" x14ac:dyDescent="0.2">
      <c r="A16" s="46" t="s">
        <v>39</v>
      </c>
      <c r="B16" s="73" t="s">
        <v>634</v>
      </c>
      <c r="C16" s="73"/>
      <c r="D16" s="47" t="str">
        <f>'الإعدادات واللجنة'!$B$18</f>
        <v>د. عبدالله بن محمد البركاتي</v>
      </c>
      <c r="E16" s="47" t="s">
        <v>43</v>
      </c>
      <c r="F16" s="48" t="s">
        <v>41</v>
      </c>
      <c r="G16" s="47"/>
    </row>
    <row r="17" spans="1:7" ht="40" customHeight="1" x14ac:dyDescent="0.2">
      <c r="A17" s="46" t="s">
        <v>39</v>
      </c>
      <c r="B17" s="73" t="s">
        <v>635</v>
      </c>
      <c r="C17" s="73"/>
      <c r="D17" s="47" t="str">
        <f>'الإعدادات واللجنة'!$B$12</f>
        <v>د. نهلة بنت سعد القثامي</v>
      </c>
      <c r="E17" s="47" t="s">
        <v>636</v>
      </c>
      <c r="F17" s="48" t="s">
        <v>41</v>
      </c>
      <c r="G17" s="47"/>
    </row>
    <row r="18" spans="1:7" ht="40" customHeight="1" x14ac:dyDescent="0.2">
      <c r="A18" s="46" t="s">
        <v>44</v>
      </c>
      <c r="B18" s="73" t="s">
        <v>637</v>
      </c>
      <c r="C18" s="73"/>
      <c r="D18" s="47" t="str">
        <f>'الإعدادات واللجنة'!$B$13</f>
        <v>د. عبير بنت عبدالله راجحي</v>
      </c>
      <c r="E18" s="47" t="s">
        <v>638</v>
      </c>
      <c r="F18" s="48" t="s">
        <v>41</v>
      </c>
      <c r="G18" s="47"/>
    </row>
    <row r="19" spans="1:7" ht="40" customHeight="1" x14ac:dyDescent="0.2">
      <c r="A19" s="46" t="s">
        <v>47</v>
      </c>
      <c r="B19" s="73" t="inlineStr">
        <is>
          <t xml:space="preserve">جمع الأدلة وتقييمها، وتسجيل الفجوات والإجراء المطلوب لكل دليل ناقص في أوراق الفحص</t>
        </is>
      </c>
      <c r="C19" s="73"/>
      <c r="D19" s="47" t="s">
        <v>46</v>
      </c>
      <c r="E19" s="47" t="s">
        <v>640</v>
      </c>
      <c r="F19" s="48" t="s">
        <v>41</v>
      </c>
      <c r="G19" s="47"/>
    </row>
    <row r="20" spans="1:7" ht="40" customHeight="1" x14ac:dyDescent="0.2">
      <c r="A20" s="46" t="s">
        <v>47</v>
      </c>
      <c r="B20" s="73" t="s">
        <v>641</v>
      </c>
      <c r="C20" s="73"/>
      <c r="D20" s="47" t="str">
        <f>'الإعدادات واللجنة'!$B$14</f>
        <v>أ. فاطمة بنت سلمان الخزعل</v>
      </c>
      <c r="E20" s="47" t="s">
        <v>642</v>
      </c>
      <c r="F20" s="48" t="s">
        <v>41</v>
      </c>
      <c r="G20" s="47"/>
    </row>
    <row r="21" spans="1:7" ht="40" customHeight="1" x14ac:dyDescent="0.2">
      <c r="A21" s="46" t="s">
        <v>49</v>
      </c>
      <c r="B21" s="73" t="s">
        <v>643</v>
      </c>
      <c r="C21" s="73"/>
      <c r="D21" s="47" t="str">
        <f>'الإعدادات واللجنة'!$B$12</f>
        <v>د. نهلة بنت سعد القثامي</v>
      </c>
      <c r="E21" s="47" t="s">
        <v>644</v>
      </c>
      <c r="F21" s="48" t="s">
        <v>41</v>
      </c>
      <c r="G21" s="47"/>
    </row>
    <row r="22" spans="1:7" ht="40" customHeight="1" x14ac:dyDescent="0.2">
      <c r="A22" s="46" t="s">
        <v>50</v>
      </c>
      <c r="B22" s="73" t="s">
        <v>645</v>
      </c>
      <c r="C22" s="73"/>
      <c r="D22" s="47" t="str">
        <f>'الإعدادات واللجنة'!$B$12</f>
        <v>د. نهلة بنت سعد القثامي</v>
      </c>
      <c r="E22" s="47" t="s">
        <v>646</v>
      </c>
      <c r="F22" s="48" t="s">
        <v>41</v>
      </c>
      <c r="G22" s="47"/>
    </row>
    <row r="23" spans="1:7" ht="40" customHeight="1" x14ac:dyDescent="0.2">
      <c r="A23" s="46" t="s">
        <v>51</v>
      </c>
      <c r="B23" s="73" t="inlineStr">
        <is>
          <t xml:space="preserve">مراجعة خطة الاستكمال (الإجراء، والمسؤول، والأولوية، والموعد) واعتمادها في اجتماع الفجوات</t>
        </is>
      </c>
      <c r="C23" s="73"/>
      <c r="D23" s="47" t="str">
        <f>"الأعضاء + "&amp;'الإعدادات واللجنة'!$B$12</f>
        <v>الأعضاء + د. نهلة بنت سعد القثامي</v>
      </c>
      <c r="E23" s="47" t="s">
        <v>649</v>
      </c>
      <c r="F23" s="48" t="s">
        <v>41</v>
      </c>
      <c r="G23" s="47"/>
    </row>
    <row r="24" spans="1:7" ht="40" customHeight="1" x14ac:dyDescent="0.2">
      <c r="A24" s="46" t="s">
        <v>51</v>
      </c>
      <c r="B24" s="73" t="s">
        <v>650</v>
      </c>
      <c r="C24" s="73"/>
      <c r="D24" s="47" t="str">
        <f>'الإعدادات واللجنة'!$B$18</f>
        <v>د. عبدالله بن محمد البركاتي</v>
      </c>
      <c r="E24" s="47" t="s">
        <v>651</v>
      </c>
      <c r="F24" s="48" t="s">
        <v>41</v>
      </c>
      <c r="G24" s="47"/>
    </row>
    <row r="25" spans="1:7" ht="40" customHeight="1" x14ac:dyDescent="0.2">
      <c r="A25" s="50" t="s">
        <v>52</v>
      </c>
      <c r="B25" s="74" t="s">
        <v>652</v>
      </c>
      <c r="C25" s="74"/>
      <c r="D25" s="51" t="str">
        <f>'الإعدادات واللجنة'!$B$12&amp;" + "&amp;'الإعدادات واللجنة'!$B$14&amp;" + "&amp;'الإعدادات واللجنة'!$B$13</f>
        <v>د. نهلة بنت سعد القثامي + أ. فاطمة بنت سلمان الخزعل + د. عبير بنت عبدالله راجحي</v>
      </c>
      <c r="E25" s="51" t="s">
        <v>653</v>
      </c>
      <c r="F25" s="52" t="s">
        <v>41</v>
      </c>
      <c r="G25" s="53"/>
    </row>
    <row r="26" spans="1:7" ht="26.75" customHeight="1" x14ac:dyDescent="0.2">
      <c r="A26" s="49"/>
      <c r="B26" s="49"/>
      <c r="C26" s="49"/>
      <c r="D26" s="49"/>
      <c r="E26" s="49"/>
      <c r="F26" s="49"/>
      <c r="G26" s="49"/>
    </row>
    <row r="27" spans="1:7" ht="42.75" customHeight="1" x14ac:dyDescent="0.2">
      <c r="A27" s="66" t="s">
        <v>54</v>
      </c>
      <c r="B27" s="66"/>
      <c r="C27" s="66"/>
      <c r="D27" s="66"/>
      <c r="E27" s="66"/>
      <c r="F27" s="66"/>
      <c r="G27" s="66"/>
    </row>
    <row r="28" spans="1:7" ht="44.25" customHeight="1" x14ac:dyDescent="0.2">
      <c r="A28" s="67" t="s">
        <v>55</v>
      </c>
      <c r="B28" s="67"/>
      <c r="C28" s="67"/>
      <c r="D28" s="67"/>
      <c r="E28" s="67"/>
      <c r="F28" s="67"/>
      <c r="G28" s="67"/>
    </row>
    <row r="29" spans="1:7" ht="44.25" customHeight="1" x14ac:dyDescent="0.2">
      <c r="A29" s="67" t="s">
        <v>56</v>
      </c>
      <c r="B29" s="67"/>
      <c r="C29" s="67"/>
      <c r="D29" s="67"/>
      <c r="E29" s="67"/>
      <c r="F29" s="67"/>
      <c r="G29" s="67"/>
    </row>
    <row r="30" spans="1:7" ht="44.25" customHeight="1" x14ac:dyDescent="0.2">
      <c r="A30" s="67" t="s">
        <v>57</v>
      </c>
      <c r="B30" s="67"/>
      <c r="C30" s="67"/>
      <c r="D30" s="67"/>
      <c r="E30" s="67"/>
      <c r="F30" s="67"/>
      <c r="G30" s="67"/>
    </row>
    <row r="31" spans="1:7" ht="44.25" customHeight="1" x14ac:dyDescent="0.2">
      <c r="A31" s="68" t="s">
        <v>58</v>
      </c>
      <c r="B31" s="68"/>
      <c r="C31" s="68"/>
      <c r="D31" s="68"/>
      <c r="E31" s="68"/>
      <c r="F31" s="68"/>
      <c r="G31" s="68"/>
    </row>
    <row r="32" spans="1:7" ht="42.75" customHeight="1" x14ac:dyDescent="0.2">
      <c r="A32" s="66" t="inlineStr">
        <is>
          <t xml:space="preserve">آلية فحص الأدلة</t>
        </is>
      </c>
      <c r="B32" s="66"/>
      <c r="C32" s="66"/>
      <c r="D32" s="66"/>
      <c r="E32" s="66"/>
      <c r="F32" s="66"/>
      <c r="G32" s="66"/>
    </row>
    <row r="33" spans="1:7" ht="125" customHeight="1" x14ac:dyDescent="0.2">
      <c r="A33" s="67" t="inlineStr">
        <is>
          <t xml:space="preserve">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is>
      </c>
      <c r="B33" s="67"/>
      <c r="C33" s="67"/>
      <c r="D33" s="67"/>
      <c r="E33" s="67"/>
      <c r="F33" s="67"/>
      <c r="G33" s="67"/>
    </row>
    <row r="34" spans="1:7" ht="90" customHeight="1" x14ac:dyDescent="0.2">
      <c r="A34" s="67" t="inlineStr">
        <is>
          <t xml:space="preserve">تصنيف حالة الدليل: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is>
      </c>
      <c r="B34" s="67"/>
      <c r="C34" s="67"/>
      <c r="D34" s="67"/>
      <c r="E34" s="67"/>
      <c r="F34" s="67"/>
      <c r="G34" s="67"/>
    </row>
    <row r="35" spans="1:7" ht="110" customHeight="1" x14ac:dyDescent="0.2">
      <c r="A35" s="67" t="inlineStr">
        <is>
          <t xml:space="preserve">خطوات العمل في ورقة الفحص: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is>
      </c>
      <c r="B35" s="67"/>
      <c r="C35" s="67"/>
      <c r="D35" s="67"/>
      <c r="E35" s="67"/>
      <c r="F35" s="67"/>
      <c r="G35" s="67"/>
    </row>
    <row r="36" spans="1:7" ht="44.25" customHeight="1" x14ac:dyDescent="0.2">
      <c r="A36" s="67" t="s">
        <v>63</v>
      </c>
      <c r="B36" s="67"/>
      <c r="C36" s="67"/>
      <c r="D36" s="67"/>
      <c r="E36" s="67"/>
      <c r="F36" s="67"/>
      <c r="G36" s="67"/>
    </row>
    <row r="37" spans="1:7" ht="42.75" customHeight="1" x14ac:dyDescent="0.2">
      <c r="A37" s="69" t="s">
        <v>64</v>
      </c>
      <c r="B37" s="69"/>
      <c r="C37" s="69"/>
      <c r="D37" s="69"/>
      <c r="E37" s="69"/>
      <c r="F37" s="69"/>
      <c r="G37" s="69"/>
    </row>
    <row r="38" spans="1:7" ht="48" customHeight="1" x14ac:dyDescent="0.2">
      <c r="A38" s="70" t="inlineStr">
        <is>
          <t xml:space="preserve">•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is>
      </c>
      <c r="B38" s="70"/>
      <c r="C38" s="70"/>
      <c r="D38" s="70"/>
      <c r="E38" s="70"/>
      <c r="F38" s="70"/>
      <c r="G38" s="70"/>
    </row>
    <row r="39" spans="1:7" ht="30" customHeight="1" x14ac:dyDescent="0.2">
      <c r="A39" s="70" t="inlineStr">
        <is>
          <t xml:space="preserve">• فجوة توثيق/دليل: الممارسة موجودة، لكن الدليل مفقود أو قديم أو غير معتمد أو لا يثبت التنفيذ بشكل كافٍ.</t>
        </is>
      </c>
      <c r="B39" s="70"/>
      <c r="C39" s="70"/>
      <c r="D39" s="70"/>
      <c r="E39" s="70"/>
      <c r="F39" s="70"/>
      <c r="G39" s="70"/>
    </row>
    <row r="40" spans="1:7" ht="49.75" customHeight="1" x14ac:dyDescent="0.2">
      <c r="A40" s="70"/>
      <c r="B40" s="70"/>
      <c r="C40" s="70"/>
      <c r="D40" s="70"/>
      <c r="E40" s="70"/>
      <c r="F40" s="70"/>
      <c r="G40" s="70"/>
    </row>
    <row r="41" spans="1:7" ht="57" customHeight="1" x14ac:dyDescent="0.2">
      <c r="A41" s="71"/>
      <c r="B41" s="71"/>
      <c r="C41" s="71"/>
      <c r="D41" s="71"/>
      <c r="E41" s="71"/>
      <c r="F41" s="71"/>
      <c r="G41" s="71"/>
    </row>
    <row r="42" spans="1:7" ht="42.75" customHeight="1" x14ac:dyDescent="0.2">
      <c r="A42" s="69"/>
      <c r="B42" s="69"/>
      <c r="C42" s="69"/>
      <c r="D42" s="69"/>
      <c r="E42" s="69"/>
      <c r="F42" s="69"/>
      <c r="G42" s="69"/>
    </row>
    <row r="43" spans="1:7" ht="49.75" customHeight="1" x14ac:dyDescent="0.2">
      <c r="A43" s="70"/>
      <c r="B43" s="70"/>
      <c r="C43" s="70"/>
      <c r="D43" s="70"/>
      <c r="E43" s="70"/>
      <c r="F43" s="70"/>
      <c r="G43" s="70"/>
    </row>
    <row r="44" spans="1:7" ht="49.75" customHeight="1" x14ac:dyDescent="0.2">
      <c r="A44" s="70"/>
      <c r="B44" s="70"/>
      <c r="C44" s="70"/>
      <c r="D44" s="70"/>
      <c r="E44" s="70"/>
      <c r="F44" s="70"/>
      <c r="G44" s="70"/>
    </row>
    <row r="45" spans="1:7" ht="49.75" customHeight="1" x14ac:dyDescent="0.2">
      <c r="A45" s="70"/>
      <c r="B45" s="70"/>
      <c r="C45" s="70"/>
      <c r="D45" s="70"/>
      <c r="E45" s="70"/>
      <c r="F45" s="70"/>
      <c r="G45" s="70"/>
    </row>
    <row r="46" spans="1:7" ht="49.75" customHeight="1" x14ac:dyDescent="0.2">
      <c r="A46" s="70"/>
      <c r="B46" s="70"/>
      <c r="C46" s="70"/>
      <c r="D46" s="70"/>
      <c r="E46" s="70"/>
      <c r="F46" s="70"/>
      <c r="G46" s="70"/>
    </row>
    <row r="47" spans="1:7" ht="49.75" customHeight="1" x14ac:dyDescent="0.2">
      <c r="A47" s="70"/>
      <c r="B47" s="70"/>
      <c r="C47" s="70"/>
      <c r="D47" s="70"/>
      <c r="E47" s="70"/>
      <c r="F47" s="70"/>
      <c r="G47" s="70"/>
    </row>
    <row r="48" spans="1:7" x14ac:dyDescent="0.2">
      <c r="A48" s="49"/>
      <c r="B48" s="49"/>
      <c r="C48" s="49"/>
      <c r="D48" s="49"/>
      <c r="E48" s="49"/>
      <c r="F48" s="49"/>
      <c r="G48" s="49"/>
    </row>
    <row r="49" spans="1:7" x14ac:dyDescent="0.2">
      <c r="A49" s="49"/>
      <c r="B49" s="49"/>
      <c r="C49" s="49"/>
      <c r="D49" s="49"/>
      <c r="E49" s="49"/>
      <c r="F49" s="49"/>
      <c r="G49" s="49"/>
    </row>
    <row r="50" spans="1:7" x14ac:dyDescent="0.2">
      <c r="A50" s="49"/>
      <c r="B50" s="49"/>
      <c r="C50" s="49"/>
      <c r="D50" s="49"/>
      <c r="E50" s="49"/>
      <c r="F50" s="49"/>
      <c r="G50" s="49"/>
    </row>
    <row r="51" spans="1:7" x14ac:dyDescent="0.2">
      <c r="A51" s="49"/>
      <c r="B51" s="49"/>
      <c r="C51" s="49"/>
      <c r="D51" s="49"/>
      <c r="E51" s="49"/>
      <c r="F51" s="49"/>
      <c r="G51" s="49"/>
    </row>
    <row r="52" spans="1:7" x14ac:dyDescent="0.2">
      <c r="A52" s="49"/>
      <c r="B52" s="49"/>
      <c r="C52" s="49"/>
      <c r="D52" s="49"/>
      <c r="E52" s="49"/>
      <c r="F52" s="49"/>
      <c r="G52" s="49"/>
    </row>
    <row r="53" spans="1:7" x14ac:dyDescent="0.2">
      <c r="A53" s="49"/>
      <c r="B53" s="49"/>
      <c r="C53" s="49"/>
      <c r="D53" s="49"/>
      <c r="E53" s="49"/>
      <c r="F53" s="49"/>
      <c r="G53" s="49"/>
    </row>
    <row r="54" spans="1:7" x14ac:dyDescent="0.2">
      <c r="A54" s="49"/>
      <c r="B54" s="49"/>
      <c r="C54" s="49"/>
      <c r="D54" s="49"/>
      <c r="E54" s="49"/>
      <c r="F54" s="49"/>
      <c r="G54" s="49"/>
    </row>
  </sheetData>
  <mergeCells count="38">
    <mergeCell ref="B24:C24"/>
    <mergeCell ref="B25:C25"/>
    <mergeCell ref="B19:C19"/>
    <mergeCell ref="B20:C20"/>
    <mergeCell ref="B21:C21"/>
    <mergeCell ref="B22:C22"/>
    <mergeCell ref="B23:C23"/>
    <mergeCell ref="B14:C14"/>
    <mergeCell ref="B15:C15"/>
    <mergeCell ref="B16:C16"/>
    <mergeCell ref="B17:C17"/>
    <mergeCell ref="B18:C18"/>
    <mergeCell ref="A47:G47"/>
    <mergeCell ref="A42:G42"/>
    <mergeCell ref="A43:G43"/>
    <mergeCell ref="A44:G44"/>
    <mergeCell ref="A45:G45"/>
    <mergeCell ref="A46:G46"/>
    <mergeCell ref="A37:G37"/>
    <mergeCell ref="A38:G38"/>
    <mergeCell ref="A39:G39"/>
    <mergeCell ref="A40:G40"/>
    <mergeCell ref="A41:G41"/>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2" priority="2" operator="equal">
      <formula>"مكتملة"</formula>
    </cfRule>
    <cfRule type="cellIs" dxfId="21"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workbookViewId="0"/>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33" customHeight="1" x14ac:dyDescent="0.2">
      <c r="A1" s="77" t="s">
        <v>67</v>
      </c>
      <c r="B1" s="77"/>
      <c r="C1" s="77"/>
      <c r="D1" s="77"/>
      <c r="E1" s="77"/>
    </row>
    <row r="2" spans="1:5" ht="26.75" customHeight="1" x14ac:dyDescent="0.2">
      <c r="A2" s="78" t="s">
        <v>68</v>
      </c>
      <c r="B2" s="78"/>
      <c r="C2" s="78"/>
      <c r="D2" s="78"/>
      <c r="E2" s="78"/>
    </row>
    <row r="4" spans="1:5" ht="26.75" customHeight="1" x14ac:dyDescent="0.2">
      <c r="A4" s="76" t="s">
        <v>69</v>
      </c>
      <c r="B4" s="76"/>
      <c r="C4" s="76"/>
      <c r="D4" s="76"/>
      <c r="E4" s="76"/>
    </row>
    <row r="5" spans="1:5" ht="26.75" customHeight="1" x14ac:dyDescent="0.2">
      <c r="A5" s="12" t="s">
        <v>70</v>
      </c>
      <c r="B5" s="75" t="s">
        <v>71</v>
      </c>
      <c r="C5" s="75"/>
    </row>
    <row r="6" spans="1:5" ht="26.75" customHeight="1" x14ac:dyDescent="0.2">
      <c r="A6" s="12" t="s">
        <v>72</v>
      </c>
      <c r="B6" s="75" t="s">
        <v>73</v>
      </c>
      <c r="C6" s="75"/>
    </row>
    <row r="7" spans="1:5" ht="26.75" customHeight="1" x14ac:dyDescent="0.2">
      <c r="A7" s="12" t="s">
        <v>74</v>
      </c>
      <c r="B7" s="75" t="s">
        <v>75</v>
      </c>
      <c r="C7" s="75"/>
    </row>
    <row r="8" spans="1:5" ht="53.25" customHeight="1" x14ac:dyDescent="0.2">
      <c r="A8" s="79" t="s">
        <v>76</v>
      </c>
      <c r="B8" s="79"/>
      <c r="C8" s="79"/>
      <c r="D8" s="79"/>
      <c r="E8" s="79"/>
    </row>
    <row r="10" spans="1:5" ht="26.75" customHeight="1" x14ac:dyDescent="0.2">
      <c r="A10" s="76" t="s">
        <v>77</v>
      </c>
      <c r="B10" s="76"/>
      <c r="C10" s="76"/>
      <c r="D10" s="76"/>
      <c r="E10" s="76"/>
    </row>
    <row r="11" spans="1:5" x14ac:dyDescent="0.2">
      <c r="A11" s="1" t="s">
        <v>78</v>
      </c>
      <c r="B11" s="1" t="s">
        <v>79</v>
      </c>
      <c r="C11" s="1" t="s">
        <v>80</v>
      </c>
      <c r="D11" s="1" t="s">
        <v>81</v>
      </c>
      <c r="E11" s="1" t="s">
        <v>82</v>
      </c>
    </row>
    <row r="12" spans="1:5" ht="74.75" customHeight="1" x14ac:dyDescent="0.2">
      <c r="A12" s="6">
        <v>1</v>
      </c>
      <c r="B12" s="3" t="s">
        <v>40</v>
      </c>
      <c r="C12" s="6" t="s">
        <v>83</v>
      </c>
      <c r="D12" s="2" t="s">
        <v>84</v>
      </c>
      <c r="E12" s="6">
        <f>COUNTIF('فحص-حاسب-بكالوريوس'!$H:$H,B12)+COUNTIF('فحص-بيانات-بكالوريوس'!$H:$H,B12)+COUNTIF('فحص-بيانات-ماجستير'!$H:$H,B12)</f>
        <v>0</v>
      </c>
    </row>
    <row r="13" spans="1:5" ht="74.75" customHeight="1" x14ac:dyDescent="0.2">
      <c r="A13" s="6">
        <v>2</v>
      </c>
      <c r="B13" s="3" t="s">
        <v>45</v>
      </c>
      <c r="C13" s="6" t="s">
        <v>85</v>
      </c>
      <c r="D13" s="2" t="s">
        <v>86</v>
      </c>
      <c r="E13" s="6">
        <f>COUNTIF('فحص-حاسب-بكالوريوس'!$H:$H,B13)+COUNTIF('فحص-بيانات-بكالوريوس'!$H:$H,B13)+COUNTIF('فحص-بيانات-ماجستير'!$H:$H,B13)</f>
        <v>0</v>
      </c>
    </row>
    <row r="14" spans="1:5" ht="74.75" customHeight="1" x14ac:dyDescent="0.2">
      <c r="A14" s="6">
        <v>3</v>
      </c>
      <c r="B14" s="3" t="s">
        <v>48</v>
      </c>
      <c r="C14" s="6" t="s">
        <v>87</v>
      </c>
      <c r="D14" s="2" t="s">
        <v>88</v>
      </c>
      <c r="E14" s="6">
        <f>COUNTIF('فحص-حاسب-بكالوريوس'!$H:$H,B14)+COUNTIF('فحص-بيانات-بكالوريوس'!$H:$H,B14)+COUNTIF('فحص-بيانات-ماجستير'!$H:$H,B14)</f>
        <v>0</v>
      </c>
    </row>
    <row r="15" spans="1:5" ht="74.75" customHeight="1" x14ac:dyDescent="0.2">
      <c r="A15" s="6">
        <v>4</v>
      </c>
      <c r="B15" s="3" t="s">
        <v>89</v>
      </c>
      <c r="C15" s="6" t="s">
        <v>90</v>
      </c>
      <c r="D15" s="2" t="s">
        <v>91</v>
      </c>
      <c r="E15" s="6">
        <f>COUNTIF('فحص-حاسب-بكالوريوس'!$H:$H,B15)+COUNTIF('فحص-بيانات-بكالوريوس'!$H:$H,B15)+COUNTIF('فحص-بيانات-ماجستير'!$H:$H,B15)</f>
        <v>117</v>
      </c>
    </row>
    <row r="16" spans="1:5" ht="74.75" customHeight="1" x14ac:dyDescent="0.2">
      <c r="A16" s="6">
        <v>5</v>
      </c>
      <c r="B16" s="3" t="s">
        <v>92</v>
      </c>
      <c r="C16" s="6" t="s">
        <v>90</v>
      </c>
      <c r="D16" s="2" t="s">
        <v>93</v>
      </c>
      <c r="E16" s="6">
        <f>COUNTIF('فحص-حاسب-بكالوريوس'!$H:$H,B16)+COUNTIF('فحص-بيانات-بكالوريوس'!$H:$H,B16)+COUNTIF('فحص-بيانات-ماجستير'!$H:$H,B16)</f>
        <v>141</v>
      </c>
    </row>
    <row r="17" spans="1:5" ht="74.75" customHeight="1" x14ac:dyDescent="0.2">
      <c r="A17" s="6">
        <v>6</v>
      </c>
      <c r="B17" s="3" t="s">
        <v>94</v>
      </c>
      <c r="C17" s="6" t="s">
        <v>90</v>
      </c>
      <c r="D17" s="2" t="s">
        <v>95</v>
      </c>
      <c r="E17" s="6">
        <f>COUNTIF('فحص-حاسب-بكالوريوس'!$H:$H,B17)+COUNTIF('فحص-بيانات-بكالوريوس'!$H:$H,B17)+COUNTIF('فحص-بيانات-ماجستير'!$H:$H,B17)</f>
        <v>77</v>
      </c>
    </row>
    <row r="18" spans="1:5" ht="74.75" customHeight="1" x14ac:dyDescent="0.2">
      <c r="A18" s="6">
        <v>7</v>
      </c>
      <c r="B18" s="3" t="s">
        <v>42</v>
      </c>
      <c r="C18" s="6" t="s">
        <v>96</v>
      </c>
      <c r="D18" s="2" t="s">
        <v>97</v>
      </c>
      <c r="E18" s="6">
        <f>COUNTIF('فحص-حاسب-بكالوريوس'!$H:$H,B18)+COUNTIF('فحص-بيانات-بكالوريوس'!$H:$H,B18)+COUNTIF('فحص-بيانات-ماجستير'!$H:$H,B18)</f>
        <v>92</v>
      </c>
    </row>
    <row r="19" spans="1:5" ht="74.75" customHeight="1" x14ac:dyDescent="0.2">
      <c r="A19" s="6">
        <v>8</v>
      </c>
      <c r="B19" s="3" t="s">
        <v>98</v>
      </c>
      <c r="C19" s="6" t="s">
        <v>90</v>
      </c>
      <c r="D19" s="2" t="inlineStr">
        <is>
          <t xml:space="preserve">المعيار 4: هيئة التدريس، ومحور ضمان الجودة (1-2) للبرامج الثلاثة</t>
        </is>
      </c>
      <c r="E19" s="6">
        <f>COUNTIF('فحص-حاسب-بكالوريوس'!$H:$H,B19)+COUNTIF('فحص-بيانات-بكالوريوس'!$H:$H,B19)+COUNTIF('فحص-بيانات-ماجستير'!$H:$H,B19)</f>
        <v>111</v>
      </c>
    </row>
    <row r="20" spans="1:5" ht="74.75" customHeight="1" x14ac:dyDescent="0.2">
      <c r="A20" s="6">
        <v>9</v>
      </c>
      <c r="B20" s="3" t="s">
        <v>100</v>
      </c>
      <c r="C20" s="6" t="s">
        <v>90</v>
      </c>
      <c r="D20" s="2" t="inlineStr">
        <is>
          <t xml:space="preserve">المعيار 5: مصادر التعلم والمرافق للبرامج الثلاثة، والمعيار 6: البحث والمشاريع للماجستير (اعتماد الأدلة المقترحة وفحصها)</t>
        </is>
      </c>
      <c r="E20" s="6">
        <f>COUNTIF('فحص-حاسب-بكالوريوس'!$H:$H,B20)+COUNTIF('فحص-بيانات-بكالوريوس'!$H:$H,B20)+COUNTIF('فحص-بيانات-ماجستير'!$H:$H,B20)</f>
        <v>96</v>
      </c>
    </row>
    <row r="22" spans="1:5" ht="26.75" customHeight="1" x14ac:dyDescent="0.2">
      <c r="A22" s="76" t="s">
        <v>102</v>
      </c>
      <c r="B22" s="76"/>
      <c r="C22" s="76"/>
      <c r="D22" s="76"/>
      <c r="E22" s="76"/>
    </row>
    <row r="23" spans="1:5" x14ac:dyDescent="0.2">
      <c r="A23" s="1" t="s">
        <v>103</v>
      </c>
      <c r="B23" s="1" t="s">
        <v>104</v>
      </c>
      <c r="C23" s="1" t="s">
        <v>36</v>
      </c>
      <c r="D23" s="1" t="s">
        <v>105</v>
      </c>
      <c r="E23" s="1" t="s">
        <v>106</v>
      </c>
    </row>
    <row r="24" spans="1:5" x14ac:dyDescent="0.2">
      <c r="A24" s="4" t="s">
        <v>107</v>
      </c>
      <c r="B24" s="2" t="s">
        <v>108</v>
      </c>
      <c r="C24" s="7" t="str">
        <f>'الإعدادات واللجنة'!$B$15</f>
        <v>د. سلطان بن سعيد الشمراني</v>
      </c>
      <c r="D24" s="6">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6">
        <f>COUNTIF('فحص-حاسب-بكالوريوس'!$A:$A,A24&amp;"-*")+COUNTIF('فحص-بيانات-بكالوريوس'!$A:$A,A24&amp;"-*")+COUNTIF('فحص-بيانات-ماجستير'!$A:$A,A24&amp;"-*")</f>
        <v>117</v>
      </c>
    </row>
    <row r="25" spans="1:5" x14ac:dyDescent="0.2">
      <c r="A25" s="4" t="s">
        <v>109</v>
      </c>
      <c r="B25" s="2" t="s">
        <v>110</v>
      </c>
      <c r="C25" s="7" t="str">
        <f>'الإعدادات واللجنة'!$B$19</f>
        <v>د. عمر بن محمد موسى</v>
      </c>
      <c r="D25" s="6">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6">
        <f>COUNTIF('فحص-حاسب-بكالوريوس'!$A:$A,A25&amp;"-*")+COUNTIF('فحص-بيانات-بكالوريوس'!$A:$A,A25&amp;"-*")+COUNTIF('فحص-بيانات-ماجستير'!$A:$A,A25&amp;"-*")</f>
        <v>39</v>
      </c>
    </row>
    <row r="26" spans="1:5" x14ac:dyDescent="0.2">
      <c r="A26" s="4" t="s">
        <v>111</v>
      </c>
      <c r="B26" s="2" t="s">
        <v>112</v>
      </c>
      <c r="C26" s="7" t="str">
        <f>'الإعدادات واللجنة'!$B$16</f>
        <v>د. احمد بن عوض البشري</v>
      </c>
      <c r="D26" s="6">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6">
        <f>COUNTIF('فحص-حاسب-بكالوريوس'!$A:$A,A26&amp;"-*")+COUNTIF('فحص-بيانات-بكالوريوس'!$A:$A,A26&amp;"-*")+COUNTIF('فحص-بيانات-ماجستير'!$A:$A,A26&amp;"-*")</f>
        <v>75</v>
      </c>
    </row>
    <row r="27" spans="1:5" x14ac:dyDescent="0.2">
      <c r="A27" s="4" t="s">
        <v>113</v>
      </c>
      <c r="B27" s="2" t="s">
        <v>114</v>
      </c>
      <c r="C27" s="7" t="str">
        <f>'الإعدادات واللجنة'!$B$16</f>
        <v>د. احمد بن عوض البشري</v>
      </c>
      <c r="D27" s="6">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6">
        <f>COUNTIF('فحص-حاسب-بكالوريوس'!$A:$A,A27&amp;"-*")+COUNTIF('فحص-بيانات-بكالوريوس'!$A:$A,A27&amp;"-*")+COUNTIF('فحص-بيانات-ماجستير'!$A:$A,A27&amp;"-*")</f>
        <v>66</v>
      </c>
    </row>
    <row r="28" spans="1:5" x14ac:dyDescent="0.2">
      <c r="A28" s="4" t="s">
        <v>115</v>
      </c>
      <c r="B28" s="2" t="s">
        <v>116</v>
      </c>
      <c r="C28" s="7" t="str">
        <f>'الإعدادات واللجنة'!$B$17</f>
        <v>د. يثرب بنت سعد القحطاني</v>
      </c>
      <c r="D28" s="6">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6">
        <f>COUNTIF('فحص-حاسب-بكالوريوس'!$A:$A,A28&amp;"-*")+COUNTIF('فحص-بيانات-بكالوريوس'!$A:$A,A28&amp;"-*")+COUNTIF('فحص-بيانات-ماجستير'!$A:$A,A28&amp;"-*")</f>
        <v>77</v>
      </c>
    </row>
    <row r="29" spans="1:5" x14ac:dyDescent="0.2">
      <c r="A29" s="4" t="s">
        <v>117</v>
      </c>
      <c r="B29" s="2" t="s">
        <v>118</v>
      </c>
      <c r="C29" s="7" t="str">
        <f>'الإعدادات واللجنة'!$B$18</f>
        <v>د. عبدالله بن محمد البركاتي</v>
      </c>
      <c r="D29" s="6">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6">
        <f>COUNTIF('فحص-حاسب-بكالوريوس'!$A:$A,A29&amp;"-*")+COUNTIF('فحص-بيانات-بكالوريوس'!$A:$A,A29&amp;"-*")+COUNTIF('فحص-بيانات-ماجستير'!$A:$A,A29&amp;"-*")</f>
        <v>92</v>
      </c>
    </row>
    <row r="30" spans="1:5" x14ac:dyDescent="0.2">
      <c r="A30" s="4" t="s">
        <v>119</v>
      </c>
      <c r="B30" s="2" t="s">
        <v>120</v>
      </c>
      <c r="C30" s="7" t="str">
        <f>'الإعدادات واللجنة'!$B$19</f>
        <v>د. عمر بن محمد موسى</v>
      </c>
      <c r="D30" s="6">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6">
        <f>COUNTIF('فحص-حاسب-بكالوريوس'!$A:$A,A30&amp;"-*")+COUNTIF('فحص-بيانات-بكالوريوس'!$A:$A,A30&amp;"-*")+COUNTIF('فحص-بيانات-ماجستير'!$A:$A,A30&amp;"-*")</f>
        <v>78</v>
      </c>
    </row>
    <row r="31" spans="1:5" x14ac:dyDescent="0.2">
      <c r="A31" s="4" t="s">
        <v>121</v>
      </c>
      <c r="B31" s="2" t="s">
        <v>122</v>
      </c>
      <c r="C31" s="7" t="str">
        <f>'الإعدادات واللجنة'!$B$20</f>
        <v>د. حسن بن سعد القحطاني</v>
      </c>
      <c r="D31" s="6">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6">
        <f>COUNTIF('فحص-حاسب-بكالوريوس'!$A:$A,A31&amp;"-*")+COUNTIF('فحص-بيانات-بكالوريوس'!$A:$A,A31&amp;"-*")+COUNTIF('فحص-بيانات-ماجستير'!$A:$A,A31&amp;"-*")</f>
        <v>57</v>
      </c>
    </row>
    <row r="32" spans="1:5" x14ac:dyDescent="0.2">
      <c r="A32" s="4" t="s">
        <v>123</v>
      </c>
      <c r="B32" s="2" t="s">
        <v>124</v>
      </c>
      <c r="C32" s="7" t="str">
        <f>'الإعدادات واللجنة'!$B$20</f>
        <v>د. حسن بن سعد القحطاني</v>
      </c>
      <c r="D32" s="6">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6">
        <f>COUNTIF('فحص-حاسب-بكالوريوس'!$A:$A,A32&amp;"-*")+COUNTIF('فحص-بيانات-بكالوريوس'!$A:$A,A32&amp;"-*")+COUNTIF('فحص-بيانات-ماجستير'!$A:$A,A32&amp;"-*")</f>
        <v>33</v>
      </c>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47"/>
  <sheetViews>
    <sheetView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33" customHeight="1" x14ac:dyDescent="0.2">
      <c r="A1" s="77" t="s">
        <v>125</v>
      </c>
      <c r="B1" s="77"/>
      <c r="C1" s="77"/>
      <c r="D1" s="77"/>
      <c r="E1" s="77"/>
      <c r="F1" s="77"/>
      <c r="G1" s="77"/>
      <c r="H1" s="77"/>
      <c r="I1" s="77"/>
    </row>
    <row r="2" spans="1:9" ht="26.75" customHeight="1" x14ac:dyDescent="0.2">
      <c r="A2" s="78" t="s">
        <v>126</v>
      </c>
      <c r="B2" s="78"/>
      <c r="C2" s="78"/>
      <c r="D2" s="78"/>
      <c r="E2" s="78"/>
      <c r="F2" s="78"/>
      <c r="G2" s="78"/>
      <c r="H2" s="78"/>
      <c r="I2" s="78"/>
    </row>
    <row r="4" spans="1:9" ht="16" x14ac:dyDescent="0.2">
      <c r="A4" s="80" t="str">
        <f>'الإعدادات واللجنة'!$B$5</f>
        <v>بكالوريوس علوم الحاسب</v>
      </c>
      <c r="B4" s="80"/>
      <c r="C4" s="80"/>
      <c r="D4" s="80"/>
      <c r="E4" s="80"/>
      <c r="F4" s="80"/>
      <c r="G4" s="80"/>
      <c r="H4" s="80"/>
      <c r="I4" s="80"/>
    </row>
    <row r="5" spans="1:9" x14ac:dyDescent="0.2">
      <c r="A5" s="1" t="s">
        <v>127</v>
      </c>
      <c r="B5" s="1" t="s">
        <v>128</v>
      </c>
      <c r="C5" s="1" t="s">
        <v>129</v>
      </c>
      <c r="D5" s="1" t="s">
        <v>130</v>
      </c>
      <c r="E5" s="1" t="s">
        <v>131</v>
      </c>
      <c r="F5" s="1" t="s">
        <v>132</v>
      </c>
      <c r="G5" s="1" t="s">
        <v>133</v>
      </c>
      <c r="H5" s="1" t="s">
        <v>134</v>
      </c>
      <c r="I5" s="1" t="s">
        <v>135</v>
      </c>
    </row>
    <row r="6" spans="1:9" x14ac:dyDescent="0.2">
      <c r="A6" s="13" t="s">
        <v>136</v>
      </c>
      <c r="B6" s="6">
        <f>COUNTIF('فحص-حاسب-بكالوريوس'!$B$5:$B$208,"1. إدارة البرنامج وضمان جودته")</f>
        <v>52</v>
      </c>
      <c r="C6" s="6">
        <f>COUNTIFS('فحص-حاسب-بكالوريوس'!$B$5:$B$208,"1. إدارة البرنامج وضمان جودته",'فحص-حاسب-بكالوريوس'!$I$5:$I$208,"متوفر ومكتمل")</f>
        <v>0</v>
      </c>
      <c r="D6" s="6">
        <f>COUNTIFS('فحص-حاسب-بكالوريوس'!$B$5:$B$208,"1. إدارة البرنامج وضمان جودته",'فحص-حاسب-بكالوريوس'!$I$5:$I$208,"متوفر ويحتاج تحسين")</f>
        <v>0</v>
      </c>
      <c r="E6" s="6">
        <f>COUNTIFS('فحص-حاسب-بكالوريوس'!$B$5:$B$208,"1. إدارة البرنامج وضمان جودته",'فحص-حاسب-بكالوريوس'!$I$5:$I$208,"غير متوفر")</f>
        <v>0</v>
      </c>
      <c r="F6" s="6">
        <f t="shared" ref="F6:F12" si="0">B6-SUM(C6:E6)</f>
        <v>52</v>
      </c>
      <c r="G6" s="14">
        <f t="shared" ref="G6:G12" si="1">IF(B6=0,0,C6/B6)</f>
        <v>0</v>
      </c>
      <c r="H6" s="6">
        <f>COUNTIFS('فحص-حاسب-بكالوريوس'!$B$5:$B$208,"1. إدارة البرنامج وضمان جودته",'فحص-حاسب-بكالوريوس'!$K$5:$K$208,"عالية")</f>
        <v>0</v>
      </c>
      <c r="I6" s="6">
        <f>COUNTIFS('فحص-حاسب-بكالوريوس'!$B$5:$B$208,"1. إدارة البرنامج وضمان جودته",'فحص-حاسب-بكالوريوس'!$P$5:$P$208,"&lt;&gt;")</f>
        <v>0</v>
      </c>
    </row>
    <row r="7" spans="1:9" x14ac:dyDescent="0.2">
      <c r="A7" s="13" t="s">
        <v>137</v>
      </c>
      <c r="B7" s="6">
        <f>COUNTIF('فحص-حاسب-بكالوريوس'!$B$5:$B$208,"2. التعليم والتعلم")</f>
        <v>75</v>
      </c>
      <c r="C7" s="6">
        <f>COUNTIFS('فحص-حاسب-بكالوريوس'!$B$5:$B$208,"2. التعليم والتعلم",'فحص-حاسب-بكالوريوس'!$I$5:$I$208,"متوفر ومكتمل")</f>
        <v>0</v>
      </c>
      <c r="D7" s="6">
        <f>COUNTIFS('فحص-حاسب-بكالوريوس'!$B$5:$B$208,"2. التعليم والتعلم",'فحص-حاسب-بكالوريوس'!$I$5:$I$208,"متوفر ويحتاج تحسين")</f>
        <v>0</v>
      </c>
      <c r="E7" s="6">
        <f>COUNTIFS('فحص-حاسب-بكالوريوس'!$B$5:$B$208,"2. التعليم والتعلم",'فحص-حاسب-بكالوريوس'!$I$5:$I$208,"غير متوفر")</f>
        <v>0</v>
      </c>
      <c r="F7" s="6">
        <f t="shared" si="0"/>
        <v>75</v>
      </c>
      <c r="G7" s="14">
        <f t="shared" si="1"/>
        <v>0</v>
      </c>
      <c r="H7" s="6">
        <f>COUNTIFS('فحص-حاسب-بكالوريوس'!$B$5:$B$208,"2. التعليم والتعلم",'فحص-حاسب-بكالوريوس'!$K$5:$K$208,"عالية")</f>
        <v>0</v>
      </c>
      <c r="I7" s="6">
        <f>COUNTIFS('فحص-حاسب-بكالوريوس'!$B$5:$B$208,"2. التعليم والتعلم",'فحص-حاسب-بكالوريوس'!$P$5:$P$208,"&lt;&gt;")</f>
        <v>0</v>
      </c>
    </row>
    <row r="8" spans="1:9" x14ac:dyDescent="0.2">
      <c r="A8" s="13" t="s">
        <v>138</v>
      </c>
      <c r="B8" s="6">
        <f>COUNTIF('فحص-حاسب-بكالوريوس'!$B$5:$B$208,"3. الطالب")</f>
        <v>32</v>
      </c>
      <c r="C8" s="6">
        <f>COUNTIFS('فحص-حاسب-بكالوريوس'!$B$5:$B$208,"3. الطالب",'فحص-حاسب-بكالوريوس'!$I$5:$I$208,"متوفر ومكتمل")</f>
        <v>0</v>
      </c>
      <c r="D8" s="6">
        <f>COUNTIFS('فحص-حاسب-بكالوريوس'!$B$5:$B$208,"3. الطالب",'فحص-حاسب-بكالوريوس'!$I$5:$I$208,"متوفر ويحتاج تحسين")</f>
        <v>0</v>
      </c>
      <c r="E8" s="6">
        <f>COUNTIFS('فحص-حاسب-بكالوريوس'!$B$5:$B$208,"3. الطالب",'فحص-حاسب-بكالوريوس'!$I$5:$I$208,"غير متوفر")</f>
        <v>0</v>
      </c>
      <c r="F8" s="6">
        <f t="shared" si="0"/>
        <v>32</v>
      </c>
      <c r="G8" s="14">
        <f t="shared" si="1"/>
        <v>0</v>
      </c>
      <c r="H8" s="6">
        <f>COUNTIFS('فحص-حاسب-بكالوريوس'!$B$5:$B$208,"3. الطالب",'فحص-حاسب-بكالوريوس'!$K$5:$K$208,"عالية")</f>
        <v>0</v>
      </c>
      <c r="I8" s="6">
        <f>COUNTIFS('فحص-حاسب-بكالوريوس'!$B$5:$B$208,"3. الطالب",'فحص-حاسب-بكالوريوس'!$P$5:$P$208,"&lt;&gt;")</f>
        <v>0</v>
      </c>
    </row>
    <row r="9" spans="1:9" x14ac:dyDescent="0.2">
      <c r="A9" s="13" t="s">
        <v>139</v>
      </c>
      <c r="B9" s="6">
        <f>COUNTIF('فحص-حاسب-بكالوريوس'!$B$5:$B$208,"4. هيئة التدريس")</f>
        <v>26</v>
      </c>
      <c r="C9" s="6">
        <f>COUNTIFS('فحص-حاسب-بكالوريوس'!$B$5:$B$208,"4. هيئة التدريس",'فحص-حاسب-بكالوريوس'!$I$5:$I$208,"متوفر ومكتمل")</f>
        <v>0</v>
      </c>
      <c r="D9" s="6">
        <f>COUNTIFS('فحص-حاسب-بكالوريوس'!$B$5:$B$208,"4. هيئة التدريس",'فحص-حاسب-بكالوريوس'!$I$5:$I$208,"متوفر ويحتاج تحسين")</f>
        <v>0</v>
      </c>
      <c r="E9" s="6">
        <f>COUNTIFS('فحص-حاسب-بكالوريوس'!$B$5:$B$208,"4. هيئة التدريس",'فحص-حاسب-بكالوريوس'!$I$5:$I$208,"غير متوفر")</f>
        <v>0</v>
      </c>
      <c r="F9" s="6">
        <f t="shared" si="0"/>
        <v>26</v>
      </c>
      <c r="G9" s="14">
        <f t="shared" si="1"/>
        <v>0</v>
      </c>
      <c r="H9" s="6">
        <f>COUNTIFS('فحص-حاسب-بكالوريوس'!$B$5:$B$208,"4. هيئة التدريس",'فحص-حاسب-بكالوريوس'!$K$5:$K$208,"عالية")</f>
        <v>0</v>
      </c>
      <c r="I9" s="6">
        <f>COUNTIFS('فحص-حاسب-بكالوريوس'!$B$5:$B$208,"4. هيئة التدريس",'فحص-حاسب-بكالوريوس'!$P$5:$P$208,"&lt;&gt;")</f>
        <v>0</v>
      </c>
    </row>
    <row r="10" spans="1:9" x14ac:dyDescent="0.2">
      <c r="A10" s="13" t="s">
        <v>140</v>
      </c>
      <c r="B10" s="6">
        <f>COUNTIF('فحص-حاسب-بكالوريوس'!$B$5:$B$208,"5. مصادر التعلم والمرافق والتجهيزات")</f>
        <v>19</v>
      </c>
      <c r="C10" s="6">
        <f>COUNTIFS('فحص-حاسب-بكالوريوس'!$B$5:$B$208,"5. مصادر التعلم والمرافق والتجهيزات",'فحص-حاسب-بكالوريوس'!$I$5:$I$208,"متوفر ومكتمل")</f>
        <v>0</v>
      </c>
      <c r="D10" s="6">
        <f>COUNTIFS('فحص-حاسب-بكالوريوس'!$B$5:$B$208,"5. مصادر التعلم والمرافق والتجهيزات",'فحص-حاسب-بكالوريوس'!$I$5:$I$208,"متوفر ويحتاج تحسين")</f>
        <v>0</v>
      </c>
      <c r="E10" s="6">
        <f>COUNTIFS('فحص-حاسب-بكالوريوس'!$B$5:$B$208,"5. مصادر التعلم والمرافق والتجهيزات",'فحص-حاسب-بكالوريوس'!$I$5:$I$208,"غير متوفر")</f>
        <v>0</v>
      </c>
      <c r="F10" s="6">
        <f t="shared" si="0"/>
        <v>19</v>
      </c>
      <c r="G10" s="14">
        <f t="shared" si="1"/>
        <v>0</v>
      </c>
      <c r="H10" s="6">
        <f>COUNTIFS('فحص-حاسب-بكالوريوس'!$B$5:$B$208,"5. مصادر التعلم والمرافق والتجهيزات",'فحص-حاسب-بكالوريوس'!$K$5:$K$208,"عالية")</f>
        <v>0</v>
      </c>
      <c r="I10" s="6">
        <f>COUNTIFS('فحص-حاسب-بكالوريوس'!$B$5:$B$208,"5. مصادر التعلم والمرافق والتجهيزات",'فحص-حاسب-بكالوريوس'!$P$5:$P$208,"&lt;&gt;")</f>
        <v>0</v>
      </c>
    </row>
    <row r="11" spans="1:9" x14ac:dyDescent="0.2">
      <c r="A11" s="12" t="s">
        <v>141</v>
      </c>
      <c r="B11" s="15">
        <f>COUNTIF('فحص-حاسب-بكالوريوس'!$D$5:$D$208,"★")</f>
        <v>63</v>
      </c>
      <c r="C11" s="15">
        <f>COUNTIFS('فحص-حاسب-بكالوريوس'!$D$5:$D$208,"★",'فحص-حاسب-بكالوريوس'!$I$5:$I$208,"متوفر ومكتمل")</f>
        <v>0</v>
      </c>
      <c r="D11" s="15">
        <f>COUNTIFS('فحص-حاسب-بكالوريوس'!$D$5:$D$208,"★",'فحص-حاسب-بكالوريوس'!$I$5:$I$208,"متوفر ويحتاج تحسين")</f>
        <v>0</v>
      </c>
      <c r="E11" s="15">
        <f>COUNTIFS('فحص-حاسب-بكالوريوس'!$D$5:$D$208,"★",'فحص-حاسب-بكالوريوس'!$I$5:$I$208,"غير متوفر")</f>
        <v>0</v>
      </c>
      <c r="F11" s="15">
        <f t="shared" si="0"/>
        <v>63</v>
      </c>
      <c r="G11" s="16">
        <f t="shared" si="1"/>
        <v>0</v>
      </c>
      <c r="H11" s="15">
        <f>COUNTIFS('فحص-حاسب-بكالوريوس'!$D$5:$D$208,"★",'فحص-حاسب-بكالوريوس'!$K$5:$K$208,"عالية")</f>
        <v>0</v>
      </c>
      <c r="I11" s="15">
        <f>COUNTIFS('فحص-حاسب-بكالوريوس'!$D$5:$D$208,"★",'فحص-حاسب-بكالوريوس'!$P$5:$P$208,"&lt;&gt;")</f>
        <v>0</v>
      </c>
    </row>
    <row r="12" spans="1:9" x14ac:dyDescent="0.2">
      <c r="A12" s="12" t="s">
        <v>142</v>
      </c>
      <c r="B12" s="15">
        <f>COUNTIF('فحص-حاسب-بكالوريوس'!$A$5:$A$208,"*")</f>
        <v>204</v>
      </c>
      <c r="C12" s="15">
        <f>COUNTIFS('فحص-حاسب-بكالوريوس'!$A$5:$A$208,"*",'فحص-حاسب-بكالوريوس'!$I$5:$I$208,"متوفر ومكتمل")</f>
        <v>0</v>
      </c>
      <c r="D12" s="15">
        <f>COUNTIFS('فحص-حاسب-بكالوريوس'!$A$5:$A$208,"*",'فحص-حاسب-بكالوريوس'!$I$5:$I$208,"متوفر ويحتاج تحسين")</f>
        <v>0</v>
      </c>
      <c r="E12" s="15">
        <f>COUNTIFS('فحص-حاسب-بكالوريوس'!$A$5:$A$208,"*",'فحص-حاسب-بكالوريوس'!$I$5:$I$208,"غير متوفر")</f>
        <v>0</v>
      </c>
      <c r="F12" s="15">
        <f t="shared" si="0"/>
        <v>204</v>
      </c>
      <c r="G12" s="16">
        <f t="shared" si="1"/>
        <v>0</v>
      </c>
      <c r="H12" s="15">
        <f>COUNTIFS('فحص-حاسب-بكالوريوس'!$A$5:$A$208,"*",'فحص-حاسب-بكالوريوس'!$K$5:$K$208,"عالية")</f>
        <v>0</v>
      </c>
      <c r="I12" s="15">
        <f>COUNTIFS('فحص-حاسب-بكالوريوس'!$A$5:$A$208,"*",'فحص-حاسب-بكالوريوس'!$P$5:$P$208,"&lt;&gt;")</f>
        <v>0</v>
      </c>
    </row>
    <row r="14" spans="1:9" ht="16" x14ac:dyDescent="0.2">
      <c r="A14" s="80" t="str">
        <f>'الإعدادات واللجنة'!$B$6</f>
        <v>بكالوريوس علوم البيانات</v>
      </c>
      <c r="B14" s="80"/>
      <c r="C14" s="80"/>
      <c r="D14" s="80"/>
      <c r="E14" s="80"/>
      <c r="F14" s="80"/>
      <c r="G14" s="80"/>
      <c r="H14" s="80"/>
      <c r="I14" s="80"/>
    </row>
    <row r="15" spans="1:9" x14ac:dyDescent="0.2">
      <c r="A15" s="1" t="s">
        <v>127</v>
      </c>
      <c r="B15" s="1" t="s">
        <v>128</v>
      </c>
      <c r="C15" s="1" t="s">
        <v>129</v>
      </c>
      <c r="D15" s="1" t="s">
        <v>130</v>
      </c>
      <c r="E15" s="1" t="s">
        <v>131</v>
      </c>
      <c r="F15" s="1" t="s">
        <v>132</v>
      </c>
      <c r="G15" s="1" t="s">
        <v>133</v>
      </c>
      <c r="H15" s="1" t="s">
        <v>134</v>
      </c>
      <c r="I15" s="1" t="s">
        <v>135</v>
      </c>
    </row>
    <row r="16" spans="1:9" x14ac:dyDescent="0.2">
      <c r="A16" s="13" t="s">
        <v>136</v>
      </c>
      <c r="B16" s="6">
        <f>COUNTIF('فحص-بيانات-بكالوريوس'!$B$5:$B$208,"1. إدارة البرنامج وضمان جودته")</f>
        <v>52</v>
      </c>
      <c r="C16" s="6">
        <f>COUNTIFS('فحص-بيانات-بكالوريوس'!$B$5:$B$208,"1. إدارة البرنامج وضمان جودته",'فحص-بيانات-بكالوريوس'!$I$5:$I$208,"متوفر ومكتمل")</f>
        <v>0</v>
      </c>
      <c r="D16" s="6">
        <f>COUNTIFS('فحص-بيانات-بكالوريوس'!$B$5:$B$208,"1. إدارة البرنامج وضمان جودته",'فحص-بيانات-بكالوريوس'!$I$5:$I$208,"متوفر ويحتاج تحسين")</f>
        <v>0</v>
      </c>
      <c r="E16" s="6">
        <f>COUNTIFS('فحص-بيانات-بكالوريوس'!$B$5:$B$208,"1. إدارة البرنامج وضمان جودته",'فحص-بيانات-بكالوريوس'!$I$5:$I$208,"غير متوفر")</f>
        <v>0</v>
      </c>
      <c r="F16" s="6">
        <f t="shared" ref="F16:F22" si="2">B16-SUM(C16:E16)</f>
        <v>52</v>
      </c>
      <c r="G16" s="14">
        <f t="shared" ref="G16:G22" si="3">IF(B16=0,0,C16/B16)</f>
        <v>0</v>
      </c>
      <c r="H16" s="6">
        <f>COUNTIFS('فحص-بيانات-بكالوريوس'!$B$5:$B$208,"1. إدارة البرنامج وضمان جودته",'فحص-بيانات-بكالوريوس'!$K$5:$K$208,"عالية")</f>
        <v>0</v>
      </c>
      <c r="I16" s="6">
        <f>COUNTIFS('فحص-بيانات-بكالوريوس'!$B$5:$B$208,"1. إدارة البرنامج وضمان جودته",'فحص-بيانات-بكالوريوس'!$P$5:$P$208,"&lt;&gt;")</f>
        <v>0</v>
      </c>
    </row>
    <row r="17" spans="1:9" x14ac:dyDescent="0.2">
      <c r="A17" s="13" t="s">
        <v>137</v>
      </c>
      <c r="B17" s="6">
        <f>COUNTIF('فحص-بيانات-بكالوريوس'!$B$5:$B$208,"2. التعليم والتعلم")</f>
        <v>75</v>
      </c>
      <c r="C17" s="6">
        <f>COUNTIFS('فحص-بيانات-بكالوريوس'!$B$5:$B$208,"2. التعليم والتعلم",'فحص-بيانات-بكالوريوس'!$I$5:$I$208,"متوفر ومكتمل")</f>
        <v>0</v>
      </c>
      <c r="D17" s="6">
        <f>COUNTIFS('فحص-بيانات-بكالوريوس'!$B$5:$B$208,"2. التعليم والتعلم",'فحص-بيانات-بكالوريوس'!$I$5:$I$208,"متوفر ويحتاج تحسين")</f>
        <v>0</v>
      </c>
      <c r="E17" s="6">
        <f>COUNTIFS('فحص-بيانات-بكالوريوس'!$B$5:$B$208,"2. التعليم والتعلم",'فحص-بيانات-بكالوريوس'!$I$5:$I$208,"غير متوفر")</f>
        <v>0</v>
      </c>
      <c r="F17" s="6">
        <f t="shared" si="2"/>
        <v>75</v>
      </c>
      <c r="G17" s="14">
        <f t="shared" si="3"/>
        <v>0</v>
      </c>
      <c r="H17" s="6">
        <f>COUNTIFS('فحص-بيانات-بكالوريوس'!$B$5:$B$208,"2. التعليم والتعلم",'فحص-بيانات-بكالوريوس'!$K$5:$K$208,"عالية")</f>
        <v>0</v>
      </c>
      <c r="I17" s="6">
        <f>COUNTIFS('فحص-بيانات-بكالوريوس'!$B$5:$B$208,"2. التعليم والتعلم",'فحص-بيانات-بكالوريوس'!$P$5:$P$208,"&lt;&gt;")</f>
        <v>0</v>
      </c>
    </row>
    <row r="18" spans="1:9" x14ac:dyDescent="0.2">
      <c r="A18" s="13" t="s">
        <v>138</v>
      </c>
      <c r="B18" s="6">
        <f>COUNTIF('فحص-بيانات-بكالوريوس'!$B$5:$B$208,"3. الطالب")</f>
        <v>32</v>
      </c>
      <c r="C18" s="6">
        <f>COUNTIFS('فحص-بيانات-بكالوريوس'!$B$5:$B$208,"3. الطالب",'فحص-بيانات-بكالوريوس'!$I$5:$I$208,"متوفر ومكتمل")</f>
        <v>0</v>
      </c>
      <c r="D18" s="6">
        <f>COUNTIFS('فحص-بيانات-بكالوريوس'!$B$5:$B$208,"3. الطالب",'فحص-بيانات-بكالوريوس'!$I$5:$I$208,"متوفر ويحتاج تحسين")</f>
        <v>0</v>
      </c>
      <c r="E18" s="6">
        <f>COUNTIFS('فحص-بيانات-بكالوريوس'!$B$5:$B$208,"3. الطالب",'فحص-بيانات-بكالوريوس'!$I$5:$I$208,"غير متوفر")</f>
        <v>0</v>
      </c>
      <c r="F18" s="6">
        <f t="shared" si="2"/>
        <v>32</v>
      </c>
      <c r="G18" s="14">
        <f t="shared" si="3"/>
        <v>0</v>
      </c>
      <c r="H18" s="6">
        <f>COUNTIFS('فحص-بيانات-بكالوريوس'!$B$5:$B$208,"3. الطالب",'فحص-بيانات-بكالوريوس'!$K$5:$K$208,"عالية")</f>
        <v>0</v>
      </c>
      <c r="I18" s="6">
        <f>COUNTIFS('فحص-بيانات-بكالوريوس'!$B$5:$B$208,"3. الطالب",'فحص-بيانات-بكالوريوس'!$P$5:$P$208,"&lt;&gt;")</f>
        <v>0</v>
      </c>
    </row>
    <row r="19" spans="1:9" x14ac:dyDescent="0.2">
      <c r="A19" s="13" t="s">
        <v>139</v>
      </c>
      <c r="B19" s="6">
        <f>COUNTIF('فحص-بيانات-بكالوريوس'!$B$5:$B$208,"4. هيئة التدريس")</f>
        <v>26</v>
      </c>
      <c r="C19" s="6">
        <f>COUNTIFS('فحص-بيانات-بكالوريوس'!$B$5:$B$208,"4. هيئة التدريس",'فحص-بيانات-بكالوريوس'!$I$5:$I$208,"متوفر ومكتمل")</f>
        <v>0</v>
      </c>
      <c r="D19" s="6">
        <f>COUNTIFS('فحص-بيانات-بكالوريوس'!$B$5:$B$208,"4. هيئة التدريس",'فحص-بيانات-بكالوريوس'!$I$5:$I$208,"متوفر ويحتاج تحسين")</f>
        <v>0</v>
      </c>
      <c r="E19" s="6">
        <f>COUNTIFS('فحص-بيانات-بكالوريوس'!$B$5:$B$208,"4. هيئة التدريس",'فحص-بيانات-بكالوريوس'!$I$5:$I$208,"غير متوفر")</f>
        <v>0</v>
      </c>
      <c r="F19" s="6">
        <f t="shared" si="2"/>
        <v>26</v>
      </c>
      <c r="G19" s="14">
        <f t="shared" si="3"/>
        <v>0</v>
      </c>
      <c r="H19" s="6">
        <f>COUNTIFS('فحص-بيانات-بكالوريوس'!$B$5:$B$208,"4. هيئة التدريس",'فحص-بيانات-بكالوريوس'!$K$5:$K$208,"عالية")</f>
        <v>0</v>
      </c>
      <c r="I19" s="6">
        <f>COUNTIFS('فحص-بيانات-بكالوريوس'!$B$5:$B$208,"4. هيئة التدريس",'فحص-بيانات-بكالوريوس'!$P$5:$P$208,"&lt;&gt;")</f>
        <v>0</v>
      </c>
    </row>
    <row r="20" spans="1:9" x14ac:dyDescent="0.2">
      <c r="A20" s="13" t="s">
        <v>140</v>
      </c>
      <c r="B20" s="6">
        <f>COUNTIF('فحص-بيانات-بكالوريوس'!$B$5:$B$208,"5. مصادر التعلم والمرافق والتجهيزات")</f>
        <v>19</v>
      </c>
      <c r="C20" s="6">
        <f>COUNTIFS('فحص-بيانات-بكالوريوس'!$B$5:$B$208,"5. مصادر التعلم والمرافق والتجهيزات",'فحص-بيانات-بكالوريوس'!$I$5:$I$208,"متوفر ومكتمل")</f>
        <v>0</v>
      </c>
      <c r="D20" s="6">
        <f>COUNTIFS('فحص-بيانات-بكالوريوس'!$B$5:$B$208,"5. مصادر التعلم والمرافق والتجهيزات",'فحص-بيانات-بكالوريوس'!$I$5:$I$208,"متوفر ويحتاج تحسين")</f>
        <v>0</v>
      </c>
      <c r="E20" s="6">
        <f>COUNTIFS('فحص-بيانات-بكالوريوس'!$B$5:$B$208,"5. مصادر التعلم والمرافق والتجهيزات",'فحص-بيانات-بكالوريوس'!$I$5:$I$208,"غير متوفر")</f>
        <v>0</v>
      </c>
      <c r="F20" s="6">
        <f t="shared" si="2"/>
        <v>19</v>
      </c>
      <c r="G20" s="14">
        <f t="shared" si="3"/>
        <v>0</v>
      </c>
      <c r="H20" s="6">
        <f>COUNTIFS('فحص-بيانات-بكالوريوس'!$B$5:$B$208,"5. مصادر التعلم والمرافق والتجهيزات",'فحص-بيانات-بكالوريوس'!$K$5:$K$208,"عالية")</f>
        <v>0</v>
      </c>
      <c r="I20" s="6">
        <f>COUNTIFS('فحص-بيانات-بكالوريوس'!$B$5:$B$208,"5. مصادر التعلم والمرافق والتجهيزات",'فحص-بيانات-بكالوريوس'!$P$5:$P$208,"&lt;&gt;")</f>
        <v>0</v>
      </c>
    </row>
    <row r="21" spans="1:9" x14ac:dyDescent="0.2">
      <c r="A21" s="12" t="s">
        <v>141</v>
      </c>
      <c r="B21" s="15">
        <f>COUNTIF('فحص-بيانات-بكالوريوس'!$D$5:$D$208,"★")</f>
        <v>63</v>
      </c>
      <c r="C21" s="15">
        <f>COUNTIFS('فحص-بيانات-بكالوريوس'!$D$5:$D$208,"★",'فحص-بيانات-بكالوريوس'!$I$5:$I$208,"متوفر ومكتمل")</f>
        <v>0</v>
      </c>
      <c r="D21" s="15">
        <f>COUNTIFS('فحص-بيانات-بكالوريوس'!$D$5:$D$208,"★",'فحص-بيانات-بكالوريوس'!$I$5:$I$208,"متوفر ويحتاج تحسين")</f>
        <v>0</v>
      </c>
      <c r="E21" s="15">
        <f>COUNTIFS('فحص-بيانات-بكالوريوس'!$D$5:$D$208,"★",'فحص-بيانات-بكالوريوس'!$I$5:$I$208,"غير متوفر")</f>
        <v>0</v>
      </c>
      <c r="F21" s="15">
        <f t="shared" si="2"/>
        <v>63</v>
      </c>
      <c r="G21" s="16">
        <f t="shared" si="3"/>
        <v>0</v>
      </c>
      <c r="H21" s="15">
        <f>COUNTIFS('فحص-بيانات-بكالوريوس'!$D$5:$D$208,"★",'فحص-بيانات-بكالوريوس'!$K$5:$K$208,"عالية")</f>
        <v>0</v>
      </c>
      <c r="I21" s="15">
        <f>COUNTIFS('فحص-بيانات-بكالوريوس'!$D$5:$D$208,"★",'فحص-بيانات-بكالوريوس'!$P$5:$P$208,"&lt;&gt;")</f>
        <v>0</v>
      </c>
    </row>
    <row r="22" spans="1:9" x14ac:dyDescent="0.2">
      <c r="A22" s="12" t="s">
        <v>142</v>
      </c>
      <c r="B22" s="15">
        <f>COUNTIF('فحص-بيانات-بكالوريوس'!$A$5:$A$208,"*")</f>
        <v>204</v>
      </c>
      <c r="C22" s="15">
        <f>COUNTIFS('فحص-بيانات-بكالوريوس'!$A$5:$A$208,"*",'فحص-بيانات-بكالوريوس'!$I$5:$I$208,"متوفر ومكتمل")</f>
        <v>0</v>
      </c>
      <c r="D22" s="15">
        <f>COUNTIFS('فحص-بيانات-بكالوريوس'!$A$5:$A$208,"*",'فحص-بيانات-بكالوريوس'!$I$5:$I$208,"متوفر ويحتاج تحسين")</f>
        <v>0</v>
      </c>
      <c r="E22" s="15">
        <f>COUNTIFS('فحص-بيانات-بكالوريوس'!$A$5:$A$208,"*",'فحص-بيانات-بكالوريوس'!$I$5:$I$208,"غير متوفر")</f>
        <v>0</v>
      </c>
      <c r="F22" s="15">
        <f t="shared" si="2"/>
        <v>204</v>
      </c>
      <c r="G22" s="16">
        <f t="shared" si="3"/>
        <v>0</v>
      </c>
      <c r="H22" s="15">
        <f>COUNTIFS('فحص-بيانات-بكالوريوس'!$A$5:$A$208,"*",'فحص-بيانات-بكالوريوس'!$K$5:$K$208,"عالية")</f>
        <v>0</v>
      </c>
      <c r="I22" s="15">
        <f>COUNTIFS('فحص-بيانات-بكالوريوس'!$A$5:$A$208,"*",'فحص-بيانات-بكالوريوس'!$P$5:$P$208,"&lt;&gt;")</f>
        <v>0</v>
      </c>
    </row>
    <row r="24" spans="1:9" ht="16" x14ac:dyDescent="0.2">
      <c r="A24" s="80" t="str">
        <f>'الإعدادات واللجنة'!$B$7</f>
        <v>ماجستير علوم البيانات</v>
      </c>
      <c r="B24" s="80"/>
      <c r="C24" s="80"/>
      <c r="D24" s="80"/>
      <c r="E24" s="80"/>
      <c r="F24" s="80"/>
      <c r="G24" s="80"/>
      <c r="H24" s="80"/>
      <c r="I24" s="80"/>
    </row>
    <row r="25" spans="1:9" x14ac:dyDescent="0.2">
      <c r="A25" s="1" t="s">
        <v>127</v>
      </c>
      <c r="B25" s="1" t="s">
        <v>128</v>
      </c>
      <c r="C25" s="1" t="s">
        <v>129</v>
      </c>
      <c r="D25" s="1" t="s">
        <v>130</v>
      </c>
      <c r="E25" s="1" t="s">
        <v>131</v>
      </c>
      <c r="F25" s="1" t="s">
        <v>132</v>
      </c>
      <c r="G25" s="1" t="s">
        <v>133</v>
      </c>
      <c r="H25" s="1" t="s">
        <v>134</v>
      </c>
      <c r="I25" s="1" t="s">
        <v>135</v>
      </c>
    </row>
    <row r="26" spans="1:9" x14ac:dyDescent="0.2">
      <c r="A26" s="13" t="s">
        <v>136</v>
      </c>
      <c r="B26" s="6">
        <f>COUNTIF('فحص-بيانات-ماجستير'!$B$5:$B$230,"1. إدارة البرنامج وضمان جودته")</f>
        <v>52</v>
      </c>
      <c r="C26" s="6">
        <f>COUNTIFS('فحص-بيانات-ماجستير'!$B$5:$B$230,"1. إدارة البرنامج وضمان جودته",'فحص-بيانات-ماجستير'!$I$5:$I$230,"متوفر ومكتمل")</f>
        <v>0</v>
      </c>
      <c r="D26" s="6">
        <f>COUNTIFS('فحص-بيانات-ماجستير'!$B$5:$B$230,"1. إدارة البرنامج وضمان جودته",'فحص-بيانات-ماجستير'!$I$5:$I$230,"متوفر ويحتاج تحسين")</f>
        <v>0</v>
      </c>
      <c r="E26" s="6">
        <f>COUNTIFS('فحص-بيانات-ماجستير'!$B$5:$B$230,"1. إدارة البرنامج وضمان جودته",'فحص-بيانات-ماجستير'!$I$5:$I$230,"غير متوفر")</f>
        <v>0</v>
      </c>
      <c r="F26" s="6">
        <f t="shared" ref="F26:F33" si="4">B26-SUM(C26:E26)</f>
        <v>52</v>
      </c>
      <c r="G26" s="14">
        <f t="shared" ref="G26:G33" si="5">IF(B26=0,0,C26/B26)</f>
        <v>0</v>
      </c>
      <c r="H26" s="6">
        <f>COUNTIFS('فحص-بيانات-ماجستير'!$B$5:$B$230,"1. إدارة البرنامج وضمان جودته",'فحص-بيانات-ماجستير'!$K$5:$K$230,"عالية")</f>
        <v>0</v>
      </c>
      <c r="I26" s="6">
        <f>COUNTIFS('فحص-بيانات-ماجستير'!$B$5:$B$230,"1. إدارة البرنامج وضمان جودته",'فحص-بيانات-ماجستير'!$P$5:$P$230,"&lt;&gt;")</f>
        <v>0</v>
      </c>
    </row>
    <row r="27" spans="1:9" x14ac:dyDescent="0.2">
      <c r="A27" s="13" t="s">
        <v>137</v>
      </c>
      <c r="B27" s="6">
        <f>COUNTIF('فحص-بيانات-ماجستير'!$B$5:$B$230,"2. التعليم والتعلم")</f>
        <v>68</v>
      </c>
      <c r="C27" s="6">
        <f>COUNTIFS('فحص-بيانات-ماجستير'!$B$5:$B$230,"2. التعليم والتعلم",'فحص-بيانات-ماجستير'!$I$5:$I$230,"متوفر ومكتمل")</f>
        <v>0</v>
      </c>
      <c r="D27" s="6">
        <f>COUNTIFS('فحص-بيانات-ماجستير'!$B$5:$B$230,"2. التعليم والتعلم",'فحص-بيانات-ماجستير'!$I$5:$I$230,"متوفر ويحتاج تحسين")</f>
        <v>0</v>
      </c>
      <c r="E27" s="6">
        <f>COUNTIFS('فحص-بيانات-ماجستير'!$B$5:$B$230,"2. التعليم والتعلم",'فحص-بيانات-ماجستير'!$I$5:$I$230,"غير متوفر")</f>
        <v>0</v>
      </c>
      <c r="F27" s="6">
        <f t="shared" si="4"/>
        <v>68</v>
      </c>
      <c r="G27" s="14">
        <f t="shared" si="5"/>
        <v>0</v>
      </c>
      <c r="H27" s="6">
        <f>COUNTIFS('فحص-بيانات-ماجستير'!$B$5:$B$230,"2. التعليم والتعلم",'فحص-بيانات-ماجستير'!$K$5:$K$230,"عالية")</f>
        <v>0</v>
      </c>
      <c r="I27" s="6">
        <f>COUNTIFS('فحص-بيانات-ماجستير'!$B$5:$B$230,"2. التعليم والتعلم",'فحص-بيانات-ماجستير'!$P$5:$P$230,"&lt;&gt;")</f>
        <v>0</v>
      </c>
    </row>
    <row r="28" spans="1:9" x14ac:dyDescent="0.2">
      <c r="A28" s="13" t="s">
        <v>138</v>
      </c>
      <c r="B28" s="6">
        <f>COUNTIF('فحص-بيانات-ماجستير'!$B$5:$B$230,"3. الطالب")</f>
        <v>28</v>
      </c>
      <c r="C28" s="6">
        <f>COUNTIFS('فحص-بيانات-ماجستير'!$B$5:$B$230,"3. الطالب",'فحص-بيانات-ماجستير'!$I$5:$I$230,"متوفر ومكتمل")</f>
        <v>0</v>
      </c>
      <c r="D28" s="6">
        <f>COUNTIFS('فحص-بيانات-ماجستير'!$B$5:$B$230,"3. الطالب",'فحص-بيانات-ماجستير'!$I$5:$I$230,"متوفر ويحتاج تحسين")</f>
        <v>0</v>
      </c>
      <c r="E28" s="6">
        <f>COUNTIFS('فحص-بيانات-ماجستير'!$B$5:$B$230,"3. الطالب",'فحص-بيانات-ماجستير'!$I$5:$I$230,"غير متوفر")</f>
        <v>0</v>
      </c>
      <c r="F28" s="6">
        <f t="shared" si="4"/>
        <v>28</v>
      </c>
      <c r="G28" s="14">
        <f t="shared" si="5"/>
        <v>0</v>
      </c>
      <c r="H28" s="6">
        <f>COUNTIFS('فحص-بيانات-ماجستير'!$B$5:$B$230,"3. الطالب",'فحص-بيانات-ماجستير'!$K$5:$K$230,"عالية")</f>
        <v>0</v>
      </c>
      <c r="I28" s="6">
        <f>COUNTIFS('فحص-بيانات-ماجستير'!$B$5:$B$230,"3. الطالب",'فحص-بيانات-ماجستير'!$P$5:$P$230,"&lt;&gt;")</f>
        <v>0</v>
      </c>
    </row>
    <row r="29" spans="1:9" x14ac:dyDescent="0.2">
      <c r="A29" s="13" t="s">
        <v>139</v>
      </c>
      <c r="B29" s="6">
        <f>COUNTIF('فحص-بيانات-ماجستير'!$B$5:$B$230,"4. هيئة التدريس")</f>
        <v>26</v>
      </c>
      <c r="C29" s="6">
        <f>COUNTIFS('فحص-بيانات-ماجستير'!$B$5:$B$230,"4. هيئة التدريس",'فحص-بيانات-ماجستير'!$I$5:$I$230,"متوفر ومكتمل")</f>
        <v>0</v>
      </c>
      <c r="D29" s="6">
        <f>COUNTIFS('فحص-بيانات-ماجستير'!$B$5:$B$230,"4. هيئة التدريس",'فحص-بيانات-ماجستير'!$I$5:$I$230,"متوفر ويحتاج تحسين")</f>
        <v>0</v>
      </c>
      <c r="E29" s="6">
        <f>COUNTIFS('فحص-بيانات-ماجستير'!$B$5:$B$230,"4. هيئة التدريس",'فحص-بيانات-ماجستير'!$I$5:$I$230,"غير متوفر")</f>
        <v>0</v>
      </c>
      <c r="F29" s="6">
        <f t="shared" si="4"/>
        <v>26</v>
      </c>
      <c r="G29" s="14">
        <f t="shared" si="5"/>
        <v>0</v>
      </c>
      <c r="H29" s="6">
        <f>COUNTIFS('فحص-بيانات-ماجستير'!$B$5:$B$230,"4. هيئة التدريس",'فحص-بيانات-ماجستير'!$K$5:$K$230,"عالية")</f>
        <v>0</v>
      </c>
      <c r="I29" s="6">
        <f>COUNTIFS('فحص-بيانات-ماجستير'!$B$5:$B$230,"4. هيئة التدريس",'فحص-بيانات-ماجستير'!$P$5:$P$230,"&lt;&gt;")</f>
        <v>0</v>
      </c>
    </row>
    <row r="30" spans="1:9" x14ac:dyDescent="0.2">
      <c r="A30" s="13" t="s">
        <v>140</v>
      </c>
      <c r="B30" s="6">
        <f>COUNTIF('فحص-بيانات-ماجستير'!$B$5:$B$230,"5. مصادر التعلم والمرافق والتجهيزات")</f>
        <v>19</v>
      </c>
      <c r="C30" s="6">
        <f>COUNTIFS('فحص-بيانات-ماجستير'!$B$5:$B$230,"5. مصادر التعلم والمرافق والتجهيزات",'فحص-بيانات-ماجستير'!$I$5:$I$230,"متوفر ومكتمل")</f>
        <v>0</v>
      </c>
      <c r="D30" s="6">
        <f>COUNTIFS('فحص-بيانات-ماجستير'!$B$5:$B$230,"5. مصادر التعلم والمرافق والتجهيزات",'فحص-بيانات-ماجستير'!$I$5:$I$230,"متوفر ويحتاج تحسين")</f>
        <v>0</v>
      </c>
      <c r="E30" s="6">
        <f>COUNTIFS('فحص-بيانات-ماجستير'!$B$5:$B$230,"5. مصادر التعلم والمرافق والتجهيزات",'فحص-بيانات-ماجستير'!$I$5:$I$230,"غير متوفر")</f>
        <v>0</v>
      </c>
      <c r="F30" s="6">
        <f t="shared" si="4"/>
        <v>19</v>
      </c>
      <c r="G30" s="14">
        <f t="shared" si="5"/>
        <v>0</v>
      </c>
      <c r="H30" s="6">
        <f>COUNTIFS('فحص-بيانات-ماجستير'!$B$5:$B$230,"5. مصادر التعلم والمرافق والتجهيزات",'فحص-بيانات-ماجستير'!$K$5:$K$230,"عالية")</f>
        <v>0</v>
      </c>
      <c r="I30" s="6">
        <f>COUNTIFS('فحص-بيانات-ماجستير'!$B$5:$B$230,"5. مصادر التعلم والمرافق والتجهيزات",'فحص-بيانات-ماجستير'!$P$5:$P$230,"&lt;&gt;")</f>
        <v>0</v>
      </c>
    </row>
    <row r="31" spans="1:9" x14ac:dyDescent="0.2">
      <c r="A31" s="13" t="s">
        <v>143</v>
      </c>
      <c r="B31" s="6">
        <f>COUNTIF('فحص-بيانات-ماجستير'!$B$5:$B$230,"6. البحث والمشاريع")</f>
        <v>33</v>
      </c>
      <c r="C31" s="6">
        <f>COUNTIFS('فحص-بيانات-ماجستير'!$B$5:$B$230,"6. البحث والمشاريع",'فحص-بيانات-ماجستير'!$I$5:$I$230,"متوفر ومكتمل")</f>
        <v>0</v>
      </c>
      <c r="D31" s="6">
        <f>COUNTIFS('فحص-بيانات-ماجستير'!$B$5:$B$230,"6. البحث والمشاريع",'فحص-بيانات-ماجستير'!$I$5:$I$230,"متوفر ويحتاج تحسين")</f>
        <v>0</v>
      </c>
      <c r="E31" s="6">
        <f>COUNTIFS('فحص-بيانات-ماجستير'!$B$5:$B$230,"6. البحث والمشاريع",'فحص-بيانات-ماجستير'!$I$5:$I$230,"غير متوفر")</f>
        <v>0</v>
      </c>
      <c r="F31" s="6">
        <f t="shared" si="4"/>
        <v>33</v>
      </c>
      <c r="G31" s="14">
        <f t="shared" si="5"/>
        <v>0</v>
      </c>
      <c r="H31" s="6">
        <f>COUNTIFS('فحص-بيانات-ماجستير'!$B$5:$B$230,"6. البحث والمشاريع",'فحص-بيانات-ماجستير'!$K$5:$K$230,"عالية")</f>
        <v>0</v>
      </c>
      <c r="I31" s="6">
        <f>COUNTIFS('فحص-بيانات-ماجستير'!$B$5:$B$230,"6. البحث والمشاريع",'فحص-بيانات-ماجستير'!$P$5:$P$230,"&lt;&gt;")</f>
        <v>0</v>
      </c>
    </row>
    <row r="32" spans="1:9" x14ac:dyDescent="0.2">
      <c r="A32" s="12" t="s">
        <v>141</v>
      </c>
      <c r="B32" s="15">
        <f>COUNTIF('فحص-بيانات-ماجستير'!$D$5:$D$230,"★")</f>
        <v>69</v>
      </c>
      <c r="C32" s="15">
        <f>COUNTIFS('فحص-بيانات-ماجستير'!$D$5:$D$230,"★",'فحص-بيانات-ماجستير'!$I$5:$I$230,"متوفر ومكتمل")</f>
        <v>0</v>
      </c>
      <c r="D32" s="15">
        <f>COUNTIFS('فحص-بيانات-ماجستير'!$D$5:$D$230,"★",'فحص-بيانات-ماجستير'!$I$5:$I$230,"متوفر ويحتاج تحسين")</f>
        <v>0</v>
      </c>
      <c r="E32" s="15">
        <f>COUNTIFS('فحص-بيانات-ماجستير'!$D$5:$D$230,"★",'فحص-بيانات-ماجستير'!$I$5:$I$230,"غير متوفر")</f>
        <v>0</v>
      </c>
      <c r="F32" s="15">
        <f t="shared" si="4"/>
        <v>69</v>
      </c>
      <c r="G32" s="16">
        <f t="shared" si="5"/>
        <v>0</v>
      </c>
      <c r="H32" s="15">
        <f>COUNTIFS('فحص-بيانات-ماجستير'!$D$5:$D$230,"★",'فحص-بيانات-ماجستير'!$K$5:$K$230,"عالية")</f>
        <v>0</v>
      </c>
      <c r="I32" s="15">
        <f>COUNTIFS('فحص-بيانات-ماجستير'!$D$5:$D$230,"★",'فحص-بيانات-ماجستير'!$P$5:$P$230,"&lt;&gt;")</f>
        <v>0</v>
      </c>
    </row>
    <row r="33" spans="1:9" x14ac:dyDescent="0.2">
      <c r="A33" s="12" t="s">
        <v>142</v>
      </c>
      <c r="B33" s="15">
        <f>COUNTIF('فحص-بيانات-ماجستير'!$A$5:$A$230,"*")</f>
        <v>226</v>
      </c>
      <c r="C33" s="15">
        <f>COUNTIFS('فحص-بيانات-ماجستير'!$A$5:$A$230,"*",'فحص-بيانات-ماجستير'!$I$5:$I$230,"متوفر ومكتمل")</f>
        <v>0</v>
      </c>
      <c r="D33" s="15">
        <f>COUNTIFS('فحص-بيانات-ماجستير'!$A$5:$A$230,"*",'فحص-بيانات-ماجستير'!$I$5:$I$230,"متوفر ويحتاج تحسين")</f>
        <v>0</v>
      </c>
      <c r="E33" s="15">
        <f>COUNTIFS('فحص-بيانات-ماجستير'!$A$5:$A$230,"*",'فحص-بيانات-ماجستير'!$I$5:$I$230,"غير متوفر")</f>
        <v>0</v>
      </c>
      <c r="F33" s="15">
        <f t="shared" si="4"/>
        <v>226</v>
      </c>
      <c r="G33" s="16">
        <f t="shared" si="5"/>
        <v>0</v>
      </c>
      <c r="H33" s="15">
        <f>COUNTIFS('فحص-بيانات-ماجستير'!$A$5:$A$230,"*",'فحص-بيانات-ماجستير'!$K$5:$K$230,"عالية")</f>
        <v>0</v>
      </c>
      <c r="I33" s="15">
        <f>COUNTIFS('فحص-بيانات-ماجستير'!$A$5:$A$230,"*",'فحص-بيانات-ماجستير'!$P$5:$P$230,"&lt;&gt;")</f>
        <v>0</v>
      </c>
    </row>
    <row r="35" spans="1:9" ht="26.75" customHeight="1" x14ac:dyDescent="0.2">
      <c r="A35" s="76" t="s">
        <v>144</v>
      </c>
      <c r="B35" s="76"/>
      <c r="C35" s="76"/>
      <c r="D35" s="76"/>
      <c r="E35" s="76"/>
      <c r="F35" s="76"/>
      <c r="G35" s="76"/>
      <c r="H35" s="76"/>
      <c r="I35" s="76"/>
    </row>
    <row r="36" spans="1:9" x14ac:dyDescent="0.2">
      <c r="A36" s="1" t="s">
        <v>79</v>
      </c>
      <c r="B36" s="1" t="s">
        <v>145</v>
      </c>
      <c r="C36" s="1" t="s">
        <v>146</v>
      </c>
      <c r="D36" s="1" t="s">
        <v>147</v>
      </c>
      <c r="E36" s="1" t="s">
        <v>135</v>
      </c>
      <c r="F36" s="1" t="s">
        <v>148</v>
      </c>
      <c r="G36" s="1"/>
      <c r="H36" s="1"/>
      <c r="I36" s="1"/>
    </row>
    <row r="37" spans="1:9" x14ac:dyDescent="0.2">
      <c r="A37" s="13" t="str">
        <f>'الإعدادات واللجنة'!$B$15</f>
        <v>د. سلطان بن سعيد الشمراني</v>
      </c>
      <c r="B37" s="6">
        <f>COUNTIFS('فحص-حاسب-بكالوريوس'!$H$5:$H$208,'الإعدادات واللجنة'!$B$15)+COUNTIFS('فحص-بيانات-بكالوريوس'!$H$5:$H$208,'الإعدادات واللجنة'!$B$15)+COUNTIFS('فحص-بيانات-ماجستير'!$H$5:$H$230,'الإعدادات واللجنة'!$B$15)</f>
        <v>117</v>
      </c>
      <c r="C37" s="6">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4">
        <f t="shared" ref="D37:D42" si="6">IF(B37=0,0,C37/B37)</f>
        <v>0</v>
      </c>
      <c r="E37" s="6">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6">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13" t="str">
        <f>'الإعدادات واللجنة'!$B$16</f>
        <v>د. احمد بن عوض البشري</v>
      </c>
      <c r="B38" s="6">
        <f>COUNTIFS('فحص-حاسب-بكالوريوس'!$H$5:$H$208,'الإعدادات واللجنة'!$B$16)+COUNTIFS('فحص-بيانات-بكالوريوس'!$H$5:$H$208,'الإعدادات واللجنة'!$B$16)+COUNTIFS('فحص-بيانات-ماجستير'!$H$5:$H$230,'الإعدادات واللجنة'!$B$16)</f>
        <v>141</v>
      </c>
      <c r="C38" s="6">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4">
        <f t="shared" si="6"/>
        <v>0</v>
      </c>
      <c r="E38" s="6">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6">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13" t="str">
        <f>'الإعدادات واللجنة'!$B$17</f>
        <v>د. يثرب بنت سعد القحطاني</v>
      </c>
      <c r="B39" s="6">
        <f>COUNTIFS('فحص-حاسب-بكالوريوس'!$H$5:$H$208,'الإعدادات واللجنة'!$B$17)+COUNTIFS('فحص-بيانات-بكالوريوس'!$H$5:$H$208,'الإعدادات واللجنة'!$B$17)+COUNTIFS('فحص-بيانات-ماجستير'!$H$5:$H$230,'الإعدادات واللجنة'!$B$17)</f>
        <v>77</v>
      </c>
      <c r="C39" s="6">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4">
        <f t="shared" si="6"/>
        <v>0</v>
      </c>
      <c r="E39" s="6">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6">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13" t="str">
        <f>'الإعدادات واللجنة'!$B$18</f>
        <v>د. عبدالله بن محمد البركاتي</v>
      </c>
      <c r="B40" s="6">
        <f>COUNTIFS('فحص-حاسب-بكالوريوس'!$H$5:$H$208,'الإعدادات واللجنة'!$B$18)+COUNTIFS('فحص-بيانات-بكالوريوس'!$H$5:$H$208,'الإعدادات واللجنة'!$B$18)+COUNTIFS('فحص-بيانات-ماجستير'!$H$5:$H$230,'الإعدادات واللجنة'!$B$18)</f>
        <v>92</v>
      </c>
      <c r="C40" s="6">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4">
        <f t="shared" si="6"/>
        <v>0</v>
      </c>
      <c r="E40" s="6">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6">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13" t="str">
        <f>'الإعدادات واللجنة'!$B$19</f>
        <v>د. عمر بن محمد موسى</v>
      </c>
      <c r="B41" s="6">
        <f>COUNTIFS('فحص-حاسب-بكالوريوس'!$H$5:$H$208,'الإعدادات واللجنة'!$B$19)+COUNTIFS('فحص-بيانات-بكالوريوس'!$H$5:$H$208,'الإعدادات واللجنة'!$B$19)+COUNTIFS('فحص-بيانات-ماجستير'!$H$5:$H$230,'الإعدادات واللجنة'!$B$19)</f>
        <v>111</v>
      </c>
      <c r="C41" s="6">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4">
        <f t="shared" si="6"/>
        <v>0</v>
      </c>
      <c r="E41" s="6">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6">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13" t="str">
        <f>'الإعدادات واللجنة'!$B$20</f>
        <v>د. حسن بن سعد القحطاني</v>
      </c>
      <c r="B42" s="6">
        <f>COUNTIFS('فحص-حاسب-بكالوريوس'!$H$5:$H$208,'الإعدادات واللجنة'!$B$20)+COUNTIFS('فحص-بيانات-بكالوريوس'!$H$5:$H$208,'الإعدادات واللجنة'!$B$20)+COUNTIFS('فحص-بيانات-ماجستير'!$H$5:$H$230,'الإعدادات واللجنة'!$B$20)</f>
        <v>96</v>
      </c>
      <c r="C42" s="6">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4">
        <f t="shared" si="6"/>
        <v>0</v>
      </c>
      <c r="E42" s="6">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6">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26.75" customHeight="1" x14ac:dyDescent="0.2">
      <c r="A44" s="76" t="s">
        <v>149</v>
      </c>
      <c r="B44" s="76"/>
      <c r="C44" s="76"/>
      <c r="D44" s="76"/>
      <c r="E44" s="76"/>
      <c r="F44" s="76"/>
      <c r="G44" s="76"/>
      <c r="H44" s="76"/>
      <c r="I44" s="76"/>
    </row>
    <row r="45" spans="1:9" ht="28" x14ac:dyDescent="0.2">
      <c r="A45" s="1" t="s">
        <v>150</v>
      </c>
      <c r="B45" s="1" t="str">
        <f>'الإعدادات واللجنة'!$B$5</f>
        <v>بكالوريوس علوم الحاسب</v>
      </c>
      <c r="C45" s="1" t="str">
        <f>'الإعدادات واللجنة'!$B$6</f>
        <v>بكالوريوس علوم البيانات</v>
      </c>
      <c r="D45" s="1" t="str">
        <f>'الإعدادات واللجنة'!$B$7</f>
        <v>ماجستير علوم البيانات</v>
      </c>
    </row>
    <row r="46" spans="1:4" x14ac:dyDescent="0.2">
      <c r="A46" s="13" t="inlineStr">
        <is>
          <t>فجوة توثيق</t>
        </is>
      </c>
      <c r="B46" s="6">
        <f>COUNTIF('فحص-حاسب-بكالوريوس'!$J$5:$J$208,"فجوة توثيق")</f>
        <v>0</v>
      </c>
      <c r="C46" s="6">
        <f>COUNTIF('فحص-بيانات-بكالوريوس'!$J$5:$J$208,"فجوة توثيق")</f>
        <v>0</v>
      </c>
      <c r="D46" s="6">
        <f>COUNTIF('فحص-بيانات-ماجستير'!$J$5:$J$230,"فجوة توثيق")</f>
        <v>0</v>
      </c>
    </row>
    <row r="47" spans="1:4" x14ac:dyDescent="0.2">
      <c r="A47" s="13" t="inlineStr">
        <is>
          <t>فجوة تطبيق</t>
        </is>
      </c>
      <c r="B47" s="6">
        <f>COUNTIF('فحص-حاسب-بكالوريوس'!$J$5:$J$208,"فجوة تطبيق")</f>
        <v>0</v>
      </c>
      <c r="C47" s="6">
        <f>COUNTIF('فحص-بيانات-بكالوريوس'!$J$5:$J$208,"فجوة تطبيق")</f>
        <v>0</v>
      </c>
      <c r="D47" s="6">
        <f>COUNTIF('فحص-بيانات-ماجستير'!$J$5:$J$230,"فجوة تطبيق")</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workbookViewId="0"/>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77" t="s">
        <v>156</v>
      </c>
      <c r="B1" s="77"/>
      <c r="C1" s="77"/>
      <c r="D1" s="77"/>
      <c r="E1" s="77"/>
      <c r="F1" s="77"/>
    </row>
    <row r="2" spans="1:6" ht="53.25" customHeight="1" x14ac:dyDescent="0.2">
      <c r="A2" s="78" t="s">
        <v>157</v>
      </c>
      <c r="B2" s="78"/>
      <c r="C2" s="78"/>
      <c r="D2" s="78"/>
      <c r="E2" s="78"/>
      <c r="F2" s="78"/>
    </row>
    <row r="4" spans="1:6" x14ac:dyDescent="0.2">
      <c r="A4" s="1" t="s">
        <v>78</v>
      </c>
      <c r="B4" s="1" t="s">
        <v>158</v>
      </c>
      <c r="C4" s="1" t="s">
        <v>159</v>
      </c>
      <c r="D4" s="1" t="s">
        <v>160</v>
      </c>
      <c r="E4" s="1" t="s">
        <v>36</v>
      </c>
      <c r="F4" s="1" t="s">
        <v>161</v>
      </c>
    </row>
    <row r="5" spans="1:6" ht="26.75" customHeight="1" x14ac:dyDescent="0.2">
      <c r="A5" s="76" t="s">
        <v>162</v>
      </c>
      <c r="B5" s="76"/>
      <c r="C5" s="76"/>
      <c r="D5" s="76"/>
      <c r="E5" s="76"/>
      <c r="F5" s="76"/>
    </row>
    <row r="6" spans="1:6" ht="56" customHeight="1" x14ac:dyDescent="0.2">
      <c r="A6" s="6">
        <v>1</v>
      </c>
      <c r="B6" s="13" t="s">
        <v>163</v>
      </c>
      <c r="C6" s="2" t="s">
        <v>164</v>
      </c>
      <c r="D6" s="10" t="s">
        <v>165</v>
      </c>
      <c r="E6" s="6" t="str">
        <f>'الإعدادات واللجنة'!$B$12</f>
        <v>د. نهلة بنت سعد القثامي</v>
      </c>
      <c r="F6" s="2" t="s">
        <v>166</v>
      </c>
    </row>
    <row r="7" spans="1:6" ht="56" customHeight="1" x14ac:dyDescent="0.2">
      <c r="A7" s="6">
        <v>2</v>
      </c>
      <c r="B7" s="13" t="s">
        <v>167</v>
      </c>
      <c r="C7" s="2" t="s">
        <v>168</v>
      </c>
      <c r="D7" s="10" t="s">
        <v>169</v>
      </c>
      <c r="E7" s="6" t="s">
        <v>170</v>
      </c>
      <c r="F7" s="2" t="s">
        <v>171</v>
      </c>
    </row>
    <row r="8" spans="1:6" ht="26.75" customHeight="1" x14ac:dyDescent="0.2">
      <c r="A8" s="76" t="s">
        <v>172</v>
      </c>
      <c r="B8" s="76"/>
      <c r="C8" s="76"/>
      <c r="D8" s="76"/>
      <c r="E8" s="76"/>
      <c r="F8" s="76"/>
    </row>
    <row r="9" spans="1:6" ht="56" customHeight="1" x14ac:dyDescent="0.2">
      <c r="A9" s="6">
        <v>3</v>
      </c>
      <c r="B9" s="13" t="s">
        <v>173</v>
      </c>
      <c r="C9" s="45" t="s">
        <v>174</v>
      </c>
      <c r="D9" s="11" t="s">
        <v>175</v>
      </c>
      <c r="E9" s="6" t="str">
        <f>'الإعدادات واللجنة'!$B$13</f>
        <v>د. عبير بنت عبدالله راجحي</v>
      </c>
      <c r="F9" s="2" t="s">
        <v>176</v>
      </c>
    </row>
    <row r="10" spans="1:6" ht="56" customHeight="1" x14ac:dyDescent="0.2">
      <c r="A10" s="6">
        <v>4</v>
      </c>
      <c r="B10" s="13" t="s">
        <v>177</v>
      </c>
      <c r="C10" s="2" t="s">
        <v>178</v>
      </c>
      <c r="D10" s="11" t="s">
        <v>175</v>
      </c>
      <c r="E10" s="6" t="str">
        <f>'الإعدادات واللجنة'!$B$13</f>
        <v>د. عبير بنت عبدالله راجحي</v>
      </c>
      <c r="F10" s="2" t="s">
        <v>179</v>
      </c>
    </row>
    <row r="11" spans="1:6" ht="56" customHeight="1" x14ac:dyDescent="0.2">
      <c r="A11" s="6">
        <v>5</v>
      </c>
      <c r="B11" s="13" t="s">
        <v>180</v>
      </c>
      <c r="C11" s="2" t="s">
        <v>181</v>
      </c>
      <c r="D11" s="11" t="s">
        <v>175</v>
      </c>
      <c r="E11" s="6" t="str">
        <f>'الإعدادات واللجنة'!$B$13</f>
        <v>د. عبير بنت عبدالله راجحي</v>
      </c>
      <c r="F11" s="2" t="s">
        <v>179</v>
      </c>
    </row>
    <row r="12" spans="1:6" ht="56" customHeight="1" x14ac:dyDescent="0.2">
      <c r="A12" s="6">
        <v>6</v>
      </c>
      <c r="B12" s="13" t="s">
        <v>112</v>
      </c>
      <c r="C12" s="2" t="s">
        <v>182</v>
      </c>
      <c r="D12" s="11" t="s">
        <v>175</v>
      </c>
      <c r="E12" s="6" t="str">
        <f>'الإعدادات واللجنة'!$B$13</f>
        <v>د. عبير بنت عبدالله راجحي</v>
      </c>
      <c r="F12" s="2" t="s">
        <v>179</v>
      </c>
    </row>
    <row r="13" spans="1:6" ht="56" customHeight="1" x14ac:dyDescent="0.2">
      <c r="A13" s="6">
        <v>7</v>
      </c>
      <c r="B13" s="13" t="s">
        <v>183</v>
      </c>
      <c r="C13" s="2" t="s">
        <v>184</v>
      </c>
      <c r="D13" s="11" t="s">
        <v>175</v>
      </c>
      <c r="E13" s="6" t="str">
        <f>'الإعدادات واللجنة'!$B$13</f>
        <v>د. عبير بنت عبدالله راجحي</v>
      </c>
      <c r="F13" s="2" t="s">
        <v>179</v>
      </c>
    </row>
    <row r="14" spans="1:6" ht="56" customHeight="1" x14ac:dyDescent="0.2">
      <c r="A14" s="6">
        <v>8</v>
      </c>
      <c r="B14" s="13" t="s">
        <v>185</v>
      </c>
      <c r="C14" s="2" t="s">
        <v>186</v>
      </c>
      <c r="D14" s="5" t="s">
        <v>25</v>
      </c>
      <c r="E14" s="6" t="s">
        <v>170</v>
      </c>
      <c r="F14" s="2" t="s">
        <v>187</v>
      </c>
    </row>
    <row r="15" spans="1:6" ht="26.75" customHeight="1" x14ac:dyDescent="0.2">
      <c r="A15" s="76" t="s">
        <v>188</v>
      </c>
      <c r="B15" s="76"/>
      <c r="C15" s="76"/>
      <c r="D15" s="76"/>
      <c r="E15" s="76"/>
      <c r="F15" s="76"/>
    </row>
    <row r="16" spans="1:6" ht="56" customHeight="1" x14ac:dyDescent="0.2">
      <c r="A16" s="6">
        <v>9</v>
      </c>
      <c r="B16" s="13" t="s">
        <v>189</v>
      </c>
      <c r="C16" s="2" t="s">
        <v>190</v>
      </c>
      <c r="D16" s="9" t="s">
        <v>191</v>
      </c>
      <c r="E16" s="6" t="s">
        <v>192</v>
      </c>
      <c r="F16" s="2" t="s">
        <v>193</v>
      </c>
    </row>
    <row r="17" spans="1:6" ht="56" customHeight="1" x14ac:dyDescent="0.2">
      <c r="A17" s="6">
        <v>10</v>
      </c>
      <c r="B17" s="13" t="s">
        <v>194</v>
      </c>
      <c r="C17" s="2" t="s">
        <v>195</v>
      </c>
      <c r="D17" s="9" t="s">
        <v>196</v>
      </c>
      <c r="E17" s="6" t="str">
        <f>'الإعدادات واللجنة'!$B$20</f>
        <v>د. حسن بن سعد القحطاني</v>
      </c>
      <c r="F17" s="2"/>
    </row>
    <row r="18" spans="1:6" ht="56" customHeight="1" x14ac:dyDescent="0.2">
      <c r="A18" s="6">
        <v>11</v>
      </c>
      <c r="B18" s="13" t="s">
        <v>197</v>
      </c>
      <c r="C18" s="2" t="s">
        <v>198</v>
      </c>
      <c r="D18" s="9" t="s">
        <v>199</v>
      </c>
      <c r="E18" s="6" t="str">
        <f>'الإعدادات واللجنة'!$B$15</f>
        <v>د. سلطان بن سعيد الشمراني</v>
      </c>
      <c r="F18" s="2"/>
    </row>
    <row r="19" spans="1:6" ht="56" customHeight="1" x14ac:dyDescent="0.2">
      <c r="A19" s="6">
        <v>12</v>
      </c>
      <c r="B19" s="13" t="s">
        <v>200</v>
      </c>
      <c r="C19" s="2" t="s">
        <v>201</v>
      </c>
      <c r="D19" s="10" t="s">
        <v>169</v>
      </c>
      <c r="E19" s="6" t="s">
        <v>170</v>
      </c>
      <c r="F19" s="2" t="s">
        <v>202</v>
      </c>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33" customHeight="1" x14ac:dyDescent="0.2">
      <c r="A1" s="77" t="s">
        <v>203</v>
      </c>
      <c r="B1" s="77"/>
      <c r="C1" s="77"/>
      <c r="D1" s="77"/>
      <c r="E1" s="77"/>
      <c r="F1" s="77"/>
    </row>
    <row r="2" spans="1:6" ht="56" customHeight="1" x14ac:dyDescent="0.2">
      <c r="A2" s="78" t="s">
        <v>204</v>
      </c>
      <c r="B2" s="78"/>
      <c r="C2" s="78"/>
      <c r="D2" s="78"/>
      <c r="E2" s="78"/>
      <c r="F2" s="78"/>
    </row>
    <row r="3" spans="1:6" ht="53.25" customHeight="1" x14ac:dyDescent="0.2">
      <c r="A3" s="78" t="s">
        <v>205</v>
      </c>
      <c r="B3" s="78"/>
      <c r="C3" s="78"/>
      <c r="D3" s="78"/>
      <c r="E3" s="78"/>
      <c r="F3" s="78"/>
    </row>
    <row r="5" spans="1:6" ht="26.75" customHeight="1" x14ac:dyDescent="0.2">
      <c r="A5" s="76" t="s">
        <v>206</v>
      </c>
      <c r="B5" s="76"/>
      <c r="C5" s="76"/>
      <c r="D5" s="76"/>
      <c r="E5" s="76"/>
      <c r="F5" s="76"/>
    </row>
    <row r="6" spans="1:6" ht="26.75" customHeight="1" x14ac:dyDescent="0.2">
      <c r="A6" s="6">
        <v>1</v>
      </c>
      <c r="B6" s="17" t="s">
        <v>207</v>
      </c>
      <c r="C6" s="81" t="s">
        <v>208</v>
      </c>
      <c r="D6" s="81"/>
      <c r="E6" s="81"/>
      <c r="F6" s="81"/>
    </row>
    <row r="7" spans="1:6" ht="26.75" customHeight="1" x14ac:dyDescent="0.2">
      <c r="A7" s="6">
        <v>2</v>
      </c>
      <c r="B7" s="17" t="s">
        <v>209</v>
      </c>
      <c r="C7" s="81" t="s">
        <v>210</v>
      </c>
      <c r="D7" s="81"/>
      <c r="E7" s="81"/>
      <c r="F7" s="81"/>
    </row>
    <row r="8" spans="1:6" ht="26.75" customHeight="1" x14ac:dyDescent="0.2">
      <c r="A8" s="6">
        <v>3</v>
      </c>
      <c r="B8" s="17" t="s">
        <v>211</v>
      </c>
      <c r="C8" s="81" t="s">
        <v>212</v>
      </c>
      <c r="D8" s="81"/>
      <c r="E8" s="81"/>
      <c r="F8" s="81"/>
    </row>
    <row r="10" spans="1:6" ht="26.75" customHeight="1" x14ac:dyDescent="0.2">
      <c r="A10" s="76" t="s">
        <v>213</v>
      </c>
      <c r="B10" s="76"/>
      <c r="C10" s="76"/>
      <c r="D10" s="76"/>
      <c r="E10" s="76"/>
      <c r="F10" s="76"/>
    </row>
    <row r="11" spans="1:6" x14ac:dyDescent="0.2">
      <c r="A11" s="1" t="s">
        <v>78</v>
      </c>
      <c r="B11" s="1" t="s">
        <v>214</v>
      </c>
      <c r="C11" s="1" t="s">
        <v>37</v>
      </c>
      <c r="D11" s="1" t="str">
        <f>'الإعدادات واللجنة'!$B$5</f>
        <v>بكالوريوس علوم الحاسب</v>
      </c>
      <c r="E11" s="1" t="str">
        <f>'الإعدادات واللجنة'!$B$6</f>
        <v>بكالوريوس علوم البيانات</v>
      </c>
      <c r="F11" s="1" t="str">
        <f>'الإعدادات واللجنة'!$B$7</f>
        <v>ماجستير علوم البيانات</v>
      </c>
    </row>
    <row r="12" spans="1:6" ht="53.25" customHeight="1" x14ac:dyDescent="0.2">
      <c r="A12" s="6">
        <v>1</v>
      </c>
      <c r="B12" s="2" t="s">
        <v>215</v>
      </c>
      <c r="C12" s="2" t="s">
        <v>216</v>
      </c>
      <c r="D12" s="7" t="s">
        <v>41</v>
      </c>
      <c r="E12" s="7" t="s">
        <v>41</v>
      </c>
      <c r="F12" s="7" t="s">
        <v>41</v>
      </c>
    </row>
    <row r="13" spans="1:6" ht="53.25" customHeight="1" x14ac:dyDescent="0.2">
      <c r="A13" s="6">
        <v>2</v>
      </c>
      <c r="B13" s="2" t="s">
        <v>217</v>
      </c>
      <c r="C13" s="2" t="s">
        <v>218</v>
      </c>
      <c r="D13" s="7" t="s">
        <v>41</v>
      </c>
      <c r="E13" s="7" t="s">
        <v>41</v>
      </c>
      <c r="F13" s="7" t="s">
        <v>41</v>
      </c>
    </row>
    <row r="14" spans="1:6" ht="53.25" customHeight="1" x14ac:dyDescent="0.2">
      <c r="A14" s="6">
        <v>3</v>
      </c>
      <c r="B14" s="2" t="s">
        <v>219</v>
      </c>
      <c r="C14" s="2" t="s">
        <v>220</v>
      </c>
      <c r="D14" s="7" t="s">
        <v>41</v>
      </c>
      <c r="E14" s="7" t="s">
        <v>41</v>
      </c>
      <c r="F14" s="7" t="s">
        <v>41</v>
      </c>
    </row>
    <row r="15" spans="1:6" ht="53.25" customHeight="1" x14ac:dyDescent="0.2">
      <c r="A15" s="6">
        <v>4</v>
      </c>
      <c r="B15" s="2" t="s">
        <v>221</v>
      </c>
      <c r="C15" s="2" t="s">
        <v>222</v>
      </c>
      <c r="D15" s="7" t="s">
        <v>41</v>
      </c>
      <c r="E15" s="7" t="s">
        <v>41</v>
      </c>
      <c r="F15" s="7" t="s">
        <v>41</v>
      </c>
    </row>
    <row r="16" spans="1:6" ht="53.25" customHeight="1" x14ac:dyDescent="0.2">
      <c r="A16" s="6">
        <v>5</v>
      </c>
      <c r="B16" s="2" t="s">
        <v>223</v>
      </c>
      <c r="C16" s="2" t="s">
        <v>224</v>
      </c>
      <c r="D16" s="7" t="s">
        <v>41</v>
      </c>
      <c r="E16" s="7" t="s">
        <v>41</v>
      </c>
      <c r="F16" s="7" t="s">
        <v>41</v>
      </c>
    </row>
    <row r="17" spans="1:6" ht="53.25" customHeight="1" x14ac:dyDescent="0.2">
      <c r="A17" s="6">
        <v>6</v>
      </c>
      <c r="B17" s="2" t="s">
        <v>225</v>
      </c>
      <c r="C17" s="2" t="s">
        <v>226</v>
      </c>
      <c r="D17" s="7" t="s">
        <v>41</v>
      </c>
      <c r="E17" s="7" t="s">
        <v>41</v>
      </c>
      <c r="F17" s="7" t="s">
        <v>41</v>
      </c>
    </row>
    <row r="18" spans="1:6" ht="53.25" customHeight="1" x14ac:dyDescent="0.2">
      <c r="A18" s="6">
        <v>7</v>
      </c>
      <c r="B18" s="2" t="s">
        <v>227</v>
      </c>
      <c r="C18" s="2" t="s">
        <v>228</v>
      </c>
      <c r="D18" s="7" t="s">
        <v>41</v>
      </c>
      <c r="E18" s="7" t="s">
        <v>41</v>
      </c>
      <c r="F18" s="7" t="s">
        <v>41</v>
      </c>
    </row>
    <row r="20" spans="1:6" ht="26.75" customHeight="1" x14ac:dyDescent="0.2">
      <c r="A20" s="76" t="s">
        <v>229</v>
      </c>
      <c r="B20" s="76"/>
      <c r="C20" s="76"/>
      <c r="D20" s="76"/>
      <c r="E20" s="76"/>
      <c r="F20" s="76"/>
    </row>
    <row r="21" spans="1:6" ht="26.75" customHeight="1" x14ac:dyDescent="0.2">
      <c r="A21" s="1" t="s">
        <v>78</v>
      </c>
      <c r="B21" s="82" t="s">
        <v>230</v>
      </c>
      <c r="C21" s="82"/>
      <c r="D21" s="1" t="str">
        <f>'الإعدادات واللجنة'!$B$5</f>
        <v>بكالوريوس علوم الحاسب</v>
      </c>
      <c r="E21" s="1" t="str">
        <f>'الإعدادات واللجنة'!$B$6</f>
        <v>بكالوريوس علوم البيانات</v>
      </c>
      <c r="F21" s="1" t="str">
        <f>'الإعدادات واللجنة'!$B$7</f>
        <v>ماجستير علوم البيانات</v>
      </c>
    </row>
    <row r="22" spans="1:6" ht="26.75" customHeight="1" x14ac:dyDescent="0.2">
      <c r="A22" s="6">
        <v>1</v>
      </c>
      <c r="B22" s="81" t="s">
        <v>231</v>
      </c>
      <c r="C22" s="81"/>
      <c r="D22" s="7"/>
      <c r="E22" s="7"/>
      <c r="F22" s="7"/>
    </row>
    <row r="23" spans="1:6" ht="26.75" customHeight="1" x14ac:dyDescent="0.2">
      <c r="A23" s="6">
        <v>2</v>
      </c>
      <c r="B23" s="81" t="s">
        <v>232</v>
      </c>
      <c r="C23" s="81"/>
      <c r="D23" s="7"/>
      <c r="E23" s="7"/>
      <c r="F23" s="7"/>
    </row>
    <row r="24" spans="1:6" ht="26.75" customHeight="1" x14ac:dyDescent="0.2">
      <c r="A24" s="6">
        <v>3</v>
      </c>
      <c r="B24" s="81" t="s">
        <v>233</v>
      </c>
      <c r="C24" s="81"/>
      <c r="D24" s="7"/>
      <c r="E24" s="7"/>
      <c r="F24" s="7"/>
    </row>
    <row r="25" spans="1:6" ht="26.75" customHeight="1" x14ac:dyDescent="0.2">
      <c r="A25" s="6">
        <v>4</v>
      </c>
      <c r="B25" s="81" t="s">
        <v>234</v>
      </c>
      <c r="C25" s="81"/>
      <c r="D25" s="7"/>
      <c r="E25" s="7"/>
      <c r="F25" s="7"/>
    </row>
    <row r="26" spans="1:6" ht="26.75" customHeight="1" x14ac:dyDescent="0.2">
      <c r="A26" s="6">
        <v>5</v>
      </c>
      <c r="B26" s="81" t="s">
        <v>235</v>
      </c>
      <c r="C26" s="81"/>
      <c r="D26" s="7"/>
      <c r="E26" s="7"/>
      <c r="F26" s="7"/>
    </row>
    <row r="27" spans="1:6" ht="26.75" customHeight="1" x14ac:dyDescent="0.2">
      <c r="A27" s="6">
        <v>6</v>
      </c>
      <c r="B27" s="81" t="s">
        <v>236</v>
      </c>
      <c r="C27" s="81"/>
      <c r="D27" s="7"/>
      <c r="E27" s="7"/>
      <c r="F27" s="7"/>
    </row>
    <row r="28" spans="1:6" ht="26.75" customHeight="1" x14ac:dyDescent="0.2">
      <c r="A28" s="6">
        <v>7</v>
      </c>
      <c r="B28" s="81" t="s">
        <v>237</v>
      </c>
      <c r="C28" s="81"/>
      <c r="D28" s="7"/>
      <c r="E28" s="7"/>
      <c r="F28" s="7"/>
    </row>
    <row r="29" spans="1:6" ht="26.75" customHeight="1" x14ac:dyDescent="0.2">
      <c r="A29" s="6">
        <v>8</v>
      </c>
      <c r="B29" s="81" t="s">
        <v>238</v>
      </c>
      <c r="C29" s="81"/>
      <c r="D29" s="7"/>
      <c r="E29" s="7"/>
      <c r="F29" s="7"/>
    </row>
    <row r="30" spans="1:6" ht="26.75" customHeight="1" x14ac:dyDescent="0.2">
      <c r="A30" s="6">
        <v>9</v>
      </c>
      <c r="B30" s="81" t="s">
        <v>239</v>
      </c>
      <c r="C30" s="81"/>
      <c r="D30" s="7"/>
      <c r="E30" s="7"/>
      <c r="F30" s="7"/>
    </row>
    <row r="32" spans="1:6" ht="26.75" customHeight="1" x14ac:dyDescent="0.2">
      <c r="A32" s="76" t="s">
        <v>240</v>
      </c>
      <c r="B32" s="76"/>
      <c r="C32" s="76"/>
      <c r="D32" s="76"/>
      <c r="E32" s="76"/>
      <c r="F32" s="76"/>
    </row>
    <row r="33" spans="1:6" x14ac:dyDescent="0.2">
      <c r="A33" s="1" t="s">
        <v>78</v>
      </c>
      <c r="B33" s="1" t="s">
        <v>241</v>
      </c>
      <c r="C33" s="1" t="s">
        <v>242</v>
      </c>
      <c r="D33" s="1" t="s">
        <v>242</v>
      </c>
      <c r="E33" s="1" t="s">
        <v>243</v>
      </c>
      <c r="F33" s="1" t="s">
        <v>243</v>
      </c>
    </row>
    <row r="34" spans="1:6" x14ac:dyDescent="0.2">
      <c r="A34" s="6">
        <v>1</v>
      </c>
      <c r="B34" s="8" t="s">
        <v>244</v>
      </c>
      <c r="C34" s="7"/>
      <c r="D34" s="7"/>
      <c r="E34" s="7"/>
      <c r="F34" s="7"/>
    </row>
    <row r="35" spans="1:6" x14ac:dyDescent="0.2">
      <c r="A35" s="6">
        <v>2</v>
      </c>
      <c r="B35" s="8" t="s">
        <v>245</v>
      </c>
      <c r="C35" s="7"/>
      <c r="D35" s="7"/>
      <c r="E35" s="7"/>
      <c r="F35" s="7"/>
    </row>
    <row r="36" spans="1:6" x14ac:dyDescent="0.2">
      <c r="A36" s="6">
        <v>3</v>
      </c>
      <c r="B36" s="8" t="s">
        <v>246</v>
      </c>
      <c r="C36" s="7"/>
      <c r="D36" s="7"/>
      <c r="E36" s="7"/>
      <c r="F36" s="7"/>
    </row>
    <row r="37" spans="1:6" x14ac:dyDescent="0.2">
      <c r="A37" s="6">
        <v>4</v>
      </c>
      <c r="B37" s="8" t="s">
        <v>247</v>
      </c>
      <c r="C37" s="7"/>
      <c r="D37" s="7"/>
      <c r="E37" s="7"/>
      <c r="F37" s="7"/>
    </row>
    <row r="38" spans="1:6" x14ac:dyDescent="0.2">
      <c r="A38" s="6">
        <v>5</v>
      </c>
      <c r="B38" s="8" t="s">
        <v>248</v>
      </c>
      <c r="C38" s="7"/>
      <c r="D38" s="7"/>
      <c r="E38" s="7"/>
      <c r="F38" s="7"/>
    </row>
    <row r="40" spans="1:6" ht="26.75" customHeight="1" x14ac:dyDescent="0.2">
      <c r="A40" s="76" t="s">
        <v>249</v>
      </c>
      <c r="B40" s="76"/>
      <c r="C40" s="76"/>
      <c r="D40" s="76"/>
      <c r="E40" s="76"/>
      <c r="F40" s="76"/>
    </row>
    <row r="41" spans="1:6" ht="26.75" customHeight="1" x14ac:dyDescent="0.2">
      <c r="A41" s="6">
        <v>1</v>
      </c>
      <c r="B41" s="81" t="s">
        <v>250</v>
      </c>
      <c r="C41" s="81"/>
      <c r="D41" s="81"/>
      <c r="E41" s="81"/>
      <c r="F41" s="81"/>
    </row>
    <row r="42" spans="1:6" ht="26.75" customHeight="1" x14ac:dyDescent="0.2">
      <c r="A42" s="6">
        <v>2</v>
      </c>
      <c r="B42" s="81" t="s">
        <v>251</v>
      </c>
      <c r="C42" s="81"/>
      <c r="D42" s="81"/>
      <c r="E42" s="81"/>
      <c r="F42" s="81"/>
    </row>
    <row r="43" spans="1:6" ht="26.75" customHeight="1" x14ac:dyDescent="0.2">
      <c r="A43" s="6">
        <v>3</v>
      </c>
      <c r="B43" s="81" t="s">
        <v>252</v>
      </c>
      <c r="C43" s="81"/>
      <c r="D43" s="81"/>
      <c r="E43" s="81"/>
      <c r="F43" s="81"/>
    </row>
    <row r="44" spans="1:6" ht="26.75" customHeight="1" x14ac:dyDescent="0.2">
      <c r="A44" s="6">
        <v>4</v>
      </c>
      <c r="B44" s="81" t="s">
        <v>253</v>
      </c>
      <c r="C44" s="81"/>
      <c r="D44" s="81"/>
      <c r="E44" s="81"/>
      <c r="F44" s="81"/>
    </row>
    <row r="45" spans="1:6" ht="26.75" customHeight="1" x14ac:dyDescent="0.2">
      <c r="A45" s="6">
        <v>5</v>
      </c>
      <c r="B45" s="81" t="s">
        <v>254</v>
      </c>
      <c r="C45" s="81"/>
      <c r="D45" s="81"/>
      <c r="E45" s="81"/>
      <c r="F45" s="81"/>
    </row>
    <row r="46" spans="1:6" ht="26.75" customHeight="1" x14ac:dyDescent="0.2">
      <c r="A46" s="6">
        <v>6</v>
      </c>
      <c r="B46" s="81" t="s">
        <v>255</v>
      </c>
      <c r="C46" s="81"/>
      <c r="D46" s="81"/>
      <c r="E46" s="81"/>
      <c r="F46" s="81"/>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workbookViewId="0">
      <pane xSplit="6" ySplit="4" topLeftCell="G5" activePane="bottomRight" state="frozen"/>
      <selection pane="topRight"/>
      <selection pane="bottomLeft"/>
      <selection pane="bottomRight" activeCell="I5" sqref="I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واللجنة'!$B$5</f>
        <v>فحص الأدلة – بكالوريوس علوم الحاسب</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conditionalFormatting sqref="J5:J208 L5:M208">
    <cfRule type="expression" dxfId="24" priority="101">
      <formula>AND($I5="متوفر ومكتمل",J5&lt;&gt;"")</formula>
    </cfRule>
    <cfRule type="expression" dxfId="23" priority="102">
      <formula>$I5="متوفر ومكتمل"</formula>
    </cfRule>
  </conditionalFormatting>
  <conditionalFormatting sqref="J5:J208">
    <cfRule type="expression" dxfId="25" priority="103">
      <formula>AND(OR($I5="متوفر ويحتاج تحسين",$I5="غير متوفر"),J5="")</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واللجنة'!$B$6</f>
        <v>فحص الأدلة – بكالوريوس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conditionalFormatting sqref="J5:J208 L5:M208">
    <cfRule type="expression" dxfId="24" priority="101">
      <formula>AND($I5="متوفر ومكتمل",J5&lt;&gt;"")</formula>
    </cfRule>
    <cfRule type="expression" dxfId="23" priority="102">
      <formula>$I5="متوفر ومكتمل"</formula>
    </cfRule>
  </conditionalFormatting>
  <conditionalFormatting sqref="J5:J208">
    <cfRule type="expression" dxfId="25" priority="103">
      <formula>AND(OR($I5="متوفر ويحتاج تحسين",$I5="غير متوفر"),J5="")</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workbookViewId="0">
      <pane xSplit="6" ySplit="4" topLeftCell="G214" activePane="bottomRight" state="frozen"/>
      <selection pane="topRight"/>
      <selection pane="bottomLeft"/>
      <selection pane="bottomRight" activeCell="H233" sqref="H23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واللجنة'!$B$7</f>
        <v>فحص الأدلة – ماجستير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568</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568</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568</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568</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568</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568</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568</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568</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568</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568</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568</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568</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568</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568</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568</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568</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568</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568</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568</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568</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568</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568</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568</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568</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568</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568</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568</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568</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568</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568</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568</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568</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568</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568</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568</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568</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568</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568</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568</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568</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568</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568</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568</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568</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568</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568</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568</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568</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568</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568</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568</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568</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568</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568</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568</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568</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568</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568</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568</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568</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568</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568</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568</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568</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568</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568</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568</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568</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568</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568</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568</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568</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568</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568</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568</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568</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568</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568</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568</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568</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568</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568</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568</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568</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568</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568</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568</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401</v>
      </c>
      <c r="D92" s="42"/>
      <c r="E92" s="32">
        <v>1</v>
      </c>
      <c r="F92" s="41" t="s">
        <v>384</v>
      </c>
      <c r="G92" s="31" t="s">
        <v>568</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402</v>
      </c>
      <c r="G93" s="23" t="s">
        <v>568</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403</v>
      </c>
      <c r="G94" s="23" t="s">
        <v>568</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ht="39" x14ac:dyDescent="0.2">
      <c r="A95" s="22" t="s">
        <v>394</v>
      </c>
      <c r="B95" s="19" t="s">
        <v>137</v>
      </c>
      <c r="C95" s="20"/>
      <c r="D95" s="21"/>
      <c r="E95" s="22">
        <v>4</v>
      </c>
      <c r="F95" s="20" t="s">
        <v>404</v>
      </c>
      <c r="G95" s="23" t="s">
        <v>568</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26" t="s">
        <v>400</v>
      </c>
      <c r="B96" s="27" t="s">
        <v>137</v>
      </c>
      <c r="C96" s="28" t="s">
        <v>415</v>
      </c>
      <c r="D96" s="29" t="s">
        <v>278</v>
      </c>
      <c r="E96" s="30">
        <v>1</v>
      </c>
      <c r="F96" s="28" t="s">
        <v>416</v>
      </c>
      <c r="G96" s="31" t="s">
        <v>568</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ht="26" x14ac:dyDescent="0.2">
      <c r="A97" s="35" t="s">
        <v>400</v>
      </c>
      <c r="B97" s="36" t="s">
        <v>137</v>
      </c>
      <c r="C97" s="37"/>
      <c r="D97" s="38" t="s">
        <v>278</v>
      </c>
      <c r="E97" s="35">
        <v>2</v>
      </c>
      <c r="F97" s="37" t="s">
        <v>417</v>
      </c>
      <c r="G97" s="23" t="s">
        <v>568</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ht="26" x14ac:dyDescent="0.2">
      <c r="A98" s="26" t="s">
        <v>418</v>
      </c>
      <c r="B98" s="27" t="s">
        <v>137</v>
      </c>
      <c r="C98" s="28" t="s">
        <v>569</v>
      </c>
      <c r="D98" s="29" t="s">
        <v>278</v>
      </c>
      <c r="E98" s="30">
        <v>1</v>
      </c>
      <c r="F98" s="28" t="s">
        <v>420</v>
      </c>
      <c r="G98" s="31" t="s">
        <v>568</v>
      </c>
      <c r="H98" s="32" t="str">
        <f>IFERROR(INDEX('الإعدادات واللجنة'!$C$24:$C$32,MATCH(LEFT(A98,3),'الإعدادات واللجنة'!$A$24:$A$32,0)),"")</f>
        <v>د. يثرب بنت سعد القحطاني</v>
      </c>
      <c r="I98" s="33"/>
      <c r="J98" s="33"/>
      <c r="K98" s="32" t="str">
        <f t="shared" si="1"/>
        <v/>
      </c>
      <c r="L98" s="34"/>
      <c r="M98" s="33"/>
      <c r="N98" s="34"/>
      <c r="O98" s="34"/>
      <c r="P98" s="33"/>
      <c r="Q98" s="34"/>
    </row>
    <row r="99" spans="1:17" x14ac:dyDescent="0.2">
      <c r="A99" s="35" t="s">
        <v>418</v>
      </c>
      <c r="B99" s="36" t="s">
        <v>137</v>
      </c>
      <c r="C99" s="37"/>
      <c r="D99" s="38" t="s">
        <v>278</v>
      </c>
      <c r="E99" s="35">
        <v>2</v>
      </c>
      <c r="F99" s="37" t="s">
        <v>421</v>
      </c>
      <c r="G99" s="23" t="s">
        <v>568</v>
      </c>
      <c r="H99" s="22" t="str">
        <f>IFERROR(INDEX('الإعدادات واللجنة'!$C$24:$C$32,MATCH(LEFT(A99,3),'الإعدادات واللجنة'!$A$24:$A$32,0)),"")</f>
        <v>د. يثرب بنت سعد القحطاني</v>
      </c>
      <c r="I99" s="24"/>
      <c r="J99" s="24"/>
      <c r="K99" s="22" t="str">
        <f t="shared" si="1"/>
        <v/>
      </c>
      <c r="L99" s="25"/>
      <c r="M99" s="24"/>
      <c r="N99" s="25"/>
      <c r="O99" s="25"/>
      <c r="P99" s="24"/>
      <c r="Q99" s="25"/>
    </row>
    <row r="100" spans="1:17" ht="26" x14ac:dyDescent="0.2">
      <c r="A100" s="35" t="s">
        <v>418</v>
      </c>
      <c r="B100" s="36" t="s">
        <v>137</v>
      </c>
      <c r="C100" s="37"/>
      <c r="D100" s="38" t="s">
        <v>278</v>
      </c>
      <c r="E100" s="35">
        <v>3</v>
      </c>
      <c r="F100" s="37" t="s">
        <v>422</v>
      </c>
      <c r="G100" s="23" t="s">
        <v>568</v>
      </c>
      <c r="H100" s="22" t="str">
        <f>IFERROR(INDEX('الإعدادات واللجنة'!$C$24:$C$32,MATCH(LEFT(A100,3),'الإعدادات واللجنة'!$A$24:$A$32,0)),"")</f>
        <v>د. يثرب بنت سعد القحطاني</v>
      </c>
      <c r="I100" s="24"/>
      <c r="J100" s="24"/>
      <c r="K100" s="22" t="str">
        <f t="shared" si="1"/>
        <v/>
      </c>
      <c r="L100" s="25"/>
      <c r="M100" s="24"/>
      <c r="N100" s="25"/>
      <c r="O100" s="25"/>
      <c r="P100" s="24"/>
      <c r="Q100" s="25"/>
    </row>
    <row r="101" spans="1:17" ht="26" x14ac:dyDescent="0.2">
      <c r="A101" s="35" t="s">
        <v>418</v>
      </c>
      <c r="B101" s="36" t="s">
        <v>137</v>
      </c>
      <c r="C101" s="37"/>
      <c r="D101" s="38" t="s">
        <v>278</v>
      </c>
      <c r="E101" s="35">
        <v>4</v>
      </c>
      <c r="F101" s="37" t="s">
        <v>423</v>
      </c>
      <c r="G101" s="23" t="s">
        <v>568</v>
      </c>
      <c r="H101" s="22" t="str">
        <f>IFERROR(INDEX('الإعدادات واللجنة'!$C$24:$C$32,MATCH(LEFT(A101,3),'الإعدادات واللجنة'!$A$24:$A$32,0)),"")</f>
        <v>د. يثرب بنت سعد القحطاني</v>
      </c>
      <c r="I101" s="24"/>
      <c r="J101" s="24"/>
      <c r="K101" s="22" t="str">
        <f t="shared" si="1"/>
        <v/>
      </c>
      <c r="L101" s="25"/>
      <c r="M101" s="24"/>
      <c r="N101" s="25"/>
      <c r="O101" s="25"/>
      <c r="P101" s="24"/>
      <c r="Q101" s="25"/>
    </row>
    <row r="102" spans="1:17" ht="26" x14ac:dyDescent="0.2">
      <c r="A102" s="35" t="s">
        <v>418</v>
      </c>
      <c r="B102" s="36" t="s">
        <v>137</v>
      </c>
      <c r="C102" s="37"/>
      <c r="D102" s="38" t="s">
        <v>278</v>
      </c>
      <c r="E102" s="35">
        <v>5</v>
      </c>
      <c r="F102" s="37" t="s">
        <v>424</v>
      </c>
      <c r="G102" s="23" t="s">
        <v>568</v>
      </c>
      <c r="H102" s="22" t="str">
        <f>IFERROR(INDEX('الإعدادات واللجنة'!$C$24:$C$32,MATCH(LEFT(A102,3),'الإعدادات واللجنة'!$A$24:$A$32,0)),"")</f>
        <v>د. يثرب بنت سعد القحطاني</v>
      </c>
      <c r="I102" s="24"/>
      <c r="J102" s="24"/>
      <c r="K102" s="22" t="str">
        <f t="shared" si="1"/>
        <v/>
      </c>
      <c r="L102" s="25"/>
      <c r="M102" s="24"/>
      <c r="N102" s="25"/>
      <c r="O102" s="25"/>
      <c r="P102" s="24"/>
      <c r="Q102" s="25"/>
    </row>
    <row r="103" spans="1:17" ht="39" x14ac:dyDescent="0.2">
      <c r="A103" s="39" t="s">
        <v>425</v>
      </c>
      <c r="B103" s="40" t="s">
        <v>137</v>
      </c>
      <c r="C103" s="41" t="s">
        <v>406</v>
      </c>
      <c r="D103" s="42"/>
      <c r="E103" s="32">
        <v>1</v>
      </c>
      <c r="F103" s="41" t="s">
        <v>407</v>
      </c>
      <c r="G103" s="31" t="s">
        <v>568</v>
      </c>
      <c r="H103" s="32" t="str">
        <f>IFERROR(INDEX('الإعدادات واللجنة'!$C$24:$C$32,MATCH(LEFT(A103,3),'الإعدادات واللجنة'!$A$24:$A$32,0)),"")</f>
        <v>د. يثرب بنت سعد القحطاني</v>
      </c>
      <c r="I103" s="33"/>
      <c r="J103" s="33"/>
      <c r="K103" s="32" t="str">
        <f t="shared" si="1"/>
        <v/>
      </c>
      <c r="L103" s="34"/>
      <c r="M103" s="33"/>
      <c r="N103" s="34"/>
      <c r="O103" s="34"/>
      <c r="P103" s="33"/>
      <c r="Q103" s="34"/>
    </row>
    <row r="104" spans="1:17" x14ac:dyDescent="0.2">
      <c r="A104" s="22" t="s">
        <v>425</v>
      </c>
      <c r="B104" s="19" t="s">
        <v>137</v>
      </c>
      <c r="C104" s="20"/>
      <c r="D104" s="21"/>
      <c r="E104" s="22">
        <v>2</v>
      </c>
      <c r="F104" s="20" t="s">
        <v>408</v>
      </c>
      <c r="G104" s="23" t="s">
        <v>568</v>
      </c>
      <c r="H104" s="22" t="str">
        <f>IFERROR(INDEX('الإعدادات واللجنة'!$C$24:$C$32,MATCH(LEFT(A104,3),'الإعدادات واللجنة'!$A$24:$A$32,0)),"")</f>
        <v>د. يثرب بنت سعد القحطاني</v>
      </c>
      <c r="I104" s="24"/>
      <c r="J104" s="24"/>
      <c r="K104" s="22" t="str">
        <f t="shared" si="1"/>
        <v/>
      </c>
      <c r="L104" s="25"/>
      <c r="M104" s="24"/>
      <c r="N104" s="25"/>
      <c r="O104" s="25"/>
      <c r="P104" s="24"/>
      <c r="Q104" s="25"/>
    </row>
    <row r="105" spans="1:17" ht="39" x14ac:dyDescent="0.2">
      <c r="A105" s="39" t="s">
        <v>431</v>
      </c>
      <c r="B105" s="40" t="s">
        <v>137</v>
      </c>
      <c r="C105" s="41" t="s">
        <v>426</v>
      </c>
      <c r="D105" s="42"/>
      <c r="E105" s="32">
        <v>1</v>
      </c>
      <c r="F105" s="41" t="s">
        <v>427</v>
      </c>
      <c r="G105" s="31" t="s">
        <v>568</v>
      </c>
      <c r="H105" s="32" t="str">
        <f>IFERROR(INDEX('الإعدادات واللجنة'!$C$24:$C$32,MATCH(LEFT(A105,3),'الإعدادات واللجنة'!$A$24:$A$32,0)),"")</f>
        <v>د. يثرب بنت سعد القحطاني</v>
      </c>
      <c r="I105" s="33"/>
      <c r="J105" s="33"/>
      <c r="K105" s="32" t="str">
        <f t="shared" si="1"/>
        <v/>
      </c>
      <c r="L105" s="34"/>
      <c r="M105" s="33"/>
      <c r="N105" s="34"/>
      <c r="O105" s="34"/>
      <c r="P105" s="33"/>
      <c r="Q105" s="34"/>
    </row>
    <row r="106" spans="1:17" x14ac:dyDescent="0.2">
      <c r="A106" s="22" t="s">
        <v>431</v>
      </c>
      <c r="B106" s="19" t="s">
        <v>137</v>
      </c>
      <c r="C106" s="20"/>
      <c r="D106" s="21"/>
      <c r="E106" s="22">
        <v>2</v>
      </c>
      <c r="F106" s="20" t="s">
        <v>428</v>
      </c>
      <c r="G106" s="23" t="s">
        <v>568</v>
      </c>
      <c r="H106" s="22" t="str">
        <f>IFERROR(INDEX('الإعدادات واللجنة'!$C$24:$C$32,MATCH(LEFT(A106,3),'الإعدادات واللجنة'!$A$24:$A$32,0)),"")</f>
        <v>د. يثرب بنت سعد القحطاني</v>
      </c>
      <c r="I106" s="24"/>
      <c r="J106" s="24"/>
      <c r="K106" s="22" t="str">
        <f t="shared" si="1"/>
        <v/>
      </c>
      <c r="L106" s="25"/>
      <c r="M106" s="24"/>
      <c r="N106" s="25"/>
      <c r="O106" s="25"/>
      <c r="P106" s="24"/>
      <c r="Q106" s="25"/>
    </row>
    <row r="107" spans="1:17" x14ac:dyDescent="0.2">
      <c r="A107" s="22" t="s">
        <v>431</v>
      </c>
      <c r="B107" s="19" t="s">
        <v>137</v>
      </c>
      <c r="C107" s="20"/>
      <c r="D107" s="21"/>
      <c r="E107" s="22">
        <v>3</v>
      </c>
      <c r="F107" s="20" t="s">
        <v>429</v>
      </c>
      <c r="G107" s="23" t="s">
        <v>568</v>
      </c>
      <c r="H107" s="22" t="str">
        <f>IFERROR(INDEX('الإعدادات واللجنة'!$C$24:$C$32,MATCH(LEFT(A107,3),'الإعدادات واللجنة'!$A$24:$A$32,0)),"")</f>
        <v>د. يثرب بنت سعد القحطاني</v>
      </c>
      <c r="I107" s="24"/>
      <c r="J107" s="24"/>
      <c r="K107" s="22" t="str">
        <f t="shared" si="1"/>
        <v/>
      </c>
      <c r="L107" s="25"/>
      <c r="M107" s="24"/>
      <c r="N107" s="25"/>
      <c r="O107" s="25"/>
      <c r="P107" s="24"/>
      <c r="Q107" s="25"/>
    </row>
    <row r="108" spans="1:17" ht="26" x14ac:dyDescent="0.2">
      <c r="A108" s="22" t="s">
        <v>431</v>
      </c>
      <c r="B108" s="19" t="s">
        <v>137</v>
      </c>
      <c r="C108" s="20"/>
      <c r="D108" s="21"/>
      <c r="E108" s="22">
        <v>4</v>
      </c>
      <c r="F108" s="20" t="s">
        <v>430</v>
      </c>
      <c r="G108" s="23" t="s">
        <v>568</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39" x14ac:dyDescent="0.2">
      <c r="A109" s="39" t="s">
        <v>436</v>
      </c>
      <c r="B109" s="40" t="s">
        <v>137</v>
      </c>
      <c r="C109" s="41" t="s">
        <v>432</v>
      </c>
      <c r="D109" s="42"/>
      <c r="E109" s="32">
        <v>1</v>
      </c>
      <c r="F109" s="41" t="s">
        <v>433</v>
      </c>
      <c r="G109" s="31" t="s">
        <v>568</v>
      </c>
      <c r="H109" s="32" t="str">
        <f>IFERROR(INDEX('الإعدادات واللجنة'!$C$24:$C$32,MATCH(LEFT(A109,3),'الإعدادات واللجنة'!$A$24:$A$32,0)),"")</f>
        <v>د. يثرب بنت سعد القحطاني</v>
      </c>
      <c r="I109" s="33"/>
      <c r="J109" s="33"/>
      <c r="K109" s="32" t="str">
        <f t="shared" si="1"/>
        <v/>
      </c>
      <c r="L109" s="34"/>
      <c r="M109" s="33"/>
      <c r="N109" s="34"/>
      <c r="O109" s="34"/>
      <c r="P109" s="33"/>
      <c r="Q109" s="34"/>
    </row>
    <row r="110" spans="1:17" ht="39" x14ac:dyDescent="0.2">
      <c r="A110" s="22" t="s">
        <v>436</v>
      </c>
      <c r="B110" s="19" t="s">
        <v>137</v>
      </c>
      <c r="C110" s="20"/>
      <c r="D110" s="21"/>
      <c r="E110" s="22">
        <v>2</v>
      </c>
      <c r="F110" s="20" t="s">
        <v>434</v>
      </c>
      <c r="G110" s="23" t="s">
        <v>568</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x14ac:dyDescent="0.2">
      <c r="A111" s="22" t="s">
        <v>436</v>
      </c>
      <c r="B111" s="19" t="s">
        <v>137</v>
      </c>
      <c r="C111" s="20"/>
      <c r="D111" s="21"/>
      <c r="E111" s="22">
        <v>3</v>
      </c>
      <c r="F111" s="20" t="s">
        <v>435</v>
      </c>
      <c r="G111" s="23" t="s">
        <v>568</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26" x14ac:dyDescent="0.2">
      <c r="A112" s="39" t="s">
        <v>441</v>
      </c>
      <c r="B112" s="40" t="s">
        <v>137</v>
      </c>
      <c r="C112" s="41" t="s">
        <v>437</v>
      </c>
      <c r="D112" s="42"/>
      <c r="E112" s="32">
        <v>1</v>
      </c>
      <c r="F112" s="41" t="s">
        <v>438</v>
      </c>
      <c r="G112" s="31" t="s">
        <v>568</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ht="26" x14ac:dyDescent="0.2">
      <c r="A113" s="22" t="s">
        <v>441</v>
      </c>
      <c r="B113" s="19" t="s">
        <v>137</v>
      </c>
      <c r="C113" s="20"/>
      <c r="D113" s="21"/>
      <c r="E113" s="22">
        <v>2</v>
      </c>
      <c r="F113" s="20" t="s">
        <v>439</v>
      </c>
      <c r="G113" s="23" t="s">
        <v>568</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ht="26" x14ac:dyDescent="0.2">
      <c r="A114" s="22" t="s">
        <v>441</v>
      </c>
      <c r="B114" s="19" t="s">
        <v>137</v>
      </c>
      <c r="C114" s="20"/>
      <c r="D114" s="21"/>
      <c r="E114" s="22">
        <v>3</v>
      </c>
      <c r="F114" s="20" t="s">
        <v>440</v>
      </c>
      <c r="G114" s="23" t="s">
        <v>568</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39" t="s">
        <v>448</v>
      </c>
      <c r="B115" s="40" t="s">
        <v>137</v>
      </c>
      <c r="C115" s="41" t="s">
        <v>442</v>
      </c>
      <c r="D115" s="42"/>
      <c r="E115" s="32">
        <v>1</v>
      </c>
      <c r="F115" s="41" t="s">
        <v>443</v>
      </c>
      <c r="G115" s="31" t="s">
        <v>568</v>
      </c>
      <c r="H115" s="32" t="str">
        <f>IFERROR(INDEX('الإعدادات واللجنة'!$C$24:$C$32,MATCH(LEFT(A115,3),'الإعدادات واللجنة'!$A$24:$A$32,0)),"")</f>
        <v>د. يثرب بنت سعد القحطاني</v>
      </c>
      <c r="I115" s="33"/>
      <c r="J115" s="33"/>
      <c r="K115" s="32" t="str">
        <f t="shared" si="1"/>
        <v/>
      </c>
      <c r="L115" s="34"/>
      <c r="M115" s="33"/>
      <c r="N115" s="34"/>
      <c r="O115" s="34"/>
      <c r="P115" s="33"/>
      <c r="Q115" s="34"/>
    </row>
    <row r="116" spans="1:17" x14ac:dyDescent="0.2">
      <c r="A116" s="22" t="s">
        <v>448</v>
      </c>
      <c r="B116" s="19" t="s">
        <v>137</v>
      </c>
      <c r="C116" s="20"/>
      <c r="D116" s="21"/>
      <c r="E116" s="22">
        <v>2</v>
      </c>
      <c r="F116" s="20" t="s">
        <v>444</v>
      </c>
      <c r="G116" s="23" t="s">
        <v>568</v>
      </c>
      <c r="H116" s="22" t="str">
        <f>IFERROR(INDEX('الإعدادات واللجنة'!$C$24:$C$32,MATCH(LEFT(A116,3),'الإعدادات واللجنة'!$A$24:$A$32,0)),"")</f>
        <v>د. يثرب بنت سعد القحطاني</v>
      </c>
      <c r="I116" s="24"/>
      <c r="J116" s="24"/>
      <c r="K116" s="22" t="str">
        <f t="shared" si="1"/>
        <v/>
      </c>
      <c r="L116" s="25"/>
      <c r="M116" s="24"/>
      <c r="N116" s="25"/>
      <c r="O116" s="25"/>
      <c r="P116" s="24"/>
      <c r="Q116" s="25"/>
    </row>
    <row r="117" spans="1:17" x14ac:dyDescent="0.2">
      <c r="A117" s="22" t="s">
        <v>448</v>
      </c>
      <c r="B117" s="19" t="s">
        <v>137</v>
      </c>
      <c r="C117" s="20"/>
      <c r="D117" s="21"/>
      <c r="E117" s="22">
        <v>3</v>
      </c>
      <c r="F117" s="20" t="s">
        <v>445</v>
      </c>
      <c r="G117" s="23" t="s">
        <v>568</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448</v>
      </c>
      <c r="B118" s="19" t="s">
        <v>137</v>
      </c>
      <c r="C118" s="20"/>
      <c r="D118" s="21"/>
      <c r="E118" s="22">
        <v>4</v>
      </c>
      <c r="F118" s="20" t="s">
        <v>446</v>
      </c>
      <c r="G118" s="23" t="s">
        <v>568</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x14ac:dyDescent="0.2">
      <c r="A119" s="22" t="s">
        <v>448</v>
      </c>
      <c r="B119" s="19" t="s">
        <v>137</v>
      </c>
      <c r="C119" s="20"/>
      <c r="D119" s="21"/>
      <c r="E119" s="22">
        <v>5</v>
      </c>
      <c r="F119" s="20" t="s">
        <v>447</v>
      </c>
      <c r="G119" s="23" t="s">
        <v>568</v>
      </c>
      <c r="H119" s="22" t="str">
        <f>IFERROR(INDEX('الإعدادات واللجنة'!$C$24:$C$32,MATCH(LEFT(A119,3),'الإعدادات واللجنة'!$A$24:$A$32,0)),"")</f>
        <v>د. يثرب بنت سعد القحطاني</v>
      </c>
      <c r="I119" s="24"/>
      <c r="J119" s="24"/>
      <c r="K119" s="22" t="str">
        <f t="shared" si="1"/>
        <v/>
      </c>
      <c r="L119" s="25"/>
      <c r="M119" s="24"/>
      <c r="N119" s="25"/>
      <c r="O119" s="25"/>
      <c r="P119" s="24"/>
      <c r="Q119" s="25"/>
    </row>
    <row r="120" spans="1:17" ht="26" x14ac:dyDescent="0.2">
      <c r="A120" s="26" t="s">
        <v>570</v>
      </c>
      <c r="B120" s="27" t="s">
        <v>137</v>
      </c>
      <c r="C120" s="28" t="s">
        <v>449</v>
      </c>
      <c r="D120" s="29" t="s">
        <v>278</v>
      </c>
      <c r="E120" s="30">
        <v>1</v>
      </c>
      <c r="F120" s="28" t="s">
        <v>450</v>
      </c>
      <c r="G120" s="31" t="s">
        <v>568</v>
      </c>
      <c r="H120" s="32" t="str">
        <f>IFERROR(INDEX('الإعدادات واللجنة'!$C$24:$C$32,MATCH(LEFT(A120,3),'الإعدادات واللجنة'!$A$24:$A$32,0)),"")</f>
        <v>د. يثرب بنت سعد القحطاني</v>
      </c>
      <c r="I120" s="33"/>
      <c r="J120" s="33"/>
      <c r="K120" s="32" t="str">
        <f t="shared" si="1"/>
        <v/>
      </c>
      <c r="L120" s="34"/>
      <c r="M120" s="33"/>
      <c r="N120" s="34"/>
      <c r="O120" s="34"/>
      <c r="P120" s="33"/>
      <c r="Q120" s="34"/>
    </row>
    <row r="121" spans="1:17" x14ac:dyDescent="0.2">
      <c r="A121" s="35" t="s">
        <v>570</v>
      </c>
      <c r="B121" s="36" t="s">
        <v>137</v>
      </c>
      <c r="C121" s="37"/>
      <c r="D121" s="38" t="s">
        <v>278</v>
      </c>
      <c r="E121" s="35">
        <v>2</v>
      </c>
      <c r="F121" s="37" t="s">
        <v>451</v>
      </c>
      <c r="G121" s="23" t="s">
        <v>568</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5" t="s">
        <v>570</v>
      </c>
      <c r="B122" s="36" t="s">
        <v>137</v>
      </c>
      <c r="C122" s="37"/>
      <c r="D122" s="38" t="s">
        <v>278</v>
      </c>
      <c r="E122" s="35">
        <v>3</v>
      </c>
      <c r="F122" s="37" t="s">
        <v>452</v>
      </c>
      <c r="G122" s="23" t="s">
        <v>568</v>
      </c>
      <c r="H122" s="22" t="str">
        <f>IFERROR(INDEX('الإعدادات واللجنة'!$C$24:$C$32,MATCH(LEFT(A122,3),'الإعدادات واللجنة'!$A$24:$A$32,0)),"")</f>
        <v>د. يثرب بنت سعد القحطاني</v>
      </c>
      <c r="I122" s="24"/>
      <c r="J122" s="24"/>
      <c r="K122" s="22" t="str">
        <f t="shared" si="1"/>
        <v/>
      </c>
      <c r="L122" s="25"/>
      <c r="M122" s="24"/>
      <c r="N122" s="25"/>
      <c r="O122" s="25"/>
      <c r="P122" s="24"/>
      <c r="Q122" s="25"/>
    </row>
    <row r="123" spans="1:17" ht="26" x14ac:dyDescent="0.2">
      <c r="A123" s="35" t="s">
        <v>570</v>
      </c>
      <c r="B123" s="36" t="s">
        <v>137</v>
      </c>
      <c r="C123" s="37"/>
      <c r="D123" s="38" t="s">
        <v>278</v>
      </c>
      <c r="E123" s="35">
        <v>4</v>
      </c>
      <c r="F123" s="37" t="s">
        <v>453</v>
      </c>
      <c r="G123" s="23" t="s">
        <v>568</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35" t="s">
        <v>570</v>
      </c>
      <c r="B124" s="36" t="s">
        <v>137</v>
      </c>
      <c r="C124" s="37"/>
      <c r="D124" s="38" t="s">
        <v>278</v>
      </c>
      <c r="E124" s="35">
        <v>5</v>
      </c>
      <c r="F124" s="37" t="s">
        <v>454</v>
      </c>
      <c r="G124" s="23" t="s">
        <v>568</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ht="39" x14ac:dyDescent="0.2">
      <c r="A125" s="39" t="s">
        <v>455</v>
      </c>
      <c r="B125" s="40" t="s">
        <v>138</v>
      </c>
      <c r="C125" s="41" t="s">
        <v>456</v>
      </c>
      <c r="D125" s="42"/>
      <c r="E125" s="32">
        <v>1</v>
      </c>
      <c r="F125" s="41" t="s">
        <v>457</v>
      </c>
      <c r="G125" s="31" t="s">
        <v>568</v>
      </c>
      <c r="H125" s="32" t="str">
        <f>IFERROR(INDEX('الإعدادات واللجنة'!$C$24:$C$32,MATCH(LEFT(A125,3),'الإعدادات واللجنة'!$A$24:$A$32,0)),"")</f>
        <v>د. عبدالله بن محمد البركاتي</v>
      </c>
      <c r="I125" s="33"/>
      <c r="J125" s="33"/>
      <c r="K125" s="32" t="str">
        <f t="shared" si="1"/>
        <v/>
      </c>
      <c r="L125" s="34"/>
      <c r="M125" s="33"/>
      <c r="N125" s="34"/>
      <c r="O125" s="34"/>
      <c r="P125" s="33"/>
      <c r="Q125" s="34"/>
    </row>
    <row r="126" spans="1:17" x14ac:dyDescent="0.2">
      <c r="A126" s="22" t="s">
        <v>455</v>
      </c>
      <c r="B126" s="19" t="s">
        <v>138</v>
      </c>
      <c r="C126" s="20"/>
      <c r="D126" s="21"/>
      <c r="E126" s="22">
        <v>2</v>
      </c>
      <c r="F126" s="20" t="s">
        <v>458</v>
      </c>
      <c r="G126" s="23" t="s">
        <v>568</v>
      </c>
      <c r="H126" s="22" t="str">
        <f>IFERROR(INDEX('الإعدادات واللجنة'!$C$24:$C$32,MATCH(LEFT(A126,3),'الإعدادات واللجنة'!$A$24:$A$32,0)),"")</f>
        <v>د. عبدالله بن محمد البركاتي</v>
      </c>
      <c r="I126" s="24"/>
      <c r="J126" s="24"/>
      <c r="K126" s="22" t="str">
        <f t="shared" si="1"/>
        <v/>
      </c>
      <c r="L126" s="25"/>
      <c r="M126" s="24"/>
      <c r="N126" s="25"/>
      <c r="O126" s="25"/>
      <c r="P126" s="24"/>
      <c r="Q126" s="25"/>
    </row>
    <row r="127" spans="1:17" x14ac:dyDescent="0.2">
      <c r="A127" s="22" t="s">
        <v>455</v>
      </c>
      <c r="B127" s="19" t="s">
        <v>138</v>
      </c>
      <c r="C127" s="20"/>
      <c r="D127" s="21"/>
      <c r="E127" s="22">
        <v>3</v>
      </c>
      <c r="F127" s="20" t="s">
        <v>459</v>
      </c>
      <c r="G127" s="23" t="s">
        <v>568</v>
      </c>
      <c r="H127" s="22" t="str">
        <f>IFERROR(INDEX('الإعدادات واللجنة'!$C$24:$C$32,MATCH(LEFT(A127,3),'الإعدادات واللجنة'!$A$24:$A$32,0)),"")</f>
        <v>د. عبدالله بن محمد البركاتي</v>
      </c>
      <c r="I127" s="24"/>
      <c r="J127" s="24"/>
      <c r="K127" s="22" t="str">
        <f t="shared" si="1"/>
        <v/>
      </c>
      <c r="L127" s="25"/>
      <c r="M127" s="24"/>
      <c r="N127" s="25"/>
      <c r="O127" s="25"/>
      <c r="P127" s="24"/>
      <c r="Q127" s="25"/>
    </row>
    <row r="128" spans="1:17" x14ac:dyDescent="0.2">
      <c r="A128" s="22" t="s">
        <v>455</v>
      </c>
      <c r="B128" s="19" t="s">
        <v>138</v>
      </c>
      <c r="C128" s="20"/>
      <c r="D128" s="21"/>
      <c r="E128" s="22">
        <v>4</v>
      </c>
      <c r="F128" s="20" t="s">
        <v>460</v>
      </c>
      <c r="G128" s="23" t="s">
        <v>568</v>
      </c>
      <c r="H128" s="22" t="str">
        <f>IFERROR(INDEX('الإعدادات واللجنة'!$C$24:$C$32,MATCH(LEFT(A128,3),'الإعدادات واللجنة'!$A$24:$A$32,0)),"")</f>
        <v>د. عبدالله بن محمد البركاتي</v>
      </c>
      <c r="I128" s="24"/>
      <c r="J128" s="24"/>
      <c r="K128" s="22" t="str">
        <f t="shared" si="1"/>
        <v/>
      </c>
      <c r="L128" s="25"/>
      <c r="M128" s="24"/>
      <c r="N128" s="25"/>
      <c r="O128" s="25"/>
      <c r="P128" s="24"/>
      <c r="Q128" s="25"/>
    </row>
    <row r="129" spans="1:17" x14ac:dyDescent="0.2">
      <c r="A129" s="22" t="s">
        <v>455</v>
      </c>
      <c r="B129" s="19" t="s">
        <v>138</v>
      </c>
      <c r="C129" s="20"/>
      <c r="D129" s="21"/>
      <c r="E129" s="22">
        <v>5</v>
      </c>
      <c r="F129" s="20" t="s">
        <v>461</v>
      </c>
      <c r="G129" s="23" t="s">
        <v>568</v>
      </c>
      <c r="H129" s="22" t="str">
        <f>IFERROR(INDEX('الإعدادات واللجنة'!$C$24:$C$32,MATCH(LEFT(A129,3),'الإعدادات واللجنة'!$A$24:$A$32,0)),"")</f>
        <v>د. عبدالله بن محمد البركاتي</v>
      </c>
      <c r="I129" s="24"/>
      <c r="J129" s="24"/>
      <c r="K129" s="22" t="str">
        <f t="shared" si="1"/>
        <v/>
      </c>
      <c r="L129" s="25"/>
      <c r="M129" s="24"/>
      <c r="N129" s="25"/>
      <c r="O129" s="25"/>
      <c r="P129" s="24"/>
      <c r="Q129" s="25"/>
    </row>
    <row r="130" spans="1:17" ht="26" x14ac:dyDescent="0.2">
      <c r="A130" s="39" t="s">
        <v>462</v>
      </c>
      <c r="B130" s="40" t="s">
        <v>138</v>
      </c>
      <c r="C130" s="41" t="s">
        <v>463</v>
      </c>
      <c r="D130" s="42"/>
      <c r="E130" s="32">
        <v>1</v>
      </c>
      <c r="F130" s="41" t="s">
        <v>464</v>
      </c>
      <c r="G130" s="31" t="s">
        <v>568</v>
      </c>
      <c r="H130" s="32" t="str">
        <f>IFERROR(INDEX('الإعدادات واللجنة'!$C$24:$C$32,MATCH(LEFT(A130,3),'الإعدادات واللجنة'!$A$24:$A$32,0)),"")</f>
        <v>د. عبدالله بن محمد البركاتي</v>
      </c>
      <c r="I130" s="33"/>
      <c r="J130" s="33"/>
      <c r="K130" s="32" t="str">
        <f t="shared" si="1"/>
        <v/>
      </c>
      <c r="L130" s="34"/>
      <c r="M130" s="33"/>
      <c r="N130" s="34"/>
      <c r="O130" s="34"/>
      <c r="P130" s="33"/>
      <c r="Q130" s="34"/>
    </row>
    <row r="131" spans="1:17" ht="26" x14ac:dyDescent="0.2">
      <c r="A131" s="22" t="s">
        <v>462</v>
      </c>
      <c r="B131" s="19" t="s">
        <v>138</v>
      </c>
      <c r="C131" s="20"/>
      <c r="D131" s="21"/>
      <c r="E131" s="22">
        <v>2</v>
      </c>
      <c r="F131" s="20" t="s">
        <v>465</v>
      </c>
      <c r="G131" s="23" t="s">
        <v>568</v>
      </c>
      <c r="H131" s="22" t="str">
        <f>IFERROR(INDEX('الإعدادات واللجنة'!$C$24:$C$32,MATCH(LEFT(A131,3),'الإعدادات واللجنة'!$A$24:$A$32,0)),"")</f>
        <v>د. عبدالله بن محمد البركاتي</v>
      </c>
      <c r="I131" s="24"/>
      <c r="J131" s="24"/>
      <c r="K131" s="22" t="str">
        <f t="shared" si="1"/>
        <v/>
      </c>
      <c r="L131" s="25"/>
      <c r="M131" s="24"/>
      <c r="N131" s="25"/>
      <c r="O131" s="25"/>
      <c r="P131" s="24"/>
      <c r="Q131" s="25"/>
    </row>
    <row r="132" spans="1:17" x14ac:dyDescent="0.2">
      <c r="A132" s="22" t="s">
        <v>462</v>
      </c>
      <c r="B132" s="19" t="s">
        <v>138</v>
      </c>
      <c r="C132" s="20"/>
      <c r="D132" s="21"/>
      <c r="E132" s="22">
        <v>3</v>
      </c>
      <c r="F132" s="20" t="s">
        <v>466</v>
      </c>
      <c r="G132" s="23" t="s">
        <v>568</v>
      </c>
      <c r="H132" s="22" t="str">
        <f>IFERROR(INDEX('الإعدادات واللجنة'!$C$24:$C$32,MATCH(LEFT(A132,3),'الإعدادات واللجنة'!$A$24:$A$32,0)),"")</f>
        <v>د. عبدالله بن محمد البركاتي</v>
      </c>
      <c r="I132" s="24"/>
      <c r="J132" s="24"/>
      <c r="K132" s="22" t="str">
        <f t="shared" si="1"/>
        <v/>
      </c>
      <c r="L132" s="25"/>
      <c r="M132" s="24"/>
      <c r="N132" s="25"/>
      <c r="O132" s="25"/>
      <c r="P132" s="24"/>
      <c r="Q132" s="25"/>
    </row>
    <row r="133" spans="1:17" ht="26" x14ac:dyDescent="0.2">
      <c r="A133" s="26" t="s">
        <v>467</v>
      </c>
      <c r="B133" s="27" t="s">
        <v>138</v>
      </c>
      <c r="C133" s="28" t="s">
        <v>468</v>
      </c>
      <c r="D133" s="29" t="s">
        <v>278</v>
      </c>
      <c r="E133" s="30">
        <v>1</v>
      </c>
      <c r="F133" s="28" t="s">
        <v>469</v>
      </c>
      <c r="G133" s="31" t="s">
        <v>568</v>
      </c>
      <c r="H133" s="32" t="str">
        <f>IFERROR(INDEX('الإعدادات واللجنة'!$C$24:$C$32,MATCH(LEFT(A133,3),'الإعدادات واللجنة'!$A$24:$A$32,0)),"")</f>
        <v>د. عبدالله بن محمد البركاتي</v>
      </c>
      <c r="I133" s="33"/>
      <c r="J133" s="33"/>
      <c r="K133" s="32" t="str">
        <f t="shared" ref="K133:K196" si="2">IF(OR(I133="",I133="متوفر ومكتمل"),"",IF(OR(D133="★",I133="غير متوفر"),"عالية","متوسطة"))</f>
        <v/>
      </c>
      <c r="L133" s="34"/>
      <c r="M133" s="33"/>
      <c r="N133" s="34"/>
      <c r="O133" s="34"/>
      <c r="P133" s="33"/>
      <c r="Q133" s="34"/>
    </row>
    <row r="134" spans="1:17" x14ac:dyDescent="0.2">
      <c r="A134" s="35" t="s">
        <v>467</v>
      </c>
      <c r="B134" s="36" t="s">
        <v>138</v>
      </c>
      <c r="C134" s="37"/>
      <c r="D134" s="38" t="s">
        <v>278</v>
      </c>
      <c r="E134" s="35">
        <v>2</v>
      </c>
      <c r="F134" s="37" t="s">
        <v>470</v>
      </c>
      <c r="G134" s="23" t="s">
        <v>568</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35" t="s">
        <v>467</v>
      </c>
      <c r="B135" s="36" t="s">
        <v>138</v>
      </c>
      <c r="C135" s="37"/>
      <c r="D135" s="38" t="s">
        <v>278</v>
      </c>
      <c r="E135" s="35">
        <v>3</v>
      </c>
      <c r="F135" s="37" t="s">
        <v>471</v>
      </c>
      <c r="G135" s="23" t="s">
        <v>568</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35" t="s">
        <v>467</v>
      </c>
      <c r="B136" s="36" t="s">
        <v>138</v>
      </c>
      <c r="C136" s="37"/>
      <c r="D136" s="38" t="s">
        <v>278</v>
      </c>
      <c r="E136" s="35">
        <v>4</v>
      </c>
      <c r="F136" s="37" t="s">
        <v>472</v>
      </c>
      <c r="G136" s="23" t="s">
        <v>568</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5" t="s">
        <v>467</v>
      </c>
      <c r="B137" s="36" t="s">
        <v>138</v>
      </c>
      <c r="C137" s="37"/>
      <c r="D137" s="38" t="s">
        <v>278</v>
      </c>
      <c r="E137" s="35">
        <v>5</v>
      </c>
      <c r="F137" s="37" t="s">
        <v>473</v>
      </c>
      <c r="G137" s="23" t="s">
        <v>568</v>
      </c>
      <c r="H137" s="22" t="str">
        <f>IFERROR(INDEX('الإعدادات واللجنة'!$C$24:$C$32,MATCH(LEFT(A137,3),'الإعدادات واللجنة'!$A$24:$A$32,0)),"")</f>
        <v>د. عبدالله بن محمد البركاتي</v>
      </c>
      <c r="I137" s="24"/>
      <c r="J137" s="24"/>
      <c r="K137" s="22" t="str">
        <f t="shared" si="2"/>
        <v/>
      </c>
      <c r="L137" s="25"/>
      <c r="M137" s="24"/>
      <c r="N137" s="25"/>
      <c r="O137" s="25"/>
      <c r="P137" s="24"/>
      <c r="Q137" s="25"/>
    </row>
    <row r="138" spans="1:17" ht="26" x14ac:dyDescent="0.2">
      <c r="A138" s="35" t="s">
        <v>467</v>
      </c>
      <c r="B138" s="36" t="s">
        <v>138</v>
      </c>
      <c r="C138" s="37"/>
      <c r="D138" s="38" t="s">
        <v>278</v>
      </c>
      <c r="E138" s="35">
        <v>6</v>
      </c>
      <c r="F138" s="37" t="s">
        <v>474</v>
      </c>
      <c r="G138" s="23" t="s">
        <v>568</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ht="26" x14ac:dyDescent="0.2">
      <c r="A139" s="35" t="s">
        <v>467</v>
      </c>
      <c r="B139" s="36" t="s">
        <v>138</v>
      </c>
      <c r="C139" s="37"/>
      <c r="D139" s="38" t="s">
        <v>278</v>
      </c>
      <c r="E139" s="35">
        <v>7</v>
      </c>
      <c r="F139" s="37" t="s">
        <v>475</v>
      </c>
      <c r="G139" s="23" t="s">
        <v>568</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39" x14ac:dyDescent="0.2">
      <c r="A140" s="39" t="s">
        <v>476</v>
      </c>
      <c r="B140" s="40" t="s">
        <v>138</v>
      </c>
      <c r="C140" s="41" t="s">
        <v>477</v>
      </c>
      <c r="D140" s="42"/>
      <c r="E140" s="32">
        <v>1</v>
      </c>
      <c r="F140" s="41" t="s">
        <v>478</v>
      </c>
      <c r="G140" s="31" t="s">
        <v>568</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ht="26" x14ac:dyDescent="0.2">
      <c r="A141" s="22" t="s">
        <v>476</v>
      </c>
      <c r="B141" s="19" t="s">
        <v>138</v>
      </c>
      <c r="C141" s="20"/>
      <c r="D141" s="21"/>
      <c r="E141" s="22">
        <v>2</v>
      </c>
      <c r="F141" s="20" t="s">
        <v>479</v>
      </c>
      <c r="G141" s="23" t="s">
        <v>568</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22" t="s">
        <v>476</v>
      </c>
      <c r="B142" s="19" t="s">
        <v>138</v>
      </c>
      <c r="C142" s="20"/>
      <c r="D142" s="21"/>
      <c r="E142" s="22">
        <v>3</v>
      </c>
      <c r="F142" s="20" t="s">
        <v>480</v>
      </c>
      <c r="G142" s="23" t="s">
        <v>568</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22" t="s">
        <v>476</v>
      </c>
      <c r="B143" s="19" t="s">
        <v>138</v>
      </c>
      <c r="C143" s="20"/>
      <c r="D143" s="21"/>
      <c r="E143" s="22">
        <v>4</v>
      </c>
      <c r="F143" s="20" t="s">
        <v>481</v>
      </c>
      <c r="G143" s="23" t="s">
        <v>568</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39" x14ac:dyDescent="0.2">
      <c r="A144" s="39" t="s">
        <v>482</v>
      </c>
      <c r="B144" s="40" t="s">
        <v>138</v>
      </c>
      <c r="C144" s="41" t="s">
        <v>489</v>
      </c>
      <c r="D144" s="42"/>
      <c r="E144" s="32">
        <v>1</v>
      </c>
      <c r="F144" s="41" t="s">
        <v>490</v>
      </c>
      <c r="G144" s="31" t="s">
        <v>568</v>
      </c>
      <c r="H144" s="32" t="str">
        <f>IFERROR(INDEX('الإعدادات واللجنة'!$C$24:$C$32,MATCH(LEFT(A144,3),'الإعدادات واللجنة'!$A$24:$A$32,0)),"")</f>
        <v>د. عبدالله بن محمد البركاتي</v>
      </c>
      <c r="I144" s="33"/>
      <c r="J144" s="33"/>
      <c r="K144" s="32" t="str">
        <f t="shared" si="2"/>
        <v/>
      </c>
      <c r="L144" s="34"/>
      <c r="M144" s="33"/>
      <c r="N144" s="34"/>
      <c r="O144" s="34"/>
      <c r="P144" s="33"/>
      <c r="Q144" s="34"/>
    </row>
    <row r="145" spans="1:17" x14ac:dyDescent="0.2">
      <c r="A145" s="22" t="s">
        <v>482</v>
      </c>
      <c r="B145" s="19" t="s">
        <v>138</v>
      </c>
      <c r="C145" s="20"/>
      <c r="D145" s="21"/>
      <c r="E145" s="22">
        <v>2</v>
      </c>
      <c r="F145" s="20" t="s">
        <v>491</v>
      </c>
      <c r="G145" s="23" t="s">
        <v>568</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x14ac:dyDescent="0.2">
      <c r="A146" s="22" t="s">
        <v>482</v>
      </c>
      <c r="B146" s="19" t="s">
        <v>138</v>
      </c>
      <c r="C146" s="20"/>
      <c r="D146" s="21"/>
      <c r="E146" s="22">
        <v>3</v>
      </c>
      <c r="F146" s="20" t="s">
        <v>492</v>
      </c>
      <c r="G146" s="23" t="s">
        <v>568</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26" x14ac:dyDescent="0.2">
      <c r="A147" s="22" t="s">
        <v>482</v>
      </c>
      <c r="B147" s="19" t="s">
        <v>138</v>
      </c>
      <c r="C147" s="20"/>
      <c r="D147" s="21"/>
      <c r="E147" s="22">
        <v>4</v>
      </c>
      <c r="F147" s="20" t="s">
        <v>493</v>
      </c>
      <c r="G147" s="23" t="s">
        <v>568</v>
      </c>
      <c r="H147" s="22" t="str">
        <f>IFERROR(INDEX('الإعدادات واللجنة'!$C$24:$C$32,MATCH(LEFT(A147,3),'الإعدادات واللجنة'!$A$24:$A$32,0)),"")</f>
        <v>د. عبدالله بن محمد البركاتي</v>
      </c>
      <c r="I147" s="24"/>
      <c r="J147" s="24"/>
      <c r="K147" s="22" t="str">
        <f t="shared" si="2"/>
        <v/>
      </c>
      <c r="L147" s="25"/>
      <c r="M147" s="24"/>
      <c r="N147" s="25"/>
      <c r="O147" s="25"/>
      <c r="P147" s="24"/>
      <c r="Q147" s="25"/>
    </row>
    <row r="148" spans="1:17" x14ac:dyDescent="0.2">
      <c r="A148" s="22" t="s">
        <v>482</v>
      </c>
      <c r="B148" s="19" t="s">
        <v>138</v>
      </c>
      <c r="C148" s="20"/>
      <c r="D148" s="21"/>
      <c r="E148" s="22">
        <v>5</v>
      </c>
      <c r="F148" s="20" t="s">
        <v>494</v>
      </c>
      <c r="G148" s="23" t="s">
        <v>568</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ht="26" x14ac:dyDescent="0.2">
      <c r="A149" s="22" t="s">
        <v>482</v>
      </c>
      <c r="B149" s="19" t="s">
        <v>138</v>
      </c>
      <c r="C149" s="20"/>
      <c r="D149" s="21"/>
      <c r="E149" s="22">
        <v>6</v>
      </c>
      <c r="F149" s="20" t="s">
        <v>495</v>
      </c>
      <c r="G149" s="23" t="s">
        <v>568</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ht="26" x14ac:dyDescent="0.2">
      <c r="A150" s="26" t="s">
        <v>488</v>
      </c>
      <c r="B150" s="27" t="s">
        <v>138</v>
      </c>
      <c r="C150" s="28" t="s">
        <v>497</v>
      </c>
      <c r="D150" s="29" t="s">
        <v>278</v>
      </c>
      <c r="E150" s="30">
        <v>1</v>
      </c>
      <c r="F150" s="28" t="s">
        <v>498</v>
      </c>
      <c r="G150" s="31" t="s">
        <v>568</v>
      </c>
      <c r="H150" s="32" t="str">
        <f>IFERROR(INDEX('الإعدادات واللجنة'!$C$24:$C$32,MATCH(LEFT(A150,3),'الإعدادات واللجنة'!$A$24:$A$32,0)),"")</f>
        <v>د. عبدالله بن محمد البركاتي</v>
      </c>
      <c r="I150" s="33"/>
      <c r="J150" s="33"/>
      <c r="K150" s="32" t="str">
        <f t="shared" si="2"/>
        <v/>
      </c>
      <c r="L150" s="34"/>
      <c r="M150" s="33"/>
      <c r="N150" s="34"/>
      <c r="O150" s="34"/>
      <c r="P150" s="33"/>
      <c r="Q150" s="34"/>
    </row>
    <row r="151" spans="1:17" x14ac:dyDescent="0.2">
      <c r="A151" s="35" t="s">
        <v>488</v>
      </c>
      <c r="B151" s="36" t="s">
        <v>138</v>
      </c>
      <c r="C151" s="37"/>
      <c r="D151" s="38" t="s">
        <v>278</v>
      </c>
      <c r="E151" s="35">
        <v>2</v>
      </c>
      <c r="F151" s="37" t="s">
        <v>499</v>
      </c>
      <c r="G151" s="23" t="s">
        <v>568</v>
      </c>
      <c r="H151" s="22" t="str">
        <f>IFERROR(INDEX('الإعدادات واللجنة'!$C$24:$C$32,MATCH(LEFT(A151,3),'الإعدادات واللجنة'!$A$24:$A$32,0)),"")</f>
        <v>د. عبدالله بن محمد البركاتي</v>
      </c>
      <c r="I151" s="24"/>
      <c r="J151" s="24"/>
      <c r="K151" s="22" t="str">
        <f t="shared" si="2"/>
        <v/>
      </c>
      <c r="L151" s="25"/>
      <c r="M151" s="24"/>
      <c r="N151" s="25"/>
      <c r="O151" s="25"/>
      <c r="P151" s="24"/>
      <c r="Q151" s="25"/>
    </row>
    <row r="152" spans="1:17" ht="26" x14ac:dyDescent="0.2">
      <c r="A152" s="35" t="s">
        <v>488</v>
      </c>
      <c r="B152" s="36" t="s">
        <v>138</v>
      </c>
      <c r="C152" s="37"/>
      <c r="D152" s="38" t="s">
        <v>278</v>
      </c>
      <c r="E152" s="35">
        <v>3</v>
      </c>
      <c r="F152" s="37" t="s">
        <v>500</v>
      </c>
      <c r="G152" s="23" t="s">
        <v>568</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ht="26" x14ac:dyDescent="0.2">
      <c r="A153" s="26" t="s">
        <v>501</v>
      </c>
      <c r="B153" s="27" t="s">
        <v>139</v>
      </c>
      <c r="C153" s="28" t="s">
        <v>502</v>
      </c>
      <c r="D153" s="29" t="s">
        <v>278</v>
      </c>
      <c r="E153" s="30">
        <v>1</v>
      </c>
      <c r="F153" s="28" t="s">
        <v>503</v>
      </c>
      <c r="G153" s="31" t="s">
        <v>568</v>
      </c>
      <c r="H153" s="32" t="str">
        <f>IFERROR(INDEX('الإعدادات واللجنة'!$C$24:$C$32,MATCH(LEFT(A153,3),'الإعدادات واللجنة'!$A$24:$A$32,0)),"")</f>
        <v>د. عمر بن محمد موسى</v>
      </c>
      <c r="I153" s="33"/>
      <c r="J153" s="33"/>
      <c r="K153" s="32" t="str">
        <f t="shared" si="2"/>
        <v/>
      </c>
      <c r="L153" s="34"/>
      <c r="M153" s="33"/>
      <c r="N153" s="34"/>
      <c r="O153" s="34"/>
      <c r="P153" s="33"/>
      <c r="Q153" s="34"/>
    </row>
    <row r="154" spans="1:17" x14ac:dyDescent="0.2">
      <c r="A154" s="35" t="s">
        <v>501</v>
      </c>
      <c r="B154" s="36" t="s">
        <v>139</v>
      </c>
      <c r="C154" s="37"/>
      <c r="D154" s="38" t="s">
        <v>278</v>
      </c>
      <c r="E154" s="35">
        <v>2</v>
      </c>
      <c r="F154" s="37" t="s">
        <v>504</v>
      </c>
      <c r="G154" s="23" t="s">
        <v>568</v>
      </c>
      <c r="H154" s="22" t="str">
        <f>IFERROR(INDEX('الإعدادات واللجنة'!$C$24:$C$32,MATCH(LEFT(A154,3),'الإعدادات واللجنة'!$A$24:$A$32,0)),"")</f>
        <v>د. عمر بن محمد موسى</v>
      </c>
      <c r="I154" s="24"/>
      <c r="J154" s="24"/>
      <c r="K154" s="22" t="str">
        <f t="shared" si="2"/>
        <v/>
      </c>
      <c r="L154" s="25"/>
      <c r="M154" s="24"/>
      <c r="N154" s="25"/>
      <c r="O154" s="25"/>
      <c r="P154" s="24"/>
      <c r="Q154" s="25"/>
    </row>
    <row r="155" spans="1:17" ht="26" x14ac:dyDescent="0.2">
      <c r="A155" s="35" t="s">
        <v>501</v>
      </c>
      <c r="B155" s="36" t="s">
        <v>139</v>
      </c>
      <c r="C155" s="37"/>
      <c r="D155" s="38" t="s">
        <v>278</v>
      </c>
      <c r="E155" s="35">
        <v>3</v>
      </c>
      <c r="F155" s="37" t="s">
        <v>505</v>
      </c>
      <c r="G155" s="23" t="s">
        <v>568</v>
      </c>
      <c r="H155" s="22" t="str">
        <f>IFERROR(INDEX('الإعدادات واللجنة'!$C$24:$C$32,MATCH(LEFT(A155,3),'الإعدادات واللجنة'!$A$24:$A$32,0)),"")</f>
        <v>د. عمر بن محمد موسى</v>
      </c>
      <c r="I155" s="24"/>
      <c r="J155" s="24"/>
      <c r="K155" s="22" t="str">
        <f t="shared" si="2"/>
        <v/>
      </c>
      <c r="L155" s="25"/>
      <c r="M155" s="24"/>
      <c r="N155" s="25"/>
      <c r="O155" s="25"/>
      <c r="P155" s="24"/>
      <c r="Q155" s="25"/>
    </row>
    <row r="156" spans="1:17" ht="26" x14ac:dyDescent="0.2">
      <c r="A156" s="35" t="s">
        <v>501</v>
      </c>
      <c r="B156" s="36" t="s">
        <v>139</v>
      </c>
      <c r="C156" s="37"/>
      <c r="D156" s="38" t="s">
        <v>278</v>
      </c>
      <c r="E156" s="35">
        <v>4</v>
      </c>
      <c r="F156" s="37" t="s">
        <v>506</v>
      </c>
      <c r="G156" s="23" t="s">
        <v>568</v>
      </c>
      <c r="H156" s="22" t="str">
        <f>IFERROR(INDEX('الإعدادات واللجنة'!$C$24:$C$32,MATCH(LEFT(A156,3),'الإعدادات واللجنة'!$A$24:$A$32,0)),"")</f>
        <v>د. عمر بن محمد موسى</v>
      </c>
      <c r="I156" s="24"/>
      <c r="J156" s="24"/>
      <c r="K156" s="22" t="str">
        <f t="shared" si="2"/>
        <v/>
      </c>
      <c r="L156" s="25"/>
      <c r="M156" s="24"/>
      <c r="N156" s="25"/>
      <c r="O156" s="25"/>
      <c r="P156" s="24"/>
      <c r="Q156" s="25"/>
    </row>
    <row r="157" spans="1:17" ht="26" x14ac:dyDescent="0.2">
      <c r="A157" s="39" t="s">
        <v>507</v>
      </c>
      <c r="B157" s="40" t="s">
        <v>139</v>
      </c>
      <c r="C157" s="41" t="s">
        <v>508</v>
      </c>
      <c r="D157" s="42"/>
      <c r="E157" s="32">
        <v>1</v>
      </c>
      <c r="F157" s="41" t="s">
        <v>509</v>
      </c>
      <c r="G157" s="31" t="s">
        <v>568</v>
      </c>
      <c r="H157" s="32" t="str">
        <f>IFERROR(INDEX('الإعدادات واللجنة'!$C$24:$C$32,MATCH(LEFT(A157,3),'الإعدادات واللجنة'!$A$24:$A$32,0)),"")</f>
        <v>د. عمر بن محمد موسى</v>
      </c>
      <c r="I157" s="33"/>
      <c r="J157" s="33"/>
      <c r="K157" s="32" t="str">
        <f t="shared" si="2"/>
        <v/>
      </c>
      <c r="L157" s="34"/>
      <c r="M157" s="33"/>
      <c r="N157" s="34"/>
      <c r="O157" s="34"/>
      <c r="P157" s="33"/>
      <c r="Q157" s="34"/>
    </row>
    <row r="158" spans="1:17" ht="26" x14ac:dyDescent="0.2">
      <c r="A158" s="22" t="s">
        <v>507</v>
      </c>
      <c r="B158" s="19" t="s">
        <v>139</v>
      </c>
      <c r="C158" s="20"/>
      <c r="D158" s="21"/>
      <c r="E158" s="22">
        <v>2</v>
      </c>
      <c r="F158" s="20" t="s">
        <v>510</v>
      </c>
      <c r="G158" s="23" t="s">
        <v>568</v>
      </c>
      <c r="H158" s="22" t="str">
        <f>IFERROR(INDEX('الإعدادات واللجنة'!$C$24:$C$32,MATCH(LEFT(A158,3),'الإعدادات واللجنة'!$A$24:$A$32,0)),"")</f>
        <v>د. عمر بن محمد موسى</v>
      </c>
      <c r="I158" s="24"/>
      <c r="J158" s="24"/>
      <c r="K158" s="22" t="str">
        <f t="shared" si="2"/>
        <v/>
      </c>
      <c r="L158" s="25"/>
      <c r="M158" s="24"/>
      <c r="N158" s="25"/>
      <c r="O158" s="25"/>
      <c r="P158" s="24"/>
      <c r="Q158" s="25"/>
    </row>
    <row r="159" spans="1:17" ht="26" x14ac:dyDescent="0.2">
      <c r="A159" s="39" t="s">
        <v>511</v>
      </c>
      <c r="B159" s="40" t="s">
        <v>139</v>
      </c>
      <c r="C159" s="41" t="s">
        <v>512</v>
      </c>
      <c r="D159" s="42"/>
      <c r="E159" s="32">
        <v>1</v>
      </c>
      <c r="F159" s="41" t="s">
        <v>513</v>
      </c>
      <c r="G159" s="31" t="s">
        <v>568</v>
      </c>
      <c r="H159" s="32" t="str">
        <f>IFERROR(INDEX('الإعدادات واللجنة'!$C$24:$C$32,MATCH(LEFT(A159,3),'الإعدادات واللجنة'!$A$24:$A$32,0)),"")</f>
        <v>د. عمر بن محمد موسى</v>
      </c>
      <c r="I159" s="33"/>
      <c r="J159" s="33"/>
      <c r="K159" s="32" t="str">
        <f t="shared" si="2"/>
        <v/>
      </c>
      <c r="L159" s="34"/>
      <c r="M159" s="33"/>
      <c r="N159" s="34"/>
      <c r="O159" s="34"/>
      <c r="P159" s="33"/>
      <c r="Q159" s="34"/>
    </row>
    <row r="160" spans="1:17" ht="26" x14ac:dyDescent="0.2">
      <c r="A160" s="22" t="s">
        <v>511</v>
      </c>
      <c r="B160" s="19" t="s">
        <v>139</v>
      </c>
      <c r="C160" s="20"/>
      <c r="D160" s="21"/>
      <c r="E160" s="22">
        <v>2</v>
      </c>
      <c r="F160" s="20" t="s">
        <v>514</v>
      </c>
      <c r="G160" s="23" t="s">
        <v>568</v>
      </c>
      <c r="H160" s="22" t="str">
        <f>IFERROR(INDEX('الإعدادات واللجنة'!$C$24:$C$32,MATCH(LEFT(A160,3),'الإعدادات واللجنة'!$A$24:$A$32,0)),"")</f>
        <v>د. عمر بن محمد موسى</v>
      </c>
      <c r="I160" s="24"/>
      <c r="J160" s="24"/>
      <c r="K160" s="22" t="str">
        <f t="shared" si="2"/>
        <v/>
      </c>
      <c r="L160" s="25"/>
      <c r="M160" s="24"/>
      <c r="N160" s="25"/>
      <c r="O160" s="25"/>
      <c r="P160" s="24"/>
      <c r="Q160" s="25"/>
    </row>
    <row r="161" spans="1:17" ht="26" x14ac:dyDescent="0.2">
      <c r="A161" s="22" t="s">
        <v>511</v>
      </c>
      <c r="B161" s="19" t="s">
        <v>139</v>
      </c>
      <c r="C161" s="20"/>
      <c r="D161" s="21"/>
      <c r="E161" s="22">
        <v>3</v>
      </c>
      <c r="F161" s="20" t="s">
        <v>515</v>
      </c>
      <c r="G161" s="23" t="s">
        <v>568</v>
      </c>
      <c r="H161" s="22" t="str">
        <f>IFERROR(INDEX('الإعدادات واللجنة'!$C$24:$C$32,MATCH(LEFT(A161,3),'الإعدادات واللجنة'!$A$24:$A$32,0)),"")</f>
        <v>د. عمر بن محمد موسى</v>
      </c>
      <c r="I161" s="24"/>
      <c r="J161" s="24"/>
      <c r="K161" s="22" t="str">
        <f t="shared" si="2"/>
        <v/>
      </c>
      <c r="L161" s="25"/>
      <c r="M161" s="24"/>
      <c r="N161" s="25"/>
      <c r="O161" s="25"/>
      <c r="P161" s="24"/>
      <c r="Q161" s="25"/>
    </row>
    <row r="162" spans="1:17" ht="26" x14ac:dyDescent="0.2">
      <c r="A162" s="22" t="s">
        <v>511</v>
      </c>
      <c r="B162" s="19" t="s">
        <v>139</v>
      </c>
      <c r="C162" s="20"/>
      <c r="D162" s="21"/>
      <c r="E162" s="22">
        <v>4</v>
      </c>
      <c r="F162" s="20" t="s">
        <v>516</v>
      </c>
      <c r="G162" s="23" t="s">
        <v>568</v>
      </c>
      <c r="H162" s="22" t="str">
        <f>IFERROR(INDEX('الإعدادات واللجنة'!$C$24:$C$32,MATCH(LEFT(A162,3),'الإعدادات واللجنة'!$A$24:$A$32,0)),"")</f>
        <v>د. عمر بن محمد موسى</v>
      </c>
      <c r="I162" s="24"/>
      <c r="J162" s="24"/>
      <c r="K162" s="22" t="str">
        <f t="shared" si="2"/>
        <v/>
      </c>
      <c r="L162" s="25"/>
      <c r="M162" s="24"/>
      <c r="N162" s="25"/>
      <c r="O162" s="25"/>
      <c r="P162" s="24"/>
      <c r="Q162" s="25"/>
    </row>
    <row r="163" spans="1:17" x14ac:dyDescent="0.2">
      <c r="A163" s="22" t="s">
        <v>511</v>
      </c>
      <c r="B163" s="19" t="s">
        <v>139</v>
      </c>
      <c r="C163" s="20"/>
      <c r="D163" s="21"/>
      <c r="E163" s="22">
        <v>5</v>
      </c>
      <c r="F163" s="20" t="s">
        <v>517</v>
      </c>
      <c r="G163" s="23" t="s">
        <v>568</v>
      </c>
      <c r="H163" s="22" t="str">
        <f>IFERROR(INDEX('الإعدادات واللجنة'!$C$24:$C$32,MATCH(LEFT(A163,3),'الإعدادات واللجنة'!$A$24:$A$32,0)),"")</f>
        <v>د. عمر بن محمد موسى</v>
      </c>
      <c r="I163" s="24"/>
      <c r="J163" s="24"/>
      <c r="K163" s="22" t="str">
        <f t="shared" si="2"/>
        <v/>
      </c>
      <c r="L163" s="25"/>
      <c r="M163" s="24"/>
      <c r="N163" s="25"/>
      <c r="O163" s="25"/>
      <c r="P163" s="24"/>
      <c r="Q163" s="25"/>
    </row>
    <row r="164" spans="1:17" x14ac:dyDescent="0.2">
      <c r="A164" s="22" t="s">
        <v>511</v>
      </c>
      <c r="B164" s="19" t="s">
        <v>139</v>
      </c>
      <c r="C164" s="20"/>
      <c r="D164" s="21"/>
      <c r="E164" s="22">
        <v>6</v>
      </c>
      <c r="F164" s="20" t="s">
        <v>518</v>
      </c>
      <c r="G164" s="23" t="s">
        <v>568</v>
      </c>
      <c r="H164" s="22" t="str">
        <f>IFERROR(INDEX('الإعدادات واللجنة'!$C$24:$C$32,MATCH(LEFT(A164,3),'الإعدادات واللجنة'!$A$24:$A$32,0)),"")</f>
        <v>د. عمر بن محمد موسى</v>
      </c>
      <c r="I164" s="24"/>
      <c r="J164" s="24"/>
      <c r="K164" s="22" t="str">
        <f t="shared" si="2"/>
        <v/>
      </c>
      <c r="L164" s="25"/>
      <c r="M164" s="24"/>
      <c r="N164" s="25"/>
      <c r="O164" s="25"/>
      <c r="P164" s="24"/>
      <c r="Q164" s="25"/>
    </row>
    <row r="165" spans="1:17" ht="26" x14ac:dyDescent="0.2">
      <c r="A165" s="22" t="s">
        <v>511</v>
      </c>
      <c r="B165" s="19" t="s">
        <v>139</v>
      </c>
      <c r="C165" s="20"/>
      <c r="D165" s="21"/>
      <c r="E165" s="22">
        <v>7</v>
      </c>
      <c r="F165" s="20" t="s">
        <v>519</v>
      </c>
      <c r="G165" s="23" t="s">
        <v>568</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9" t="s">
        <v>520</v>
      </c>
      <c r="B166" s="40" t="s">
        <v>139</v>
      </c>
      <c r="C166" s="41" t="s">
        <v>521</v>
      </c>
      <c r="D166" s="42"/>
      <c r="E166" s="32">
        <v>1</v>
      </c>
      <c r="F166" s="41" t="s">
        <v>522</v>
      </c>
      <c r="G166" s="31" t="s">
        <v>568</v>
      </c>
      <c r="H166" s="32" t="str">
        <f>IFERROR(INDEX('الإعدادات واللجنة'!$C$24:$C$32,MATCH(LEFT(A166,3),'الإعدادات واللجنة'!$A$24:$A$32,0)),"")</f>
        <v>د. عمر بن محمد موسى</v>
      </c>
      <c r="I166" s="33"/>
      <c r="J166" s="33"/>
      <c r="K166" s="32" t="str">
        <f t="shared" si="2"/>
        <v/>
      </c>
      <c r="L166" s="34"/>
      <c r="M166" s="33"/>
      <c r="N166" s="34"/>
      <c r="O166" s="34"/>
      <c r="P166" s="33"/>
      <c r="Q166" s="34"/>
    </row>
    <row r="167" spans="1:17" x14ac:dyDescent="0.2">
      <c r="A167" s="22" t="s">
        <v>520</v>
      </c>
      <c r="B167" s="19" t="s">
        <v>139</v>
      </c>
      <c r="C167" s="20"/>
      <c r="D167" s="21"/>
      <c r="E167" s="22">
        <v>2</v>
      </c>
      <c r="F167" s="20" t="s">
        <v>523</v>
      </c>
      <c r="G167" s="23" t="s">
        <v>568</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22" t="s">
        <v>520</v>
      </c>
      <c r="B168" s="19" t="s">
        <v>139</v>
      </c>
      <c r="C168" s="20"/>
      <c r="D168" s="21"/>
      <c r="E168" s="22">
        <v>3</v>
      </c>
      <c r="F168" s="20" t="s">
        <v>524</v>
      </c>
      <c r="G168" s="23" t="s">
        <v>568</v>
      </c>
      <c r="H168" s="22" t="str">
        <f>IFERROR(INDEX('الإعدادات واللجنة'!$C$24:$C$32,MATCH(LEFT(A168,3),'الإعدادات واللجنة'!$A$24:$A$32,0)),"")</f>
        <v>د. عمر بن محمد موسى</v>
      </c>
      <c r="I168" s="24"/>
      <c r="J168" s="24"/>
      <c r="K168" s="22" t="str">
        <f t="shared" si="2"/>
        <v/>
      </c>
      <c r="L168" s="25"/>
      <c r="M168" s="24"/>
      <c r="N168" s="25"/>
      <c r="O168" s="25"/>
      <c r="P168" s="24"/>
      <c r="Q168" s="25"/>
    </row>
    <row r="169" spans="1:17" ht="26" x14ac:dyDescent="0.2">
      <c r="A169" s="39" t="s">
        <v>525</v>
      </c>
      <c r="B169" s="40" t="s">
        <v>139</v>
      </c>
      <c r="C169" s="41" t="s">
        <v>526</v>
      </c>
      <c r="D169" s="42"/>
      <c r="E169" s="32">
        <v>1</v>
      </c>
      <c r="F169" s="41" t="s">
        <v>527</v>
      </c>
      <c r="G169" s="31" t="s">
        <v>568</v>
      </c>
      <c r="H169" s="32" t="str">
        <f>IFERROR(INDEX('الإعدادات واللجنة'!$C$24:$C$32,MATCH(LEFT(A169,3),'الإعدادات واللجنة'!$A$24:$A$32,0)),"")</f>
        <v>د. عمر بن محمد موسى</v>
      </c>
      <c r="I169" s="33"/>
      <c r="J169" s="33"/>
      <c r="K169" s="32" t="str">
        <f t="shared" si="2"/>
        <v/>
      </c>
      <c r="L169" s="34"/>
      <c r="M169" s="33"/>
      <c r="N169" s="34"/>
      <c r="O169" s="34"/>
      <c r="P169" s="33"/>
      <c r="Q169" s="34"/>
    </row>
    <row r="170" spans="1:17" x14ac:dyDescent="0.2">
      <c r="A170" s="22" t="s">
        <v>525</v>
      </c>
      <c r="B170" s="19" t="s">
        <v>139</v>
      </c>
      <c r="C170" s="20"/>
      <c r="D170" s="21"/>
      <c r="E170" s="22">
        <v>2</v>
      </c>
      <c r="F170" s="20" t="s">
        <v>528</v>
      </c>
      <c r="G170" s="23" t="s">
        <v>568</v>
      </c>
      <c r="H170" s="22" t="str">
        <f>IFERROR(INDEX('الإعدادات واللجنة'!$C$24:$C$32,MATCH(LEFT(A170,3),'الإعدادات واللجنة'!$A$24:$A$32,0)),"")</f>
        <v>د. عمر بن محمد موسى</v>
      </c>
      <c r="I170" s="24"/>
      <c r="J170" s="24"/>
      <c r="K170" s="22" t="str">
        <f t="shared" si="2"/>
        <v/>
      </c>
      <c r="L170" s="25"/>
      <c r="M170" s="24"/>
      <c r="N170" s="25"/>
      <c r="O170" s="25"/>
      <c r="P170" s="24"/>
      <c r="Q170" s="25"/>
    </row>
    <row r="171" spans="1:17" x14ac:dyDescent="0.2">
      <c r="A171" s="22" t="s">
        <v>525</v>
      </c>
      <c r="B171" s="19" t="s">
        <v>139</v>
      </c>
      <c r="C171" s="20"/>
      <c r="D171" s="21"/>
      <c r="E171" s="22">
        <v>3</v>
      </c>
      <c r="F171" s="20" t="s">
        <v>529</v>
      </c>
      <c r="G171" s="23" t="s">
        <v>568</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525</v>
      </c>
      <c r="B172" s="19" t="s">
        <v>139</v>
      </c>
      <c r="C172" s="20"/>
      <c r="D172" s="21"/>
      <c r="E172" s="22">
        <v>4</v>
      </c>
      <c r="F172" s="20" t="s">
        <v>530</v>
      </c>
      <c r="G172" s="23" t="s">
        <v>568</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x14ac:dyDescent="0.2">
      <c r="A173" s="22" t="s">
        <v>525</v>
      </c>
      <c r="B173" s="19" t="s">
        <v>139</v>
      </c>
      <c r="C173" s="20"/>
      <c r="D173" s="21"/>
      <c r="E173" s="22">
        <v>5</v>
      </c>
      <c r="F173" s="20" t="s">
        <v>531</v>
      </c>
      <c r="G173" s="23" t="s">
        <v>568</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ht="26" x14ac:dyDescent="0.2">
      <c r="A174" s="39" t="s">
        <v>532</v>
      </c>
      <c r="B174" s="40" t="s">
        <v>139</v>
      </c>
      <c r="C174" s="41" t="s">
        <v>533</v>
      </c>
      <c r="D174" s="42"/>
      <c r="E174" s="32">
        <v>1</v>
      </c>
      <c r="F174" s="41" t="s">
        <v>534</v>
      </c>
      <c r="G174" s="31" t="s">
        <v>568</v>
      </c>
      <c r="H174" s="32" t="str">
        <f>IFERROR(INDEX('الإعدادات واللجنة'!$C$24:$C$32,MATCH(LEFT(A174,3),'الإعدادات واللجنة'!$A$24:$A$32,0)),"")</f>
        <v>د. عمر بن محمد موسى</v>
      </c>
      <c r="I174" s="33"/>
      <c r="J174" s="33"/>
      <c r="K174" s="32" t="str">
        <f t="shared" si="2"/>
        <v/>
      </c>
      <c r="L174" s="34"/>
      <c r="M174" s="33"/>
      <c r="N174" s="34"/>
      <c r="O174" s="34"/>
      <c r="P174" s="33"/>
      <c r="Q174" s="34"/>
    </row>
    <row r="175" spans="1:17" x14ac:dyDescent="0.2">
      <c r="A175" s="22" t="s">
        <v>532</v>
      </c>
      <c r="B175" s="19" t="s">
        <v>139</v>
      </c>
      <c r="C175" s="20"/>
      <c r="D175" s="21"/>
      <c r="E175" s="22">
        <v>2</v>
      </c>
      <c r="F175" s="20" t="s">
        <v>535</v>
      </c>
      <c r="G175" s="23" t="s">
        <v>568</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x14ac:dyDescent="0.2">
      <c r="A176" s="22" t="s">
        <v>532</v>
      </c>
      <c r="B176" s="19" t="s">
        <v>139</v>
      </c>
      <c r="C176" s="20"/>
      <c r="D176" s="21"/>
      <c r="E176" s="22">
        <v>3</v>
      </c>
      <c r="F176" s="20" t="s">
        <v>536</v>
      </c>
      <c r="G176" s="23" t="s">
        <v>568</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39" x14ac:dyDescent="0.2">
      <c r="A177" s="22" t="s">
        <v>532</v>
      </c>
      <c r="B177" s="19" t="s">
        <v>139</v>
      </c>
      <c r="C177" s="20"/>
      <c r="D177" s="21"/>
      <c r="E177" s="22">
        <v>4</v>
      </c>
      <c r="F177" s="20" t="s">
        <v>537</v>
      </c>
      <c r="G177" s="23" t="s">
        <v>568</v>
      </c>
      <c r="H177" s="22" t="str">
        <f>IFERROR(INDEX('الإعدادات واللجنة'!$C$24:$C$32,MATCH(LEFT(A177,3),'الإعدادات واللجنة'!$A$24:$A$32,0)),"")</f>
        <v>د. عمر بن محمد موسى</v>
      </c>
      <c r="I177" s="24"/>
      <c r="J177" s="24"/>
      <c r="K177" s="22" t="str">
        <f t="shared" si="2"/>
        <v/>
      </c>
      <c r="L177" s="25"/>
      <c r="M177" s="24"/>
      <c r="N177" s="25"/>
      <c r="O177" s="25"/>
      <c r="P177" s="24"/>
      <c r="Q177" s="25"/>
    </row>
    <row r="178" spans="1:17" x14ac:dyDescent="0.2">
      <c r="A178" s="22" t="s">
        <v>532</v>
      </c>
      <c r="B178" s="19" t="s">
        <v>139</v>
      </c>
      <c r="C178" s="20"/>
      <c r="D178" s="21"/>
      <c r="E178" s="22">
        <v>5</v>
      </c>
      <c r="F178" s="20" t="s">
        <v>538</v>
      </c>
      <c r="G178" s="23" t="s">
        <v>568</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39" t="s">
        <v>539</v>
      </c>
      <c r="B179" s="40" t="s">
        <v>140</v>
      </c>
      <c r="C179" s="41" t="s">
        <v>540</v>
      </c>
      <c r="D179" s="42"/>
      <c r="E179" s="32">
        <v>1</v>
      </c>
      <c r="F179" s="41" t="s">
        <v>541</v>
      </c>
      <c r="G179" s="31" t="s">
        <v>568</v>
      </c>
      <c r="H179" s="32" t="str">
        <f>IFERROR(INDEX('الإعدادات واللجنة'!$C$24:$C$32,MATCH(LEFT(A179,3),'الإعدادات واللجنة'!$A$24:$A$32,0)),"")</f>
        <v>د. حسن بن سعد القحطاني</v>
      </c>
      <c r="I179" s="33"/>
      <c r="J179" s="33"/>
      <c r="K179" s="32" t="str">
        <f t="shared" si="2"/>
        <v/>
      </c>
      <c r="L179" s="34"/>
      <c r="M179" s="33"/>
      <c r="N179" s="34"/>
      <c r="O179" s="34"/>
      <c r="P179" s="33"/>
      <c r="Q179" s="34"/>
    </row>
    <row r="180" spans="1:17" ht="24" x14ac:dyDescent="0.2">
      <c r="A180" s="22" t="s">
        <v>539</v>
      </c>
      <c r="B180" s="19" t="s">
        <v>140</v>
      </c>
      <c r="C180" s="20"/>
      <c r="D180" s="21"/>
      <c r="E180" s="22">
        <v>2</v>
      </c>
      <c r="F180" s="20" t="s">
        <v>542</v>
      </c>
      <c r="G180" s="23" t="s">
        <v>568</v>
      </c>
      <c r="H180" s="22" t="str">
        <f>IFERROR(INDEX('الإعدادات واللجنة'!$C$24:$C$32,MATCH(LEFT(A180,3),'الإعدادات واللجنة'!$A$24:$A$32,0)),"")</f>
        <v>د. حسن بن سعد القحطاني</v>
      </c>
      <c r="I180" s="24"/>
      <c r="J180" s="24"/>
      <c r="K180" s="22" t="str">
        <f t="shared" si="2"/>
        <v/>
      </c>
      <c r="L180" s="25"/>
      <c r="M180" s="24"/>
      <c r="N180" s="25"/>
      <c r="O180" s="25"/>
      <c r="P180" s="24"/>
      <c r="Q180" s="25"/>
    </row>
    <row r="181" spans="1:17" ht="26" x14ac:dyDescent="0.2">
      <c r="A181" s="22" t="s">
        <v>539</v>
      </c>
      <c r="B181" s="19" t="s">
        <v>140</v>
      </c>
      <c r="C181" s="20"/>
      <c r="D181" s="21"/>
      <c r="E181" s="22">
        <v>3</v>
      </c>
      <c r="F181" s="20" t="s">
        <v>543</v>
      </c>
      <c r="G181" s="23" t="s">
        <v>568</v>
      </c>
      <c r="H181" s="22" t="str">
        <f>IFERROR(INDEX('الإعدادات واللجنة'!$C$24:$C$32,MATCH(LEFT(A181,3),'الإعدادات واللجنة'!$A$24:$A$32,0)),"")</f>
        <v>د. حسن بن سعد القحطاني</v>
      </c>
      <c r="I181" s="24"/>
      <c r="J181" s="24"/>
      <c r="K181" s="22" t="str">
        <f t="shared" si="2"/>
        <v/>
      </c>
      <c r="L181" s="25"/>
      <c r="M181" s="24"/>
      <c r="N181" s="25"/>
      <c r="O181" s="25"/>
      <c r="P181" s="24"/>
      <c r="Q181" s="25"/>
    </row>
    <row r="182" spans="1:17" ht="26" x14ac:dyDescent="0.2">
      <c r="A182" s="39" t="s">
        <v>544</v>
      </c>
      <c r="B182" s="40" t="s">
        <v>140</v>
      </c>
      <c r="C182" s="41" t="s">
        <v>545</v>
      </c>
      <c r="D182" s="42"/>
      <c r="E182" s="32">
        <v>1</v>
      </c>
      <c r="F182" s="41" t="s">
        <v>546</v>
      </c>
      <c r="G182" s="31" t="s">
        <v>568</v>
      </c>
      <c r="H182" s="32" t="str">
        <f>IFERROR(INDEX('الإعدادات واللجنة'!$C$24:$C$32,MATCH(LEFT(A182,3),'الإعدادات واللجنة'!$A$24:$A$32,0)),"")</f>
        <v>د. حسن بن سعد القحطاني</v>
      </c>
      <c r="I182" s="33"/>
      <c r="J182" s="33"/>
      <c r="K182" s="32" t="str">
        <f t="shared" si="2"/>
        <v/>
      </c>
      <c r="L182" s="34"/>
      <c r="M182" s="33"/>
      <c r="N182" s="34"/>
      <c r="O182" s="34"/>
      <c r="P182" s="33"/>
      <c r="Q182" s="34"/>
    </row>
    <row r="183" spans="1:17" ht="26" x14ac:dyDescent="0.2">
      <c r="A183" s="22" t="s">
        <v>544</v>
      </c>
      <c r="B183" s="19" t="s">
        <v>140</v>
      </c>
      <c r="C183" s="20"/>
      <c r="D183" s="21"/>
      <c r="E183" s="22">
        <v>2</v>
      </c>
      <c r="F183" s="20" t="s">
        <v>547</v>
      </c>
      <c r="G183" s="23" t="s">
        <v>568</v>
      </c>
      <c r="H183" s="22" t="str">
        <f>IFERROR(INDEX('الإعدادات واللجنة'!$C$24:$C$32,MATCH(LEFT(A183,3),'الإعدادات واللجنة'!$A$24:$A$32,0)),"")</f>
        <v>د. حسن بن سعد القحطاني</v>
      </c>
      <c r="I183" s="24"/>
      <c r="J183" s="24"/>
      <c r="K183" s="22" t="str">
        <f t="shared" si="2"/>
        <v/>
      </c>
      <c r="L183" s="25"/>
      <c r="M183" s="24"/>
      <c r="N183" s="25"/>
      <c r="O183" s="25"/>
      <c r="P183" s="24"/>
      <c r="Q183" s="25"/>
    </row>
    <row r="184" spans="1:17" ht="26" x14ac:dyDescent="0.2">
      <c r="A184" s="22" t="s">
        <v>544</v>
      </c>
      <c r="B184" s="19" t="s">
        <v>140</v>
      </c>
      <c r="C184" s="20"/>
      <c r="D184" s="21"/>
      <c r="E184" s="22">
        <v>3</v>
      </c>
      <c r="F184" s="20" t="s">
        <v>548</v>
      </c>
      <c r="G184" s="23" t="s">
        <v>568</v>
      </c>
      <c r="H184" s="22" t="str">
        <f>IFERROR(INDEX('الإعدادات واللجنة'!$C$24:$C$32,MATCH(LEFT(A184,3),'الإعدادات واللجنة'!$A$24:$A$32,0)),"")</f>
        <v>د. حسن بن سعد القحطاني</v>
      </c>
      <c r="I184" s="24"/>
      <c r="J184" s="24"/>
      <c r="K184" s="22" t="str">
        <f t="shared" si="2"/>
        <v/>
      </c>
      <c r="L184" s="25"/>
      <c r="M184" s="24"/>
      <c r="N184" s="25"/>
      <c r="O184" s="25"/>
      <c r="P184" s="24"/>
      <c r="Q184" s="25"/>
    </row>
    <row r="185" spans="1:17" ht="39" x14ac:dyDescent="0.2">
      <c r="A185" s="26" t="s">
        <v>549</v>
      </c>
      <c r="B185" s="27" t="s">
        <v>140</v>
      </c>
      <c r="C185" s="28" t="s">
        <v>550</v>
      </c>
      <c r="D185" s="29" t="s">
        <v>278</v>
      </c>
      <c r="E185" s="30">
        <v>1</v>
      </c>
      <c r="F185" s="28" t="s">
        <v>551</v>
      </c>
      <c r="G185" s="31" t="s">
        <v>568</v>
      </c>
      <c r="H185" s="32" t="str">
        <f>IFERROR(INDEX('الإعدادات واللجنة'!$C$24:$C$32,MATCH(LEFT(A185,3),'الإعدادات واللجنة'!$A$24:$A$32,0)),"")</f>
        <v>د. حسن بن سعد القحطاني</v>
      </c>
      <c r="I185" s="33"/>
      <c r="J185" s="33"/>
      <c r="K185" s="32" t="str">
        <f t="shared" si="2"/>
        <v/>
      </c>
      <c r="L185" s="34"/>
      <c r="M185" s="33"/>
      <c r="N185" s="34"/>
      <c r="O185" s="34"/>
      <c r="P185" s="33"/>
      <c r="Q185" s="34"/>
    </row>
    <row r="186" spans="1:17" ht="26" x14ac:dyDescent="0.2">
      <c r="A186" s="35" t="s">
        <v>549</v>
      </c>
      <c r="B186" s="36" t="s">
        <v>140</v>
      </c>
      <c r="C186" s="37"/>
      <c r="D186" s="38" t="s">
        <v>278</v>
      </c>
      <c r="E186" s="35">
        <v>2</v>
      </c>
      <c r="F186" s="37" t="s">
        <v>552</v>
      </c>
      <c r="G186" s="23" t="s">
        <v>568</v>
      </c>
      <c r="H186" s="22" t="str">
        <f>IFERROR(INDEX('الإعدادات واللجنة'!$C$24:$C$32,MATCH(LEFT(A186,3),'الإعدادات واللجنة'!$A$24:$A$32,0)),"")</f>
        <v>د. حسن بن سعد القحطاني</v>
      </c>
      <c r="I186" s="24"/>
      <c r="J186" s="24"/>
      <c r="K186" s="22" t="str">
        <f t="shared" si="2"/>
        <v/>
      </c>
      <c r="L186" s="25"/>
      <c r="M186" s="24"/>
      <c r="N186" s="25"/>
      <c r="O186" s="25"/>
      <c r="P186" s="24"/>
      <c r="Q186" s="25"/>
    </row>
    <row r="187" spans="1:17" ht="26" x14ac:dyDescent="0.2">
      <c r="A187" s="35" t="s">
        <v>549</v>
      </c>
      <c r="B187" s="36" t="s">
        <v>140</v>
      </c>
      <c r="C187" s="37"/>
      <c r="D187" s="38" t="s">
        <v>278</v>
      </c>
      <c r="E187" s="35">
        <v>3</v>
      </c>
      <c r="F187" s="37" t="s">
        <v>553</v>
      </c>
      <c r="G187" s="23" t="s">
        <v>568</v>
      </c>
      <c r="H187" s="22" t="str">
        <f>IFERROR(INDEX('الإعدادات واللجنة'!$C$24:$C$32,MATCH(LEFT(A187,3),'الإعدادات واللجنة'!$A$24:$A$32,0)),"")</f>
        <v>د. حسن بن سعد القحطاني</v>
      </c>
      <c r="I187" s="24"/>
      <c r="J187" s="24"/>
      <c r="K187" s="22" t="str">
        <f t="shared" si="2"/>
        <v/>
      </c>
      <c r="L187" s="25"/>
      <c r="M187" s="24"/>
      <c r="N187" s="25"/>
      <c r="O187" s="25"/>
      <c r="P187" s="24"/>
      <c r="Q187" s="25"/>
    </row>
    <row r="188" spans="1:17" ht="24" x14ac:dyDescent="0.2">
      <c r="A188" s="35" t="s">
        <v>549</v>
      </c>
      <c r="B188" s="36" t="s">
        <v>140</v>
      </c>
      <c r="C188" s="37"/>
      <c r="D188" s="38" t="s">
        <v>278</v>
      </c>
      <c r="E188" s="35">
        <v>4</v>
      </c>
      <c r="F188" s="37" t="s">
        <v>554</v>
      </c>
      <c r="G188" s="23" t="s">
        <v>568</v>
      </c>
      <c r="H188" s="22" t="str">
        <f>IFERROR(INDEX('الإعدادات واللجنة'!$C$24:$C$32,MATCH(LEFT(A188,3),'الإعدادات واللجنة'!$A$24:$A$32,0)),"")</f>
        <v>د. حسن بن سعد القحطاني</v>
      </c>
      <c r="I188" s="24"/>
      <c r="J188" s="24"/>
      <c r="K188" s="22" t="str">
        <f t="shared" si="2"/>
        <v/>
      </c>
      <c r="L188" s="25"/>
      <c r="M188" s="24"/>
      <c r="N188" s="25"/>
      <c r="O188" s="25"/>
      <c r="P188" s="24"/>
      <c r="Q188" s="25"/>
    </row>
    <row r="189" spans="1:17" ht="24" x14ac:dyDescent="0.2">
      <c r="A189" s="35" t="s">
        <v>549</v>
      </c>
      <c r="B189" s="36" t="s">
        <v>140</v>
      </c>
      <c r="C189" s="37"/>
      <c r="D189" s="38" t="s">
        <v>278</v>
      </c>
      <c r="E189" s="35">
        <v>5</v>
      </c>
      <c r="F189" s="37" t="s">
        <v>555</v>
      </c>
      <c r="G189" s="23" t="s">
        <v>568</v>
      </c>
      <c r="H189" s="22" t="str">
        <f>IFERROR(INDEX('الإعدادات واللجنة'!$C$24:$C$32,MATCH(LEFT(A189,3),'الإعدادات واللجنة'!$A$24:$A$32,0)),"")</f>
        <v>د. حسن بن سعد القحطاني</v>
      </c>
      <c r="I189" s="24"/>
      <c r="J189" s="24"/>
      <c r="K189" s="22" t="str">
        <f t="shared" si="2"/>
        <v/>
      </c>
      <c r="L189" s="25"/>
      <c r="M189" s="24"/>
      <c r="N189" s="25"/>
      <c r="O189" s="25"/>
      <c r="P189" s="24"/>
      <c r="Q189" s="25"/>
    </row>
    <row r="190" spans="1:17" ht="24" x14ac:dyDescent="0.2">
      <c r="A190" s="35" t="s">
        <v>549</v>
      </c>
      <c r="B190" s="36" t="s">
        <v>140</v>
      </c>
      <c r="C190" s="37"/>
      <c r="D190" s="38" t="s">
        <v>278</v>
      </c>
      <c r="E190" s="35">
        <v>6</v>
      </c>
      <c r="F190" s="37" t="s">
        <v>556</v>
      </c>
      <c r="G190" s="23" t="s">
        <v>568</v>
      </c>
      <c r="H190" s="22" t="str">
        <f>IFERROR(INDEX('الإعدادات واللجنة'!$C$24:$C$32,MATCH(LEFT(A190,3),'الإعدادات واللجنة'!$A$24:$A$32,0)),"")</f>
        <v>د. حسن بن سعد القحطاني</v>
      </c>
      <c r="I190" s="24"/>
      <c r="J190" s="24"/>
      <c r="K190" s="22" t="str">
        <f t="shared" si="2"/>
        <v/>
      </c>
      <c r="L190" s="25"/>
      <c r="M190" s="24"/>
      <c r="N190" s="25"/>
      <c r="O190" s="25"/>
      <c r="P190" s="24"/>
      <c r="Q190" s="25"/>
    </row>
    <row r="191" spans="1:17" ht="26" x14ac:dyDescent="0.2">
      <c r="A191" s="39" t="s">
        <v>557</v>
      </c>
      <c r="B191" s="40" t="s">
        <v>140</v>
      </c>
      <c r="C191" s="41" t="s">
        <v>558</v>
      </c>
      <c r="D191" s="42"/>
      <c r="E191" s="32">
        <v>1</v>
      </c>
      <c r="F191" s="41" t="s">
        <v>559</v>
      </c>
      <c r="G191" s="31" t="s">
        <v>568</v>
      </c>
      <c r="H191" s="32" t="str">
        <f>IFERROR(INDEX('الإعدادات واللجنة'!$C$24:$C$32,MATCH(LEFT(A191,3),'الإعدادات واللجنة'!$A$24:$A$32,0)),"")</f>
        <v>د. حسن بن سعد القحطاني</v>
      </c>
      <c r="I191" s="33"/>
      <c r="J191" s="33"/>
      <c r="K191" s="32" t="str">
        <f t="shared" si="2"/>
        <v/>
      </c>
      <c r="L191" s="34"/>
      <c r="M191" s="33"/>
      <c r="N191" s="34"/>
      <c r="O191" s="34"/>
      <c r="P191" s="33"/>
      <c r="Q191" s="34"/>
    </row>
    <row r="192" spans="1:17" ht="26" x14ac:dyDescent="0.2">
      <c r="A192" s="22" t="s">
        <v>557</v>
      </c>
      <c r="B192" s="19" t="s">
        <v>140</v>
      </c>
      <c r="C192" s="20"/>
      <c r="D192" s="21"/>
      <c r="E192" s="22">
        <v>2</v>
      </c>
      <c r="F192" s="20" t="s">
        <v>560</v>
      </c>
      <c r="G192" s="23" t="s">
        <v>568</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4" x14ac:dyDescent="0.2">
      <c r="A193" s="22" t="s">
        <v>557</v>
      </c>
      <c r="B193" s="19" t="s">
        <v>140</v>
      </c>
      <c r="C193" s="20"/>
      <c r="D193" s="21"/>
      <c r="E193" s="22">
        <v>3</v>
      </c>
      <c r="F193" s="20" t="s">
        <v>561</v>
      </c>
      <c r="G193" s="23" t="s">
        <v>568</v>
      </c>
      <c r="H193" s="22" t="str">
        <f>IFERROR(INDEX('الإعدادات واللجنة'!$C$24:$C$32,MATCH(LEFT(A193,3),'الإعدادات واللجنة'!$A$24:$A$32,0)),"")</f>
        <v>د. حسن بن سعد القحطاني</v>
      </c>
      <c r="I193" s="24"/>
      <c r="J193" s="24"/>
      <c r="K193" s="22" t="str">
        <f t="shared" si="2"/>
        <v/>
      </c>
      <c r="L193" s="25"/>
      <c r="M193" s="24"/>
      <c r="N193" s="25"/>
      <c r="O193" s="25"/>
      <c r="P193" s="24"/>
      <c r="Q193" s="25"/>
    </row>
    <row r="194" spans="1:17" ht="24" x14ac:dyDescent="0.2">
      <c r="A194" s="22" t="s">
        <v>557</v>
      </c>
      <c r="B194" s="19" t="s">
        <v>140</v>
      </c>
      <c r="C194" s="20"/>
      <c r="D194" s="21"/>
      <c r="E194" s="22">
        <v>4</v>
      </c>
      <c r="F194" s="20" t="s">
        <v>562</v>
      </c>
      <c r="G194" s="23" t="s">
        <v>568</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557</v>
      </c>
      <c r="B195" s="19" t="s">
        <v>140</v>
      </c>
      <c r="C195" s="20"/>
      <c r="D195" s="21"/>
      <c r="E195" s="22">
        <v>5</v>
      </c>
      <c r="F195" s="20" t="s">
        <v>563</v>
      </c>
      <c r="G195" s="23" t="s">
        <v>568</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26" x14ac:dyDescent="0.2">
      <c r="A196" s="39" t="s">
        <v>564</v>
      </c>
      <c r="B196" s="40" t="s">
        <v>140</v>
      </c>
      <c r="C196" s="41" t="s">
        <v>565</v>
      </c>
      <c r="D196" s="42"/>
      <c r="E196" s="32">
        <v>1</v>
      </c>
      <c r="F196" s="41" t="s">
        <v>566</v>
      </c>
      <c r="G196" s="31" t="s">
        <v>568</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4" x14ac:dyDescent="0.2">
      <c r="A197" s="22" t="s">
        <v>564</v>
      </c>
      <c r="B197" s="19" t="s">
        <v>140</v>
      </c>
      <c r="C197" s="20"/>
      <c r="D197" s="21"/>
      <c r="E197" s="22">
        <v>2</v>
      </c>
      <c r="F197" s="20" t="s">
        <v>567</v>
      </c>
      <c r="G197" s="23" t="s">
        <v>568</v>
      </c>
      <c r="H197" s="22" t="str">
        <f>IFERROR(INDEX('الإعدادات واللجنة'!$C$24:$C$32,MATCH(LEFT(A197,3),'الإعدادات واللجنة'!$A$24:$A$32,0)),"")</f>
        <v>د. حسن بن سعد القحطاني</v>
      </c>
      <c r="I197" s="24"/>
      <c r="J197" s="24"/>
      <c r="K197" s="22" t="str">
        <f t="shared" ref="K197:K230" si="3">IF(OR(I197="",I197="متوفر ومكتمل"),"",IF(OR(D197="★",I197="غير متوفر"),"عالية","متوسطة"))</f>
        <v/>
      </c>
      <c r="L197" s="25"/>
      <c r="M197" s="24"/>
      <c r="N197" s="25"/>
      <c r="O197" s="25"/>
      <c r="P197" s="24"/>
      <c r="Q197" s="25"/>
    </row>
    <row r="198" spans="1:17" ht="26" x14ac:dyDescent="0.2">
      <c r="A198" s="26" t="s">
        <v>571</v>
      </c>
      <c r="B198" s="27" t="s">
        <v>143</v>
      </c>
      <c r="C198" s="28" t="s">
        <v>572</v>
      </c>
      <c r="D198" s="29" t="s">
        <v>278</v>
      </c>
      <c r="E198" s="30">
        <v>1</v>
      </c>
      <c r="F198" s="28" t="s">
        <v>573</v>
      </c>
      <c r="G198" s="43" t="s">
        <v>574</v>
      </c>
      <c r="H198" s="32" t="str">
        <f>IFERROR(INDEX('الإعدادات واللجنة'!$C$24:$C$32,MATCH(LEFT(A198,3),'الإعدادات واللجنة'!$A$24:$A$32,0)),"")</f>
        <v>د. عمر بن محمد موسى</v>
      </c>
      <c r="I198" s="33"/>
      <c r="J198" s="33"/>
      <c r="K198" s="32" t="str">
        <f t="shared" si="3"/>
        <v/>
      </c>
      <c r="L198" s="34"/>
      <c r="M198" s="33"/>
      <c r="N198" s="34"/>
      <c r="O198" s="34"/>
      <c r="P198" s="33"/>
      <c r="Q198" s="34"/>
    </row>
    <row r="199" spans="1:17" ht="26" x14ac:dyDescent="0.2">
      <c r="A199" s="35" t="s">
        <v>571</v>
      </c>
      <c r="B199" s="36" t="s">
        <v>143</v>
      </c>
      <c r="C199" s="37"/>
      <c r="D199" s="38" t="s">
        <v>278</v>
      </c>
      <c r="E199" s="35">
        <v>2</v>
      </c>
      <c r="F199" s="37" t="s">
        <v>575</v>
      </c>
      <c r="G199" s="44" t="s">
        <v>574</v>
      </c>
      <c r="H199" s="22" t="str">
        <f>IFERROR(INDEX('الإعدادات واللجنة'!$C$24:$C$32,MATCH(LEFT(A199,3),'الإعدادات واللجنة'!$A$24:$A$32,0)),"")</f>
        <v>د. عمر بن محمد موسى</v>
      </c>
      <c r="I199" s="24"/>
      <c r="J199" s="24"/>
      <c r="K199" s="22" t="str">
        <f t="shared" si="3"/>
        <v/>
      </c>
      <c r="L199" s="25"/>
      <c r="M199" s="24"/>
      <c r="N199" s="25"/>
      <c r="O199" s="25"/>
      <c r="P199" s="24"/>
      <c r="Q199" s="25"/>
    </row>
    <row r="200" spans="1:17" ht="24" x14ac:dyDescent="0.2">
      <c r="A200" s="35" t="s">
        <v>571</v>
      </c>
      <c r="B200" s="36" t="s">
        <v>143</v>
      </c>
      <c r="C200" s="37"/>
      <c r="D200" s="38" t="s">
        <v>278</v>
      </c>
      <c r="E200" s="35">
        <v>3</v>
      </c>
      <c r="F200" s="37" t="s">
        <v>576</v>
      </c>
      <c r="G200" s="44" t="s">
        <v>574</v>
      </c>
      <c r="H200" s="22" t="str">
        <f>IFERROR(INDEX('الإعدادات واللجنة'!$C$24:$C$32,MATCH(LEFT(A200,3),'الإعدادات واللجنة'!$A$24:$A$32,0)),"")</f>
        <v>د. عمر بن محمد موسى</v>
      </c>
      <c r="I200" s="24"/>
      <c r="J200" s="24"/>
      <c r="K200" s="22" t="str">
        <f t="shared" si="3"/>
        <v/>
      </c>
      <c r="L200" s="25"/>
      <c r="M200" s="24"/>
      <c r="N200" s="25"/>
      <c r="O200" s="25"/>
      <c r="P200" s="24"/>
      <c r="Q200" s="25"/>
    </row>
    <row r="201" spans="1:17" ht="26" x14ac:dyDescent="0.2">
      <c r="A201" s="39" t="s">
        <v>577</v>
      </c>
      <c r="B201" s="40" t="s">
        <v>143</v>
      </c>
      <c r="C201" s="41" t="s">
        <v>578</v>
      </c>
      <c r="D201" s="42"/>
      <c r="E201" s="32">
        <v>1</v>
      </c>
      <c r="F201" s="41" t="s">
        <v>579</v>
      </c>
      <c r="G201" s="43" t="s">
        <v>574</v>
      </c>
      <c r="H201" s="32" t="str">
        <f>IFERROR(INDEX('الإعدادات واللجنة'!$C$24:$C$32,MATCH(LEFT(A201,3),'الإعدادات واللجنة'!$A$24:$A$32,0)),"")</f>
        <v>د. عمر بن محمد موسى</v>
      </c>
      <c r="I201" s="33"/>
      <c r="J201" s="33"/>
      <c r="K201" s="32" t="str">
        <f t="shared" si="3"/>
        <v/>
      </c>
      <c r="L201" s="34"/>
      <c r="M201" s="33"/>
      <c r="N201" s="34"/>
      <c r="O201" s="34"/>
      <c r="P201" s="33"/>
      <c r="Q201" s="34"/>
    </row>
    <row r="202" spans="1:17" ht="24" x14ac:dyDescent="0.2">
      <c r="A202" s="22" t="s">
        <v>577</v>
      </c>
      <c r="B202" s="19" t="s">
        <v>143</v>
      </c>
      <c r="C202" s="20"/>
      <c r="D202" s="21"/>
      <c r="E202" s="22">
        <v>2</v>
      </c>
      <c r="F202" s="20" t="s">
        <v>580</v>
      </c>
      <c r="G202" s="44" t="s">
        <v>574</v>
      </c>
      <c r="H202" s="22" t="str">
        <f>IFERROR(INDEX('الإعدادات واللجنة'!$C$24:$C$32,MATCH(LEFT(A202,3),'الإعدادات واللجنة'!$A$24:$A$32,0)),"")</f>
        <v>د. عمر بن محمد موسى</v>
      </c>
      <c r="I202" s="24"/>
      <c r="J202" s="24"/>
      <c r="K202" s="22" t="str">
        <f t="shared" si="3"/>
        <v/>
      </c>
      <c r="L202" s="25"/>
      <c r="M202" s="24"/>
      <c r="N202" s="25"/>
      <c r="O202" s="25"/>
      <c r="P202" s="24"/>
      <c r="Q202" s="25"/>
    </row>
    <row r="203" spans="1:17" ht="24" x14ac:dyDescent="0.2">
      <c r="A203" s="22" t="s">
        <v>577</v>
      </c>
      <c r="B203" s="19" t="s">
        <v>143</v>
      </c>
      <c r="C203" s="20"/>
      <c r="D203" s="21"/>
      <c r="E203" s="22">
        <v>3</v>
      </c>
      <c r="F203" s="20" t="s">
        <v>581</v>
      </c>
      <c r="G203" s="44" t="s">
        <v>574</v>
      </c>
      <c r="H203" s="22" t="str">
        <f>IFERROR(INDEX('الإعدادات واللجنة'!$C$24:$C$32,MATCH(LEFT(A203,3),'الإعدادات واللجنة'!$A$24:$A$32,0)),"")</f>
        <v>د. عمر بن محمد موسى</v>
      </c>
      <c r="I203" s="24"/>
      <c r="J203" s="24"/>
      <c r="K203" s="22" t="str">
        <f t="shared" si="3"/>
        <v/>
      </c>
      <c r="L203" s="25"/>
      <c r="M203" s="24"/>
      <c r="N203" s="25"/>
      <c r="O203" s="25"/>
      <c r="P203" s="24"/>
      <c r="Q203" s="25"/>
    </row>
    <row r="204" spans="1:17" ht="24" x14ac:dyDescent="0.2">
      <c r="A204" s="39" t="s">
        <v>582</v>
      </c>
      <c r="B204" s="40" t="s">
        <v>143</v>
      </c>
      <c r="C204" s="41" t="s">
        <v>583</v>
      </c>
      <c r="D204" s="42"/>
      <c r="E204" s="32">
        <v>1</v>
      </c>
      <c r="F204" s="41" t="s">
        <v>584</v>
      </c>
      <c r="G204" s="43" t="s">
        <v>574</v>
      </c>
      <c r="H204" s="32" t="str">
        <f>IFERROR(INDEX('الإعدادات واللجنة'!$C$24:$C$32,MATCH(LEFT(A204,3),'الإعدادات واللجنة'!$A$24:$A$32,0)),"")</f>
        <v>د. عمر بن محمد موسى</v>
      </c>
      <c r="I204" s="33"/>
      <c r="J204" s="33"/>
      <c r="K204" s="32" t="str">
        <f t="shared" si="3"/>
        <v/>
      </c>
      <c r="L204" s="34"/>
      <c r="M204" s="33"/>
      <c r="N204" s="34"/>
      <c r="O204" s="34"/>
      <c r="P204" s="33"/>
      <c r="Q204" s="34"/>
    </row>
    <row r="205" spans="1:17" ht="24" x14ac:dyDescent="0.2">
      <c r="A205" s="22" t="s">
        <v>582</v>
      </c>
      <c r="B205" s="19" t="s">
        <v>143</v>
      </c>
      <c r="C205" s="20"/>
      <c r="D205" s="21"/>
      <c r="E205" s="22">
        <v>2</v>
      </c>
      <c r="F205" s="20" t="s">
        <v>585</v>
      </c>
      <c r="G205" s="44" t="s">
        <v>574</v>
      </c>
      <c r="H205" s="22" t="str">
        <f>IFERROR(INDEX('الإعدادات واللجنة'!$C$24:$C$32,MATCH(LEFT(A205,3),'الإعدادات واللجنة'!$A$24:$A$32,0)),"")</f>
        <v>د. عمر بن محمد موسى</v>
      </c>
      <c r="I205" s="24"/>
      <c r="J205" s="24"/>
      <c r="K205" s="22" t="str">
        <f t="shared" si="3"/>
        <v/>
      </c>
      <c r="L205" s="25"/>
      <c r="M205" s="24"/>
      <c r="N205" s="25"/>
      <c r="O205" s="25"/>
      <c r="P205" s="24"/>
      <c r="Q205" s="25"/>
    </row>
    <row r="206" spans="1:17" ht="24" x14ac:dyDescent="0.2">
      <c r="A206" s="22" t="s">
        <v>582</v>
      </c>
      <c r="B206" s="19" t="s">
        <v>143</v>
      </c>
      <c r="C206" s="20"/>
      <c r="D206" s="21"/>
      <c r="E206" s="22">
        <v>3</v>
      </c>
      <c r="F206" s="20" t="s">
        <v>586</v>
      </c>
      <c r="G206" s="44" t="s">
        <v>574</v>
      </c>
      <c r="H206" s="22" t="str">
        <f>IFERROR(INDEX('الإعدادات واللجنة'!$C$24:$C$32,MATCH(LEFT(A206,3),'الإعدادات واللجنة'!$A$24:$A$32,0)),"")</f>
        <v>د. عمر بن محمد موسى</v>
      </c>
      <c r="I206" s="24"/>
      <c r="J206" s="24"/>
      <c r="K206" s="22" t="str">
        <f t="shared" si="3"/>
        <v/>
      </c>
      <c r="L206" s="25"/>
      <c r="M206" s="24"/>
      <c r="N206" s="25"/>
      <c r="O206" s="25"/>
      <c r="P206" s="24"/>
      <c r="Q206" s="25"/>
    </row>
    <row r="207" spans="1:17" ht="26" x14ac:dyDescent="0.2">
      <c r="A207" s="39" t="s">
        <v>587</v>
      </c>
      <c r="B207" s="40" t="s">
        <v>143</v>
      </c>
      <c r="C207" s="41" t="s">
        <v>588</v>
      </c>
      <c r="D207" s="42"/>
      <c r="E207" s="32">
        <v>1</v>
      </c>
      <c r="F207" s="41" t="s">
        <v>589</v>
      </c>
      <c r="G207" s="43" t="s">
        <v>574</v>
      </c>
      <c r="H207" s="32" t="str">
        <f>IFERROR(INDEX('الإعدادات واللجنة'!$C$24:$C$32,MATCH(LEFT(A207,3),'الإعدادات واللجنة'!$A$24:$A$32,0)),"")</f>
        <v>د. عمر بن محمد موسى</v>
      </c>
      <c r="I207" s="33"/>
      <c r="J207" s="33"/>
      <c r="K207" s="32" t="str">
        <f t="shared" si="3"/>
        <v/>
      </c>
      <c r="L207" s="34"/>
      <c r="M207" s="33"/>
      <c r="N207" s="34"/>
      <c r="O207" s="34"/>
      <c r="P207" s="33"/>
      <c r="Q207" s="34"/>
    </row>
    <row r="208" spans="1:17" ht="24" x14ac:dyDescent="0.2">
      <c r="A208" s="22" t="s">
        <v>587</v>
      </c>
      <c r="B208" s="19" t="s">
        <v>143</v>
      </c>
      <c r="C208" s="20"/>
      <c r="D208" s="21"/>
      <c r="E208" s="22">
        <v>2</v>
      </c>
      <c r="F208" s="20" t="s">
        <v>590</v>
      </c>
      <c r="G208" s="44" t="s">
        <v>574</v>
      </c>
      <c r="H208" s="22" t="str">
        <f>IFERROR(INDEX('الإعدادات واللجنة'!$C$24:$C$32,MATCH(LEFT(A208,3),'الإعدادات واللجنة'!$A$24:$A$32,0)),"")</f>
        <v>د. عمر بن محمد موسى</v>
      </c>
      <c r="I208" s="24"/>
      <c r="J208" s="24"/>
      <c r="K208" s="22" t="str">
        <f t="shared" si="3"/>
        <v/>
      </c>
      <c r="L208" s="25"/>
      <c r="M208" s="24"/>
      <c r="N208" s="25"/>
      <c r="O208" s="25"/>
      <c r="P208" s="24"/>
      <c r="Q208" s="25"/>
    </row>
    <row r="209" spans="1:17" ht="24" x14ac:dyDescent="0.2">
      <c r="A209" s="22" t="s">
        <v>587</v>
      </c>
      <c r="B209" s="19" t="s">
        <v>143</v>
      </c>
      <c r="C209" s="20"/>
      <c r="D209" s="21"/>
      <c r="E209" s="22">
        <v>3</v>
      </c>
      <c r="F209" s="20" t="s">
        <v>591</v>
      </c>
      <c r="G209" s="44" t="s">
        <v>574</v>
      </c>
      <c r="H209" s="22" t="str">
        <f>IFERROR(INDEX('الإعدادات واللجنة'!$C$24:$C$32,MATCH(LEFT(A209,3),'الإعدادات واللجنة'!$A$24:$A$32,0)),"")</f>
        <v>د. عمر بن محمد موسى</v>
      </c>
      <c r="I209" s="24"/>
      <c r="J209" s="24"/>
      <c r="K209" s="22" t="str">
        <f t="shared" si="3"/>
        <v/>
      </c>
      <c r="L209" s="25"/>
      <c r="M209" s="24"/>
      <c r="N209" s="25"/>
      <c r="O209" s="25"/>
      <c r="P209" s="24"/>
      <c r="Q209" s="25"/>
    </row>
    <row r="210" spans="1:17" ht="26" x14ac:dyDescent="0.2">
      <c r="A210" s="39" t="s">
        <v>592</v>
      </c>
      <c r="B210" s="40" t="s">
        <v>143</v>
      </c>
      <c r="C210" s="41" t="s">
        <v>593</v>
      </c>
      <c r="D210" s="42"/>
      <c r="E210" s="32">
        <v>1</v>
      </c>
      <c r="F210" s="41" t="s">
        <v>594</v>
      </c>
      <c r="G210" s="43" t="s">
        <v>574</v>
      </c>
      <c r="H210" s="32" t="str">
        <f>IFERROR(INDEX('الإعدادات واللجنة'!$C$24:$C$32,MATCH(LEFT(A210,3),'الإعدادات واللجنة'!$A$24:$A$32,0)),"")</f>
        <v>د. عمر بن محمد موسى</v>
      </c>
      <c r="I210" s="33"/>
      <c r="J210" s="33"/>
      <c r="K210" s="32" t="str">
        <f t="shared" si="3"/>
        <v/>
      </c>
      <c r="L210" s="34"/>
      <c r="M210" s="33"/>
      <c r="N210" s="34"/>
      <c r="O210" s="34"/>
      <c r="P210" s="33"/>
      <c r="Q210" s="34"/>
    </row>
    <row r="211" spans="1:17" ht="24" x14ac:dyDescent="0.2">
      <c r="A211" s="22" t="s">
        <v>592</v>
      </c>
      <c r="B211" s="19" t="s">
        <v>143</v>
      </c>
      <c r="C211" s="20"/>
      <c r="D211" s="21"/>
      <c r="E211" s="22">
        <v>2</v>
      </c>
      <c r="F211" s="20" t="s">
        <v>595</v>
      </c>
      <c r="G211" s="44" t="s">
        <v>574</v>
      </c>
      <c r="H211" s="22" t="str">
        <f>IFERROR(INDEX('الإعدادات واللجنة'!$C$24:$C$32,MATCH(LEFT(A211,3),'الإعدادات واللجنة'!$A$24:$A$32,0)),"")</f>
        <v>د. عمر بن محمد موسى</v>
      </c>
      <c r="I211" s="24"/>
      <c r="J211" s="24"/>
      <c r="K211" s="22" t="str">
        <f t="shared" si="3"/>
        <v/>
      </c>
      <c r="L211" s="25"/>
      <c r="M211" s="24"/>
      <c r="N211" s="25"/>
      <c r="O211" s="25"/>
      <c r="P211" s="24"/>
      <c r="Q211" s="25"/>
    </row>
    <row r="212" spans="1:17" ht="24" x14ac:dyDescent="0.2">
      <c r="A212" s="22" t="s">
        <v>592</v>
      </c>
      <c r="B212" s="19" t="s">
        <v>143</v>
      </c>
      <c r="C212" s="20"/>
      <c r="D212" s="21"/>
      <c r="E212" s="22">
        <v>3</v>
      </c>
      <c r="F212" s="20" t="s">
        <v>596</v>
      </c>
      <c r="G212" s="44" t="s">
        <v>574</v>
      </c>
      <c r="H212" s="22" t="str">
        <f>IFERROR(INDEX('الإعدادات واللجنة'!$C$24:$C$32,MATCH(LEFT(A212,3),'الإعدادات واللجنة'!$A$24:$A$32,0)),"")</f>
        <v>د. عمر بن محمد موسى</v>
      </c>
      <c r="I212" s="24"/>
      <c r="J212" s="24"/>
      <c r="K212" s="22" t="str">
        <f t="shared" si="3"/>
        <v/>
      </c>
      <c r="L212" s="25"/>
      <c r="M212" s="24"/>
      <c r="N212" s="25"/>
      <c r="O212" s="25"/>
      <c r="P212" s="24"/>
      <c r="Q212" s="25"/>
    </row>
    <row r="213" spans="1:17" ht="26" x14ac:dyDescent="0.2">
      <c r="A213" s="39" t="s">
        <v>597</v>
      </c>
      <c r="B213" s="40" t="s">
        <v>143</v>
      </c>
      <c r="C213" s="41" t="s">
        <v>598</v>
      </c>
      <c r="D213" s="42"/>
      <c r="E213" s="32">
        <v>1</v>
      </c>
      <c r="F213" s="41" t="s">
        <v>599</v>
      </c>
      <c r="G213" s="43" t="s">
        <v>574</v>
      </c>
      <c r="H213" s="32" t="str">
        <f>IFERROR(INDEX('الإعدادات واللجنة'!$C$24:$C$32,MATCH(LEFT(A213,3),'الإعدادات واللجنة'!$A$24:$A$32,0)),"")</f>
        <v>د. عمر بن محمد موسى</v>
      </c>
      <c r="I213" s="33"/>
      <c r="J213" s="33"/>
      <c r="K213" s="32" t="str">
        <f t="shared" si="3"/>
        <v/>
      </c>
      <c r="L213" s="34"/>
      <c r="M213" s="33"/>
      <c r="N213" s="34"/>
      <c r="O213" s="34"/>
      <c r="P213" s="33"/>
      <c r="Q213" s="34"/>
    </row>
    <row r="214" spans="1:17" ht="24" x14ac:dyDescent="0.2">
      <c r="A214" s="22" t="s">
        <v>597</v>
      </c>
      <c r="B214" s="19" t="s">
        <v>143</v>
      </c>
      <c r="C214" s="20"/>
      <c r="D214" s="21"/>
      <c r="E214" s="22">
        <v>2</v>
      </c>
      <c r="F214" s="20" t="s">
        <v>600</v>
      </c>
      <c r="G214" s="44" t="s">
        <v>574</v>
      </c>
      <c r="H214" s="22" t="str">
        <f>IFERROR(INDEX('الإعدادات واللجنة'!$C$24:$C$32,MATCH(LEFT(A214,3),'الإعدادات واللجنة'!$A$24:$A$32,0)),"")</f>
        <v>د. عمر بن محمد موسى</v>
      </c>
      <c r="I214" s="24"/>
      <c r="J214" s="24"/>
      <c r="K214" s="22" t="str">
        <f t="shared" si="3"/>
        <v/>
      </c>
      <c r="L214" s="25"/>
      <c r="M214" s="24"/>
      <c r="N214" s="25"/>
      <c r="O214" s="25"/>
      <c r="P214" s="24"/>
      <c r="Q214" s="25"/>
    </row>
    <row r="215" spans="1:17" ht="24" x14ac:dyDescent="0.2">
      <c r="A215" s="22" t="s">
        <v>597</v>
      </c>
      <c r="B215" s="19" t="s">
        <v>143</v>
      </c>
      <c r="C215" s="20"/>
      <c r="D215" s="21"/>
      <c r="E215" s="22">
        <v>3</v>
      </c>
      <c r="F215" s="20" t="s">
        <v>601</v>
      </c>
      <c r="G215" s="44" t="s">
        <v>574</v>
      </c>
      <c r="H215" s="22" t="str">
        <f>IFERROR(INDEX('الإعدادات واللجنة'!$C$24:$C$32,MATCH(LEFT(A215,3),'الإعدادات واللجنة'!$A$24:$A$32,0)),"")</f>
        <v>د. عمر بن محمد موسى</v>
      </c>
      <c r="I215" s="24"/>
      <c r="J215" s="24"/>
      <c r="K215" s="22" t="str">
        <f t="shared" si="3"/>
        <v/>
      </c>
      <c r="L215" s="25"/>
      <c r="M215" s="24"/>
      <c r="N215" s="25"/>
      <c r="O215" s="25"/>
      <c r="P215" s="24"/>
      <c r="Q215" s="25"/>
    </row>
    <row r="216" spans="1:17" ht="26" x14ac:dyDescent="0.2">
      <c r="A216" s="39" t="s">
        <v>602</v>
      </c>
      <c r="B216" s="40" t="s">
        <v>143</v>
      </c>
      <c r="C216" s="41" t="s">
        <v>603</v>
      </c>
      <c r="D216" s="42"/>
      <c r="E216" s="32">
        <v>1</v>
      </c>
      <c r="F216" s="41" t="s">
        <v>604</v>
      </c>
      <c r="G216" s="43" t="s">
        <v>574</v>
      </c>
      <c r="H216" s="32" t="str">
        <f>IFERROR(INDEX('الإعدادات واللجنة'!$C$24:$C$32,MATCH(LEFT(A216,3),'الإعدادات واللجنة'!$A$24:$A$32,0)),"")</f>
        <v>د. عمر بن محمد موسى</v>
      </c>
      <c r="I216" s="33"/>
      <c r="J216" s="33"/>
      <c r="K216" s="32" t="str">
        <f t="shared" si="3"/>
        <v/>
      </c>
      <c r="L216" s="34"/>
      <c r="M216" s="33"/>
      <c r="N216" s="34"/>
      <c r="O216" s="34"/>
      <c r="P216" s="33"/>
      <c r="Q216" s="34"/>
    </row>
    <row r="217" spans="1:17" ht="24" x14ac:dyDescent="0.2">
      <c r="A217" s="22" t="s">
        <v>602</v>
      </c>
      <c r="B217" s="19" t="s">
        <v>143</v>
      </c>
      <c r="C217" s="20"/>
      <c r="D217" s="21"/>
      <c r="E217" s="22">
        <v>2</v>
      </c>
      <c r="F217" s="20" t="s">
        <v>605</v>
      </c>
      <c r="G217" s="44" t="s">
        <v>574</v>
      </c>
      <c r="H217" s="22" t="str">
        <f>IFERROR(INDEX('الإعدادات واللجنة'!$C$24:$C$32,MATCH(LEFT(A217,3),'الإعدادات واللجنة'!$A$24:$A$32,0)),"")</f>
        <v>د. عمر بن محمد موسى</v>
      </c>
      <c r="I217" s="24"/>
      <c r="J217" s="24"/>
      <c r="K217" s="22" t="str">
        <f t="shared" si="3"/>
        <v/>
      </c>
      <c r="L217" s="25"/>
      <c r="M217" s="24"/>
      <c r="N217" s="25"/>
      <c r="O217" s="25"/>
      <c r="P217" s="24"/>
      <c r="Q217" s="25"/>
    </row>
    <row r="218" spans="1:17" ht="24" x14ac:dyDescent="0.2">
      <c r="A218" s="22" t="s">
        <v>602</v>
      </c>
      <c r="B218" s="19" t="s">
        <v>143</v>
      </c>
      <c r="C218" s="20"/>
      <c r="D218" s="21"/>
      <c r="E218" s="22">
        <v>3</v>
      </c>
      <c r="F218" s="20" t="s">
        <v>606</v>
      </c>
      <c r="G218" s="44" t="s">
        <v>574</v>
      </c>
      <c r="H218" s="22" t="str">
        <f>IFERROR(INDEX('الإعدادات واللجنة'!$C$24:$C$32,MATCH(LEFT(A218,3),'الإعدادات واللجنة'!$A$24:$A$32,0)),"")</f>
        <v>د. عمر بن محمد موسى</v>
      </c>
      <c r="I218" s="24"/>
      <c r="J218" s="24"/>
      <c r="K218" s="22" t="str">
        <f t="shared" si="3"/>
        <v/>
      </c>
      <c r="L218" s="25"/>
      <c r="M218" s="24"/>
      <c r="N218" s="25"/>
      <c r="O218" s="25"/>
      <c r="P218" s="24"/>
      <c r="Q218" s="25"/>
    </row>
    <row r="219" spans="1:17" ht="26" x14ac:dyDescent="0.2">
      <c r="A219" s="39" t="s">
        <v>607</v>
      </c>
      <c r="B219" s="40" t="s">
        <v>143</v>
      </c>
      <c r="C219" s="41" t="s">
        <v>608</v>
      </c>
      <c r="D219" s="42"/>
      <c r="E219" s="32">
        <v>1</v>
      </c>
      <c r="F219" s="41" t="s">
        <v>609</v>
      </c>
      <c r="G219" s="43" t="s">
        <v>574</v>
      </c>
      <c r="H219" s="32" t="str">
        <f>IFERROR(INDEX('الإعدادات واللجنة'!$C$24:$C$32,MATCH(LEFT(A219,3),'الإعدادات واللجنة'!$A$24:$A$32,0)),"")</f>
        <v>د. عمر بن محمد موسى</v>
      </c>
      <c r="I219" s="33"/>
      <c r="J219" s="33"/>
      <c r="K219" s="32" t="str">
        <f t="shared" si="3"/>
        <v/>
      </c>
      <c r="L219" s="34"/>
      <c r="M219" s="33"/>
      <c r="N219" s="34"/>
      <c r="O219" s="34"/>
      <c r="P219" s="33"/>
      <c r="Q219" s="34"/>
    </row>
    <row r="220" spans="1:17" ht="24" x14ac:dyDescent="0.2">
      <c r="A220" s="22" t="s">
        <v>607</v>
      </c>
      <c r="B220" s="19" t="s">
        <v>143</v>
      </c>
      <c r="C220" s="20"/>
      <c r="D220" s="21"/>
      <c r="E220" s="22">
        <v>2</v>
      </c>
      <c r="F220" s="20" t="s">
        <v>610</v>
      </c>
      <c r="G220" s="44" t="s">
        <v>574</v>
      </c>
      <c r="H220" s="22" t="str">
        <f>IFERROR(INDEX('الإعدادات واللجنة'!$C$24:$C$32,MATCH(LEFT(A220,3),'الإعدادات واللجنة'!$A$24:$A$32,0)),"")</f>
        <v>د. عمر بن محمد موسى</v>
      </c>
      <c r="I220" s="24"/>
      <c r="J220" s="24"/>
      <c r="K220" s="22" t="str">
        <f t="shared" si="3"/>
        <v/>
      </c>
      <c r="L220" s="25"/>
      <c r="M220" s="24"/>
      <c r="N220" s="25"/>
      <c r="O220" s="25"/>
      <c r="P220" s="24"/>
      <c r="Q220" s="25"/>
    </row>
    <row r="221" spans="1:17" ht="24" x14ac:dyDescent="0.2">
      <c r="A221" s="22" t="s">
        <v>607</v>
      </c>
      <c r="B221" s="19" t="s">
        <v>143</v>
      </c>
      <c r="C221" s="20"/>
      <c r="D221" s="21"/>
      <c r="E221" s="22">
        <v>3</v>
      </c>
      <c r="F221" s="20" t="s">
        <v>611</v>
      </c>
      <c r="G221" s="44" t="s">
        <v>574</v>
      </c>
      <c r="H221" s="22" t="str">
        <f>IFERROR(INDEX('الإعدادات واللجنة'!$C$24:$C$32,MATCH(LEFT(A221,3),'الإعدادات واللجنة'!$A$24:$A$32,0)),"")</f>
        <v>د. عمر بن محمد موسى</v>
      </c>
      <c r="I221" s="24"/>
      <c r="J221" s="24"/>
      <c r="K221" s="22" t="str">
        <f t="shared" si="3"/>
        <v/>
      </c>
      <c r="L221" s="25"/>
      <c r="M221" s="24"/>
      <c r="N221" s="25"/>
      <c r="O221" s="25"/>
      <c r="P221" s="24"/>
      <c r="Q221" s="25"/>
    </row>
    <row r="222" spans="1:17" ht="26" x14ac:dyDescent="0.2">
      <c r="A222" s="39" t="s">
        <v>612</v>
      </c>
      <c r="B222" s="40" t="s">
        <v>143</v>
      </c>
      <c r="C222" s="41" t="s">
        <v>613</v>
      </c>
      <c r="D222" s="42"/>
      <c r="E222" s="32">
        <v>1</v>
      </c>
      <c r="F222" s="41" t="s">
        <v>614</v>
      </c>
      <c r="G222" s="43" t="s">
        <v>574</v>
      </c>
      <c r="H222" s="32" t="str">
        <f>IFERROR(INDEX('الإعدادات واللجنة'!$C$24:$C$32,MATCH(LEFT(A222,3),'الإعدادات واللجنة'!$A$24:$A$32,0)),"")</f>
        <v>د. عمر بن محمد موسى</v>
      </c>
      <c r="I222" s="33"/>
      <c r="J222" s="33"/>
      <c r="K222" s="32" t="str">
        <f t="shared" si="3"/>
        <v/>
      </c>
      <c r="L222" s="34"/>
      <c r="M222" s="33"/>
      <c r="N222" s="34"/>
      <c r="O222" s="34"/>
      <c r="P222" s="33"/>
      <c r="Q222" s="34"/>
    </row>
    <row r="223" spans="1:17" ht="24" x14ac:dyDescent="0.2">
      <c r="A223" s="22" t="s">
        <v>612</v>
      </c>
      <c r="B223" s="19" t="s">
        <v>143</v>
      </c>
      <c r="C223" s="20"/>
      <c r="D223" s="21"/>
      <c r="E223" s="22">
        <v>2</v>
      </c>
      <c r="F223" s="20" t="s">
        <v>615</v>
      </c>
      <c r="G223" s="44" t="s">
        <v>574</v>
      </c>
      <c r="H223" s="22" t="str">
        <f>IFERROR(INDEX('الإعدادات واللجنة'!$C$24:$C$32,MATCH(LEFT(A223,3),'الإعدادات واللجنة'!$A$24:$A$32,0)),"")</f>
        <v>د. عمر بن محمد موسى</v>
      </c>
      <c r="I223" s="24"/>
      <c r="J223" s="24"/>
      <c r="K223" s="22" t="str">
        <f t="shared" si="3"/>
        <v/>
      </c>
      <c r="L223" s="25"/>
      <c r="M223" s="24"/>
      <c r="N223" s="25"/>
      <c r="O223" s="25"/>
      <c r="P223" s="24"/>
      <c r="Q223" s="25"/>
    </row>
    <row r="224" spans="1:17" ht="24" x14ac:dyDescent="0.2">
      <c r="A224" s="22" t="s">
        <v>612</v>
      </c>
      <c r="B224" s="19" t="s">
        <v>143</v>
      </c>
      <c r="C224" s="20"/>
      <c r="D224" s="21"/>
      <c r="E224" s="22">
        <v>3</v>
      </c>
      <c r="F224" s="20" t="s">
        <v>616</v>
      </c>
      <c r="G224" s="44" t="s">
        <v>574</v>
      </c>
      <c r="H224" s="22" t="str">
        <f>IFERROR(INDEX('الإعدادات واللجنة'!$C$24:$C$32,MATCH(LEFT(A224,3),'الإعدادات واللجنة'!$A$24:$A$32,0)),"")</f>
        <v>د. عمر بن محمد موسى</v>
      </c>
      <c r="I224" s="24"/>
      <c r="J224" s="24"/>
      <c r="K224" s="22" t="str">
        <f t="shared" si="3"/>
        <v/>
      </c>
      <c r="L224" s="25"/>
      <c r="M224" s="24"/>
      <c r="N224" s="25"/>
      <c r="O224" s="25"/>
      <c r="P224" s="24"/>
      <c r="Q224" s="25"/>
    </row>
    <row r="225" spans="1:17" ht="26" x14ac:dyDescent="0.2">
      <c r="A225" s="39" t="s">
        <v>617</v>
      </c>
      <c r="B225" s="40" t="s">
        <v>143</v>
      </c>
      <c r="C225" s="41" t="s">
        <v>618</v>
      </c>
      <c r="D225" s="42"/>
      <c r="E225" s="32">
        <v>1</v>
      </c>
      <c r="F225" s="41" t="s">
        <v>619</v>
      </c>
      <c r="G225" s="43" t="s">
        <v>574</v>
      </c>
      <c r="H225" s="32" t="str">
        <f>IFERROR(INDEX('الإعدادات واللجنة'!$C$24:$C$32,MATCH(LEFT(A225,3),'الإعدادات واللجنة'!$A$24:$A$32,0)),"")</f>
        <v>د. عمر بن محمد موسى</v>
      </c>
      <c r="I225" s="33"/>
      <c r="J225" s="33"/>
      <c r="K225" s="32" t="str">
        <f t="shared" si="3"/>
        <v/>
      </c>
      <c r="L225" s="34"/>
      <c r="M225" s="33"/>
      <c r="N225" s="34"/>
      <c r="O225" s="34"/>
      <c r="P225" s="33"/>
      <c r="Q225" s="34"/>
    </row>
    <row r="226" spans="1:17" ht="24" x14ac:dyDescent="0.2">
      <c r="A226" s="22" t="s">
        <v>617</v>
      </c>
      <c r="B226" s="19" t="s">
        <v>143</v>
      </c>
      <c r="C226" s="20"/>
      <c r="D226" s="21"/>
      <c r="E226" s="22">
        <v>2</v>
      </c>
      <c r="F226" s="20" t="s">
        <v>620</v>
      </c>
      <c r="G226" s="44" t="s">
        <v>574</v>
      </c>
      <c r="H226" s="22" t="str">
        <f>IFERROR(INDEX('الإعدادات واللجنة'!$C$24:$C$32,MATCH(LEFT(A226,3),'الإعدادات واللجنة'!$A$24:$A$32,0)),"")</f>
        <v>د. عمر بن محمد موسى</v>
      </c>
      <c r="I226" s="24"/>
      <c r="J226" s="24"/>
      <c r="K226" s="22" t="str">
        <f t="shared" si="3"/>
        <v/>
      </c>
      <c r="L226" s="25"/>
      <c r="M226" s="24"/>
      <c r="N226" s="25"/>
      <c r="O226" s="25"/>
      <c r="P226" s="24"/>
      <c r="Q226" s="25"/>
    </row>
    <row r="227" spans="1:17" ht="24" x14ac:dyDescent="0.2">
      <c r="A227" s="22" t="s">
        <v>617</v>
      </c>
      <c r="B227" s="19" t="s">
        <v>143</v>
      </c>
      <c r="C227" s="20"/>
      <c r="D227" s="21"/>
      <c r="E227" s="22">
        <v>3</v>
      </c>
      <c r="F227" s="20" t="s">
        <v>621</v>
      </c>
      <c r="G227" s="44" t="s">
        <v>574</v>
      </c>
      <c r="H227" s="22" t="str">
        <f>IFERROR(INDEX('الإعدادات واللجنة'!$C$24:$C$32,MATCH(LEFT(A227,3),'الإعدادات واللجنة'!$A$24:$A$32,0)),"")</f>
        <v>د. عمر بن محمد موسى</v>
      </c>
      <c r="I227" s="24"/>
      <c r="J227" s="24"/>
      <c r="K227" s="22" t="str">
        <f t="shared" si="3"/>
        <v/>
      </c>
      <c r="L227" s="25"/>
      <c r="M227" s="24"/>
      <c r="N227" s="25"/>
      <c r="O227" s="25"/>
      <c r="P227" s="24"/>
      <c r="Q227" s="25"/>
    </row>
    <row r="228" spans="1:17" ht="26" x14ac:dyDescent="0.2">
      <c r="A228" s="26" t="s">
        <v>622</v>
      </c>
      <c r="B228" s="27" t="s">
        <v>143</v>
      </c>
      <c r="C228" s="28" t="s">
        <v>623</v>
      </c>
      <c r="D228" s="29" t="s">
        <v>278</v>
      </c>
      <c r="E228" s="30">
        <v>1</v>
      </c>
      <c r="F228" s="28" t="s">
        <v>624</v>
      </c>
      <c r="G228" s="43" t="s">
        <v>574</v>
      </c>
      <c r="H228" s="32" t="str">
        <f>IFERROR(INDEX('الإعدادات واللجنة'!$C$24:$C$32,MATCH(LEFT(A228,3),'الإعدادات واللجنة'!$A$24:$A$32,0)),"")</f>
        <v>د. عمر بن محمد موسى</v>
      </c>
      <c r="I228" s="33"/>
      <c r="J228" s="33"/>
      <c r="K228" s="32" t="str">
        <f t="shared" si="3"/>
        <v/>
      </c>
      <c r="L228" s="34"/>
      <c r="M228" s="33"/>
      <c r="N228" s="34"/>
      <c r="O228" s="34"/>
      <c r="P228" s="33"/>
      <c r="Q228" s="34"/>
    </row>
    <row r="229" spans="1:17" ht="24" x14ac:dyDescent="0.2">
      <c r="A229" s="35" t="s">
        <v>622</v>
      </c>
      <c r="B229" s="36" t="s">
        <v>143</v>
      </c>
      <c r="C229" s="37"/>
      <c r="D229" s="38" t="s">
        <v>278</v>
      </c>
      <c r="E229" s="35">
        <v>2</v>
      </c>
      <c r="F229" s="37" t="s">
        <v>625</v>
      </c>
      <c r="G229" s="44" t="s">
        <v>574</v>
      </c>
      <c r="H229" s="22" t="str">
        <f>IFERROR(INDEX('الإعدادات واللجنة'!$C$24:$C$32,MATCH(LEFT(A229,3),'الإعدادات واللجنة'!$A$24:$A$32,0)),"")</f>
        <v>د. عمر بن محمد موسى</v>
      </c>
      <c r="I229" s="24"/>
      <c r="J229" s="24"/>
      <c r="K229" s="22" t="str">
        <f t="shared" si="3"/>
        <v/>
      </c>
      <c r="L229" s="25"/>
      <c r="M229" s="24"/>
      <c r="N229" s="25"/>
      <c r="O229" s="25"/>
      <c r="P229" s="24"/>
      <c r="Q229" s="25"/>
    </row>
    <row r="230" spans="1:17" ht="24" x14ac:dyDescent="0.2">
      <c r="A230" s="35" t="s">
        <v>622</v>
      </c>
      <c r="B230" s="36" t="s">
        <v>143</v>
      </c>
      <c r="C230" s="37"/>
      <c r="D230" s="38" t="s">
        <v>278</v>
      </c>
      <c r="E230" s="35">
        <v>3</v>
      </c>
      <c r="F230" s="37" t="s">
        <v>626</v>
      </c>
      <c r="G230" s="44" t="s">
        <v>574</v>
      </c>
      <c r="H230" s="22" t="str">
        <f>IFERROR(INDEX('الإعدادات واللجنة'!$C$24:$C$32,MATCH(LEFT(A230,3),'الإعدادات واللجنة'!$A$24:$A$32,0)),"")</f>
        <v>د. عمر بن محمد موسى</v>
      </c>
      <c r="I230" s="24"/>
      <c r="J230" s="24"/>
      <c r="K230" s="22" t="str">
        <f t="shared" si="3"/>
        <v/>
      </c>
      <c r="L230" s="25"/>
      <c r="M230" s="24"/>
      <c r="N230" s="25"/>
      <c r="O230" s="25"/>
      <c r="P230" s="24"/>
      <c r="Q230" s="25"/>
    </row>
  </sheetData>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conditionalFormatting sqref="J5:J230 L5:M230">
    <cfRule type="expression" dxfId="24" priority="101">
      <formula>AND($I5="متوفر ومكتمل",J5&lt;&gt;"")</formula>
    </cfRule>
    <cfRule type="expression" dxfId="23" priority="102">
      <formula>$I5="متوفر ومكتمل"</formula>
    </cfRule>
  </conditionalFormatting>
  <conditionalFormatting sqref="J5:J230">
    <cfRule type="expression" dxfId="25" priority="103">
      <formula>AND(OR($I5="متوفر ويحتاج تحسين",$I5="غير متوفر"),J5="")</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نهلة سعد عويض القثامي</cp:lastModifiedBy>
  <dcterms:modified xsi:type="dcterms:W3CDTF">2026-10-21T12:36:31Z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