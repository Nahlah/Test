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النهائية/"/>
    </mc:Choice>
  </mc:AlternateContent>
  <xr:revisionPtr revIDLastSave="0" documentId="13_ncr:1_{45FC5975-3A6E-8848-A939-FA035B17B495}" xr6:coauthVersionLast="47" xr6:coauthVersionMax="47" xr10:uidLastSave="{00000000-0000-0000-0000-000000000000}"/>
  <bookViews>
    <workbookView xWindow="0" yWindow="500" windowWidth="28800" windowHeight="16380" activeTab="3" xr2:uid="{00000000-000D-0000-FFFF-FFFF00000000}"/>
  </bookViews>
  <sheets>
    <sheet name="خطة العمل" sheetId="1" r:id="rId1"/>
    <sheet name="الإعدادات واللجنة" sheetId="2" r:id="rId2"/>
    <sheet name="لوحة المتابعة" sheetId="3" r:id="rId3"/>
    <sheet name="تقرير الأدلة" sheetId="10" r:id="rId4"/>
    <sheet name="متطلبات التقدم للاعتماد" sheetId="4" r:id="rId5"/>
    <sheet name="أمثلة التصنيف" sheetId="9" r:id="rId6"/>
    <sheet name="فحص-حاسب-بكالوريوس" sheetId="6" r:id="rId7"/>
    <sheet name="فحص-بيانات-بكالوريوس" sheetId="7" r:id="rId8"/>
    <sheet name="فحص-بيانات-ماجستير" sheetId="8" r:id="rId9"/>
  </sheets>
  <definedNames>
    <definedName name="_xlnm._FilterDatabase" localSheetId="6" hidden="1">'فحص-حاسب-بكالوريوس'!$A$4:$R$208</definedName>
  </definedNames>
  <calcPr calcId="191029" calcMode="auto"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H31" i="3" s="1"/>
  <c r="K200" i="8"/>
  <c r="K199" i="8"/>
  <c r="K198" i="8"/>
  <c r="K197" i="8"/>
  <c r="K196" i="8"/>
  <c r="K195" i="8"/>
  <c r="K194" i="8"/>
  <c r="K193" i="8"/>
  <c r="K192" i="8"/>
  <c r="K191" i="8"/>
  <c r="K190" i="8"/>
  <c r="K189" i="8"/>
  <c r="K188" i="8"/>
  <c r="K187" i="8"/>
  <c r="K186" i="8"/>
  <c r="K185" i="8"/>
  <c r="H30" i="3" s="1"/>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H29" i="3" s="1"/>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H27" i="3" s="1"/>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H26" i="3" s="1"/>
  <c r="K8" i="8"/>
  <c r="K7" i="8"/>
  <c r="K6" i="8"/>
  <c r="K5" i="8"/>
  <c r="A1" i="8"/>
  <c r="K208" i="7"/>
  <c r="K207" i="7"/>
  <c r="K206" i="7"/>
  <c r="K205" i="7"/>
  <c r="K204" i="7"/>
  <c r="K203" i="7"/>
  <c r="K202" i="7"/>
  <c r="K201" i="7"/>
  <c r="K200" i="7"/>
  <c r="K199" i="7"/>
  <c r="K198" i="7"/>
  <c r="K197" i="7"/>
  <c r="K196" i="7"/>
  <c r="K195" i="7"/>
  <c r="K194" i="7"/>
  <c r="K193" i="7"/>
  <c r="K192" i="7"/>
  <c r="K191" i="7"/>
  <c r="K190" i="7"/>
  <c r="H20" i="3" s="1"/>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H18" i="3" s="1"/>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H22" i="3" s="1"/>
  <c r="K5" i="7"/>
  <c r="A1" i="7"/>
  <c r="K208" i="6"/>
  <c r="K207" i="6"/>
  <c r="K206" i="6"/>
  <c r="K205" i="6"/>
  <c r="K204" i="6"/>
  <c r="K203" i="6"/>
  <c r="K202" i="6"/>
  <c r="K201" i="6"/>
  <c r="K200" i="6"/>
  <c r="K199" i="6"/>
  <c r="K198" i="6"/>
  <c r="K197" i="6"/>
  <c r="K196" i="6"/>
  <c r="K195" i="6"/>
  <c r="H10" i="3" s="1"/>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H8" i="3" s="1"/>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H7" i="3" s="1"/>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E18" i="4"/>
  <c r="E17" i="4"/>
  <c r="E13" i="4"/>
  <c r="E12" i="4"/>
  <c r="E11" i="4"/>
  <c r="E10" i="4"/>
  <c r="E9" i="4"/>
  <c r="E6" i="4"/>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E30" i="3"/>
  <c r="D30" i="3"/>
  <c r="C30" i="3"/>
  <c r="B30" i="3"/>
  <c r="I29" i="3"/>
  <c r="E29" i="3"/>
  <c r="D29" i="3"/>
  <c r="C29" i="3"/>
  <c r="B29" i="3"/>
  <c r="I28" i="3"/>
  <c r="H28" i="3"/>
  <c r="E28" i="3"/>
  <c r="D28" i="3"/>
  <c r="C28" i="3"/>
  <c r="B28" i="3"/>
  <c r="I27" i="3"/>
  <c r="E27" i="3"/>
  <c r="D27" i="3"/>
  <c r="C27" i="3"/>
  <c r="B27" i="3"/>
  <c r="I26" i="3"/>
  <c r="E26" i="3"/>
  <c r="D26" i="3"/>
  <c r="C26" i="3"/>
  <c r="B26" i="3"/>
  <c r="A24" i="3"/>
  <c r="I22" i="3"/>
  <c r="E22" i="3"/>
  <c r="D22" i="3"/>
  <c r="C22" i="3"/>
  <c r="B22" i="3"/>
  <c r="I21" i="3"/>
  <c r="E21" i="3"/>
  <c r="D21" i="3"/>
  <c r="C21" i="3"/>
  <c r="B21" i="3"/>
  <c r="I20" i="3"/>
  <c r="E20" i="3"/>
  <c r="D20" i="3"/>
  <c r="C20" i="3"/>
  <c r="B20" i="3"/>
  <c r="I19" i="3"/>
  <c r="H19" i="3"/>
  <c r="E19" i="3"/>
  <c r="D19" i="3"/>
  <c r="C19" i="3"/>
  <c r="B19" i="3"/>
  <c r="I18" i="3"/>
  <c r="E18" i="3"/>
  <c r="D18" i="3"/>
  <c r="C18" i="3"/>
  <c r="B18" i="3"/>
  <c r="I17" i="3"/>
  <c r="E17" i="3"/>
  <c r="D17" i="3"/>
  <c r="C17" i="3"/>
  <c r="B17" i="3"/>
  <c r="I16" i="3"/>
  <c r="E16" i="3"/>
  <c r="D16" i="3"/>
  <c r="C16" i="3"/>
  <c r="B16" i="3"/>
  <c r="A14" i="3"/>
  <c r="I12" i="3"/>
  <c r="E12" i="3"/>
  <c r="D12" i="3"/>
  <c r="C12" i="3"/>
  <c r="B12" i="3"/>
  <c r="I11" i="3"/>
  <c r="E11" i="3"/>
  <c r="D11" i="3"/>
  <c r="C11" i="3"/>
  <c r="B11" i="3"/>
  <c r="I10" i="3"/>
  <c r="E10" i="3"/>
  <c r="D10" i="3"/>
  <c r="C10" i="3"/>
  <c r="B10" i="3"/>
  <c r="I9" i="3"/>
  <c r="H9" i="3"/>
  <c r="E9" i="3"/>
  <c r="D9" i="3"/>
  <c r="C9" i="3"/>
  <c r="B9" i="3"/>
  <c r="I8" i="3"/>
  <c r="E8" i="3"/>
  <c r="D8" i="3"/>
  <c r="C8" i="3"/>
  <c r="B8" i="3"/>
  <c r="I7" i="3"/>
  <c r="E7" i="3"/>
  <c r="D7" i="3"/>
  <c r="C7" i="3"/>
  <c r="B7" i="3"/>
  <c r="I6" i="3"/>
  <c r="E6" i="3"/>
  <c r="D6" i="3"/>
  <c r="C6" i="3"/>
  <c r="B6" i="3"/>
  <c r="A4" i="3"/>
  <c r="E32" i="2"/>
  <c r="D32" i="2"/>
  <c r="C32" i="2"/>
  <c r="H208" i="8" s="1"/>
  <c r="E31" i="2"/>
  <c r="D31" i="2"/>
  <c r="C31" i="2"/>
  <c r="H180" i="8" s="1"/>
  <c r="E30" i="2"/>
  <c r="D30" i="2"/>
  <c r="C30" i="2"/>
  <c r="H182" i="7" s="1"/>
  <c r="E29" i="2"/>
  <c r="D29" i="2"/>
  <c r="C29" i="2"/>
  <c r="E28" i="2"/>
  <c r="D28" i="2"/>
  <c r="C28" i="2"/>
  <c r="H125" i="7" s="1"/>
  <c r="E27" i="2"/>
  <c r="D27" i="2"/>
  <c r="C27" i="2"/>
  <c r="H88" i="8" s="1"/>
  <c r="E26" i="2"/>
  <c r="D26" i="2"/>
  <c r="C26" i="2"/>
  <c r="H68" i="8" s="1"/>
  <c r="E25" i="2"/>
  <c r="D25" i="2"/>
  <c r="C25" i="2"/>
  <c r="H50" i="7" s="1"/>
  <c r="E24" i="2"/>
  <c r="D24" i="2"/>
  <c r="C24" i="2"/>
  <c r="H36" i="8" s="1"/>
  <c r="H6" i="3" l="1"/>
  <c r="H11" i="3"/>
  <c r="H12" i="3"/>
  <c r="H21" i="3"/>
  <c r="H17" i="3"/>
  <c r="H16" i="3"/>
  <c r="G33" i="3"/>
  <c r="G21" i="3"/>
  <c r="G7" i="3"/>
  <c r="G6" i="3"/>
  <c r="G32" i="3"/>
  <c r="G18" i="3"/>
  <c r="H32" i="3"/>
  <c r="G11" i="3"/>
  <c r="G26" i="3"/>
  <c r="G30" i="3"/>
  <c r="G22" i="3"/>
  <c r="G17" i="3"/>
  <c r="F33" i="3"/>
  <c r="G16" i="3"/>
  <c r="G20" i="3"/>
  <c r="G31" i="3"/>
  <c r="G9" i="3"/>
  <c r="G28" i="3"/>
  <c r="G8" i="3"/>
  <c r="G12" i="3"/>
  <c r="G27" i="3"/>
  <c r="H33" i="3"/>
  <c r="F12" i="3"/>
  <c r="G19" i="3"/>
  <c r="F32" i="3"/>
  <c r="F11" i="3"/>
  <c r="G10" i="3"/>
  <c r="G29" i="3"/>
  <c r="H163" i="7"/>
  <c r="H159" i="7"/>
  <c r="H150" i="8"/>
  <c r="H146" i="8"/>
  <c r="H142" i="8"/>
  <c r="H138" i="8"/>
  <c r="H134" i="8"/>
  <c r="H130" i="8"/>
  <c r="H126" i="8"/>
  <c r="H149" i="8"/>
  <c r="H145" i="8"/>
  <c r="H141" i="8"/>
  <c r="H137" i="8"/>
  <c r="H133" i="8"/>
  <c r="H129" i="8"/>
  <c r="H125" i="8"/>
  <c r="H162" i="6"/>
  <c r="H158" i="6"/>
  <c r="H154" i="6"/>
  <c r="H150" i="6"/>
  <c r="H146" i="6"/>
  <c r="H142" i="6"/>
  <c r="H138" i="6"/>
  <c r="H134" i="6"/>
  <c r="H160" i="7"/>
  <c r="H156" i="7"/>
  <c r="H152" i="7"/>
  <c r="H148" i="7"/>
  <c r="H144" i="7"/>
  <c r="H140" i="7"/>
  <c r="H136" i="7"/>
  <c r="H132" i="7"/>
  <c r="H151" i="8"/>
  <c r="H147" i="8"/>
  <c r="H143" i="8"/>
  <c r="H139" i="8"/>
  <c r="H135" i="8"/>
  <c r="H131" i="8"/>
  <c r="H127" i="8"/>
  <c r="H160" i="6"/>
  <c r="H156" i="6"/>
  <c r="H152" i="6"/>
  <c r="H148" i="6"/>
  <c r="H144" i="6"/>
  <c r="H140" i="6"/>
  <c r="H136" i="6"/>
  <c r="H132" i="6"/>
  <c r="H7" i="6"/>
  <c r="H11" i="6"/>
  <c r="H15" i="6"/>
  <c r="H19" i="6"/>
  <c r="H23" i="6"/>
  <c r="H27" i="6"/>
  <c r="H31" i="6"/>
  <c r="H35" i="6"/>
  <c r="H39" i="6"/>
  <c r="H43" i="6"/>
  <c r="H47" i="6"/>
  <c r="H51" i="6"/>
  <c r="H55" i="6"/>
  <c r="H59" i="6"/>
  <c r="H63" i="6"/>
  <c r="H67" i="6"/>
  <c r="H71" i="6"/>
  <c r="H75" i="6"/>
  <c r="H79" i="6"/>
  <c r="H83" i="6"/>
  <c r="H87" i="6"/>
  <c r="H91" i="6"/>
  <c r="H95" i="6"/>
  <c r="H115" i="6"/>
  <c r="H131" i="6"/>
  <c r="H147" i="6"/>
  <c r="H163" i="6"/>
  <c r="H179" i="6"/>
  <c r="H13" i="7"/>
  <c r="H22" i="7"/>
  <c r="H31" i="7"/>
  <c r="H45" i="7"/>
  <c r="H54" i="7"/>
  <c r="H63" i="7"/>
  <c r="H77" i="7"/>
  <c r="H86" i="7"/>
  <c r="H95" i="7"/>
  <c r="H109" i="7"/>
  <c r="H118" i="7"/>
  <c r="H127" i="7"/>
  <c r="H141" i="7"/>
  <c r="H150" i="7"/>
  <c r="H165" i="7"/>
  <c r="H170" i="7"/>
  <c r="H181" i="7"/>
  <c r="H186" i="7"/>
  <c r="H197" i="7"/>
  <c r="H202" i="7"/>
  <c r="H16" i="8"/>
  <c r="H48" i="8"/>
  <c r="H80" i="8"/>
  <c r="H112" i="8"/>
  <c r="H144" i="8"/>
  <c r="H176" i="8"/>
  <c r="H230" i="8"/>
  <c r="H226" i="8"/>
  <c r="H222" i="8"/>
  <c r="H218" i="8"/>
  <c r="H214" i="8"/>
  <c r="H210" i="8"/>
  <c r="H206" i="8"/>
  <c r="H202" i="8"/>
  <c r="H198" i="8"/>
  <c r="H229" i="8"/>
  <c r="H225" i="8"/>
  <c r="H221" i="8"/>
  <c r="H217" i="8"/>
  <c r="H213" i="8"/>
  <c r="H209" i="8"/>
  <c r="H205" i="8"/>
  <c r="H201" i="8"/>
  <c r="H228" i="8"/>
  <c r="H224" i="8"/>
  <c r="H220" i="8"/>
  <c r="H216" i="8"/>
  <c r="H212" i="8"/>
  <c r="H227" i="8"/>
  <c r="H223" i="8"/>
  <c r="H219" i="8"/>
  <c r="H215" i="8"/>
  <c r="H211" i="8"/>
  <c r="H207" i="8"/>
  <c r="H203" i="8"/>
  <c r="H199" i="8"/>
  <c r="F6" i="3"/>
  <c r="F7" i="3"/>
  <c r="F8" i="3"/>
  <c r="F9" i="3"/>
  <c r="F10" i="3"/>
  <c r="H105" i="6"/>
  <c r="H121" i="6"/>
  <c r="H137" i="6"/>
  <c r="H153" i="6"/>
  <c r="H169" i="6"/>
  <c r="H185" i="6"/>
  <c r="H9" i="7"/>
  <c r="H18" i="7"/>
  <c r="H27" i="7"/>
  <c r="H41" i="7"/>
  <c r="H59" i="7"/>
  <c r="H73" i="7"/>
  <c r="H82" i="7"/>
  <c r="H91" i="7"/>
  <c r="H105" i="7"/>
  <c r="H114" i="7"/>
  <c r="H123" i="7"/>
  <c r="H137" i="7"/>
  <c r="H146" i="7"/>
  <c r="H155" i="7"/>
  <c r="H100" i="8"/>
  <c r="H132" i="8"/>
  <c r="H164" i="8"/>
  <c r="H196" i="8"/>
  <c r="H54" i="8"/>
  <c r="H50" i="8"/>
  <c r="H46" i="8"/>
  <c r="H53" i="8"/>
  <c r="H49" i="8"/>
  <c r="H45" i="8"/>
  <c r="H56" i="7"/>
  <c r="H52" i="7"/>
  <c r="H48" i="7"/>
  <c r="H44" i="7"/>
  <c r="H55" i="8"/>
  <c r="H51" i="8"/>
  <c r="H47" i="8"/>
  <c r="H78" i="8"/>
  <c r="H74" i="8"/>
  <c r="H70" i="8"/>
  <c r="H66" i="8"/>
  <c r="H62" i="8"/>
  <c r="H58" i="8"/>
  <c r="H81" i="8"/>
  <c r="H77" i="8"/>
  <c r="H73" i="8"/>
  <c r="H69" i="8"/>
  <c r="H65" i="8"/>
  <c r="H61" i="8"/>
  <c r="H57" i="8"/>
  <c r="H80" i="7"/>
  <c r="H76" i="7"/>
  <c r="H72" i="7"/>
  <c r="H68" i="7"/>
  <c r="H64" i="7"/>
  <c r="H60" i="7"/>
  <c r="H79" i="8"/>
  <c r="H75" i="8"/>
  <c r="H71" i="8"/>
  <c r="H67" i="8"/>
  <c r="H63" i="8"/>
  <c r="H59" i="8"/>
  <c r="H42" i="8"/>
  <c r="H38" i="8"/>
  <c r="H34" i="8"/>
  <c r="H30" i="8"/>
  <c r="H26" i="8"/>
  <c r="H22" i="8"/>
  <c r="H18" i="8"/>
  <c r="H14" i="8"/>
  <c r="H10" i="8"/>
  <c r="H6" i="8"/>
  <c r="H41" i="8"/>
  <c r="H37" i="8"/>
  <c r="H33" i="8"/>
  <c r="H29" i="8"/>
  <c r="H25" i="8"/>
  <c r="H21" i="8"/>
  <c r="H17" i="8"/>
  <c r="H13" i="8"/>
  <c r="H9" i="8"/>
  <c r="H5" i="8"/>
  <c r="H40" i="7"/>
  <c r="H36" i="7"/>
  <c r="H32" i="7"/>
  <c r="H28" i="7"/>
  <c r="H24" i="7"/>
  <c r="H20" i="7"/>
  <c r="H16" i="7"/>
  <c r="H12" i="7"/>
  <c r="H8" i="7"/>
  <c r="H43" i="8"/>
  <c r="H39" i="8"/>
  <c r="H35" i="8"/>
  <c r="H31" i="8"/>
  <c r="H27" i="8"/>
  <c r="H23" i="8"/>
  <c r="H19" i="8"/>
  <c r="H15" i="8"/>
  <c r="H11" i="8"/>
  <c r="H7" i="8"/>
  <c r="F16" i="3"/>
  <c r="F17" i="3"/>
  <c r="F18" i="3"/>
  <c r="F19" i="3"/>
  <c r="F20" i="3"/>
  <c r="F21" i="3"/>
  <c r="F22" i="3"/>
  <c r="H8" i="6"/>
  <c r="H12" i="6"/>
  <c r="H16" i="6"/>
  <c r="H20" i="6"/>
  <c r="H24" i="6"/>
  <c r="H28" i="6"/>
  <c r="H32" i="6"/>
  <c r="H36" i="6"/>
  <c r="H40" i="6"/>
  <c r="H44" i="6"/>
  <c r="H48" i="6"/>
  <c r="H52" i="6"/>
  <c r="H56" i="6"/>
  <c r="H60" i="6"/>
  <c r="H64" i="6"/>
  <c r="H68" i="6"/>
  <c r="H72" i="6"/>
  <c r="H76" i="6"/>
  <c r="H80" i="6"/>
  <c r="H84" i="6"/>
  <c r="H88" i="6"/>
  <c r="H92" i="6"/>
  <c r="H101" i="6"/>
  <c r="H111" i="6"/>
  <c r="H127" i="6"/>
  <c r="H143" i="6"/>
  <c r="H159" i="6"/>
  <c r="H175" i="6"/>
  <c r="H191" i="6"/>
  <c r="H197" i="6"/>
  <c r="H5" i="7"/>
  <c r="H14" i="7"/>
  <c r="H23" i="7"/>
  <c r="H37" i="7"/>
  <c r="H46" i="7"/>
  <c r="H55" i="7"/>
  <c r="H69" i="7"/>
  <c r="H78" i="7"/>
  <c r="H87" i="7"/>
  <c r="H101" i="7"/>
  <c r="H110" i="7"/>
  <c r="H119" i="7"/>
  <c r="H133" i="7"/>
  <c r="H142" i="7"/>
  <c r="H151" i="7"/>
  <c r="H161" i="7"/>
  <c r="H166" i="7"/>
  <c r="H177" i="7"/>
  <c r="H193" i="7"/>
  <c r="H198" i="7"/>
  <c r="H24" i="8"/>
  <c r="H56" i="8"/>
  <c r="H120" i="8"/>
  <c r="H152" i="8"/>
  <c r="H184" i="8"/>
  <c r="H94" i="8"/>
  <c r="H90" i="8"/>
  <c r="H86" i="8"/>
  <c r="H82" i="8"/>
  <c r="H97" i="8"/>
  <c r="H93" i="8"/>
  <c r="H89" i="8"/>
  <c r="H85" i="8"/>
  <c r="H106" i="6"/>
  <c r="H104" i="7"/>
  <c r="H100" i="7"/>
  <c r="H96" i="7"/>
  <c r="H92" i="7"/>
  <c r="H88" i="7"/>
  <c r="H84" i="7"/>
  <c r="H95" i="8"/>
  <c r="H91" i="8"/>
  <c r="H87" i="8"/>
  <c r="H83" i="8"/>
  <c r="H104" i="6"/>
  <c r="H100" i="6"/>
  <c r="H96" i="6"/>
  <c r="H187" i="7"/>
  <c r="H183" i="7"/>
  <c r="H179" i="7"/>
  <c r="H175" i="7"/>
  <c r="H171" i="7"/>
  <c r="H167" i="7"/>
  <c r="H178" i="8"/>
  <c r="H174" i="8"/>
  <c r="H170" i="8"/>
  <c r="H166" i="8"/>
  <c r="H162" i="8"/>
  <c r="H158" i="8"/>
  <c r="H154" i="8"/>
  <c r="H177" i="8"/>
  <c r="H173" i="8"/>
  <c r="H169" i="8"/>
  <c r="H165" i="8"/>
  <c r="H161" i="8"/>
  <c r="H157" i="8"/>
  <c r="H153" i="8"/>
  <c r="H186" i="6"/>
  <c r="H182" i="6"/>
  <c r="H178" i="6"/>
  <c r="H174" i="6"/>
  <c r="H170" i="6"/>
  <c r="H166" i="6"/>
  <c r="H188" i="7"/>
  <c r="H184" i="7"/>
  <c r="H180" i="7"/>
  <c r="H176" i="7"/>
  <c r="H172" i="7"/>
  <c r="H168" i="7"/>
  <c r="H164" i="7"/>
  <c r="H175" i="8"/>
  <c r="H171" i="8"/>
  <c r="H167" i="8"/>
  <c r="H163" i="8"/>
  <c r="H159" i="8"/>
  <c r="H155" i="8"/>
  <c r="H188" i="6"/>
  <c r="H184" i="6"/>
  <c r="H180" i="6"/>
  <c r="H176" i="6"/>
  <c r="H172" i="6"/>
  <c r="H168" i="6"/>
  <c r="H164" i="6"/>
  <c r="F26" i="3"/>
  <c r="F27" i="3"/>
  <c r="F28" i="3"/>
  <c r="F29" i="3"/>
  <c r="F30" i="3"/>
  <c r="F31" i="3"/>
  <c r="H97" i="6"/>
  <c r="H117" i="6"/>
  <c r="H133" i="6"/>
  <c r="H149" i="6"/>
  <c r="H165" i="6"/>
  <c r="H181" i="6"/>
  <c r="H10" i="7"/>
  <c r="H19" i="7"/>
  <c r="H33" i="7"/>
  <c r="H42" i="7"/>
  <c r="H51" i="7"/>
  <c r="H65" i="7"/>
  <c r="H74" i="7"/>
  <c r="H83" i="7"/>
  <c r="H97" i="7"/>
  <c r="H106" i="7"/>
  <c r="H115" i="7"/>
  <c r="H129" i="7"/>
  <c r="H138" i="7"/>
  <c r="H147" i="7"/>
  <c r="H12" i="8"/>
  <c r="H44" i="8"/>
  <c r="H76" i="8"/>
  <c r="H108" i="8"/>
  <c r="H140" i="8"/>
  <c r="H172" i="8"/>
  <c r="H204" i="8"/>
  <c r="H5" i="6"/>
  <c r="H9" i="6"/>
  <c r="H13" i="6"/>
  <c r="H17" i="6"/>
  <c r="H21" i="6"/>
  <c r="H25" i="6"/>
  <c r="H29" i="6"/>
  <c r="H33" i="6"/>
  <c r="H37" i="6"/>
  <c r="H41" i="6"/>
  <c r="H45" i="6"/>
  <c r="H49" i="6"/>
  <c r="H53" i="6"/>
  <c r="H57" i="6"/>
  <c r="H61" i="6"/>
  <c r="H65" i="6"/>
  <c r="H69" i="6"/>
  <c r="H73" i="6"/>
  <c r="H77" i="6"/>
  <c r="H81" i="6"/>
  <c r="H85" i="6"/>
  <c r="H89" i="6"/>
  <c r="H93" i="6"/>
  <c r="H102" i="6"/>
  <c r="H107" i="6"/>
  <c r="H123" i="6"/>
  <c r="H139" i="6"/>
  <c r="H155" i="6"/>
  <c r="H171" i="6"/>
  <c r="H187" i="6"/>
  <c r="H205" i="6"/>
  <c r="H6" i="7"/>
  <c r="H15" i="7"/>
  <c r="H29" i="7"/>
  <c r="H38" i="7"/>
  <c r="H47" i="7"/>
  <c r="H61" i="7"/>
  <c r="H70" i="7"/>
  <c r="H79" i="7"/>
  <c r="H93" i="7"/>
  <c r="H102" i="7"/>
  <c r="H111" i="7"/>
  <c r="H134" i="7"/>
  <c r="H143" i="7"/>
  <c r="H157" i="7"/>
  <c r="H162" i="7"/>
  <c r="H173" i="7"/>
  <c r="H178" i="7"/>
  <c r="H189" i="7"/>
  <c r="H194" i="7"/>
  <c r="H205" i="7"/>
  <c r="H32" i="8"/>
  <c r="H64" i="8"/>
  <c r="H96" i="8"/>
  <c r="H128" i="8"/>
  <c r="H160" i="8"/>
  <c r="H192" i="8"/>
  <c r="H122" i="8"/>
  <c r="H118" i="8"/>
  <c r="H114" i="8"/>
  <c r="H110" i="8"/>
  <c r="H106" i="8"/>
  <c r="H102" i="8"/>
  <c r="H98" i="8"/>
  <c r="H121" i="8"/>
  <c r="H117" i="8"/>
  <c r="H113" i="8"/>
  <c r="H109" i="8"/>
  <c r="H105" i="8"/>
  <c r="H101" i="8"/>
  <c r="H130" i="6"/>
  <c r="H126" i="6"/>
  <c r="H122" i="6"/>
  <c r="H118" i="6"/>
  <c r="H114" i="6"/>
  <c r="H110" i="6"/>
  <c r="H128" i="7"/>
  <c r="H124" i="7"/>
  <c r="H120" i="7"/>
  <c r="H116" i="7"/>
  <c r="H112" i="7"/>
  <c r="H108" i="7"/>
  <c r="H123" i="8"/>
  <c r="H119" i="8"/>
  <c r="H115" i="8"/>
  <c r="H111" i="8"/>
  <c r="H107" i="8"/>
  <c r="H103" i="8"/>
  <c r="H99" i="8"/>
  <c r="H128" i="6"/>
  <c r="H124" i="6"/>
  <c r="H120" i="6"/>
  <c r="H116" i="6"/>
  <c r="H112" i="6"/>
  <c r="H108" i="6"/>
  <c r="H98" i="6"/>
  <c r="H113" i="6"/>
  <c r="H129" i="6"/>
  <c r="H145" i="6"/>
  <c r="H161" i="6"/>
  <c r="H177" i="6"/>
  <c r="H193" i="6"/>
  <c r="H11" i="7"/>
  <c r="H25" i="7"/>
  <c r="H34" i="7"/>
  <c r="H43" i="7"/>
  <c r="H57" i="7"/>
  <c r="H66" i="7"/>
  <c r="H75" i="7"/>
  <c r="H89" i="7"/>
  <c r="H98" i="7"/>
  <c r="H107" i="7"/>
  <c r="H121" i="7"/>
  <c r="H130" i="7"/>
  <c r="H139" i="7"/>
  <c r="H153" i="7"/>
  <c r="H20" i="8"/>
  <c r="H52" i="8"/>
  <c r="H84" i="8"/>
  <c r="H116" i="8"/>
  <c r="H148" i="8"/>
  <c r="H207" i="7"/>
  <c r="H203" i="7"/>
  <c r="H199" i="7"/>
  <c r="H195" i="7"/>
  <c r="H191" i="7"/>
  <c r="H194" i="8"/>
  <c r="H190" i="8"/>
  <c r="H186" i="8"/>
  <c r="H182" i="8"/>
  <c r="H207" i="6"/>
  <c r="H203" i="6"/>
  <c r="H199" i="6"/>
  <c r="H195" i="6"/>
  <c r="H197" i="8"/>
  <c r="H193" i="8"/>
  <c r="H189" i="8"/>
  <c r="H185" i="8"/>
  <c r="H181" i="8"/>
  <c r="H206" i="6"/>
  <c r="H202" i="6"/>
  <c r="H198" i="6"/>
  <c r="H194" i="6"/>
  <c r="H190" i="6"/>
  <c r="H208" i="7"/>
  <c r="H204" i="7"/>
  <c r="H200" i="7"/>
  <c r="H196" i="7"/>
  <c r="H192" i="7"/>
  <c r="H195" i="8"/>
  <c r="H191" i="8"/>
  <c r="H187" i="8"/>
  <c r="H183" i="8"/>
  <c r="H179" i="8"/>
  <c r="H208" i="6"/>
  <c r="H204" i="6"/>
  <c r="H200" i="6"/>
  <c r="H196" i="6"/>
  <c r="H192" i="6"/>
  <c r="H6" i="6"/>
  <c r="H10" i="6"/>
  <c r="H14" i="6"/>
  <c r="H18" i="6"/>
  <c r="H22" i="6"/>
  <c r="H26" i="6"/>
  <c r="H30" i="6"/>
  <c r="H34" i="6"/>
  <c r="H38" i="6"/>
  <c r="H42" i="6"/>
  <c r="H46" i="6"/>
  <c r="H50" i="6"/>
  <c r="H54" i="6"/>
  <c r="H58" i="6"/>
  <c r="H62" i="6"/>
  <c r="H66" i="6"/>
  <c r="H70" i="6"/>
  <c r="H74" i="6"/>
  <c r="H78" i="6"/>
  <c r="H82" i="6"/>
  <c r="H86" i="6"/>
  <c r="H90" i="6"/>
  <c r="H94" i="6"/>
  <c r="H103" i="6"/>
  <c r="H119" i="6"/>
  <c r="H135" i="6"/>
  <c r="H151" i="6"/>
  <c r="H167" i="6"/>
  <c r="H183" i="6"/>
  <c r="H7" i="7"/>
  <c r="H21" i="7"/>
  <c r="H30" i="7"/>
  <c r="H39" i="7"/>
  <c r="H53" i="7"/>
  <c r="H62" i="7"/>
  <c r="H71" i="7"/>
  <c r="H85" i="7"/>
  <c r="H94" i="7"/>
  <c r="H103" i="7"/>
  <c r="H117" i="7"/>
  <c r="H126" i="7"/>
  <c r="H135" i="7"/>
  <c r="H149" i="7"/>
  <c r="H158" i="7"/>
  <c r="H169" i="7"/>
  <c r="H174" i="7"/>
  <c r="H185" i="7"/>
  <c r="H190" i="7"/>
  <c r="H201" i="7"/>
  <c r="H206" i="7"/>
  <c r="H8" i="8"/>
  <c r="H40" i="8"/>
  <c r="H72" i="8"/>
  <c r="H104" i="8"/>
  <c r="H136" i="8"/>
  <c r="H168" i="8"/>
  <c r="H200" i="8"/>
  <c r="H99" i="6"/>
  <c r="H109" i="6"/>
  <c r="H125" i="6"/>
  <c r="H141" i="6"/>
  <c r="H157" i="6"/>
  <c r="H173" i="6"/>
  <c r="H189" i="6"/>
  <c r="H201" i="6"/>
  <c r="H17" i="7"/>
  <c r="H26" i="7"/>
  <c r="H35" i="7"/>
  <c r="H49" i="7"/>
  <c r="H58" i="7"/>
  <c r="H67" i="7"/>
  <c r="H81" i="7"/>
  <c r="H90" i="7"/>
  <c r="H99" i="7"/>
  <c r="H113" i="7"/>
  <c r="H122" i="7"/>
  <c r="H131" i="7"/>
  <c r="H145" i="7"/>
  <c r="H154" i="7"/>
  <c r="H28" i="8"/>
  <c r="H60" i="8"/>
  <c r="H92" i="8"/>
  <c r="H124" i="8"/>
  <c r="H156" i="8"/>
  <c r="H188" i="8"/>
  <c r="C42" i="3" l="1"/>
  <c r="E39" i="3"/>
  <c r="C38" i="3"/>
  <c r="B42" i="3"/>
  <c r="F40" i="3"/>
  <c r="B38" i="3"/>
  <c r="E40" i="3"/>
  <c r="C39" i="3"/>
  <c r="F41" i="3"/>
  <c r="B39" i="3"/>
  <c r="F37" i="3"/>
  <c r="E41" i="3"/>
  <c r="C40" i="3"/>
  <c r="E37" i="3"/>
  <c r="E15" i="2"/>
  <c r="F42" i="3"/>
  <c r="B40" i="3"/>
  <c r="F38" i="3"/>
  <c r="E14" i="2"/>
  <c r="E13" i="2"/>
  <c r="E20" i="2"/>
  <c r="E12" i="2"/>
  <c r="E19" i="2"/>
  <c r="E18" i="2"/>
  <c r="E17" i="2"/>
  <c r="E16" i="2"/>
  <c r="E42" i="3"/>
  <c r="C41" i="3"/>
  <c r="E38" i="3"/>
  <c r="C37" i="3"/>
  <c r="B41" i="3"/>
  <c r="F39" i="3"/>
  <c r="B37" i="3"/>
  <c r="D38" i="3" l="1"/>
  <c r="D41" i="3"/>
  <c r="D42" i="3"/>
  <c r="D39" i="3"/>
  <c r="D37" i="3"/>
  <c r="D40" i="3"/>
  <c r="R230" i="8"/>
  <c r="R229" i="8"/>
  <c r="R228" i="8"/>
  <c r="R227" i="8"/>
  <c r="R226" i="8"/>
  <c r="R225" i="8"/>
  <c r="R224" i="8"/>
  <c r="R223" i="8"/>
  <c r="R222" i="8"/>
  <c r="R221" i="8"/>
  <c r="R220" i="8"/>
  <c r="R219" i="8"/>
  <c r="R218" i="8"/>
  <c r="R217" i="8"/>
  <c r="R216" i="8"/>
  <c r="R215" i="8"/>
  <c r="R214" i="8"/>
  <c r="R213" i="8"/>
  <c r="R212" i="8"/>
  <c r="R211" i="8"/>
  <c r="R210" i="8"/>
  <c r="R209" i="8"/>
  <c r="R208" i="8"/>
  <c r="R207" i="8"/>
  <c r="R206" i="8"/>
  <c r="R205" i="8"/>
  <c r="R204" i="8"/>
  <c r="R203" i="8"/>
  <c r="R202" i="8"/>
  <c r="R201" i="8"/>
  <c r="R200" i="8"/>
  <c r="R199" i="8"/>
  <c r="R198" i="8"/>
  <c r="R197" i="8"/>
  <c r="R196" i="8"/>
  <c r="R195" i="8"/>
  <c r="R194" i="8"/>
  <c r="R193" i="8"/>
  <c r="R192" i="8"/>
  <c r="R191" i="8"/>
  <c r="R190" i="8"/>
  <c r="R189" i="8"/>
  <c r="R188" i="8"/>
  <c r="R187" i="8"/>
  <c r="R186" i="8"/>
  <c r="R185" i="8"/>
  <c r="R184" i="8"/>
  <c r="R183" i="8"/>
  <c r="R182" i="8"/>
  <c r="R181" i="8"/>
  <c r="R180" i="8"/>
  <c r="R179" i="8"/>
  <c r="R178" i="8"/>
  <c r="R177" i="8"/>
  <c r="R176" i="8"/>
  <c r="R175" i="8"/>
  <c r="R174" i="8"/>
  <c r="R173" i="8"/>
  <c r="R172" i="8"/>
  <c r="R171" i="8"/>
  <c r="R170" i="8"/>
  <c r="R169" i="8"/>
  <c r="R168" i="8"/>
  <c r="R167" i="8"/>
  <c r="R166" i="8"/>
  <c r="R165" i="8"/>
  <c r="R164" i="8"/>
  <c r="R163" i="8"/>
  <c r="R162" i="8"/>
  <c r="R161" i="8"/>
  <c r="R160" i="8"/>
  <c r="R159" i="8"/>
  <c r="R158" i="8"/>
  <c r="R157" i="8"/>
  <c r="R156" i="8"/>
  <c r="R155" i="8"/>
  <c r="R154" i="8"/>
  <c r="R153" i="8"/>
  <c r="R152" i="8"/>
  <c r="R151" i="8"/>
  <c r="R150" i="8"/>
  <c r="R149" i="8"/>
  <c r="R148" i="8"/>
  <c r="R147" i="8"/>
  <c r="R146" i="8"/>
  <c r="R145" i="8"/>
  <c r="R144" i="8"/>
  <c r="R143" i="8"/>
  <c r="R142" i="8"/>
  <c r="R141" i="8"/>
  <c r="R140" i="8"/>
  <c r="R139" i="8"/>
  <c r="R138" i="8"/>
  <c r="R137" i="8"/>
  <c r="R136" i="8"/>
  <c r="R135" i="8"/>
  <c r="R134" i="8"/>
  <c r="R133" i="8"/>
  <c r="R132" i="8"/>
  <c r="R131" i="8"/>
  <c r="R130" i="8"/>
  <c r="R129" i="8"/>
  <c r="R128" i="8"/>
  <c r="R127" i="8"/>
  <c r="R126" i="8"/>
  <c r="R125" i="8"/>
  <c r="R124" i="8"/>
  <c r="R123" i="8"/>
  <c r="R122" i="8"/>
  <c r="R121" i="8"/>
  <c r="R120" i="8"/>
  <c r="R119" i="8"/>
  <c r="R118" i="8"/>
  <c r="R117" i="8"/>
  <c r="R116" i="8"/>
  <c r="R115" i="8"/>
  <c r="R114" i="8"/>
  <c r="R113" i="8"/>
  <c r="R112" i="8"/>
  <c r="R111" i="8"/>
  <c r="R110" i="8"/>
  <c r="R109" i="8"/>
  <c r="R108" i="8"/>
  <c r="R107" i="8"/>
  <c r="R106" i="8"/>
  <c r="R105" i="8"/>
  <c r="R104" i="8"/>
  <c r="R103" i="8"/>
  <c r="R102" i="8"/>
  <c r="R101" i="8"/>
  <c r="R100" i="8"/>
  <c r="R99" i="8"/>
  <c r="R98" i="8"/>
  <c r="R97" i="8"/>
  <c r="R96" i="8"/>
  <c r="R95" i="8"/>
  <c r="R94" i="8"/>
  <c r="R93" i="8"/>
  <c r="R92" i="8"/>
  <c r="R91" i="8"/>
  <c r="R90" i="8"/>
  <c r="R89" i="8"/>
  <c r="R88" i="8"/>
  <c r="R87" i="8"/>
  <c r="R86" i="8"/>
  <c r="R85" i="8"/>
  <c r="R84" i="8"/>
  <c r="R83" i="8"/>
  <c r="R82" i="8"/>
  <c r="R81" i="8"/>
  <c r="R80" i="8"/>
  <c r="R79" i="8"/>
  <c r="R78" i="8"/>
  <c r="R77" i="8"/>
  <c r="R76" i="8"/>
  <c r="R75" i="8"/>
  <c r="R74" i="8"/>
  <c r="R73" i="8"/>
  <c r="R72" i="8"/>
  <c r="R71" i="8"/>
  <c r="R70" i="8"/>
  <c r="R69" i="8"/>
  <c r="R68" i="8"/>
  <c r="R67" i="8"/>
  <c r="R66" i="8"/>
  <c r="R65" i="8"/>
  <c r="R64" i="8"/>
  <c r="R63" i="8"/>
  <c r="R62" i="8"/>
  <c r="R61" i="8"/>
  <c r="R60" i="8"/>
  <c r="R59" i="8"/>
  <c r="R58" i="8"/>
  <c r="R57" i="8"/>
  <c r="R56" i="8"/>
  <c r="R55" i="8"/>
  <c r="R54" i="8"/>
  <c r="R53" i="8"/>
  <c r="R52" i="8"/>
  <c r="R51" i="8"/>
  <c r="R50" i="8"/>
  <c r="R49" i="8"/>
  <c r="R48" i="8"/>
  <c r="R47" i="8"/>
  <c r="R46" i="8"/>
  <c r="R45" i="8"/>
  <c r="R44" i="8"/>
  <c r="R43" i="8"/>
  <c r="R42" i="8"/>
  <c r="R41" i="8"/>
  <c r="R40" i="8"/>
  <c r="R39" i="8"/>
  <c r="R38" i="8"/>
  <c r="R37" i="8"/>
  <c r="R36" i="8"/>
  <c r="R35" i="8"/>
  <c r="R34" i="8"/>
  <c r="R33" i="8"/>
  <c r="R32" i="8"/>
  <c r="R31" i="8"/>
  <c r="R30" i="8"/>
  <c r="R29" i="8"/>
  <c r="R28" i="8"/>
  <c r="R27" i="8"/>
  <c r="R26" i="8"/>
  <c r="R25" i="8"/>
  <c r="R24" i="8"/>
  <c r="R23" i="8"/>
  <c r="R22" i="8"/>
  <c r="R21" i="8"/>
  <c r="R20" i="8"/>
  <c r="R19" i="8"/>
  <c r="R18" i="8"/>
  <c r="R17" i="8"/>
  <c r="R16" i="8"/>
  <c r="R15" i="8"/>
  <c r="R14" i="8"/>
  <c r="R13" i="8"/>
  <c r="R12" i="8"/>
  <c r="R11" i="8"/>
  <c r="R10" i="8"/>
  <c r="R9" i="8"/>
  <c r="R8" i="8"/>
  <c r="R7" i="8"/>
  <c r="R6" i="8"/>
  <c r="R5" i="8"/>
  <c r="R208" i="7"/>
  <c r="R207" i="7"/>
  <c r="R206" i="7"/>
  <c r="R205" i="7"/>
  <c r="R204" i="7"/>
  <c r="R203" i="7"/>
  <c r="R202" i="7"/>
  <c r="R201" i="7"/>
  <c r="R200" i="7"/>
  <c r="R199" i="7"/>
  <c r="R198" i="7"/>
  <c r="R197" i="7"/>
  <c r="R196" i="7"/>
  <c r="R195" i="7"/>
  <c r="R194" i="7"/>
  <c r="R193" i="7"/>
  <c r="R192" i="7"/>
  <c r="R191" i="7"/>
  <c r="R190" i="7"/>
  <c r="R189" i="7"/>
  <c r="R188" i="7"/>
  <c r="R187" i="7"/>
  <c r="R186" i="7"/>
  <c r="R185" i="7"/>
  <c r="R184" i="7"/>
  <c r="R183" i="7"/>
  <c r="R182" i="7"/>
  <c r="R181" i="7"/>
  <c r="R180" i="7"/>
  <c r="R179" i="7"/>
  <c r="R178" i="7"/>
  <c r="R177" i="7"/>
  <c r="R176" i="7"/>
  <c r="R175" i="7"/>
  <c r="R174" i="7"/>
  <c r="R173" i="7"/>
  <c r="R172" i="7"/>
  <c r="R171" i="7"/>
  <c r="R170" i="7"/>
  <c r="R169" i="7"/>
  <c r="R168" i="7"/>
  <c r="R167" i="7"/>
  <c r="R166" i="7"/>
  <c r="R165" i="7"/>
  <c r="R164" i="7"/>
  <c r="R163" i="7"/>
  <c r="R162" i="7"/>
  <c r="R161" i="7"/>
  <c r="R160" i="7"/>
  <c r="R159" i="7"/>
  <c r="R158" i="7"/>
  <c r="R157" i="7"/>
  <c r="R156" i="7"/>
  <c r="R155" i="7"/>
  <c r="R154" i="7"/>
  <c r="R153" i="7"/>
  <c r="R152" i="7"/>
  <c r="R151" i="7"/>
  <c r="R150" i="7"/>
  <c r="R149" i="7"/>
  <c r="R148" i="7"/>
  <c r="R147" i="7"/>
  <c r="R146" i="7"/>
  <c r="R145" i="7"/>
  <c r="R144" i="7"/>
  <c r="R143" i="7"/>
  <c r="R142" i="7"/>
  <c r="R141" i="7"/>
  <c r="R140" i="7"/>
  <c r="R139" i="7"/>
  <c r="R138" i="7"/>
  <c r="R137" i="7"/>
  <c r="R136" i="7"/>
  <c r="R135" i="7"/>
  <c r="R134" i="7"/>
  <c r="R133" i="7"/>
  <c r="R132" i="7"/>
  <c r="R131" i="7"/>
  <c r="R130" i="7"/>
  <c r="R129" i="7"/>
  <c r="R128" i="7"/>
  <c r="R127" i="7"/>
  <c r="R126" i="7"/>
  <c r="R125" i="7"/>
  <c r="R124" i="7"/>
  <c r="R123" i="7"/>
  <c r="R122" i="7"/>
  <c r="R121" i="7"/>
  <c r="R120" i="7"/>
  <c r="R119" i="7"/>
  <c r="R118" i="7"/>
  <c r="R117" i="7"/>
  <c r="R116" i="7"/>
  <c r="R115" i="7"/>
  <c r="R114" i="7"/>
  <c r="R113" i="7"/>
  <c r="R112" i="7"/>
  <c r="R111" i="7"/>
  <c r="R110" i="7"/>
  <c r="R109" i="7"/>
  <c r="R108" i="7"/>
  <c r="R107" i="7"/>
  <c r="R106" i="7"/>
  <c r="R105" i="7"/>
  <c r="R104" i="7"/>
  <c r="R103" i="7"/>
  <c r="R102" i="7"/>
  <c r="R101" i="7"/>
  <c r="R100" i="7"/>
  <c r="R99" i="7"/>
  <c r="R98" i="7"/>
  <c r="R97" i="7"/>
  <c r="R96" i="7"/>
  <c r="R95" i="7"/>
  <c r="R94" i="7"/>
  <c r="R93" i="7"/>
  <c r="R92" i="7"/>
  <c r="R91" i="7"/>
  <c r="R90" i="7"/>
  <c r="R89" i="7"/>
  <c r="R88" i="7"/>
  <c r="R87" i="7"/>
  <c r="R86" i="7"/>
  <c r="R85" i="7"/>
  <c r="R84" i="7"/>
  <c r="R83" i="7"/>
  <c r="R82" i="7"/>
  <c r="R81" i="7"/>
  <c r="R80" i="7"/>
  <c r="R79" i="7"/>
  <c r="R78" i="7"/>
  <c r="R77" i="7"/>
  <c r="R76" i="7"/>
  <c r="R75" i="7"/>
  <c r="R74" i="7"/>
  <c r="R73" i="7"/>
  <c r="R72" i="7"/>
  <c r="R71" i="7"/>
  <c r="R70" i="7"/>
  <c r="R69" i="7"/>
  <c r="R68" i="7"/>
  <c r="R67" i="7"/>
  <c r="R66" i="7"/>
  <c r="R65" i="7"/>
  <c r="R64" i="7"/>
  <c r="R63" i="7"/>
  <c r="R62" i="7"/>
  <c r="R61" i="7"/>
  <c r="R60" i="7"/>
  <c r="R59" i="7"/>
  <c r="R58" i="7"/>
  <c r="R57" i="7"/>
  <c r="R56" i="7"/>
  <c r="R55" i="7"/>
  <c r="R54" i="7"/>
  <c r="R53" i="7"/>
  <c r="R52" i="7"/>
  <c r="R51" i="7"/>
  <c r="R50" i="7"/>
  <c r="R49" i="7"/>
  <c r="R48" i="7"/>
  <c r="R47" i="7"/>
  <c r="R46" i="7"/>
  <c r="R45" i="7"/>
  <c r="R44" i="7"/>
  <c r="R43" i="7"/>
  <c r="R42" i="7"/>
  <c r="R41" i="7"/>
  <c r="R40" i="7"/>
  <c r="R39"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R10" i="7"/>
  <c r="R9" i="7"/>
  <c r="R8" i="7"/>
  <c r="R7" i="7"/>
  <c r="R6" i="7"/>
  <c r="R5" i="7"/>
  <c r="R208" i="6"/>
  <c r="R207" i="6"/>
  <c r="R206" i="6"/>
  <c r="R205" i="6"/>
  <c r="R204" i="6"/>
  <c r="R203" i="6"/>
  <c r="R202" i="6"/>
  <c r="R201" i="6"/>
  <c r="R200" i="6"/>
  <c r="R199" i="6"/>
  <c r="R198" i="6"/>
  <c r="R197" i="6"/>
  <c r="R196" i="6"/>
  <c r="R195" i="6"/>
  <c r="R194" i="6"/>
  <c r="R193" i="6"/>
  <c r="R192" i="6"/>
  <c r="R191" i="6"/>
  <c r="R190" i="6"/>
  <c r="R189" i="6"/>
  <c r="R188" i="6"/>
  <c r="R187" i="6"/>
  <c r="R186" i="6"/>
  <c r="R185" i="6"/>
  <c r="R184" i="6"/>
  <c r="R183" i="6"/>
  <c r="R182" i="6"/>
  <c r="R181" i="6"/>
  <c r="R180" i="6"/>
  <c r="R179" i="6"/>
  <c r="R178" i="6"/>
  <c r="R177" i="6"/>
  <c r="R176" i="6"/>
  <c r="R175" i="6"/>
  <c r="R174" i="6"/>
  <c r="R173" i="6"/>
  <c r="R172" i="6"/>
  <c r="R171" i="6"/>
  <c r="R170" i="6"/>
  <c r="R169" i="6"/>
  <c r="R168" i="6"/>
  <c r="R167" i="6"/>
  <c r="R166" i="6"/>
  <c r="R165" i="6"/>
  <c r="R164" i="6"/>
  <c r="R163" i="6"/>
  <c r="R162" i="6"/>
  <c r="R161" i="6"/>
  <c r="R160" i="6"/>
  <c r="R159" i="6"/>
  <c r="R158" i="6"/>
  <c r="R157" i="6"/>
  <c r="R156" i="6"/>
  <c r="R155" i="6"/>
  <c r="R154" i="6"/>
  <c r="R153" i="6"/>
  <c r="R152" i="6"/>
  <c r="R151" i="6"/>
  <c r="R150" i="6"/>
  <c r="R149" i="6"/>
  <c r="R148" i="6"/>
  <c r="R147" i="6"/>
  <c r="R146" i="6"/>
  <c r="R145" i="6"/>
  <c r="R144" i="6"/>
  <c r="R143" i="6"/>
  <c r="R142" i="6"/>
  <c r="R141" i="6"/>
  <c r="R140" i="6"/>
  <c r="R139" i="6"/>
  <c r="R138" i="6"/>
  <c r="R137" i="6"/>
  <c r="R136" i="6"/>
  <c r="R135" i="6"/>
  <c r="R134" i="6"/>
  <c r="R133" i="6"/>
  <c r="R132" i="6"/>
  <c r="R131" i="6"/>
  <c r="R130" i="6"/>
  <c r="R129" i="6"/>
  <c r="R128" i="6"/>
  <c r="R127" i="6"/>
  <c r="R126" i="6"/>
  <c r="R125" i="6"/>
  <c r="R124" i="6"/>
  <c r="R123" i="6"/>
  <c r="R122" i="6"/>
  <c r="R121" i="6"/>
  <c r="R120" i="6"/>
  <c r="R119" i="6"/>
  <c r="R118" i="6"/>
  <c r="R117" i="6"/>
  <c r="R116" i="6"/>
  <c r="R115" i="6"/>
  <c r="R114" i="6"/>
  <c r="R113" i="6"/>
  <c r="R112" i="6"/>
  <c r="R111" i="6"/>
  <c r="R110" i="6"/>
  <c r="R109" i="6"/>
  <c r="R108" i="6"/>
  <c r="R107" i="6"/>
  <c r="R106" i="6"/>
  <c r="R105" i="6"/>
  <c r="R104" i="6"/>
  <c r="R103" i="6"/>
  <c r="R102" i="6"/>
  <c r="R101" i="6"/>
  <c r="R100" i="6"/>
  <c r="R99" i="6"/>
  <c r="R98" i="6"/>
  <c r="R97" i="6"/>
  <c r="R96" i="6"/>
  <c r="R95" i="6"/>
  <c r="R94" i="6"/>
  <c r="R93" i="6"/>
  <c r="R92" i="6"/>
  <c r="R91" i="6"/>
  <c r="R90" i="6"/>
  <c r="R89" i="6"/>
  <c r="R88" i="6"/>
  <c r="R87" i="6"/>
  <c r="R86" i="6"/>
  <c r="R85" i="6"/>
  <c r="R84" i="6"/>
  <c r="R83" i="6"/>
  <c r="R82" i="6"/>
  <c r="R81" i="6"/>
  <c r="R80" i="6"/>
  <c r="R79" i="6"/>
  <c r="R78" i="6"/>
  <c r="R77" i="6"/>
  <c r="R76" i="6"/>
  <c r="R75" i="6"/>
  <c r="R74" i="6"/>
  <c r="R73" i="6"/>
  <c r="R72" i="6"/>
  <c r="R71" i="6"/>
  <c r="R70" i="6"/>
  <c r="R69" i="6"/>
  <c r="R68" i="6"/>
  <c r="R67" i="6"/>
  <c r="R66" i="6"/>
  <c r="R65" i="6"/>
  <c r="R64" i="6"/>
  <c r="R63" i="6"/>
  <c r="R62" i="6"/>
  <c r="R61" i="6"/>
  <c r="R60" i="6"/>
  <c r="R59" i="6"/>
  <c r="R58" i="6"/>
  <c r="R57" i="6"/>
  <c r="R56" i="6"/>
  <c r="R55" i="6"/>
  <c r="R54" i="6"/>
  <c r="R53" i="6"/>
  <c r="R52" i="6"/>
  <c r="R51" i="6"/>
  <c r="R50" i="6"/>
  <c r="R49" i="6"/>
  <c r="R48" i="6"/>
  <c r="R47" i="6"/>
  <c r="R46" i="6"/>
  <c r="R45" i="6"/>
  <c r="R44" i="6"/>
  <c r="R43" i="6"/>
  <c r="R42" i="6"/>
  <c r="R41" i="6"/>
  <c r="R40" i="6"/>
  <c r="R39" i="6"/>
  <c r="R38" i="6"/>
  <c r="R37" i="6"/>
  <c r="R36" i="6"/>
  <c r="R35" i="6"/>
  <c r="R34" i="6"/>
  <c r="R33" i="6"/>
  <c r="R32" i="6"/>
  <c r="R31" i="6"/>
  <c r="R30" i="6"/>
  <c r="R29" i="6"/>
  <c r="R28" i="6"/>
  <c r="R27" i="6"/>
  <c r="R26" i="6"/>
  <c r="R25" i="6"/>
  <c r="R24" i="6"/>
  <c r="R23" i="6"/>
  <c r="R22" i="6"/>
  <c r="R21" i="6"/>
  <c r="R20" i="6"/>
  <c r="R19" i="6"/>
  <c r="R18" i="6"/>
  <c r="R17" i="6"/>
  <c r="R16" i="6"/>
  <c r="R15" i="6"/>
  <c r="R14" i="6"/>
  <c r="R13" i="6"/>
  <c r="R12" i="6"/>
  <c r="R11" i="6"/>
  <c r="R10" i="6"/>
  <c r="R9" i="6"/>
  <c r="R8" i="6"/>
  <c r="R7" i="6"/>
  <c r="R6" i="6"/>
  <c r="R5" i="6"/>
  <c r="J3" i="10"/>
  <c r="D25" i="1"/>
  <c r="D24" i="1"/>
  <c r="D23" i="1"/>
  <c r="D22" i="1"/>
  <c r="D21" i="1"/>
  <c r="D20" i="1"/>
  <c r="D18" i="1"/>
  <c r="D17" i="1"/>
  <c r="D16" i="1"/>
  <c r="D15" i="1"/>
  <c r="I102" i="10" l="1"/>
  <c r="E102" i="10" s="1"/>
  <c r="G3" i="10"/>
  <c r="I8" i="10"/>
  <c r="I16" i="10"/>
  <c r="I24" i="10"/>
  <c r="I32" i="10"/>
  <c r="I40" i="10"/>
  <c r="I48" i="10"/>
  <c r="I56" i="10"/>
  <c r="I64" i="10"/>
  <c r="I72" i="10"/>
  <c r="I80" i="10"/>
  <c r="I89" i="10"/>
  <c r="I93" i="10"/>
  <c r="I115" i="10"/>
  <c r="I120" i="10"/>
  <c r="I53" i="10"/>
  <c r="I61" i="10"/>
  <c r="I69" i="10"/>
  <c r="I77" i="10"/>
  <c r="I82" i="10"/>
  <c r="I84" i="10"/>
  <c r="I98" i="10"/>
  <c r="I103" i="10"/>
  <c r="I129" i="10"/>
  <c r="I21" i="10"/>
  <c r="I10" i="10"/>
  <c r="I42" i="10"/>
  <c r="I58" i="10"/>
  <c r="I74" i="10"/>
  <c r="I137" i="10"/>
  <c r="I29" i="10"/>
  <c r="I45" i="10"/>
  <c r="I71" i="10"/>
  <c r="I79" i="10"/>
  <c r="I94" i="10"/>
  <c r="I106" i="10"/>
  <c r="I146" i="10"/>
  <c r="I66" i="10"/>
  <c r="I63" i="10"/>
  <c r="I20" i="10"/>
  <c r="I44" i="10"/>
  <c r="I99" i="10"/>
  <c r="I109" i="10"/>
  <c r="I117" i="10"/>
  <c r="I7" i="10"/>
  <c r="I23" i="10"/>
  <c r="I31" i="10"/>
  <c r="I39" i="10"/>
  <c r="I55" i="10"/>
  <c r="I60" i="10"/>
  <c r="I68" i="10"/>
  <c r="I76" i="10"/>
  <c r="I88" i="10"/>
  <c r="I90" i="10"/>
  <c r="I9" i="10"/>
  <c r="I17" i="10"/>
  <c r="I25" i="10"/>
  <c r="I33" i="10"/>
  <c r="I41" i="10"/>
  <c r="I49" i="10"/>
  <c r="I57" i="10"/>
  <c r="I65" i="10"/>
  <c r="I73" i="10"/>
  <c r="I81" i="10"/>
  <c r="I83" i="10"/>
  <c r="I107" i="10"/>
  <c r="I110" i="10"/>
  <c r="I118" i="10"/>
  <c r="I125" i="10"/>
  <c r="I18" i="10"/>
  <c r="I6" i="10"/>
  <c r="I14" i="10"/>
  <c r="I22" i="10"/>
  <c r="I30" i="10"/>
  <c r="I38" i="10"/>
  <c r="I46" i="10"/>
  <c r="I54" i="10"/>
  <c r="I62" i="10"/>
  <c r="I70" i="10"/>
  <c r="I78" i="10"/>
  <c r="I95" i="10"/>
  <c r="I235" i="10"/>
  <c r="I234" i="10"/>
  <c r="I233" i="10"/>
  <c r="I232" i="10"/>
  <c r="I231" i="10"/>
  <c r="I230" i="10"/>
  <c r="I229" i="10"/>
  <c r="I228" i="10"/>
  <c r="I227" i="10"/>
  <c r="I226" i="10"/>
  <c r="I225" i="10"/>
  <c r="I224" i="10"/>
  <c r="I223" i="10"/>
  <c r="I222" i="10"/>
  <c r="I221" i="10"/>
  <c r="I220" i="10"/>
  <c r="I219" i="10"/>
  <c r="I218" i="10"/>
  <c r="I217" i="10"/>
  <c r="I216" i="10"/>
  <c r="I215" i="10"/>
  <c r="I214" i="10"/>
  <c r="I213" i="10"/>
  <c r="I212" i="10"/>
  <c r="I211" i="10"/>
  <c r="I210" i="10"/>
  <c r="I209" i="10"/>
  <c r="I208" i="10"/>
  <c r="I207" i="10"/>
  <c r="I206" i="10"/>
  <c r="I205" i="10"/>
  <c r="I204" i="10"/>
  <c r="I203" i="10"/>
  <c r="I202" i="10"/>
  <c r="I201" i="10"/>
  <c r="I200" i="10"/>
  <c r="I199" i="10"/>
  <c r="I198" i="10"/>
  <c r="I197" i="10"/>
  <c r="I196" i="10"/>
  <c r="I195" i="10"/>
  <c r="I194" i="10"/>
  <c r="I193" i="10"/>
  <c r="I192" i="10"/>
  <c r="I191" i="10"/>
  <c r="I190" i="10"/>
  <c r="I189" i="10"/>
  <c r="I188" i="10"/>
  <c r="I187" i="10"/>
  <c r="I186" i="10"/>
  <c r="I185" i="10"/>
  <c r="I184" i="10"/>
  <c r="I183" i="10"/>
  <c r="I182" i="10"/>
  <c r="I181" i="10"/>
  <c r="I180" i="10"/>
  <c r="I179" i="10"/>
  <c r="I178" i="10"/>
  <c r="I177" i="10"/>
  <c r="I176" i="10"/>
  <c r="I175" i="10"/>
  <c r="I174" i="10"/>
  <c r="I173" i="10"/>
  <c r="I172" i="10"/>
  <c r="I171" i="10"/>
  <c r="I170" i="10"/>
  <c r="I169" i="10"/>
  <c r="I168" i="10"/>
  <c r="I167" i="10"/>
  <c r="I166" i="10"/>
  <c r="I165" i="10"/>
  <c r="I164" i="10"/>
  <c r="I163" i="10"/>
  <c r="I162" i="10"/>
  <c r="I161" i="10"/>
  <c r="I160" i="10"/>
  <c r="I159" i="10"/>
  <c r="I158" i="10"/>
  <c r="I157" i="10"/>
  <c r="I156" i="10"/>
  <c r="I155" i="10"/>
  <c r="I154" i="10"/>
  <c r="I153" i="10"/>
  <c r="I152" i="10"/>
  <c r="I151" i="10"/>
  <c r="I130" i="10"/>
  <c r="I122" i="10"/>
  <c r="I147" i="10"/>
  <c r="I143" i="10"/>
  <c r="I139" i="10"/>
  <c r="I135" i="10"/>
  <c r="I131" i="10"/>
  <c r="I123" i="10"/>
  <c r="I124" i="10"/>
  <c r="I141" i="10"/>
  <c r="I113" i="10"/>
  <c r="I85" i="10"/>
  <c r="I134" i="10"/>
  <c r="I126" i="10"/>
  <c r="I97" i="10"/>
  <c r="I145" i="10"/>
  <c r="I132" i="10"/>
  <c r="I116" i="10"/>
  <c r="I108" i="10"/>
  <c r="I104" i="10"/>
  <c r="I100" i="10"/>
  <c r="I96" i="10"/>
  <c r="I92" i="10"/>
  <c r="I86" i="10"/>
  <c r="I149" i="10"/>
  <c r="I136" i="10"/>
  <c r="I121" i="10"/>
  <c r="I119" i="10"/>
  <c r="I111" i="10"/>
  <c r="I87" i="10"/>
  <c r="I140" i="10"/>
  <c r="I128" i="10"/>
  <c r="I114" i="10"/>
  <c r="I105" i="10"/>
  <c r="I101" i="10"/>
  <c r="I144" i="10"/>
  <c r="I138" i="10"/>
  <c r="I148" i="10"/>
  <c r="I142" i="10"/>
  <c r="I112" i="10"/>
  <c r="I150" i="10"/>
  <c r="I13" i="10"/>
  <c r="I37" i="10"/>
  <c r="I26" i="10"/>
  <c r="I34" i="10"/>
  <c r="I50" i="10"/>
  <c r="I15" i="10"/>
  <c r="I47" i="10"/>
  <c r="I12" i="10"/>
  <c r="I28" i="10"/>
  <c r="I36" i="10"/>
  <c r="I52" i="10"/>
  <c r="I11" i="10"/>
  <c r="I19" i="10"/>
  <c r="I27" i="10"/>
  <c r="I35" i="10"/>
  <c r="I43" i="10"/>
  <c r="I51" i="10"/>
  <c r="I59" i="10"/>
  <c r="I67" i="10"/>
  <c r="I75" i="10"/>
  <c r="I91" i="10"/>
  <c r="I127" i="10"/>
  <c r="I133" i="10"/>
  <c r="A102" i="10" l="1"/>
  <c r="G102" i="10"/>
  <c r="F102" i="10"/>
  <c r="B102" i="10"/>
  <c r="D102" i="10"/>
  <c r="C102" i="10"/>
  <c r="D147" i="10"/>
  <c r="B147" i="10"/>
  <c r="G147" i="10"/>
  <c r="E147" i="10"/>
  <c r="F147" i="10"/>
  <c r="C147" i="10"/>
  <c r="A147" i="10"/>
  <c r="F172" i="10"/>
  <c r="G172" i="10"/>
  <c r="E172" i="10"/>
  <c r="D172" i="10"/>
  <c r="C172" i="10"/>
  <c r="B172" i="10"/>
  <c r="A172" i="10"/>
  <c r="F180" i="10"/>
  <c r="G180" i="10"/>
  <c r="C180" i="10"/>
  <c r="B180" i="10"/>
  <c r="A180" i="10"/>
  <c r="E180" i="10"/>
  <c r="D180" i="10"/>
  <c r="F188" i="10"/>
  <c r="G188" i="10"/>
  <c r="E188" i="10"/>
  <c r="B188" i="10"/>
  <c r="A188" i="10"/>
  <c r="D188" i="10"/>
  <c r="C188" i="10"/>
  <c r="F196" i="10"/>
  <c r="G196" i="10"/>
  <c r="C196" i="10"/>
  <c r="B196" i="10"/>
  <c r="A196" i="10"/>
  <c r="E196" i="10"/>
  <c r="D196" i="10"/>
  <c r="F204" i="10"/>
  <c r="G204" i="10"/>
  <c r="E204" i="10"/>
  <c r="B204" i="10"/>
  <c r="D204" i="10"/>
  <c r="C204" i="10"/>
  <c r="A204" i="10"/>
  <c r="F212" i="10"/>
  <c r="G212" i="10"/>
  <c r="C212" i="10"/>
  <c r="B212" i="10"/>
  <c r="A212" i="10"/>
  <c r="E212" i="10"/>
  <c r="D212" i="10"/>
  <c r="F220" i="10"/>
  <c r="G220" i="10"/>
  <c r="E220" i="10"/>
  <c r="B220" i="10"/>
  <c r="A220" i="10"/>
  <c r="D220" i="10"/>
  <c r="C220" i="10"/>
  <c r="F228" i="10"/>
  <c r="G228" i="10"/>
  <c r="C228" i="10"/>
  <c r="B228" i="10"/>
  <c r="A228" i="10"/>
  <c r="E228" i="10"/>
  <c r="D228" i="10"/>
  <c r="E95" i="10"/>
  <c r="C95" i="10"/>
  <c r="G95" i="10"/>
  <c r="F95" i="10"/>
  <c r="D95" i="10"/>
  <c r="B95" i="10"/>
  <c r="A95" i="10"/>
  <c r="D22" i="10"/>
  <c r="C22" i="10"/>
  <c r="B22" i="10"/>
  <c r="E22" i="10"/>
  <c r="G22" i="10"/>
  <c r="F22" i="10"/>
  <c r="A22" i="10"/>
  <c r="E83" i="10"/>
  <c r="F83" i="10"/>
  <c r="D83" i="10"/>
  <c r="C83" i="10"/>
  <c r="G83" i="10"/>
  <c r="B83" i="10"/>
  <c r="A83" i="10"/>
  <c r="D25" i="10"/>
  <c r="C25" i="10"/>
  <c r="B25" i="10"/>
  <c r="G25" i="10"/>
  <c r="F25" i="10"/>
  <c r="A25" i="10"/>
  <c r="E25" i="10"/>
  <c r="D55" i="10"/>
  <c r="C55" i="10"/>
  <c r="B55" i="10"/>
  <c r="A55" i="10"/>
  <c r="G55" i="10"/>
  <c r="F55" i="10"/>
  <c r="E55" i="10"/>
  <c r="D44" i="10"/>
  <c r="C44" i="10"/>
  <c r="B44" i="10"/>
  <c r="F44" i="10"/>
  <c r="G44" i="10"/>
  <c r="E44" i="10"/>
  <c r="A44" i="10"/>
  <c r="D71" i="10"/>
  <c r="C71" i="10"/>
  <c r="B71" i="10"/>
  <c r="A71" i="10"/>
  <c r="G71" i="10"/>
  <c r="F71" i="10"/>
  <c r="E71" i="10"/>
  <c r="D21" i="10"/>
  <c r="C21" i="10"/>
  <c r="B21" i="10"/>
  <c r="F21" i="10"/>
  <c r="E21" i="10"/>
  <c r="A21" i="10"/>
  <c r="G21" i="10"/>
  <c r="D61" i="10"/>
  <c r="C61" i="10"/>
  <c r="B61" i="10"/>
  <c r="F61" i="10"/>
  <c r="E61" i="10"/>
  <c r="A61" i="10"/>
  <c r="G61" i="10"/>
  <c r="D64" i="10"/>
  <c r="C64" i="10"/>
  <c r="B64" i="10"/>
  <c r="G64" i="10"/>
  <c r="F64" i="10"/>
  <c r="E64" i="10"/>
  <c r="A64" i="10"/>
  <c r="E113" i="10"/>
  <c r="D113" i="10"/>
  <c r="C113" i="10"/>
  <c r="B113" i="10"/>
  <c r="G113" i="10"/>
  <c r="F113" i="10"/>
  <c r="A113" i="10"/>
  <c r="D51" i="10"/>
  <c r="C51" i="10"/>
  <c r="B51" i="10"/>
  <c r="G51" i="10"/>
  <c r="F51" i="10"/>
  <c r="E51" i="10"/>
  <c r="A51" i="10"/>
  <c r="E105" i="10"/>
  <c r="C105" i="10"/>
  <c r="A105" i="10"/>
  <c r="F105" i="10"/>
  <c r="D105" i="10"/>
  <c r="B105" i="10"/>
  <c r="G105" i="10"/>
  <c r="D122" i="10"/>
  <c r="G122" i="10"/>
  <c r="F122" i="10"/>
  <c r="B122" i="10"/>
  <c r="A122" i="10"/>
  <c r="E122" i="10"/>
  <c r="C122" i="10"/>
  <c r="F173" i="10"/>
  <c r="B173" i="10"/>
  <c r="C173" i="10"/>
  <c r="A173" i="10"/>
  <c r="E173" i="10"/>
  <c r="D173" i="10"/>
  <c r="G173" i="10"/>
  <c r="F197" i="10"/>
  <c r="B197" i="10"/>
  <c r="G197" i="10"/>
  <c r="E197" i="10"/>
  <c r="A197" i="10"/>
  <c r="D197" i="10"/>
  <c r="C197" i="10"/>
  <c r="F213" i="10"/>
  <c r="B213" i="10"/>
  <c r="G213" i="10"/>
  <c r="E213" i="10"/>
  <c r="A213" i="10"/>
  <c r="D213" i="10"/>
  <c r="C213" i="10"/>
  <c r="F221" i="10"/>
  <c r="B221" i="10"/>
  <c r="C221" i="10"/>
  <c r="A221" i="10"/>
  <c r="G221" i="10"/>
  <c r="E221" i="10"/>
  <c r="D221" i="10"/>
  <c r="F229" i="10"/>
  <c r="B229" i="10"/>
  <c r="G229" i="10"/>
  <c r="E229" i="10"/>
  <c r="A229" i="10"/>
  <c r="D229" i="10"/>
  <c r="C229" i="10"/>
  <c r="D78" i="10"/>
  <c r="C78" i="10"/>
  <c r="B78" i="10"/>
  <c r="G78" i="10"/>
  <c r="F78" i="10"/>
  <c r="E78" i="10"/>
  <c r="A78" i="10"/>
  <c r="D14" i="10"/>
  <c r="C14" i="10"/>
  <c r="B14" i="10"/>
  <c r="E14" i="10"/>
  <c r="A14" i="10"/>
  <c r="G14" i="10"/>
  <c r="F14" i="10"/>
  <c r="D81" i="10"/>
  <c r="C81" i="10"/>
  <c r="B81" i="10"/>
  <c r="G81" i="10"/>
  <c r="F81" i="10"/>
  <c r="E81" i="10"/>
  <c r="A81" i="10"/>
  <c r="D17" i="10"/>
  <c r="C17" i="10"/>
  <c r="B17" i="10"/>
  <c r="A17" i="10"/>
  <c r="G17" i="10"/>
  <c r="F17" i="10"/>
  <c r="E17" i="10"/>
  <c r="D39" i="10"/>
  <c r="C39" i="10"/>
  <c r="B39" i="10"/>
  <c r="A39" i="10"/>
  <c r="G39" i="10"/>
  <c r="F39" i="10"/>
  <c r="E39" i="10"/>
  <c r="D20" i="10"/>
  <c r="C20" i="10"/>
  <c r="B20" i="10"/>
  <c r="E20" i="10"/>
  <c r="G20" i="10"/>
  <c r="F20" i="10"/>
  <c r="A20" i="10"/>
  <c r="D45" i="10"/>
  <c r="C45" i="10"/>
  <c r="B45" i="10"/>
  <c r="F45" i="10"/>
  <c r="E45" i="10"/>
  <c r="A45" i="10"/>
  <c r="G45" i="10"/>
  <c r="D129" i="10"/>
  <c r="G129" i="10"/>
  <c r="F129" i="10"/>
  <c r="E129" i="10"/>
  <c r="C129" i="10"/>
  <c r="B129" i="10"/>
  <c r="A129" i="10"/>
  <c r="D53" i="10"/>
  <c r="C53" i="10"/>
  <c r="B53" i="10"/>
  <c r="F53" i="10"/>
  <c r="E53" i="10"/>
  <c r="A53" i="10"/>
  <c r="G53" i="10"/>
  <c r="D56" i="10"/>
  <c r="C56" i="10"/>
  <c r="B56" i="10"/>
  <c r="G56" i="10"/>
  <c r="F56" i="10"/>
  <c r="E56" i="10"/>
  <c r="A56" i="10"/>
  <c r="D59" i="10"/>
  <c r="C59" i="10"/>
  <c r="B59" i="10"/>
  <c r="G59" i="10"/>
  <c r="F59" i="10"/>
  <c r="E59" i="10"/>
  <c r="A59" i="10"/>
  <c r="D121" i="10"/>
  <c r="G121" i="10"/>
  <c r="F121" i="10"/>
  <c r="E121" i="10"/>
  <c r="C121" i="10"/>
  <c r="B121" i="10"/>
  <c r="A121" i="10"/>
  <c r="A156" i="10"/>
  <c r="G156" i="10"/>
  <c r="F156" i="10"/>
  <c r="E156" i="10"/>
  <c r="D156" i="10"/>
  <c r="C156" i="10"/>
  <c r="B156" i="10"/>
  <c r="A164" i="10"/>
  <c r="G164" i="10"/>
  <c r="D164" i="10"/>
  <c r="C164" i="10"/>
  <c r="B164" i="10"/>
  <c r="F164" i="10"/>
  <c r="E164" i="10"/>
  <c r="D28" i="10"/>
  <c r="C28" i="10"/>
  <c r="B28" i="10"/>
  <c r="F28" i="10"/>
  <c r="G28" i="10"/>
  <c r="E28" i="10"/>
  <c r="A28" i="10"/>
  <c r="D13" i="10"/>
  <c r="C13" i="10"/>
  <c r="B13" i="10"/>
  <c r="F13" i="10"/>
  <c r="E13" i="10"/>
  <c r="A13" i="10"/>
  <c r="G13" i="10"/>
  <c r="D136" i="10"/>
  <c r="B136" i="10"/>
  <c r="A136" i="10"/>
  <c r="G136" i="10"/>
  <c r="F136" i="10"/>
  <c r="E136" i="10"/>
  <c r="C136" i="10"/>
  <c r="E116" i="10"/>
  <c r="D116" i="10"/>
  <c r="C116" i="10"/>
  <c r="F116" i="10"/>
  <c r="G116" i="10"/>
  <c r="A116" i="10"/>
  <c r="B116" i="10"/>
  <c r="D141" i="10"/>
  <c r="B141" i="10"/>
  <c r="E141" i="10"/>
  <c r="C141" i="10"/>
  <c r="A141" i="10"/>
  <c r="G141" i="10"/>
  <c r="F141" i="10"/>
  <c r="B157" i="10"/>
  <c r="G157" i="10"/>
  <c r="E157" i="10"/>
  <c r="D157" i="10"/>
  <c r="C157" i="10"/>
  <c r="A157" i="10"/>
  <c r="F157" i="10"/>
  <c r="F165" i="10"/>
  <c r="B165" i="10"/>
  <c r="G165" i="10"/>
  <c r="E165" i="10"/>
  <c r="A165" i="10"/>
  <c r="C165" i="10"/>
  <c r="D165" i="10"/>
  <c r="F181" i="10"/>
  <c r="B181" i="10"/>
  <c r="G181" i="10"/>
  <c r="E181" i="10"/>
  <c r="D181" i="10"/>
  <c r="C181" i="10"/>
  <c r="A181" i="10"/>
  <c r="F189" i="10"/>
  <c r="B189" i="10"/>
  <c r="C189" i="10"/>
  <c r="A189" i="10"/>
  <c r="G189" i="10"/>
  <c r="E189" i="10"/>
  <c r="D189" i="10"/>
  <c r="F205" i="10"/>
  <c r="B205" i="10"/>
  <c r="C205" i="10"/>
  <c r="A205" i="10"/>
  <c r="G205" i="10"/>
  <c r="E205" i="10"/>
  <c r="D205" i="10"/>
  <c r="D43" i="10"/>
  <c r="C43" i="10"/>
  <c r="B43" i="10"/>
  <c r="G43" i="10"/>
  <c r="F43" i="10"/>
  <c r="E43" i="10"/>
  <c r="A43" i="10"/>
  <c r="D12" i="10"/>
  <c r="C12" i="10"/>
  <c r="B12" i="10"/>
  <c r="E12" i="10"/>
  <c r="G12" i="10"/>
  <c r="F12" i="10"/>
  <c r="A12" i="10"/>
  <c r="D150" i="10"/>
  <c r="B150" i="10"/>
  <c r="G150" i="10"/>
  <c r="F150" i="10"/>
  <c r="E150" i="10"/>
  <c r="C150" i="10"/>
  <c r="A150" i="10"/>
  <c r="E114" i="10"/>
  <c r="D114" i="10"/>
  <c r="C114" i="10"/>
  <c r="F114" i="10"/>
  <c r="G114" i="10"/>
  <c r="B114" i="10"/>
  <c r="A114" i="10"/>
  <c r="D149" i="10"/>
  <c r="B149" i="10"/>
  <c r="E149" i="10"/>
  <c r="C149" i="10"/>
  <c r="A149" i="10"/>
  <c r="G149" i="10"/>
  <c r="F149" i="10"/>
  <c r="D132" i="10"/>
  <c r="B132" i="10"/>
  <c r="A132" i="10"/>
  <c r="G132" i="10"/>
  <c r="E132" i="10"/>
  <c r="C132" i="10"/>
  <c r="F132" i="10"/>
  <c r="D124" i="10"/>
  <c r="A124" i="10"/>
  <c r="B124" i="10"/>
  <c r="G124" i="10"/>
  <c r="F124" i="10"/>
  <c r="E124" i="10"/>
  <c r="C124" i="10"/>
  <c r="D130" i="10"/>
  <c r="G130" i="10"/>
  <c r="F130" i="10"/>
  <c r="E130" i="10"/>
  <c r="C130" i="10"/>
  <c r="B130" i="10"/>
  <c r="A130" i="10"/>
  <c r="C158" i="10"/>
  <c r="A158" i="10"/>
  <c r="D158" i="10"/>
  <c r="B158" i="10"/>
  <c r="G158" i="10"/>
  <c r="F158" i="10"/>
  <c r="E158" i="10"/>
  <c r="F166" i="10"/>
  <c r="D166" i="10"/>
  <c r="B166" i="10"/>
  <c r="A166" i="10"/>
  <c r="G166" i="10"/>
  <c r="E166" i="10"/>
  <c r="C166" i="10"/>
  <c r="F174" i="10"/>
  <c r="D174" i="10"/>
  <c r="B174" i="10"/>
  <c r="G174" i="10"/>
  <c r="E174" i="10"/>
  <c r="C174" i="10"/>
  <c r="A174" i="10"/>
  <c r="F182" i="10"/>
  <c r="D182" i="10"/>
  <c r="B182" i="10"/>
  <c r="A182" i="10"/>
  <c r="C182" i="10"/>
  <c r="G182" i="10"/>
  <c r="E182" i="10"/>
  <c r="F190" i="10"/>
  <c r="D190" i="10"/>
  <c r="B190" i="10"/>
  <c r="G190" i="10"/>
  <c r="E190" i="10"/>
  <c r="C190" i="10"/>
  <c r="A190" i="10"/>
  <c r="F198" i="10"/>
  <c r="D198" i="10"/>
  <c r="B198" i="10"/>
  <c r="A198" i="10"/>
  <c r="G198" i="10"/>
  <c r="E198" i="10"/>
  <c r="C198" i="10"/>
  <c r="F206" i="10"/>
  <c r="D206" i="10"/>
  <c r="B206" i="10"/>
  <c r="G206" i="10"/>
  <c r="E206" i="10"/>
  <c r="C206" i="10"/>
  <c r="A206" i="10"/>
  <c r="F214" i="10"/>
  <c r="D214" i="10"/>
  <c r="B214" i="10"/>
  <c r="A214" i="10"/>
  <c r="G214" i="10"/>
  <c r="E214" i="10"/>
  <c r="C214" i="10"/>
  <c r="F222" i="10"/>
  <c r="D222" i="10"/>
  <c r="B222" i="10"/>
  <c r="G222" i="10"/>
  <c r="E222" i="10"/>
  <c r="C222" i="10"/>
  <c r="A222" i="10"/>
  <c r="F230" i="10"/>
  <c r="D230" i="10"/>
  <c r="B230" i="10"/>
  <c r="A230" i="10"/>
  <c r="G230" i="10"/>
  <c r="E230" i="10"/>
  <c r="C230" i="10"/>
  <c r="D70" i="10"/>
  <c r="C70" i="10"/>
  <c r="B70" i="10"/>
  <c r="G70" i="10"/>
  <c r="F70" i="10"/>
  <c r="A70" i="10"/>
  <c r="E70" i="10"/>
  <c r="D6" i="10"/>
  <c r="C6" i="10"/>
  <c r="B6" i="10"/>
  <c r="F6" i="10"/>
  <c r="G6" i="10"/>
  <c r="A6" i="10"/>
  <c r="E6" i="10"/>
  <c r="D73" i="10"/>
  <c r="C73" i="10"/>
  <c r="B73" i="10"/>
  <c r="E73" i="10"/>
  <c r="G73" i="10"/>
  <c r="F73" i="10"/>
  <c r="A73" i="10"/>
  <c r="D9" i="10"/>
  <c r="C9" i="10"/>
  <c r="B9" i="10"/>
  <c r="G9" i="10"/>
  <c r="F9" i="10"/>
  <c r="E9" i="10"/>
  <c r="A9" i="10"/>
  <c r="D31" i="10"/>
  <c r="C31" i="10"/>
  <c r="B31" i="10"/>
  <c r="A31" i="10"/>
  <c r="G31" i="10"/>
  <c r="F31" i="10"/>
  <c r="E31" i="10"/>
  <c r="D63" i="10"/>
  <c r="C63" i="10"/>
  <c r="B63" i="10"/>
  <c r="A63" i="10"/>
  <c r="G63" i="10"/>
  <c r="F63" i="10"/>
  <c r="E63" i="10"/>
  <c r="D29" i="10"/>
  <c r="C29" i="10"/>
  <c r="B29" i="10"/>
  <c r="F29" i="10"/>
  <c r="E29" i="10"/>
  <c r="A29" i="10"/>
  <c r="G29" i="10"/>
  <c r="E103" i="10"/>
  <c r="C103" i="10"/>
  <c r="G103" i="10"/>
  <c r="F103" i="10"/>
  <c r="D103" i="10"/>
  <c r="A103" i="10"/>
  <c r="B103" i="10"/>
  <c r="D120" i="10"/>
  <c r="F120" i="10"/>
  <c r="E120" i="10"/>
  <c r="C120" i="10"/>
  <c r="B120" i="10"/>
  <c r="A120" i="10"/>
  <c r="G120" i="10"/>
  <c r="D48" i="10"/>
  <c r="C48" i="10"/>
  <c r="B48" i="10"/>
  <c r="G48" i="10"/>
  <c r="F48" i="10"/>
  <c r="E48" i="10"/>
  <c r="A48" i="10"/>
  <c r="D47" i="10"/>
  <c r="C47" i="10"/>
  <c r="B47" i="10"/>
  <c r="A47" i="10"/>
  <c r="G47" i="10"/>
  <c r="F47" i="10"/>
  <c r="E47" i="10"/>
  <c r="D159" i="10"/>
  <c r="B159" i="10"/>
  <c r="G159" i="10"/>
  <c r="F159" i="10"/>
  <c r="E159" i="10"/>
  <c r="C159" i="10"/>
  <c r="A159" i="10"/>
  <c r="F183" i="10"/>
  <c r="G183" i="10"/>
  <c r="D183" i="10"/>
  <c r="E183" i="10"/>
  <c r="C183" i="10"/>
  <c r="B183" i="10"/>
  <c r="A183" i="10"/>
  <c r="F191" i="10"/>
  <c r="G191" i="10"/>
  <c r="D191" i="10"/>
  <c r="A191" i="10"/>
  <c r="E191" i="10"/>
  <c r="C191" i="10"/>
  <c r="B191" i="10"/>
  <c r="F199" i="10"/>
  <c r="G199" i="10"/>
  <c r="D199" i="10"/>
  <c r="E199" i="10"/>
  <c r="C199" i="10"/>
  <c r="B199" i="10"/>
  <c r="A199" i="10"/>
  <c r="F207" i="10"/>
  <c r="G207" i="10"/>
  <c r="D207" i="10"/>
  <c r="A207" i="10"/>
  <c r="E207" i="10"/>
  <c r="C207" i="10"/>
  <c r="B207" i="10"/>
  <c r="F215" i="10"/>
  <c r="G215" i="10"/>
  <c r="D215" i="10"/>
  <c r="E215" i="10"/>
  <c r="C215" i="10"/>
  <c r="B215" i="10"/>
  <c r="A215" i="10"/>
  <c r="F223" i="10"/>
  <c r="G223" i="10"/>
  <c r="D223" i="10"/>
  <c r="A223" i="10"/>
  <c r="E223" i="10"/>
  <c r="C223" i="10"/>
  <c r="B223" i="10"/>
  <c r="F231" i="10"/>
  <c r="G231" i="10"/>
  <c r="D231" i="10"/>
  <c r="E231" i="10"/>
  <c r="C231" i="10"/>
  <c r="B231" i="10"/>
  <c r="A231" i="10"/>
  <c r="D62" i="10"/>
  <c r="C62" i="10"/>
  <c r="B62" i="10"/>
  <c r="E62" i="10"/>
  <c r="G62" i="10"/>
  <c r="F62" i="10"/>
  <c r="A62" i="10"/>
  <c r="D18" i="10"/>
  <c r="C18" i="10"/>
  <c r="B18" i="10"/>
  <c r="E18" i="10"/>
  <c r="A18" i="10"/>
  <c r="G18" i="10"/>
  <c r="F18" i="10"/>
  <c r="D65" i="10"/>
  <c r="C65" i="10"/>
  <c r="B65" i="10"/>
  <c r="G65" i="10"/>
  <c r="F65" i="10"/>
  <c r="E65" i="10"/>
  <c r="A65" i="10"/>
  <c r="E90" i="10"/>
  <c r="D90" i="10"/>
  <c r="C90" i="10"/>
  <c r="B90" i="10"/>
  <c r="G90" i="10"/>
  <c r="F90" i="10"/>
  <c r="A90" i="10"/>
  <c r="D23" i="10"/>
  <c r="C23" i="10"/>
  <c r="B23" i="10"/>
  <c r="A23" i="10"/>
  <c r="G23" i="10"/>
  <c r="E23" i="10"/>
  <c r="F23" i="10"/>
  <c r="D66" i="10"/>
  <c r="C66" i="10"/>
  <c r="B66" i="10"/>
  <c r="E66" i="10"/>
  <c r="A66" i="10"/>
  <c r="G66" i="10"/>
  <c r="F66" i="10"/>
  <c r="D137" i="10"/>
  <c r="B137" i="10"/>
  <c r="E137" i="10"/>
  <c r="C137" i="10"/>
  <c r="A137" i="10"/>
  <c r="G137" i="10"/>
  <c r="F137" i="10"/>
  <c r="E98" i="10"/>
  <c r="C98" i="10"/>
  <c r="D98" i="10"/>
  <c r="B98" i="10"/>
  <c r="A98" i="10"/>
  <c r="F98" i="10"/>
  <c r="G98" i="10"/>
  <c r="E115" i="10"/>
  <c r="D115" i="10"/>
  <c r="C115" i="10"/>
  <c r="F115" i="10"/>
  <c r="B115" i="10"/>
  <c r="A115" i="10"/>
  <c r="G115" i="10"/>
  <c r="D40" i="10"/>
  <c r="C40" i="10"/>
  <c r="B40" i="10"/>
  <c r="G40" i="10"/>
  <c r="F40" i="10"/>
  <c r="E40" i="10"/>
  <c r="A40" i="10"/>
  <c r="D32" i="10"/>
  <c r="C32" i="10"/>
  <c r="B32" i="10"/>
  <c r="G32" i="10"/>
  <c r="A32" i="10"/>
  <c r="F32" i="10"/>
  <c r="E32" i="10"/>
  <c r="D36" i="10"/>
  <c r="C36" i="10"/>
  <c r="B36" i="10"/>
  <c r="G36" i="10"/>
  <c r="F36" i="10"/>
  <c r="E36" i="10"/>
  <c r="A36" i="10"/>
  <c r="E108" i="10"/>
  <c r="C108" i="10"/>
  <c r="G108" i="10"/>
  <c r="F108" i="10"/>
  <c r="B108" i="10"/>
  <c r="A108" i="10"/>
  <c r="D108" i="10"/>
  <c r="E112" i="10"/>
  <c r="D112" i="10"/>
  <c r="C112" i="10"/>
  <c r="B112" i="10"/>
  <c r="A112" i="10"/>
  <c r="G112" i="10"/>
  <c r="F112" i="10"/>
  <c r="D145" i="10"/>
  <c r="B145" i="10"/>
  <c r="E145" i="10"/>
  <c r="C145" i="10"/>
  <c r="A145" i="10"/>
  <c r="G145" i="10"/>
  <c r="F145" i="10"/>
  <c r="F167" i="10"/>
  <c r="G167" i="10"/>
  <c r="D167" i="10"/>
  <c r="E167" i="10"/>
  <c r="C167" i="10"/>
  <c r="B167" i="10"/>
  <c r="A167" i="10"/>
  <c r="D27" i="10"/>
  <c r="C27" i="10"/>
  <c r="B27" i="10"/>
  <c r="G27" i="10"/>
  <c r="F27" i="10"/>
  <c r="E27" i="10"/>
  <c r="A27" i="10"/>
  <c r="D140" i="10"/>
  <c r="B140" i="10"/>
  <c r="A140" i="10"/>
  <c r="G140" i="10"/>
  <c r="F140" i="10"/>
  <c r="E140" i="10"/>
  <c r="C140" i="10"/>
  <c r="D131" i="10"/>
  <c r="G131" i="10"/>
  <c r="C131" i="10"/>
  <c r="B131" i="10"/>
  <c r="A131" i="10"/>
  <c r="F131" i="10"/>
  <c r="E131" i="10"/>
  <c r="F168" i="10"/>
  <c r="G168" i="10"/>
  <c r="A168" i="10"/>
  <c r="B168" i="10"/>
  <c r="E168" i="10"/>
  <c r="C168" i="10"/>
  <c r="D168" i="10"/>
  <c r="F192" i="10"/>
  <c r="G192" i="10"/>
  <c r="E192" i="10"/>
  <c r="D192" i="10"/>
  <c r="C192" i="10"/>
  <c r="B192" i="10"/>
  <c r="A192" i="10"/>
  <c r="F216" i="10"/>
  <c r="G216" i="10"/>
  <c r="A216" i="10"/>
  <c r="D216" i="10"/>
  <c r="C216" i="10"/>
  <c r="B216" i="10"/>
  <c r="E216" i="10"/>
  <c r="D54" i="10"/>
  <c r="C54" i="10"/>
  <c r="B54" i="10"/>
  <c r="G54" i="10"/>
  <c r="F54" i="10"/>
  <c r="E54" i="10"/>
  <c r="A54" i="10"/>
  <c r="E88" i="10"/>
  <c r="B88" i="10"/>
  <c r="A88" i="10"/>
  <c r="G88" i="10"/>
  <c r="F88" i="10"/>
  <c r="D88" i="10"/>
  <c r="C88" i="10"/>
  <c r="D74" i="10"/>
  <c r="C74" i="10"/>
  <c r="B74" i="10"/>
  <c r="E74" i="10"/>
  <c r="A74" i="10"/>
  <c r="G74" i="10"/>
  <c r="F74" i="10"/>
  <c r="E91" i="10"/>
  <c r="C91" i="10"/>
  <c r="G91" i="10"/>
  <c r="F91" i="10"/>
  <c r="D91" i="10"/>
  <c r="B91" i="10"/>
  <c r="A91" i="10"/>
  <c r="D19" i="10"/>
  <c r="C19" i="10"/>
  <c r="B19" i="10"/>
  <c r="E19" i="10"/>
  <c r="G19" i="10"/>
  <c r="F19" i="10"/>
  <c r="A19" i="10"/>
  <c r="D50" i="10"/>
  <c r="C50" i="10"/>
  <c r="B50" i="10"/>
  <c r="E50" i="10"/>
  <c r="G50" i="10"/>
  <c r="A50" i="10"/>
  <c r="F50" i="10"/>
  <c r="D148" i="10"/>
  <c r="B148" i="10"/>
  <c r="A148" i="10"/>
  <c r="E148" i="10"/>
  <c r="C148" i="10"/>
  <c r="G148" i="10"/>
  <c r="F148" i="10"/>
  <c r="E87" i="10"/>
  <c r="A87" i="10"/>
  <c r="G87" i="10"/>
  <c r="F87" i="10"/>
  <c r="D87" i="10"/>
  <c r="C87" i="10"/>
  <c r="B87" i="10"/>
  <c r="E96" i="10"/>
  <c r="C96" i="10"/>
  <c r="G96" i="10"/>
  <c r="A96" i="10"/>
  <c r="F96" i="10"/>
  <c r="D96" i="10"/>
  <c r="B96" i="10"/>
  <c r="D126" i="10"/>
  <c r="C126" i="10"/>
  <c r="B126" i="10"/>
  <c r="A126" i="10"/>
  <c r="G126" i="10"/>
  <c r="F126" i="10"/>
  <c r="E126" i="10"/>
  <c r="D135" i="10"/>
  <c r="B135" i="10"/>
  <c r="G135" i="10"/>
  <c r="E135" i="10"/>
  <c r="C135" i="10"/>
  <c r="A135" i="10"/>
  <c r="F135" i="10"/>
  <c r="F153" i="10"/>
  <c r="D153" i="10"/>
  <c r="G153" i="10"/>
  <c r="E153" i="10"/>
  <c r="C153" i="10"/>
  <c r="A153" i="10"/>
  <c r="B153" i="10"/>
  <c r="F161" i="10"/>
  <c r="D161" i="10"/>
  <c r="C161" i="10"/>
  <c r="B161" i="10"/>
  <c r="A161" i="10"/>
  <c r="G161" i="10"/>
  <c r="E161" i="10"/>
  <c r="F169" i="10"/>
  <c r="B169" i="10"/>
  <c r="E169" i="10"/>
  <c r="D169" i="10"/>
  <c r="C169" i="10"/>
  <c r="G169" i="10"/>
  <c r="A169" i="10"/>
  <c r="F177" i="10"/>
  <c r="B177" i="10"/>
  <c r="G177" i="10"/>
  <c r="E177" i="10"/>
  <c r="D177" i="10"/>
  <c r="C177" i="10"/>
  <c r="A177" i="10"/>
  <c r="F185" i="10"/>
  <c r="B185" i="10"/>
  <c r="E185" i="10"/>
  <c r="D185" i="10"/>
  <c r="C185" i="10"/>
  <c r="G185" i="10"/>
  <c r="A185" i="10"/>
  <c r="F193" i="10"/>
  <c r="B193" i="10"/>
  <c r="D193" i="10"/>
  <c r="G193" i="10"/>
  <c r="E193" i="10"/>
  <c r="C193" i="10"/>
  <c r="A193" i="10"/>
  <c r="F201" i="10"/>
  <c r="B201" i="10"/>
  <c r="E201" i="10"/>
  <c r="D201" i="10"/>
  <c r="C201" i="10"/>
  <c r="G201" i="10"/>
  <c r="A201" i="10"/>
  <c r="F209" i="10"/>
  <c r="B209" i="10"/>
  <c r="D209" i="10"/>
  <c r="C209" i="10"/>
  <c r="A209" i="10"/>
  <c r="G209" i="10"/>
  <c r="E209" i="10"/>
  <c r="F217" i="10"/>
  <c r="B217" i="10"/>
  <c r="E217" i="10"/>
  <c r="D217" i="10"/>
  <c r="C217" i="10"/>
  <c r="G217" i="10"/>
  <c r="A217" i="10"/>
  <c r="F225" i="10"/>
  <c r="B225" i="10"/>
  <c r="D225" i="10"/>
  <c r="G225" i="10"/>
  <c r="E225" i="10"/>
  <c r="C225" i="10"/>
  <c r="A225" i="10"/>
  <c r="F233" i="10"/>
  <c r="B233" i="10"/>
  <c r="E233" i="10"/>
  <c r="D233" i="10"/>
  <c r="C233" i="10"/>
  <c r="G233" i="10"/>
  <c r="A233" i="10"/>
  <c r="D46" i="10"/>
  <c r="C46" i="10"/>
  <c r="B46" i="10"/>
  <c r="G46" i="10"/>
  <c r="F46" i="10"/>
  <c r="E46" i="10"/>
  <c r="A46" i="10"/>
  <c r="E118" i="10"/>
  <c r="D118" i="10"/>
  <c r="C118" i="10"/>
  <c r="G118" i="10"/>
  <c r="F118" i="10"/>
  <c r="B118" i="10"/>
  <c r="A118" i="10"/>
  <c r="D49" i="10"/>
  <c r="C49" i="10"/>
  <c r="B49" i="10"/>
  <c r="A49" i="10"/>
  <c r="G49" i="10"/>
  <c r="F49" i="10"/>
  <c r="E49" i="10"/>
  <c r="D76" i="10"/>
  <c r="C76" i="10"/>
  <c r="B76" i="10"/>
  <c r="G76" i="10"/>
  <c r="F76" i="10"/>
  <c r="E76" i="10"/>
  <c r="A76" i="10"/>
  <c r="E117" i="10"/>
  <c r="D117" i="10"/>
  <c r="C117" i="10"/>
  <c r="A117" i="10"/>
  <c r="G117" i="10"/>
  <c r="F117" i="10"/>
  <c r="B117" i="10"/>
  <c r="E106" i="10"/>
  <c r="C106" i="10"/>
  <c r="D106" i="10"/>
  <c r="B106" i="10"/>
  <c r="A106" i="10"/>
  <c r="G106" i="10"/>
  <c r="F106" i="10"/>
  <c r="D58" i="10"/>
  <c r="C58" i="10"/>
  <c r="B58" i="10"/>
  <c r="E58" i="10"/>
  <c r="A58" i="10"/>
  <c r="G58" i="10"/>
  <c r="F58" i="10"/>
  <c r="E82" i="10"/>
  <c r="D82" i="10"/>
  <c r="C82" i="10"/>
  <c r="B82" i="10"/>
  <c r="F82" i="10"/>
  <c r="A82" i="10"/>
  <c r="G82" i="10"/>
  <c r="E89" i="10"/>
  <c r="C89" i="10"/>
  <c r="B89" i="10"/>
  <c r="A89" i="10"/>
  <c r="G89" i="10"/>
  <c r="F89" i="10"/>
  <c r="D89" i="10"/>
  <c r="D24" i="10"/>
  <c r="C24" i="10"/>
  <c r="B24" i="10"/>
  <c r="G24" i="10"/>
  <c r="A24" i="10"/>
  <c r="F24" i="10"/>
  <c r="E24" i="10"/>
  <c r="D37" i="10"/>
  <c r="C37" i="10"/>
  <c r="B37" i="10"/>
  <c r="F37" i="10"/>
  <c r="E37" i="10"/>
  <c r="A37" i="10"/>
  <c r="G37" i="10"/>
  <c r="D133" i="10"/>
  <c r="B133" i="10"/>
  <c r="E133" i="10"/>
  <c r="C133" i="10"/>
  <c r="A133" i="10"/>
  <c r="F133" i="10"/>
  <c r="G133" i="10"/>
  <c r="D128" i="10"/>
  <c r="F128" i="10"/>
  <c r="E128" i="10"/>
  <c r="C128" i="10"/>
  <c r="G128" i="10"/>
  <c r="B128" i="10"/>
  <c r="A128" i="10"/>
  <c r="D123" i="10"/>
  <c r="G123" i="10"/>
  <c r="C123" i="10"/>
  <c r="F123" i="10"/>
  <c r="E123" i="10"/>
  <c r="B123" i="10"/>
  <c r="A123" i="10"/>
  <c r="F175" i="10"/>
  <c r="G175" i="10"/>
  <c r="D175" i="10"/>
  <c r="A175" i="10"/>
  <c r="E175" i="10"/>
  <c r="C175" i="10"/>
  <c r="B175" i="10"/>
  <c r="D15" i="10"/>
  <c r="C15" i="10"/>
  <c r="B15" i="10"/>
  <c r="A15" i="10"/>
  <c r="G15" i="10"/>
  <c r="F15" i="10"/>
  <c r="E15" i="10"/>
  <c r="E92" i="10"/>
  <c r="C92" i="10"/>
  <c r="G92" i="10"/>
  <c r="F92" i="10"/>
  <c r="D92" i="10"/>
  <c r="B92" i="10"/>
  <c r="A92" i="10"/>
  <c r="E152" i="10"/>
  <c r="C152" i="10"/>
  <c r="B152" i="10"/>
  <c r="A152" i="10"/>
  <c r="G152" i="10"/>
  <c r="F152" i="10"/>
  <c r="D152" i="10"/>
  <c r="F176" i="10"/>
  <c r="G176" i="10"/>
  <c r="E176" i="10"/>
  <c r="D176" i="10"/>
  <c r="C176" i="10"/>
  <c r="B176" i="10"/>
  <c r="A176" i="10"/>
  <c r="F200" i="10"/>
  <c r="G200" i="10"/>
  <c r="A200" i="10"/>
  <c r="D200" i="10"/>
  <c r="E200" i="10"/>
  <c r="C200" i="10"/>
  <c r="B200" i="10"/>
  <c r="F224" i="10"/>
  <c r="G224" i="10"/>
  <c r="E224" i="10"/>
  <c r="D224" i="10"/>
  <c r="C224" i="10"/>
  <c r="B224" i="10"/>
  <c r="A224" i="10"/>
  <c r="D125" i="10"/>
  <c r="B125" i="10"/>
  <c r="A125" i="10"/>
  <c r="G125" i="10"/>
  <c r="F125" i="10"/>
  <c r="E125" i="10"/>
  <c r="C125" i="10"/>
  <c r="D146" i="10"/>
  <c r="B146" i="10"/>
  <c r="G146" i="10"/>
  <c r="F146" i="10"/>
  <c r="E146" i="10"/>
  <c r="A146" i="10"/>
  <c r="C146" i="10"/>
  <c r="E93" i="10"/>
  <c r="C93" i="10"/>
  <c r="A93" i="10"/>
  <c r="G93" i="10"/>
  <c r="F93" i="10"/>
  <c r="D93" i="10"/>
  <c r="B93" i="10"/>
  <c r="D75" i="10"/>
  <c r="C75" i="10"/>
  <c r="B75" i="10"/>
  <c r="G75" i="10"/>
  <c r="F75" i="10"/>
  <c r="E75" i="10"/>
  <c r="A75" i="10"/>
  <c r="D11" i="10"/>
  <c r="C11" i="10"/>
  <c r="B11" i="10"/>
  <c r="G11" i="10"/>
  <c r="F11" i="10"/>
  <c r="E11" i="10"/>
  <c r="A11" i="10"/>
  <c r="D34" i="10"/>
  <c r="C34" i="10"/>
  <c r="B34" i="10"/>
  <c r="E34" i="10"/>
  <c r="A34" i="10"/>
  <c r="G34" i="10"/>
  <c r="F34" i="10"/>
  <c r="D138" i="10"/>
  <c r="B138" i="10"/>
  <c r="G138" i="10"/>
  <c r="F138" i="10"/>
  <c r="E138" i="10"/>
  <c r="C138" i="10"/>
  <c r="A138" i="10"/>
  <c r="E111" i="10"/>
  <c r="D111" i="10"/>
  <c r="C111" i="10"/>
  <c r="G111" i="10"/>
  <c r="B111" i="10"/>
  <c r="A111" i="10"/>
  <c r="F111" i="10"/>
  <c r="E100" i="10"/>
  <c r="C100" i="10"/>
  <c r="F100" i="10"/>
  <c r="G100" i="10"/>
  <c r="D100" i="10"/>
  <c r="B100" i="10"/>
  <c r="A100" i="10"/>
  <c r="D134" i="10"/>
  <c r="B134" i="10"/>
  <c r="G134" i="10"/>
  <c r="F134" i="10"/>
  <c r="E134" i="10"/>
  <c r="C134" i="10"/>
  <c r="A134" i="10"/>
  <c r="D139" i="10"/>
  <c r="B139" i="10"/>
  <c r="G139" i="10"/>
  <c r="F139" i="10"/>
  <c r="A139" i="10"/>
  <c r="E139" i="10"/>
  <c r="C139" i="10"/>
  <c r="G154" i="10"/>
  <c r="E154" i="10"/>
  <c r="F154" i="10"/>
  <c r="D154" i="10"/>
  <c r="C154" i="10"/>
  <c r="B154" i="10"/>
  <c r="A154" i="10"/>
  <c r="G162" i="10"/>
  <c r="E162" i="10"/>
  <c r="F162" i="10"/>
  <c r="D162" i="10"/>
  <c r="C162" i="10"/>
  <c r="B162" i="10"/>
  <c r="A162" i="10"/>
  <c r="F170" i="10"/>
  <c r="D170" i="10"/>
  <c r="B170" i="10"/>
  <c r="E170" i="10"/>
  <c r="C170" i="10"/>
  <c r="A170" i="10"/>
  <c r="G170" i="10"/>
  <c r="F178" i="10"/>
  <c r="D178" i="10"/>
  <c r="B178" i="10"/>
  <c r="E178" i="10"/>
  <c r="C178" i="10"/>
  <c r="A178" i="10"/>
  <c r="G178" i="10"/>
  <c r="F186" i="10"/>
  <c r="D186" i="10"/>
  <c r="B186" i="10"/>
  <c r="G186" i="10"/>
  <c r="E186" i="10"/>
  <c r="C186" i="10"/>
  <c r="A186" i="10"/>
  <c r="F194" i="10"/>
  <c r="D194" i="10"/>
  <c r="B194" i="10"/>
  <c r="E194" i="10"/>
  <c r="C194" i="10"/>
  <c r="A194" i="10"/>
  <c r="G194" i="10"/>
  <c r="F202" i="10"/>
  <c r="D202" i="10"/>
  <c r="B202" i="10"/>
  <c r="C202" i="10"/>
  <c r="A202" i="10"/>
  <c r="G202" i="10"/>
  <c r="E202" i="10"/>
  <c r="F210" i="10"/>
  <c r="D210" i="10"/>
  <c r="B210" i="10"/>
  <c r="E210" i="10"/>
  <c r="C210" i="10"/>
  <c r="A210" i="10"/>
  <c r="G210" i="10"/>
  <c r="F218" i="10"/>
  <c r="D218" i="10"/>
  <c r="B218" i="10"/>
  <c r="C218" i="10"/>
  <c r="G218" i="10"/>
  <c r="E218" i="10"/>
  <c r="A218" i="10"/>
  <c r="F226" i="10"/>
  <c r="D226" i="10"/>
  <c r="B226" i="10"/>
  <c r="E226" i="10"/>
  <c r="C226" i="10"/>
  <c r="A226" i="10"/>
  <c r="G226" i="10"/>
  <c r="F234" i="10"/>
  <c r="D234" i="10"/>
  <c r="B234" i="10"/>
  <c r="E234" i="10"/>
  <c r="C234" i="10"/>
  <c r="G234" i="10"/>
  <c r="A234" i="10"/>
  <c r="D38" i="10"/>
  <c r="C38" i="10"/>
  <c r="B38" i="10"/>
  <c r="G38" i="10"/>
  <c r="F38" i="10"/>
  <c r="E38" i="10"/>
  <c r="A38" i="10"/>
  <c r="E110" i="10"/>
  <c r="D110" i="10"/>
  <c r="C110" i="10"/>
  <c r="G110" i="10"/>
  <c r="A110" i="10"/>
  <c r="F110" i="10"/>
  <c r="B110" i="10"/>
  <c r="D41" i="10"/>
  <c r="C41" i="10"/>
  <c r="B41" i="10"/>
  <c r="G41" i="10"/>
  <c r="F41" i="10"/>
  <c r="E41" i="10"/>
  <c r="A41" i="10"/>
  <c r="D68" i="10"/>
  <c r="C68" i="10"/>
  <c r="B68" i="10"/>
  <c r="G68" i="10"/>
  <c r="F68" i="10"/>
  <c r="E68" i="10"/>
  <c r="A68" i="10"/>
  <c r="E109" i="10"/>
  <c r="D109" i="10"/>
  <c r="C109" i="10"/>
  <c r="A109" i="10"/>
  <c r="G109" i="10"/>
  <c r="F109" i="10"/>
  <c r="B109" i="10"/>
  <c r="E94" i="10"/>
  <c r="C94" i="10"/>
  <c r="D94" i="10"/>
  <c r="B94" i="10"/>
  <c r="A94" i="10"/>
  <c r="G94" i="10"/>
  <c r="F94" i="10"/>
  <c r="D42" i="10"/>
  <c r="C42" i="10"/>
  <c r="B42" i="10"/>
  <c r="E42" i="10"/>
  <c r="A42" i="10"/>
  <c r="F42" i="10"/>
  <c r="G42" i="10"/>
  <c r="D77" i="10"/>
  <c r="C77" i="10"/>
  <c r="B77" i="10"/>
  <c r="F77" i="10"/>
  <c r="E77" i="10"/>
  <c r="A77" i="10"/>
  <c r="G77" i="10"/>
  <c r="D80" i="10"/>
  <c r="C80" i="10"/>
  <c r="B80" i="10"/>
  <c r="G80" i="10"/>
  <c r="F80" i="10"/>
  <c r="E80" i="10"/>
  <c r="A80" i="10"/>
  <c r="D16" i="10"/>
  <c r="C16" i="10"/>
  <c r="B16" i="10"/>
  <c r="G16" i="10"/>
  <c r="A16" i="10"/>
  <c r="F16" i="10"/>
  <c r="E16" i="10"/>
  <c r="E101" i="10"/>
  <c r="C101" i="10"/>
  <c r="A101" i="10"/>
  <c r="G101" i="10"/>
  <c r="F101" i="10"/>
  <c r="D101" i="10"/>
  <c r="B101" i="10"/>
  <c r="D35" i="10"/>
  <c r="C35" i="10"/>
  <c r="B35" i="10"/>
  <c r="G35" i="10"/>
  <c r="F35" i="10"/>
  <c r="E35" i="10"/>
  <c r="A35" i="10"/>
  <c r="E86" i="10"/>
  <c r="G86" i="10"/>
  <c r="B86" i="10"/>
  <c r="A86" i="10"/>
  <c r="F86" i="10"/>
  <c r="D86" i="10"/>
  <c r="C86" i="10"/>
  <c r="D151" i="10"/>
  <c r="B151" i="10"/>
  <c r="G151" i="10"/>
  <c r="F151" i="10"/>
  <c r="E151" i="10"/>
  <c r="C151" i="10"/>
  <c r="A151" i="10"/>
  <c r="D127" i="10"/>
  <c r="E127" i="10"/>
  <c r="C127" i="10"/>
  <c r="B127" i="10"/>
  <c r="G127" i="10"/>
  <c r="F127" i="10"/>
  <c r="A127" i="10"/>
  <c r="D142" i="10"/>
  <c r="B142" i="10"/>
  <c r="G142" i="10"/>
  <c r="F142" i="10"/>
  <c r="E142" i="10"/>
  <c r="C142" i="10"/>
  <c r="A142" i="10"/>
  <c r="E97" i="10"/>
  <c r="C97" i="10"/>
  <c r="A97" i="10"/>
  <c r="G97" i="10"/>
  <c r="F97" i="10"/>
  <c r="D97" i="10"/>
  <c r="B97" i="10"/>
  <c r="E160" i="10"/>
  <c r="C160" i="10"/>
  <c r="B160" i="10"/>
  <c r="A160" i="10"/>
  <c r="G160" i="10"/>
  <c r="D160" i="10"/>
  <c r="F160" i="10"/>
  <c r="F184" i="10"/>
  <c r="G184" i="10"/>
  <c r="A184" i="10"/>
  <c r="E184" i="10"/>
  <c r="D184" i="10"/>
  <c r="C184" i="10"/>
  <c r="B184" i="10"/>
  <c r="F208" i="10"/>
  <c r="G208" i="10"/>
  <c r="E208" i="10"/>
  <c r="D208" i="10"/>
  <c r="C208" i="10"/>
  <c r="B208" i="10"/>
  <c r="A208" i="10"/>
  <c r="F232" i="10"/>
  <c r="G232" i="10"/>
  <c r="A232" i="10"/>
  <c r="E232" i="10"/>
  <c r="D232" i="10"/>
  <c r="C232" i="10"/>
  <c r="B232" i="10"/>
  <c r="D57" i="10"/>
  <c r="C57" i="10"/>
  <c r="B57" i="10"/>
  <c r="F57" i="10"/>
  <c r="E57" i="10"/>
  <c r="G57" i="10"/>
  <c r="A57" i="10"/>
  <c r="D7" i="10"/>
  <c r="C7" i="10"/>
  <c r="B7" i="10"/>
  <c r="A7" i="10"/>
  <c r="G7" i="10"/>
  <c r="E7" i="10"/>
  <c r="F7" i="10"/>
  <c r="E84" i="10"/>
  <c r="G84" i="10"/>
  <c r="F84" i="10"/>
  <c r="D84" i="10"/>
  <c r="B84" i="10"/>
  <c r="A84" i="10"/>
  <c r="C84" i="10"/>
  <c r="D67" i="10"/>
  <c r="C67" i="10"/>
  <c r="B67" i="10"/>
  <c r="A67" i="10"/>
  <c r="G67" i="10"/>
  <c r="F67" i="10"/>
  <c r="E67" i="10"/>
  <c r="D52" i="10"/>
  <c r="C52" i="10"/>
  <c r="B52" i="10"/>
  <c r="G52" i="10"/>
  <c r="F52" i="10"/>
  <c r="E52" i="10"/>
  <c r="A52" i="10"/>
  <c r="D26" i="10"/>
  <c r="C26" i="10"/>
  <c r="B26" i="10"/>
  <c r="E26" i="10"/>
  <c r="G26" i="10"/>
  <c r="A26" i="10"/>
  <c r="F26" i="10"/>
  <c r="D144" i="10"/>
  <c r="B144" i="10"/>
  <c r="A144" i="10"/>
  <c r="C144" i="10"/>
  <c r="G144" i="10"/>
  <c r="F144" i="10"/>
  <c r="E144" i="10"/>
  <c r="E119" i="10"/>
  <c r="D119" i="10"/>
  <c r="C119" i="10"/>
  <c r="G119" i="10"/>
  <c r="F119" i="10"/>
  <c r="B119" i="10"/>
  <c r="A119" i="10"/>
  <c r="E104" i="10"/>
  <c r="C104" i="10"/>
  <c r="F104" i="10"/>
  <c r="G104" i="10"/>
  <c r="D104" i="10"/>
  <c r="B104" i="10"/>
  <c r="A104" i="10"/>
  <c r="E85" i="10"/>
  <c r="G85" i="10"/>
  <c r="F85" i="10"/>
  <c r="D85" i="10"/>
  <c r="C85" i="10"/>
  <c r="B85" i="10"/>
  <c r="A85" i="10"/>
  <c r="D143" i="10"/>
  <c r="B143" i="10"/>
  <c r="G143" i="10"/>
  <c r="F143" i="10"/>
  <c r="E143" i="10"/>
  <c r="C143" i="10"/>
  <c r="A143" i="10"/>
  <c r="F155" i="10"/>
  <c r="C155" i="10"/>
  <c r="B155" i="10"/>
  <c r="A155" i="10"/>
  <c r="D155" i="10"/>
  <c r="E155" i="10"/>
  <c r="G155" i="10"/>
  <c r="F163" i="10"/>
  <c r="A163" i="10"/>
  <c r="G163" i="10"/>
  <c r="E163" i="10"/>
  <c r="D163" i="10"/>
  <c r="B163" i="10"/>
  <c r="C163" i="10"/>
  <c r="F171" i="10"/>
  <c r="G171" i="10"/>
  <c r="D171" i="10"/>
  <c r="C171" i="10"/>
  <c r="B171" i="10"/>
  <c r="A171" i="10"/>
  <c r="E171" i="10"/>
  <c r="F179" i="10"/>
  <c r="G179" i="10"/>
  <c r="D179" i="10"/>
  <c r="B179" i="10"/>
  <c r="A179" i="10"/>
  <c r="E179" i="10"/>
  <c r="C179" i="10"/>
  <c r="F187" i="10"/>
  <c r="G187" i="10"/>
  <c r="D187" i="10"/>
  <c r="C187" i="10"/>
  <c r="B187" i="10"/>
  <c r="A187" i="10"/>
  <c r="E187" i="10"/>
  <c r="F195" i="10"/>
  <c r="G195" i="10"/>
  <c r="D195" i="10"/>
  <c r="B195" i="10"/>
  <c r="A195" i="10"/>
  <c r="E195" i="10"/>
  <c r="C195" i="10"/>
  <c r="F203" i="10"/>
  <c r="G203" i="10"/>
  <c r="D203" i="10"/>
  <c r="C203" i="10"/>
  <c r="B203" i="10"/>
  <c r="A203" i="10"/>
  <c r="E203" i="10"/>
  <c r="F211" i="10"/>
  <c r="G211" i="10"/>
  <c r="D211" i="10"/>
  <c r="B211" i="10"/>
  <c r="E211" i="10"/>
  <c r="C211" i="10"/>
  <c r="A211" i="10"/>
  <c r="F219" i="10"/>
  <c r="G219" i="10"/>
  <c r="D219" i="10"/>
  <c r="C219" i="10"/>
  <c r="B219" i="10"/>
  <c r="A219" i="10"/>
  <c r="E219" i="10"/>
  <c r="F227" i="10"/>
  <c r="G227" i="10"/>
  <c r="D227" i="10"/>
  <c r="B227" i="10"/>
  <c r="A227" i="10"/>
  <c r="E227" i="10"/>
  <c r="C227" i="10"/>
  <c r="F235" i="10"/>
  <c r="G235" i="10"/>
  <c r="D235" i="10"/>
  <c r="A235" i="10"/>
  <c r="E235" i="10"/>
  <c r="C235" i="10"/>
  <c r="B235" i="10"/>
  <c r="D30" i="10"/>
  <c r="C30" i="10"/>
  <c r="B30" i="10"/>
  <c r="E30" i="10"/>
  <c r="G30" i="10"/>
  <c r="F30" i="10"/>
  <c r="A30" i="10"/>
  <c r="E107" i="10"/>
  <c r="C107" i="10"/>
  <c r="G107" i="10"/>
  <c r="B107" i="10"/>
  <c r="F107" i="10"/>
  <c r="D107" i="10"/>
  <c r="A107" i="10"/>
  <c r="D33" i="10"/>
  <c r="C33" i="10"/>
  <c r="B33" i="10"/>
  <c r="A33" i="10"/>
  <c r="G33" i="10"/>
  <c r="F33" i="10"/>
  <c r="E33" i="10"/>
  <c r="D60" i="10"/>
  <c r="C60" i="10"/>
  <c r="B60" i="10"/>
  <c r="G60" i="10"/>
  <c r="F60" i="10"/>
  <c r="E60" i="10"/>
  <c r="A60" i="10"/>
  <c r="E99" i="10"/>
  <c r="C99" i="10"/>
  <c r="G99" i="10"/>
  <c r="F99" i="10"/>
  <c r="D99" i="10"/>
  <c r="B99" i="10"/>
  <c r="A99" i="10"/>
  <c r="D79" i="10"/>
  <c r="C79" i="10"/>
  <c r="B79" i="10"/>
  <c r="A79" i="10"/>
  <c r="G79" i="10"/>
  <c r="F79" i="10"/>
  <c r="E79" i="10"/>
  <c r="D10" i="10"/>
  <c r="C10" i="10"/>
  <c r="B10" i="10"/>
  <c r="E10" i="10"/>
  <c r="A10" i="10"/>
  <c r="G10" i="10"/>
  <c r="F10" i="10"/>
  <c r="D69" i="10"/>
  <c r="C69" i="10"/>
  <c r="B69" i="10"/>
  <c r="F69" i="10"/>
  <c r="E69" i="10"/>
  <c r="A69" i="10"/>
  <c r="G69" i="10"/>
  <c r="D72" i="10"/>
  <c r="C72" i="10"/>
  <c r="B72" i="10"/>
  <c r="G72" i="10"/>
  <c r="F72" i="10"/>
  <c r="E72" i="10"/>
  <c r="A72" i="10"/>
  <c r="D8" i="10"/>
  <c r="C8" i="10"/>
  <c r="B8" i="10"/>
  <c r="G8" i="10"/>
  <c r="F8" i="10"/>
  <c r="E8" i="10"/>
  <c r="A8" i="10"/>
</calcChain>
</file>

<file path=xl/sharedStrings.xml><?xml version="1.0" encoding="utf-8"?>
<sst xmlns="http://schemas.openxmlformats.org/spreadsheetml/2006/main" count="3347" uniqueCount="651">
  <si>
    <t>البرامج المستهدفة: بكالوريوس علوم الحاسب • بكالوريوس علوم البيانات • ماجستير علوم البيانات</t>
  </si>
  <si>
    <t>الخطة العامة للاعتماد البرامجي</t>
  </si>
  <si>
    <t>المرحلة / المسار</t>
  </si>
  <si>
    <t>المسمى</t>
  </si>
  <si>
    <t>أبرز الأعمال</t>
  </si>
  <si>
    <t>المخرج الرئيس</t>
  </si>
  <si>
    <t>المدة / التوقيت</t>
  </si>
  <si>
    <t>الجهة</t>
  </si>
  <si>
    <t>ملاحظات</t>
  </si>
  <si>
    <t>المرحلة الأولى</t>
  </si>
  <si>
    <t>تقييم الجاهزية وفحص الأدلة</t>
  </si>
  <si>
    <t>تقرير جاهزية أولي + سجل الأدلة غير المكتملة وفجوات التطبيق والتوثيق + فهرس الأدلة + خطة الاستكمال والمعالجة</t>
  </si>
  <si>
    <t>8 أسابيع</t>
  </si>
  <si>
    <t>فريق الاعتماد البرامجي</t>
  </si>
  <si>
    <t>مرحلة التنفيذ الحالية – مفصلة أدناه</t>
  </si>
  <si>
    <t>مسار موازٍ</t>
  </si>
  <si>
    <t>مراجعة البرنامج الأكاديمي</t>
  </si>
  <si>
    <t>بالتوازي مع المرحلة الأولى</t>
  </si>
  <si>
    <t>القسم العلمي</t>
  </si>
  <si>
    <t>المرحلة الثانية</t>
  </si>
  <si>
    <t>إعداد الدراسة الذاتية واستكمال ملف الأدلة</t>
  </si>
  <si>
    <t>الدراسة الذاتية + ملف أدلة مكتمل</t>
  </si>
  <si>
    <t>بعد تحقق مستوى مناسب من الجاهزية</t>
  </si>
  <si>
    <t>تحدد تفاصيلها بعد نتائج المرحلة الأولى</t>
  </si>
  <si>
    <t>المرحلة الثالثة</t>
  </si>
  <si>
    <t>المراجعة النهائية والتقديم والاستعداد للزيارة</t>
  </si>
  <si>
    <t>المراجعة الداخلية/التجريبية، إغلاق الملاحظات، استكمال متطلبات التقديم، وتجهيز المقابلات والأدلة والاستعداد للزيارة.</t>
  </si>
  <si>
    <t>ملف تقديم نهائي + جاهزية للزيارة</t>
  </si>
  <si>
    <t>وفق خطة التقديم</t>
  </si>
  <si>
    <t>فريق الاعتماد والجهات ذات العلاقة</t>
  </si>
  <si>
    <t>تفصل لاحقًا</t>
  </si>
  <si>
    <t>أولًا: الخطة التفصيلية للمرحلة الأولى – تقييم الجاهزية وفحص الأدلة</t>
  </si>
  <si>
    <t>المدة: 8 أسابيع   |   يبدأ الأسبوع 1 يوم الأحد 25 أكتوبر 2026</t>
  </si>
  <si>
    <t>الأسبوع</t>
  </si>
  <si>
    <t>المهمة</t>
  </si>
  <si>
    <t>المسؤول</t>
  </si>
  <si>
    <t>المخرج</t>
  </si>
  <si>
    <t>الحالة</t>
  </si>
  <si>
    <t>الأسبوع 1</t>
  </si>
  <si>
    <t>د. نهلة بنت سعد القثامي</t>
  </si>
  <si>
    <t>لم تبدأ</t>
  </si>
  <si>
    <t>د. عبدالله بن محمد البركاتي</t>
  </si>
  <si>
    <t>دليل الترميز</t>
  </si>
  <si>
    <t>الأسبوع 1 – 7</t>
  </si>
  <si>
    <t>د. عبير بنت عبدالله راجحي</t>
  </si>
  <si>
    <t>كل عضو في معياره</t>
  </si>
  <si>
    <t>الأسبوع 2 – 6</t>
  </si>
  <si>
    <t>أ. فاطمة بنت سلمان الخزعل</t>
  </si>
  <si>
    <t>الأسبوع 4</t>
  </si>
  <si>
    <t>الأسبوع 6</t>
  </si>
  <si>
    <t>الأسبوع 7</t>
  </si>
  <si>
    <t>الأسبوع 8</t>
  </si>
  <si>
    <t>متابعة التنفيذ</t>
  </si>
  <si>
    <t>• ملف مشترك: يعبّئ كل عضو ورقة الفحص مباشرة، وتستخدم لوحة المتابعة لمتابعة الإنجاز.</t>
  </si>
  <si>
    <t>• رسالة متابعة أسبوعية: توضح نسبة الإنجاز والعوائق وما يحتاج إلى قرار أو دعم.</t>
  </si>
  <si>
    <t>• اجتماعات اللجنة الأساسية: الانطلاق (الأسبوع 1)، منتصف الخطة (الأسبوع 4)، ومناقشة الفجوات (الأسبوع 7).</t>
  </si>
  <si>
    <t>ما المقصود بالفجوات في المرحلة الأولى؟</t>
  </si>
  <si>
    <t>• فجوة توثيق/دليل: الممارسة موجودة، لكن الدليل مفقود أو قديم أو غير معتمد أو لا يثبت التنفيذ بشكل كافٍ.</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</si>
  <si>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</si>
  <si>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</si>
  <si>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</si>
  <si>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</si>
  <si>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</si>
  <si>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</si>
  <si>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</si>
  <si>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</si>
  <si>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</si>
  <si>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نطاق التنفيذ الحالي: البرامج الثلاثة – بكالوريوس علوم الحاسب، بكالوريوس علوم البيانات، وماجستير علوم البيانات.</t>
  </si>
  <si>
    <t>أعضاء اللجنة</t>
  </si>
  <si>
    <t>م</t>
  </si>
  <si>
    <t>الاسم</t>
  </si>
  <si>
    <t>الدور</t>
  </si>
  <si>
    <t>المسؤولية</t>
  </si>
  <si>
    <t>عدد الأدلة المسندة</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</si>
  <si>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</si>
  <si>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</si>
  <si>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</si>
  <si>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</si>
  <si>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</si>
  <si>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</si>
  <si>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</si>
  <si>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</si>
  <si>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</si>
  <si>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</si>
  <si>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</si>
  <si>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</si>
  <si>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</si>
  <si>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عضو + مسؤول الفهرسة</t>
  </si>
  <si>
    <t>المعيار 3: الطالب للبرامج الثلاثة، ونظام ترميز الأدلة وفهرستها وفهرس الأدلة النهائي</t>
  </si>
  <si>
    <t>د. عمر بن محمد موسى</t>
  </si>
  <si>
    <t>د. حسن بن سعد القحطاني</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</si>
  <si>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</si>
  <si>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</si>
  <si>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</si>
  <si>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</si>
  <si>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</si>
  <si>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</si>
  <si>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</si>
  <si>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</si>
  <si>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</si>
  <si>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</si>
  <si>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</si>
  <si>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</si>
  <si>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</si>
  <si>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</si>
  <si>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</si>
  <si>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</si>
  <si>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</si>
  <si>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</si>
  <si>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</si>
  <si>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</si>
  <si>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</si>
  <si>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</si>
  <si>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</si>
  <si>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</si>
  <si>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</si>
  <si>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</si>
  <si>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</si>
  <si>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</si>
  <si>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</si>
  <si>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</si>
  <si>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</si>
  <si>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</si>
  <si>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</si>
  <si>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</si>
  <si>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</si>
  <si>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</si>
  <si>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</si>
  <si>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</si>
  <si>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</si>
  <si>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</si>
  <si>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</si>
  <si>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</si>
  <si>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</si>
  <si>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</si>
  <si>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</si>
  <si>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</si>
  <si>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</si>
  <si>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نوع الفجوات</t>
  </si>
  <si>
    <t>نوع الفجوة</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</si>
  <si>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</si>
  <si>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</si>
  <si>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</si>
  <si>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</si>
  <si>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</si>
  <si>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</si>
  <si>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</si>
  <si>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</si>
  <si>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</si>
  <si>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</si>
  <si>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</si>
  <si>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</si>
  <si>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</si>
  <si>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</si>
  <si>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</si>
  <si>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</si>
  <si>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</si>
  <si>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</si>
  <si>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</si>
  <si>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</si>
  <si>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</si>
  <si>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</si>
  <si>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</si>
  <si>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</si>
  <si>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</si>
  <si>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</si>
  <si>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</si>
  <si>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</si>
  <si>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</si>
  <si>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</si>
  <si>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تبدأ كتابتها تدريجيًا بعد مراجعة البرنامج ومعالجة الفجوات الجوهرية، مع استكمال الأدلة بالتوازي</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</si>
  <si>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</si>
  <si>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</si>
  <si>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</si>
  <si>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</si>
  <si>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</si>
  <si>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</si>
  <si>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</si>
  <si>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</si>
  <si>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</si>
  <si>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</si>
  <si>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</si>
  <si>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</si>
  <si>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</si>
  <si>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</si>
  <si>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</si>
  <si>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عبّئ الخلايا الصفراء: حالة الدليل، وإن كان ناقصاً: نوع الفجوة (توثيق أو تطبيق) والإجراء والموعد، ثم رابط الدليل. الأعمدة P–Q لأ. فاطمة. الصفوف المظللة = محكات أساسية ★</t>
  </si>
  <si>
    <t>نص المحك</t>
  </si>
  <si>
    <t>أساسي</t>
  </si>
  <si>
    <t>الدليل / الشاهد</t>
  </si>
  <si>
    <t>جهة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</si>
  <si>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</si>
  <si>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</si>
  <si>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</si>
  <si>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</si>
  <si>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</si>
  <si>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</si>
  <si>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</si>
  <si>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</si>
  <si>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</si>
  <si>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</si>
  <si>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</si>
  <si>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</si>
  <si>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</si>
  <si>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</si>
  <si>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</si>
  <si>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</si>
  <si>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</si>
  <si>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</si>
  <si>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</si>
  <si>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</si>
  <si>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</si>
  <si>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</si>
  <si>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</si>
  <si>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</si>
  <si>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</si>
  <si>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</si>
  <si>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</si>
  <si>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</si>
  <si>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</si>
  <si>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</si>
  <si>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</si>
  <si>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</si>
  <si>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</si>
  <si>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</si>
  <si>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</si>
  <si>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</si>
  <si>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</si>
  <si>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</si>
  <si>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</si>
  <si>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</si>
  <si>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</si>
  <si>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</si>
  <si>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</si>
  <si>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</si>
  <si>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</si>
  <si>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</si>
  <si>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</si>
  <si>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</si>
  <si>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</si>
  <si>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</si>
  <si>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</si>
  <si>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</si>
  <si>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</si>
  <si>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</si>
  <si>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</si>
  <si>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</si>
  <si>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</si>
  <si>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</si>
  <si>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</si>
  <si>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</si>
  <si>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</si>
  <si>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</si>
  <si>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</si>
  <si>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</si>
  <si>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</si>
  <si>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</si>
  <si>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</si>
  <si>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</si>
  <si>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</si>
  <si>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</si>
  <si>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</si>
  <si>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</si>
  <si>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</si>
  <si>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</si>
  <si>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</si>
  <si>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</si>
  <si>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</si>
  <si>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</si>
  <si>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</si>
  <si>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</si>
  <si>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</si>
  <si>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</si>
  <si>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</si>
  <si>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</si>
  <si>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</si>
  <si>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</si>
  <si>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</si>
  <si>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</si>
  <si>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</si>
  <si>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</si>
  <si>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</si>
  <si>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</si>
  <si>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</si>
  <si>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</si>
  <si>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</si>
  <si>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</si>
  <si>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</si>
  <si>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</si>
  <si>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</si>
  <si>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</si>
  <si>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</si>
  <si>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</si>
  <si>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</si>
  <si>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</si>
  <si>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</si>
  <si>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</si>
  <si>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</si>
  <si>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</si>
  <si>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</si>
  <si>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</si>
  <si>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</si>
  <si>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</si>
  <si>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</si>
  <si>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</si>
  <si>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</si>
  <si>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</si>
  <si>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</si>
  <si>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</si>
  <si>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</si>
  <si>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</si>
  <si>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</si>
  <si>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</si>
  <si>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</si>
  <si>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</si>
  <si>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</si>
  <si>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</si>
  <si>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</si>
  <si>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</si>
  <si>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</si>
  <si>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</si>
  <si>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</si>
  <si>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</si>
  <si>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</si>
  <si>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</si>
  <si>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</si>
  <si>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</si>
  <si>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</si>
  <si>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</si>
  <si>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</si>
  <si>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</si>
  <si>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</si>
  <si>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</si>
  <si>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</si>
  <si>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</si>
  <si>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</si>
  <si>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</si>
  <si>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</si>
  <si>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</si>
  <si>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</si>
  <si>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</si>
  <si>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</si>
  <si>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</si>
  <si>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</si>
  <si>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</si>
  <si>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</si>
  <si>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</si>
  <si>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</si>
  <si>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</si>
  <si>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</si>
  <si>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</si>
  <si>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</si>
  <si>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</si>
  <si>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</si>
  <si>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</si>
  <si>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</si>
  <si>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</si>
  <si>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</si>
  <si>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</si>
  <si>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</si>
  <si>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</si>
  <si>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</si>
  <si>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</si>
  <si>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</si>
  <si>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</si>
  <si>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</si>
  <si>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</si>
  <si>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</si>
  <si>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</si>
  <si>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</si>
  <si>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</si>
  <si>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</si>
  <si>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</si>
  <si>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</si>
  <si>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</si>
  <si>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</si>
  <si>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</si>
  <si>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</si>
  <si>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</si>
  <si>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</si>
  <si>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</si>
  <si>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</si>
  <si>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</si>
  <si>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</si>
  <si>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</si>
  <si>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</si>
  <si>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</si>
  <si>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</si>
  <si>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</si>
  <si>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</si>
  <si>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</si>
  <si>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</si>
  <si>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</si>
  <si>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</si>
  <si>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</si>
  <si>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</si>
  <si>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</si>
  <si>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</si>
  <si>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</si>
  <si>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</si>
  <si>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</si>
  <si>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</si>
  <si>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</si>
  <si>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</si>
  <si>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</si>
  <si>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</si>
  <si>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</si>
  <si>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</si>
  <si>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</si>
  <si>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</si>
  <si>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</si>
  <si>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</si>
  <si>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</si>
  <si>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</si>
  <si>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</si>
  <si>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</si>
  <si>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</si>
  <si>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</si>
  <si>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</si>
  <si>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</si>
  <si>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</si>
  <si>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</si>
  <si>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</si>
  <si>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</si>
  <si>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</si>
  <si>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</si>
  <si>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</si>
  <si>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</si>
  <si>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</si>
  <si>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</si>
  <si>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</si>
  <si>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</si>
  <si>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</si>
  <si>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</si>
  <si>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</si>
  <si>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</si>
  <si>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</si>
  <si>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</si>
  <si>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</si>
  <si>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</si>
  <si>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</si>
  <si>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</si>
  <si>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</si>
  <si>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</si>
  <si>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</si>
  <si>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</si>
  <si>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</si>
  <si>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</si>
  <si>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</si>
  <si>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</si>
  <si>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</si>
  <si>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</si>
  <si>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</si>
  <si>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</si>
  <si>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</si>
  <si>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</si>
  <si>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</si>
  <si>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</si>
  <si>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</si>
  <si>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</si>
  <si>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</si>
  <si>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</si>
  <si>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</si>
  <si>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</si>
  <si>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</si>
  <si>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</si>
  <si>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</si>
  <si>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</si>
  <si>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</si>
  <si>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</si>
  <si>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</si>
  <si>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</si>
  <si>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</si>
  <si>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</si>
  <si>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</si>
  <si>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</si>
  <si>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</si>
  <si>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</si>
  <si>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</si>
  <si>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</si>
  <si>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</si>
  <si>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</si>
  <si>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</si>
  <si>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</si>
  <si>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</si>
  <si>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</si>
  <si>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</si>
  <si>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</si>
  <si>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</si>
  <si>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</si>
  <si>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</si>
  <si>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</si>
  <si>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</si>
  <si>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</si>
  <si>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</si>
  <si>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</si>
  <si>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</si>
  <si>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</si>
  <si>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</si>
  <si>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</si>
  <si>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</si>
  <si>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</si>
  <si>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</si>
  <si>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</si>
  <si>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</si>
  <si>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</si>
  <si>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</si>
  <si>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</si>
  <si>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</si>
  <si>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</si>
  <si>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</si>
  <si>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</si>
  <si>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</si>
  <si>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</si>
  <si>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</si>
  <si>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</si>
  <si>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</si>
  <si>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</si>
  <si>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</si>
  <si>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</si>
  <si>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</si>
  <si>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</si>
  <si>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</si>
  <si>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</si>
  <si>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</si>
  <si>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</si>
  <si>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</si>
  <si>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</si>
  <si>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</si>
  <si>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</si>
  <si>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</si>
  <si>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</si>
  <si>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</si>
  <si>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</si>
  <si>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</si>
  <si>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</si>
  <si>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</si>
  <si>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</si>
  <si>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</si>
  <si>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</si>
  <si>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</si>
  <si>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</si>
  <si>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</si>
  <si>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</si>
  <si>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</si>
  <si>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</si>
  <si>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</si>
  <si>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</si>
  <si>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</si>
  <si>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</si>
  <si>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</si>
  <si>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</si>
  <si>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</si>
  <si>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</si>
  <si>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</si>
  <si>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</si>
  <si>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</si>
  <si>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تشكيل الفريق، تنظيم المستودع، حصر الأدلة، والتحقق من توفرها واعتمادها وحداثتها ومدى إثباتها للتطبيق، وتحديد الأدلة غير المتوفرة أو غير المكتملة وفجوات التطبيق والتوثيق.</t>
  </si>
  <si>
    <t>إعداد الدراسة الذاتية تدريجيًا، وتدعيم نتائج التقويم بالأدلة والشواهد المناسبة، واستكمال ما تبقى من متطلبات وأدلة، والاستفادة من أي تحديثات أكاديمية معتمدة.</t>
  </si>
  <si>
    <t>مراجعة رسالة البرنامج وأهدافه، ونواتج تعلم البرنامج والمقررات، وأساليب التدريس والتقويم، وتحديد الملاحظات والتحديثات الأكاديمية المطلوبة وفق الإجراءات المعتمدة في القسم.</t>
  </si>
  <si>
    <t>تقرير مراجعة أكاديمية يتضمن الملاحظات والتحديثات المقترحة وأولويات المعالجة.</t>
  </si>
  <si>
    <t>تُراعى أي تحديثات أكاديمية يتم اعتمادها خلال فترة تنفيذ الخطة، ويُعتمد أحدث إصدار معتمد من الوثائق ضمن ملف الأدلة، على أن تُنفذ التحديثات الأكاديمية وفق أولوياتها والإجراءات المعتمدة والجدول الزمني للاعتماد.</t>
  </si>
  <si>
    <t>اجتماع الانطلاق: شرح المعايير ومنهجية تقييم الأدلة، وتأكيد توزيع المحكات</t>
  </si>
  <si>
    <t>محضر + توزيع معتمد</t>
  </si>
  <si>
    <t>اعتماد نظام ترميز الأدلة وهيكل مجلدات المستودع</t>
  </si>
  <si>
    <t>إنشاء المستودع والملف المشترك وصلاحيات الأعضاء</t>
  </si>
  <si>
    <t>مستودع جاهز</t>
  </si>
  <si>
    <t>متابعة متطلبات التقدم مع لجنة الجودة (انظر ورقة متطلبات التقدم للاعتماد)</t>
  </si>
  <si>
    <t>حالة المتطلبات في الأسبوعين 4 و7</t>
  </si>
  <si>
    <t>جميع الأدلة مقيّمة</t>
  </si>
  <si>
    <t>المراجعة الأسبوعية للأدلة المرفوعة، ورسالة المتابعة</t>
  </si>
  <si>
    <t>عمود المراجعة + رسالة أسبوعية</t>
  </si>
  <si>
    <t>اجتماع منتصف الخطة: الإنجاز والعوائق وحالة المتطلبات</t>
  </si>
  <si>
    <t>محضر</t>
  </si>
  <si>
    <t>مراجعة كفاية أدلة المحكات الأساسية وتحديد النواقص الحرجة</t>
  </si>
  <si>
    <t>قائمة النواقص الحرجة</t>
  </si>
  <si>
    <t>خطة استكمال معتمدة</t>
  </si>
  <si>
    <t>إعداد فهرس الأدلة المبدئي لكل برنامج</t>
  </si>
  <si>
    <t>3 فهارس</t>
  </si>
  <si>
    <t>إعداد تقرير الجاهزية لكل برنامج وعرضه على إدارة الكلية</t>
  </si>
  <si>
    <t>3 تقارير + اعتماد نتائج المرحلة الأولى</t>
  </si>
  <si>
    <t>جمع الأدلة وتقييمها، وتسجيل الفجوات والإجراء المطلوب لكل دليل ناقص في أوراق الفحص</t>
  </si>
  <si>
    <t>مراجعة خطة الاستكمال (الإجراء، والمسؤول، والأولوية، والموعد) واعتمادها في اجتماع الفجوات</t>
  </si>
  <si>
    <t>آلية فحص الأدلة</t>
  </si>
  <si>
    <t>يقوم كل عضو بمراجعة الأدلة المرتبطة بالمعيار المسند إليه، والتحقق من مدى كفايتها لإثبات استيفاء المحك، وذلك وفق الآتي:
1. توفر الدليل: التحقق من وجود الدليل المطلوب.
2. الاعتماد: التحقق من أن الدليل معتمد من الجهة المختصة، متى ما كان الاعتماد مطلوبًا.
3. الحداثة: التحقق من أن الدليل محدث ويعكس الوضع الحالي للبرنامج والفترة المطلوبة.
4. الارتباط بالمحك: التأكد من أن الدليل يغطي متطلبات المحك بصورة مباشرة وكافية.
5. إثبات التطبيق: التحقق من أن الدليل يثبت التطبيق الفعلي، ولا يقتصر على وجود سياسة أو نموذج فقط، وأن نتائج القياس استُخدمت في التحسين، متى ما كان المحك يتطلب ذلك.</t>
  </si>
  <si>
    <t>• فجوة تطبيق: يوجد متطلب أو إجراء، لكن التطبيق الفعلي غير مكتمل أو غير منتظم أو لا توجد نتائج كافية تثبته. وإذا كان العمل لا يتم ولا يوجد دليل عليه، تُصنّف فجوة تطبيق.</t>
  </si>
  <si>
    <t>المعيار 4: هيئة التدريس، ومحور ضمان الجودة (1-2) للبرامج الثلاثة</t>
  </si>
  <si>
    <t>المعيار 5: مصادر التعلم والمرافق للبرامج الثلاثة، والمعيار 6: البحث والمشاريع للماجستير (اعتماد الأدلة المقترحة وفحصها)</t>
  </si>
  <si>
    <t>فجوة توثيق</t>
  </si>
  <si>
    <t>فجوة تطبيق</t>
  </si>
  <si>
    <t>تقرير الأدلة حسب البرنامج والحالة</t>
  </si>
  <si>
    <t>اختر البرنامج وحالة الدليل من الخانتين الصفراوين، فتظهر قائمة الأدلة المطابقة تلقائياً. لا تكتب في الجدول.</t>
  </si>
  <si>
    <t>البرنامج</t>
  </si>
  <si>
    <t>الدليل</t>
  </si>
  <si>
    <t>أمثلة تصنيف الأدلة (لاجتماع الانطلاق وجلسة توحيد الحكم)</t>
  </si>
  <si>
    <t>الأدلة من الدليل الاسترشادي، ووضعها افتراضي للتوضيح.  القاعدة: حالة الدليل ← بنود الفحص الخمسة • نوع الفجوة ← هل العمل يتم فعلاً؟ (نعم = فجوة توثيق • لا أو جزئياً = فجوة تطبيق) • الأولوية تلقائية: عالية إذا كان الدليل غير متوفر أو المحك أساسياً ★.</t>
  </si>
  <si>
    <t>المحك</t>
  </si>
  <si>
    <t>الوضع</t>
  </si>
  <si>
    <t>متوفر ومكتمل</t>
  </si>
  <si>
    <t>1-1-1 اتساق الرسالة والأهداف</t>
  </si>
  <si>
    <t>إعلان رسالة البرنامج وأهدافه على الموقع الإلكتروني</t>
  </si>
  <si>
    <t>منشورة، وهي الصيغة المعتمدة الحالية</t>
  </si>
  <si>
    <t>5-0-3 ★ السلامة</t>
  </si>
  <si>
    <t>عقد الشركة المسؤولة عن التخلص من النفايات الخطرة</t>
  </si>
  <si>
    <t>العقد ساري ومعتمد</t>
  </si>
  <si>
    <t>متوفر ويحتاج تحسين</t>
  </si>
  <si>
    <t>مصفوفة اتساق رسالة البرنامج وأهدافه مع رسالة الجامعة والكلية</t>
  </si>
  <si>
    <t>موجودة، لكنها على رسالة الكلية القديمة (غير محدّثة)</t>
  </si>
  <si>
    <t>تحديثها واعتمادها من مجلس القسم</t>
  </si>
  <si>
    <t>خلال المرحلة الأولى</t>
  </si>
  <si>
    <t>متوسطة</t>
  </si>
  <si>
    <t>2-2-4 ربط نواتج المقررات بالبرنامج</t>
  </si>
  <si>
    <t>توصيف البرنامج مع مصفوفة ربط نواتج المقررات بنواتج البرنامج</t>
  </si>
  <si>
    <t>موجود، لكنه غير معتمد من مجلس الكلية</t>
  </si>
  <si>
    <t>رفعه لمجلس الكلية لاعتماده</t>
  </si>
  <si>
    <t>3-0-3 ★ الإرشاد الأكاديمي</t>
  </si>
  <si>
    <t>دليل الإرشاد والتوجيه الأكاديمي للطالب</t>
  </si>
  <si>
    <t>الدليل موجود، لكن الإرشاد لا يُطبّق بانتظام ولا توجد سجلات جلسات</t>
  </si>
  <si>
    <t>تفعيل الساعات الإرشادية وتوثيق الجلسات (القسم)</t>
  </si>
  <si>
    <t>خلال فصل دراسي</t>
  </si>
  <si>
    <t>عالية</t>
  </si>
  <si>
    <t>1-2-2 ★ تحليل مؤشرات الأداء</t>
  </si>
  <si>
    <t>تقارير قياس مؤشرات الأداء الرئيسة</t>
  </si>
  <si>
    <t>التقارير موجودة، لكن لم تُناقش ولم تُبنَ عليها خطة تحسين</t>
  </si>
  <si>
    <t>مناقشتها في مجلس القسم وإعداد خطة تحسين</t>
  </si>
  <si>
    <t>3-0-7 ★ رضا الطلاب عن الخدمات</t>
  </si>
  <si>
    <t>تقرير استطلاعات رأي الطلبة حول جودة الخدمات</t>
  </si>
  <si>
    <t>عمادة الجودة طبّقت الاستطلاع، لكن لا يوجد تقرير خاص بالبرنامج</t>
  </si>
  <si>
    <t>طلب النتائج من عمادة الجودة وإعداد تقرير للبرنامج</t>
  </si>
  <si>
    <t>4-0-6 تقييم أداء هيئة التدريس</t>
  </si>
  <si>
    <t>نماذج من التغذية الراجعة المقدمة عن أداء أعضاء هيئة التدريس</t>
  </si>
  <si>
    <t>التغذية الراجعة تُقدَّم شفهياً أو بالبريد، لكن لا تُحفظ</t>
  </si>
  <si>
    <t>جمع نماذج منها وحفظها في المستودع</t>
  </si>
  <si>
    <t>استطلاع رأي أعضاء هيئة التدريس عن رضاهم عن طرق تقييم أدائهم</t>
  </si>
  <si>
    <t>لم يُطبَّق أصلاً</t>
  </si>
  <si>
    <t>تصميم الاستطلاع وتطبيقه وإعداد تقريره</t>
  </si>
  <si>
    <t>6-0-8 كفاءة الإشراف العلمي (ماجستير)</t>
  </si>
  <si>
    <t>نتائج تقييم الطلاب لجودة الإشراف العلمي</t>
  </si>
  <si>
    <t>لا يوجد تقييم للإشراف</t>
  </si>
  <si>
    <t>تطبيق تقييم سنوي للإشراف ثم تحليله والتحسين</t>
  </si>
  <si>
    <t>خلال سنة دراسية</t>
  </si>
  <si>
    <t>خطأ شائع 🔴</t>
  </si>
  <si>
    <t>مصفوفة اتساق رسالة البرنامج وأهدافه</t>
  </si>
  <si>
    <t>اختار العضو "متوفر ومكتمل" ثم كتب في الإجراء: "تحديث المصفوفة"</t>
  </si>
  <si>
    <t>تتلون الخانة بالأحمر: ما دام يحتاج تحديثاً فهو "متوفر ويحتاج تحسين" وليس "مكتملاً"</t>
  </si>
  <si>
    <t>الخطة التنفيذية للاعتماد البرامجي – برامج كلية الحوسبة والمعلوماتية المستهدفة</t>
  </si>
  <si>
    <r>
      <rPr>
        <b/>
        <sz val="10"/>
        <color rgb="FF000000"/>
        <rFont val="Frutiger LT Arabic 45 Light"/>
      </rPr>
      <t>تصنيف حالة الدليل:</t>
    </r>
    <r>
      <rPr>
        <sz val="10"/>
        <color rgb="FF000000"/>
        <rFont val="Frutiger LT Arabic 45 Light"/>
      </rPr>
      <t xml:space="preserve">
• متوفر ومكتمل: مستوفٍ لمتطلبات الفحص أعلاه.
• متوفر ويحتاج تحسين: الدليل موجود، إلا أنه يحتاج إلى استكمال أو تحديث أو اعتماد أو تعزيز بما يثبت التطبيق.
• غير متوفر: لم يتم العثور على دليل يثبت استيفاء المتطلب.
وعند وجود نقص، يتم تحديد نوع الفجوة (توثيق أو تطبيق) والإجراء المطلوب لاستكمال الدليل ضمن ورقة الفحص.</t>
    </r>
  </si>
  <si>
    <r>
      <t xml:space="preserve">
</t>
    </r>
    <r>
      <rPr>
        <b/>
        <sz val="10"/>
        <color rgb="FF000000"/>
        <rFont val="Frutiger LT Arabic 45 Light"/>
      </rPr>
      <t>خطوات العمل في ورقة الفحص</t>
    </r>
    <r>
      <rPr>
        <sz val="10"/>
        <color rgb="FF000000"/>
        <rFont val="Frutiger LT Arabic 45 Light"/>
      </rPr>
      <t>:
1. يصفّي العضو عمود "المسؤول" على اسمه، ويرفع كل دليل للمستودع بالترميز المعتمد ويضع رابطه.
2. يختار "حالة الدليل"، وإن لم يكن مكتملاً يختار "نوع الفجوة" بسؤال: هل العمل يتم فعلاً؟ (نعم = فجوة توثيق • لا أو جزئياً = فجوة تطبيق)، ويكتب "الإجراء المطلوب" والجهة التي ستستكمله ويختار "الموعد". وتظهر "الأولوية" تلقائياً.
3. تراجع أمينة اللجنة الأدلة أسبوعياً (تمت • تحتاج تعديل)، وتراجع رئيسة اللجنة كفاية أدلة المحكات الأساسية ★ في الأسبوع 6.
4. تُراجع خطة الاستكمال وتُعتمد في اجتماع الأسبوع 7، وتتحدث "لوحة المتابعة" تلقائياً مع كل إدخال.</t>
    </r>
  </si>
  <si>
    <t>تمت المراجعة (أمينة اللجنة)</t>
  </si>
  <si>
    <t xml:space="preserve">متطلبات التقدم للاعتماد البرامجي </t>
  </si>
  <si>
    <t>تحديث من القسم</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</si>
</sst>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ont>
    <font>
      <sz val="10"/>
      <name val="Arial"/>
      <family val="2"/>
    </font>
    <font>
      <sz val="10"/>
      <name val="Arial"/>
      <family val="2"/>
    </font>
    <font>
      <b/>
      <sz val="12"/>
      <color rgb="FFFFFFFF"/>
      <name val="Arial"/>
      <family val="2"/>
    </font>
    <font>
      <b/>
      <sz val="14"/>
      <color rgb="FF1F3864"/>
      <name val="Arial"/>
      <family val="2"/>
    </font>
    <font>
      <b/>
      <sz val="16"/>
      <color rgb="FFFFFFFF"/>
      <name val="Arial"/>
      <family val="2"/>
    </font>
    <font>
      <b/>
      <sz val="11"/>
      <color rgb="FF34205C"/>
      <name val="Arial"/>
      <family val="2"/>
    </font>
    <font>
      <b/>
      <sz val="10"/>
      <color rgb="FF2B1B47"/>
      <name val="Arial"/>
      <family val="2"/>
    </font>
    <font>
      <b/>
      <sz val="10"/>
      <color rgb="FF000000"/>
      <name val="Arial"/>
      <family val="2"/>
    </font>
    <font>
      <sz val="10"/>
      <color rgb="FF000000"/>
      <name val="Arial"/>
      <family val="2"/>
    </font>
    <font>
      <b/>
      <sz val="10"/>
      <color rgb="FF34205C"/>
      <name val="Arial"/>
      <family val="2"/>
    </font>
    <font>
      <b/>
      <sz val="12"/>
      <color rgb="FFFFFFFF"/>
      <name val="Frutiger LT Arabic 45 Light"/>
    </font>
    <font>
      <b/>
      <sz val="10"/>
      <color rgb="FF2B1B47"/>
      <name val="Frutiger LT Arabic 45 Light"/>
    </font>
    <font>
      <b/>
      <sz val="10"/>
      <color rgb="FF000000"/>
      <name val="Frutiger LT Arabic 45 Light"/>
    </font>
    <font>
      <sz val="10"/>
      <color rgb="FF000000"/>
      <name val="Frutiger LT Arabic 45 Light"/>
    </font>
    <font>
      <b/>
      <sz val="10"/>
      <color rgb="FF34205C"/>
      <name val="Frutiger LT Arabic 45 Light"/>
    </font>
    <font>
      <b/>
      <sz val="15"/>
      <color rgb="FF1F3864"/>
      <name val="Frutiger LT Arabic 45 Light"/>
    </font>
    <font>
      <sz val="11"/>
      <color theme="1"/>
      <name val="Frutiger LT Arabic 45 Light"/>
    </font>
    <font>
      <sz val="10"/>
      <name val="Frutiger LT Arabic 45 Light"/>
    </font>
    <font>
      <b/>
      <sz val="11"/>
      <color rgb="FFFFFFFF"/>
      <name val="Frutiger LT Arabic 45 Light"/>
    </font>
    <font>
      <b/>
      <sz val="10"/>
      <name val="Frutiger LT Arabic 45 Light"/>
    </font>
    <font>
      <b/>
      <sz val="10"/>
      <color rgb="FF375623"/>
      <name val="Frutiger LT Arabic 45 Light"/>
    </font>
    <font>
      <b/>
      <sz val="10"/>
      <color rgb="FFFFFFFF"/>
      <name val="Frutiger LT Arabic 45 Light"/>
    </font>
    <font>
      <sz val="9"/>
      <name val="Frutiger LT Arabic 45 Light"/>
    </font>
    <font>
      <b/>
      <sz val="9"/>
      <name val="Frutiger LT Arabic 45 Light"/>
    </font>
    <font>
      <sz val="8"/>
      <color rgb="FF595959"/>
      <name val="Frutiger LT Arabic 45 Light"/>
    </font>
    <font>
      <b/>
      <sz val="10"/>
      <color rgb="FFC00000"/>
      <name val="Frutiger LT Arabic 45 Light"/>
    </font>
    <font>
      <b/>
      <sz val="8"/>
      <color rgb="FFC00000"/>
      <name val="Frutiger LT Arabic 45 Light"/>
    </font>
  </fonts>
  <fills count="22">
    <fill>
      <patternFill patternType="none"/>
    </fill>
    <fill>
      <patternFill patternType="gray125"/>
    </fill>
    <fill>
      <patternFill patternType="solid">
        <fgColor rgb="FF1F3864"/>
      </patternFill>
    </fill>
    <fill>
      <patternFill patternType="solid">
        <fgColor rgb="FFF2F2F2"/>
      </patternFill>
    </fill>
    <fill>
      <patternFill patternType="solid">
        <fgColor rgb="FFFFF9DB"/>
      </patternFill>
    </fill>
    <fill>
      <patternFill patternType="solid">
        <fgColor rgb="FFDDEBF7"/>
      </patternFill>
    </fill>
    <fill>
      <patternFill patternType="solid">
        <fgColor rgb="FFE2EFDA"/>
      </patternFill>
    </fill>
    <fill>
      <patternFill patternType="solid">
        <fgColor rgb="FFFCE4D6"/>
      </patternFill>
    </fill>
    <fill>
      <patternFill patternType="solid">
        <fgColor rgb="FF2E5395"/>
      </patternFill>
    </fill>
    <fill>
      <patternFill patternType="solid">
        <fgColor rgb="FFD9E2F3"/>
      </patternFill>
    </fill>
    <fill>
      <patternFill patternType="solid">
        <fgColor rgb="FFFFF2CC"/>
      </patternFill>
    </fill>
    <fill>
      <patternFill patternType="solid">
        <fgColor rgb="FFE2F0D9"/>
      </patternFill>
    </fill>
    <fill>
      <patternFill patternType="solid">
        <fgColor rgb="FFFFFFFF"/>
      </patternFill>
    </fill>
    <fill>
      <patternFill patternType="solid">
        <fgColor rgb="FF34205C"/>
      </patternFill>
    </fill>
    <fill>
      <patternFill patternType="solid">
        <fgColor rgb="FFEEEAF6"/>
      </patternFill>
    </fill>
    <fill>
      <patternFill patternType="solid">
        <fgColor rgb="FF5B3A8E"/>
      </patternFill>
    </fill>
    <fill>
      <patternFill patternType="solid">
        <fgColor rgb="FFF5F2F9"/>
      </patternFill>
    </fill>
    <fill>
      <patternFill patternType="solid">
        <fgColor rgb="FFD9CCE9"/>
      </patternFill>
    </fill>
    <fill>
      <patternFill patternType="solid">
        <fgColor rgb="FFD9CCE9"/>
      </patternFill>
    </fill>
    <fill>
      <patternFill patternType="solid">
        <fgColor rgb="FFF4EEF9"/>
      </patternFill>
    </fill>
    <fill>
      <patternFill patternType="solid">
        <fgColor rgb="FF5B3A8E"/>
      </patternFill>
    </fill>
    <fill>
      <patternFill patternType="solid">
        <fgColor rgb="FFFFFFFF"/>
      </patternFill>
    </fill>
  </fills>
  <borders count="1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
      <left style="thin">
        <color rgb="FFBFBFBF"/>
      </left>
      <right style="thin">
        <color rgb="FFBFBFBF"/>
      </right>
      <top style="thin">
        <color rgb="FFBFBFBF"/>
      </top>
      <bottom/>
      <diagonal/>
    </border>
    <border>
      <left/>
      <right/>
      <top style="thin">
        <color theme="0" tint="-0.14999847407452621"/>
      </top>
      <bottom/>
      <diagonal/>
    </border>
    <border>
      <left style="thin">
        <color theme="0" tint="-0.14999847407452621"/>
      </left>
      <right style="thin">
        <color rgb="FFBFBFBF"/>
      </right>
      <top style="thin">
        <color rgb="FFBFBFBF"/>
      </top>
      <bottom style="thin">
        <color rgb="FFBFBFBF"/>
      </bottom>
      <diagonal/>
    </border>
    <border>
      <left style="thin">
        <color indexed="64"/>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indexed="64"/>
      </left>
      <right style="thin">
        <color theme="0" tint="-0.14999847407452621"/>
      </right>
      <top style="thin">
        <color theme="0" tint="-0.14999847407452621"/>
      </top>
      <bottom style="thin">
        <color theme="0" tint="-0.14999847407452621"/>
      </bottom>
      <diagonal/>
    </border>
    <border>
      <left style="thin">
        <color rgb="FFBFBFBF"/>
      </left>
      <right style="thin">
        <color rgb="FFBFBFBF"/>
      </right>
      <top style="thin">
        <color rgb="FFBFBFBF"/>
      </top>
      <bottom style="thin">
        <color theme="0" tint="-0.14999847407452621"/>
      </bottom>
      <diagonal/>
    </border>
    <border>
      <left style="thin">
        <color theme="0" tint="-0.14999847407452621"/>
      </left>
      <right style="thin">
        <color indexed="64"/>
      </right>
      <top style="thin">
        <color theme="0" tint="-0.14999847407452621"/>
      </top>
      <bottom style="thin">
        <color theme="0" tint="-0.14999847407452621"/>
      </bottom>
      <diagonal/>
    </border>
    <border>
      <left/>
      <right/>
      <top/>
      <bottom style="thin">
        <color theme="0" tint="-0.14999847407452621"/>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right/>
      <top style="thin">
        <color theme="0" tint="-0.14999847407452621"/>
      </top>
      <bottom style="thin">
        <color theme="0" tint="-0.14999847407452621"/>
      </bottom>
      <diagonal/>
    </border>
    <border>
      <left style="thin">
        <color theme="0" tint="-0.14999847407452621"/>
      </left>
      <right/>
      <top/>
      <bottom/>
      <diagonal/>
    </border>
    <border>
      <left style="thin">
        <color theme="0" tint="-0.14999847407452621"/>
      </left>
      <right/>
      <top/>
      <bottom style="thin">
        <color theme="0" tint="-0.14999847407452621"/>
      </bottom>
      <diagonal/>
    </border>
    <border>
      <left/>
      <right style="thin">
        <color theme="0" tint="-0.14999847407452621"/>
      </right>
      <top/>
      <bottom style="thin">
        <color theme="0" tint="-0.14999847407452621"/>
      </bottom>
      <diagonal/>
    </border>
  </borders>
  <cellStyleXfs count="1">
    <xf numFmtId="0" fontId="0" fillId="0" borderId="0"/>
  </cellStyleXfs>
  <cellXfs count="110">
    <xf numFmtId="0" fontId="0" fillId="0" borderId="0" xfId="0"/>
    <xf numFmtId="0" fontId="8" fillId="12" borderId="1" xfId="0" applyFont="1" applyFill="1" applyBorder="1" applyAlignment="1">
      <alignment horizontal="center" vertical="center" wrapText="1"/>
    </xf>
    <xf numFmtId="0" fontId="9" fillId="12" borderId="1" xfId="0" applyFont="1" applyFill="1" applyBorder="1" applyAlignment="1">
      <alignment horizontal="right" vertical="center" wrapText="1"/>
    </xf>
    <xf numFmtId="0" fontId="9" fillId="12" borderId="1" xfId="0" applyFont="1" applyFill="1" applyBorder="1" applyAlignment="1">
      <alignment horizontal="center" vertical="center" wrapText="1"/>
    </xf>
    <xf numFmtId="0" fontId="9" fillId="12" borderId="0" xfId="0" applyFont="1" applyFill="1" applyAlignment="1">
      <alignment horizontal="right" vertical="center" wrapText="1"/>
    </xf>
    <xf numFmtId="0" fontId="7" fillId="17" borderId="1" xfId="0" applyFont="1" applyFill="1" applyBorder="1" applyAlignment="1">
      <alignment horizontal="center" vertical="center" wrapText="1"/>
    </xf>
    <xf numFmtId="0" fontId="12" fillId="18" borderId="1" xfId="0" applyFont="1" applyFill="1" applyBorder="1" applyAlignment="1">
      <alignment horizontal="center" vertical="center" wrapText="1"/>
    </xf>
    <xf numFmtId="0" fontId="13" fillId="19" borderId="1" xfId="0" applyFont="1" applyFill="1" applyBorder="1" applyAlignment="1">
      <alignment horizontal="center" vertical="center" wrapText="1"/>
    </xf>
    <xf numFmtId="0" fontId="14" fillId="19" borderId="1" xfId="0" applyFont="1" applyFill="1" applyBorder="1" applyAlignment="1">
      <alignment horizontal="right" vertical="center" wrapText="1"/>
    </xf>
    <xf numFmtId="0" fontId="14" fillId="19"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4" fillId="12" borderId="1" xfId="0" applyFont="1" applyFill="1" applyBorder="1" applyAlignment="1">
      <alignment horizontal="right" vertical="center" wrapText="1"/>
    </xf>
    <xf numFmtId="0" fontId="14" fillId="12" borderId="1" xfId="0" applyFont="1" applyFill="1" applyBorder="1" applyAlignment="1">
      <alignment horizontal="center" vertical="center" wrapText="1"/>
    </xf>
    <xf numFmtId="0" fontId="9" fillId="12" borderId="4" xfId="0" applyFont="1" applyFill="1" applyBorder="1" applyAlignment="1">
      <alignment horizontal="right" vertical="center" wrapText="1"/>
    </xf>
    <xf numFmtId="0" fontId="0" fillId="0" borderId="15" xfId="0" applyBorder="1"/>
    <xf numFmtId="0" fontId="0" fillId="0" borderId="7" xfId="0" applyBorder="1"/>
    <xf numFmtId="0" fontId="12" fillId="17" borderId="1" xfId="0" applyFont="1" applyFill="1" applyBorder="1" applyAlignment="1">
      <alignment horizontal="center" vertical="center" wrapText="1"/>
    </xf>
    <xf numFmtId="0" fontId="12" fillId="17" borderId="1" xfId="0" applyFont="1" applyFill="1" applyBorder="1" applyAlignment="1">
      <alignment horizontal="right" vertical="center" wrapText="1"/>
    </xf>
    <xf numFmtId="0" fontId="13" fillId="12" borderId="3" xfId="0" applyFont="1" applyFill="1" applyBorder="1" applyAlignment="1">
      <alignment horizontal="center" vertical="center" wrapText="1"/>
    </xf>
    <xf numFmtId="0" fontId="14" fillId="12" borderId="3" xfId="0" applyFont="1" applyFill="1" applyBorder="1" applyAlignment="1">
      <alignment horizontal="right" vertical="center" wrapText="1"/>
    </xf>
    <xf numFmtId="0" fontId="14" fillId="12" borderId="9" xfId="0" applyFont="1" applyFill="1" applyBorder="1" applyAlignment="1">
      <alignment horizontal="right" vertical="center" wrapText="1"/>
    </xf>
    <xf numFmtId="0" fontId="14" fillId="12" borderId="3" xfId="0" applyFont="1" applyFill="1" applyBorder="1" applyAlignment="1">
      <alignment horizontal="center" vertical="center" wrapText="1"/>
    </xf>
    <xf numFmtId="0" fontId="14" fillId="12" borderId="6" xfId="0" applyFont="1" applyFill="1" applyBorder="1" applyAlignment="1">
      <alignment horizontal="center" vertical="center" wrapText="1"/>
    </xf>
    <xf numFmtId="0" fontId="14" fillId="12" borderId="7" xfId="0" applyFont="1" applyFill="1" applyBorder="1" applyAlignment="1">
      <alignment horizontal="right" vertical="center" wrapText="1"/>
    </xf>
    <xf numFmtId="0" fontId="14" fillId="12" borderId="7" xfId="0" applyFont="1" applyFill="1" applyBorder="1" applyAlignment="1">
      <alignment horizontal="center" vertical="center" wrapText="1"/>
    </xf>
    <xf numFmtId="0" fontId="14" fillId="12" borderId="5" xfId="0" applyFont="1" applyFill="1" applyBorder="1" applyAlignment="1">
      <alignment horizontal="right" vertical="center" wrapText="1"/>
    </xf>
    <xf numFmtId="0" fontId="17" fillId="0" borderId="0" xfId="0" applyFont="1"/>
    <xf numFmtId="0" fontId="20" fillId="9" borderId="1" xfId="0" applyFont="1" applyFill="1" applyBorder="1" applyAlignment="1">
      <alignment horizontal="right" vertical="center" wrapText="1"/>
    </xf>
    <xf numFmtId="0" fontId="20" fillId="4" borderId="1" xfId="0" applyFont="1" applyFill="1" applyBorder="1" applyAlignment="1">
      <alignment horizontal="right" vertical="center" wrapText="1"/>
    </xf>
    <xf numFmtId="0" fontId="22" fillId="2"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18" fillId="0" borderId="1" xfId="0" applyFont="1" applyBorder="1" applyAlignment="1">
      <alignment horizontal="right" vertical="center" wrapText="1"/>
    </xf>
    <xf numFmtId="0" fontId="20" fillId="0" borderId="1" xfId="0" applyFont="1" applyBorder="1" applyAlignment="1">
      <alignment horizontal="center" vertical="center" wrapText="1"/>
    </xf>
    <xf numFmtId="0" fontId="18" fillId="4" borderId="1" xfId="0" applyFont="1" applyFill="1" applyBorder="1" applyAlignment="1">
      <alignment horizontal="center" vertical="center" wrapText="1"/>
    </xf>
    <xf numFmtId="0" fontId="20" fillId="0" borderId="1" xfId="0" applyFont="1" applyBorder="1" applyAlignment="1">
      <alignment horizontal="right" vertical="center" wrapText="1"/>
    </xf>
    <xf numFmtId="9" fontId="18" fillId="0" borderId="1" xfId="0" applyNumberFormat="1" applyFont="1" applyBorder="1" applyAlignment="1">
      <alignment horizontal="center" vertical="center" wrapText="1"/>
    </xf>
    <xf numFmtId="0" fontId="18" fillId="9" borderId="1" xfId="0" applyFont="1" applyFill="1" applyBorder="1" applyAlignment="1">
      <alignment horizontal="center" vertical="center" wrapText="1"/>
    </xf>
    <xf numFmtId="9" fontId="18" fillId="9" borderId="1" xfId="0" applyNumberFormat="1" applyFont="1" applyFill="1" applyBorder="1" applyAlignment="1">
      <alignment horizontal="center" vertical="center" wrapText="1"/>
    </xf>
    <xf numFmtId="0" fontId="23" fillId="4" borderId="1" xfId="0" applyFont="1" applyFill="1" applyBorder="1" applyAlignment="1">
      <alignment horizontal="center" vertical="center" wrapText="1"/>
    </xf>
    <xf numFmtId="0" fontId="18" fillId="6" borderId="1" xfId="0" applyFont="1" applyFill="1" applyBorder="1" applyAlignment="1">
      <alignment horizontal="center" vertical="center" wrapText="1"/>
    </xf>
    <xf numFmtId="0" fontId="18" fillId="7" borderId="1" xfId="0" applyFont="1" applyFill="1" applyBorder="1" applyAlignment="1">
      <alignment horizontal="center" vertical="center" wrapText="1"/>
    </xf>
    <xf numFmtId="0" fontId="18" fillId="3" borderId="1" xfId="0" applyFont="1" applyFill="1" applyBorder="1" applyAlignment="1">
      <alignment horizontal="center" vertical="center" wrapText="1"/>
    </xf>
    <xf numFmtId="0" fontId="18" fillId="5" borderId="1" xfId="0" applyFont="1" applyFill="1" applyBorder="1" applyAlignment="1">
      <alignment horizontal="center" vertical="center" wrapText="1"/>
    </xf>
    <xf numFmtId="0" fontId="24" fillId="0" borderId="1" xfId="0" applyFont="1" applyBorder="1" applyAlignment="1">
      <alignment horizontal="center" vertical="center" wrapText="1"/>
    </xf>
    <xf numFmtId="0" fontId="23" fillId="0" borderId="1" xfId="0" applyFont="1" applyBorder="1" applyAlignment="1">
      <alignment horizontal="right" vertical="center" wrapText="1"/>
    </xf>
    <xf numFmtId="0" fontId="2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23" fillId="4" borderId="1" xfId="0" applyFont="1" applyFill="1" applyBorder="1" applyAlignment="1">
      <alignment horizontal="right" vertical="center" wrapText="1"/>
    </xf>
    <xf numFmtId="0" fontId="24" fillId="10" borderId="2" xfId="0" applyFont="1" applyFill="1" applyBorder="1" applyAlignment="1">
      <alignment horizontal="center" vertical="center" wrapText="1"/>
    </xf>
    <xf numFmtId="0" fontId="23" fillId="10" borderId="2" xfId="0" applyFont="1" applyFill="1" applyBorder="1" applyAlignment="1">
      <alignment horizontal="right" vertical="center" wrapText="1"/>
    </xf>
    <xf numFmtId="0" fontId="26" fillId="10" borderId="2" xfId="0" applyFont="1" applyFill="1" applyBorder="1" applyAlignment="1">
      <alignment horizontal="center" vertical="center" wrapText="1"/>
    </xf>
    <xf numFmtId="0" fontId="23" fillId="10" borderId="2" xfId="0" applyFont="1" applyFill="1" applyBorder="1" applyAlignment="1">
      <alignment horizontal="center" vertical="center" wrapText="1"/>
    </xf>
    <xf numFmtId="0" fontId="25" fillId="0" borderId="2" xfId="0" applyFont="1" applyBorder="1" applyAlignment="1">
      <alignment horizontal="center" vertical="center" wrapText="1"/>
    </xf>
    <xf numFmtId="0" fontId="23" fillId="0" borderId="2" xfId="0" applyFont="1" applyBorder="1" applyAlignment="1">
      <alignment horizontal="center" vertical="center" wrapText="1"/>
    </xf>
    <xf numFmtId="0" fontId="23" fillId="4" borderId="2" xfId="0" applyFont="1" applyFill="1" applyBorder="1" applyAlignment="1">
      <alignment horizontal="center" vertical="center" wrapText="1"/>
    </xf>
    <xf numFmtId="0" fontId="23" fillId="4" borderId="2" xfId="0" applyFont="1" applyFill="1" applyBorder="1" applyAlignment="1">
      <alignment horizontal="right" vertical="center" wrapText="1"/>
    </xf>
    <xf numFmtId="0" fontId="23" fillId="10" borderId="1" xfId="0" applyFont="1" applyFill="1" applyBorder="1" applyAlignment="1">
      <alignment horizontal="center" vertical="center" wrapText="1"/>
    </xf>
    <xf numFmtId="0" fontId="23" fillId="10" borderId="1" xfId="0" applyFont="1" applyFill="1" applyBorder="1" applyAlignment="1">
      <alignment horizontal="right" vertical="center" wrapText="1"/>
    </xf>
    <xf numFmtId="0" fontId="26" fillId="10" borderId="1" xfId="0" applyFont="1" applyFill="1" applyBorder="1" applyAlignment="1">
      <alignment horizontal="center" vertical="center" wrapText="1"/>
    </xf>
    <xf numFmtId="0" fontId="24" fillId="0" borderId="2" xfId="0" applyFont="1" applyBorder="1" applyAlignment="1">
      <alignment horizontal="center" vertical="center" wrapText="1"/>
    </xf>
    <xf numFmtId="0" fontId="23" fillId="0" borderId="2" xfId="0" applyFont="1" applyBorder="1" applyAlignment="1">
      <alignment horizontal="right" vertical="center" wrapText="1"/>
    </xf>
    <xf numFmtId="0" fontId="26" fillId="0" borderId="2" xfId="0" applyFont="1" applyBorder="1" applyAlignment="1">
      <alignment horizontal="center" vertical="center" wrapText="1"/>
    </xf>
    <xf numFmtId="0" fontId="25" fillId="0" borderId="1" xfId="0" applyFont="1" applyBorder="1" applyAlignment="1">
      <alignment horizontal="right" vertical="center" wrapText="1" readingOrder="2"/>
    </xf>
    <xf numFmtId="0" fontId="25" fillId="10" borderId="2" xfId="0" applyFont="1" applyFill="1" applyBorder="1" applyAlignment="1">
      <alignment horizontal="right" vertical="center" wrapText="1" readingOrder="2"/>
    </xf>
    <xf numFmtId="0" fontId="25" fillId="10" borderId="1" xfId="0" applyFont="1" applyFill="1" applyBorder="1" applyAlignment="1">
      <alignment horizontal="right" vertical="center" wrapText="1" readingOrder="2"/>
    </xf>
    <xf numFmtId="0" fontId="25" fillId="0" borderId="2" xfId="0" applyFont="1" applyBorder="1" applyAlignment="1">
      <alignment horizontal="right" vertical="center" wrapText="1" readingOrder="2"/>
    </xf>
    <xf numFmtId="0" fontId="22" fillId="2" borderId="1" xfId="0" applyFont="1" applyFill="1" applyBorder="1" applyAlignment="1">
      <alignment horizontal="center" vertical="center" wrapText="1" readingOrder="2"/>
    </xf>
    <xf numFmtId="0" fontId="0" fillId="0" borderId="0" xfId="0" applyAlignment="1">
      <alignment readingOrder="2"/>
    </xf>
    <xf numFmtId="0" fontId="27" fillId="0" borderId="2" xfId="0" applyFont="1" applyBorder="1" applyAlignment="1">
      <alignment horizontal="center" vertical="center" wrapText="1"/>
    </xf>
    <xf numFmtId="0" fontId="27" fillId="0" borderId="1" xfId="0" applyFont="1" applyBorder="1" applyAlignment="1">
      <alignment horizontal="center" vertical="center" wrapText="1"/>
    </xf>
    <xf numFmtId="0" fontId="5" fillId="13" borderId="0" xfId="0" applyFont="1" applyFill="1" applyAlignment="1">
      <alignment horizontal="center" vertical="center" wrapText="1"/>
    </xf>
    <xf numFmtId="0" fontId="6" fillId="14" borderId="0" xfId="0" applyFont="1" applyFill="1" applyAlignment="1">
      <alignment horizontal="center" vertical="center" wrapText="1"/>
    </xf>
    <xf numFmtId="0" fontId="11" fillId="15" borderId="1" xfId="0" applyFont="1" applyFill="1" applyBorder="1" applyAlignment="1">
      <alignment horizontal="right" vertical="center" wrapText="1"/>
    </xf>
    <xf numFmtId="0" fontId="11" fillId="15" borderId="1" xfId="0" applyFont="1" applyFill="1" applyBorder="1" applyAlignment="1">
      <alignment horizontal="center" vertical="center" wrapText="1"/>
    </xf>
    <xf numFmtId="0" fontId="15" fillId="16" borderId="1" xfId="0" applyFont="1" applyFill="1" applyBorder="1" applyAlignment="1">
      <alignment horizontal="center" vertical="center" wrapText="1"/>
    </xf>
    <xf numFmtId="0" fontId="15" fillId="16" borderId="1" xfId="0" applyFont="1" applyFill="1" applyBorder="1" applyAlignment="1">
      <alignment horizontal="right" vertical="center" wrapText="1"/>
    </xf>
    <xf numFmtId="0" fontId="11" fillId="20" borderId="0" xfId="0" applyFont="1" applyFill="1" applyAlignment="1">
      <alignment horizontal="right" vertical="center" wrapText="1"/>
    </xf>
    <xf numFmtId="0" fontId="14" fillId="21" borderId="0" xfId="0" applyFont="1" applyFill="1" applyAlignment="1">
      <alignment horizontal="right" vertical="center" wrapText="1" readingOrder="2"/>
    </xf>
    <xf numFmtId="0" fontId="14" fillId="21" borderId="12" xfId="0" applyFont="1" applyFill="1" applyBorder="1" applyAlignment="1">
      <alignment horizontal="right" vertical="center" wrapText="1" readingOrder="2"/>
    </xf>
    <xf numFmtId="0" fontId="11" fillId="15" borderId="0" xfId="0" applyFont="1" applyFill="1" applyAlignment="1">
      <alignment horizontal="right" vertical="center" wrapText="1"/>
    </xf>
    <xf numFmtId="0" fontId="14" fillId="12" borderId="11" xfId="0" applyFont="1" applyFill="1" applyBorder="1" applyAlignment="1">
      <alignment horizontal="right" vertical="center" wrapText="1" readingOrder="2"/>
    </xf>
    <xf numFmtId="0" fontId="14" fillId="12" borderId="14" xfId="0" applyFont="1" applyFill="1" applyBorder="1" applyAlignment="1">
      <alignment horizontal="right" vertical="center" wrapText="1" readingOrder="2"/>
    </xf>
    <xf numFmtId="0" fontId="14" fillId="12" borderId="13" xfId="0" applyFont="1" applyFill="1" applyBorder="1" applyAlignment="1">
      <alignment horizontal="right" vertical="center" wrapText="1" readingOrder="2"/>
    </xf>
    <xf numFmtId="0" fontId="14" fillId="21" borderId="11" xfId="0" applyFont="1" applyFill="1" applyBorder="1" applyAlignment="1">
      <alignment horizontal="right" vertical="center" wrapText="1" readingOrder="2"/>
    </xf>
    <xf numFmtId="0" fontId="14" fillId="21" borderId="17" xfId="0" applyFont="1" applyFill="1" applyBorder="1" applyAlignment="1">
      <alignment horizontal="right" vertical="center" wrapText="1" readingOrder="2"/>
    </xf>
    <xf numFmtId="0" fontId="12" fillId="17" borderId="1" xfId="0" applyFont="1" applyFill="1" applyBorder="1" applyAlignment="1">
      <alignment horizontal="right" vertical="center" wrapText="1"/>
    </xf>
    <xf numFmtId="0" fontId="14" fillId="12" borderId="1" xfId="0" applyFont="1" applyFill="1" applyBorder="1" applyAlignment="1">
      <alignment horizontal="right" vertical="center" wrapText="1"/>
    </xf>
    <xf numFmtId="0" fontId="14" fillId="12" borderId="3" xfId="0" applyFont="1" applyFill="1" applyBorder="1" applyAlignment="1">
      <alignment horizontal="right" vertical="center" wrapText="1"/>
    </xf>
    <xf numFmtId="0" fontId="14" fillId="12" borderId="10" xfId="0" applyFont="1" applyFill="1" applyBorder="1" applyAlignment="1">
      <alignment horizontal="right" vertical="center" wrapText="1"/>
    </xf>
    <xf numFmtId="0" fontId="14" fillId="12" borderId="8" xfId="0" applyFont="1" applyFill="1" applyBorder="1" applyAlignment="1">
      <alignment horizontal="right" vertical="center" wrapText="1"/>
    </xf>
    <xf numFmtId="0" fontId="14" fillId="12" borderId="16" xfId="0" applyFont="1" applyFill="1" applyBorder="1" applyAlignment="1">
      <alignment horizontal="right" vertical="center" wrapText="1"/>
    </xf>
    <xf numFmtId="0" fontId="14" fillId="12" borderId="11" xfId="0" applyFont="1" applyFill="1" applyBorder="1" applyAlignment="1">
      <alignment horizontal="right" vertical="center" wrapText="1"/>
    </xf>
    <xf numFmtId="0" fontId="14" fillId="12" borderId="17" xfId="0" applyFont="1" applyFill="1" applyBorder="1" applyAlignment="1">
      <alignment horizontal="right" vertical="center" wrapText="1"/>
    </xf>
    <xf numFmtId="0" fontId="14" fillId="12" borderId="14" xfId="0" applyFont="1" applyFill="1" applyBorder="1" applyAlignment="1">
      <alignment horizontal="right" vertical="center" wrapText="1"/>
    </xf>
    <xf numFmtId="0" fontId="14" fillId="12" borderId="13" xfId="0" applyFont="1" applyFill="1" applyBorder="1" applyAlignment="1">
      <alignment horizontal="right" vertical="center" wrapText="1"/>
    </xf>
    <xf numFmtId="0" fontId="20" fillId="4" borderId="1" xfId="0" applyFont="1" applyFill="1" applyBorder="1" applyAlignment="1">
      <alignment horizontal="right" vertical="center" wrapText="1"/>
    </xf>
    <xf numFmtId="0" fontId="19" fillId="8" borderId="0" xfId="0" applyFont="1" applyFill="1" applyAlignment="1">
      <alignment horizontal="right" vertical="center" wrapText="1"/>
    </xf>
    <xf numFmtId="0" fontId="16" fillId="0" borderId="0" xfId="0" applyFont="1" applyAlignment="1">
      <alignment horizontal="right" vertical="center" wrapText="1"/>
    </xf>
    <xf numFmtId="0" fontId="18" fillId="0" borderId="0" xfId="0" applyFont="1" applyAlignment="1">
      <alignment horizontal="right" vertical="center" wrapText="1"/>
    </xf>
    <xf numFmtId="0" fontId="21" fillId="11" borderId="0" xfId="0" applyFont="1" applyFill="1" applyAlignment="1">
      <alignment horizontal="center" vertical="center" wrapText="1"/>
    </xf>
    <xf numFmtId="0" fontId="11" fillId="8" borderId="0" xfId="0" applyFont="1" applyFill="1"/>
    <xf numFmtId="0" fontId="17" fillId="0" borderId="0" xfId="0" applyFont="1"/>
    <xf numFmtId="0" fontId="23" fillId="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0" fillId="0" borderId="0" xfId="0"/>
    <xf numFmtId="0" fontId="10" fillId="16" borderId="1" xfId="0" applyFont="1" applyFill="1" applyBorder="1" applyAlignment="1">
      <alignment horizontal="center" vertical="center" wrapText="1"/>
    </xf>
    <xf numFmtId="0" fontId="4" fillId="0" borderId="0" xfId="0" applyFont="1"/>
    <xf numFmtId="0" fontId="1" fillId="0" borderId="0" xfId="0" applyFont="1" applyAlignment="1">
      <alignment horizontal="right" vertical="center" wrapText="1"/>
    </xf>
    <xf numFmtId="0" fontId="2" fillId="0" borderId="0" xfId="0" applyFont="1" applyAlignment="1">
      <alignment horizontal="right" vertical="center" wrapText="1"/>
    </xf>
  </cellXfs>
  <cellStyles count="1">
    <cellStyle name="Normal" xfId="0" builtinId="0"/>
  </cellStyles>
  <dxfs count="29">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FFBE6-0547-8449-97C0-D91A54BED5DA}">
  <sheetPr>
    <tabColor rgb="FF1F3864"/>
  </sheetPr>
  <dimension ref="A1:H40"/>
  <sheetViews>
    <sheetView rightToLeft="1" topLeftCell="A3" workbookViewId="0">
      <selection activeCell="C9" sqref="C9"/>
    </sheetView>
  </sheetViews>
  <sheetFormatPr baseColWidth="10" defaultColWidth="8.6640625" defaultRowHeight="15" x14ac:dyDescent="0.2"/>
  <cols>
    <col min="1" max="1" width="14" customWidth="1"/>
    <col min="2" max="2" width="20" customWidth="1"/>
    <col min="3" max="3" width="48" customWidth="1"/>
    <col min="4" max="4" width="28" customWidth="1"/>
    <col min="5" max="5" width="32" customWidth="1"/>
    <col min="6" max="6" width="16" customWidth="1"/>
    <col min="7" max="7" width="22" customWidth="1"/>
  </cols>
  <sheetData>
    <row r="1" spans="1:7" ht="53.25" customHeight="1" x14ac:dyDescent="0.2">
      <c r="A1" s="71" t="s">
        <v>645</v>
      </c>
      <c r="B1" s="71"/>
      <c r="C1" s="71"/>
      <c r="D1" s="71"/>
      <c r="E1" s="71"/>
      <c r="F1" s="71"/>
      <c r="G1" s="71"/>
    </row>
    <row r="2" spans="1:7" ht="42.75" customHeight="1" x14ac:dyDescent="0.2">
      <c r="A2" s="72" t="s">
        <v>0</v>
      </c>
      <c r="B2" s="72"/>
      <c r="C2" s="72"/>
      <c r="D2" s="72"/>
      <c r="E2" s="72"/>
      <c r="F2" s="72"/>
      <c r="G2" s="72"/>
    </row>
    <row r="3" spans="1:7" x14ac:dyDescent="0.2">
      <c r="A3" s="4"/>
      <c r="B3" s="4"/>
      <c r="C3" s="4"/>
      <c r="D3" s="4"/>
      <c r="E3" s="4"/>
      <c r="F3" s="4"/>
      <c r="G3" s="4"/>
    </row>
    <row r="4" spans="1:7" ht="42.75" customHeight="1" x14ac:dyDescent="0.2">
      <c r="A4" s="73" t="s">
        <v>1</v>
      </c>
      <c r="B4" s="73"/>
      <c r="C4" s="73"/>
      <c r="D4" s="73"/>
      <c r="E4" s="73"/>
      <c r="F4" s="73"/>
      <c r="G4" s="73"/>
    </row>
    <row r="5" spans="1:7" ht="49.75" customHeight="1" x14ac:dyDescent="0.2">
      <c r="A5" s="6" t="s">
        <v>2</v>
      </c>
      <c r="B5" s="6" t="s">
        <v>3</v>
      </c>
      <c r="C5" s="6" t="s">
        <v>4</v>
      </c>
      <c r="D5" s="6" t="s">
        <v>5</v>
      </c>
      <c r="E5" s="6" t="s">
        <v>6</v>
      </c>
      <c r="F5" s="6" t="s">
        <v>7</v>
      </c>
      <c r="G5" s="6" t="s">
        <v>8</v>
      </c>
    </row>
    <row r="6" spans="1:7" ht="103" customHeight="1" x14ac:dyDescent="0.2">
      <c r="A6" s="7" t="s">
        <v>9</v>
      </c>
      <c r="B6" s="8" t="s">
        <v>10</v>
      </c>
      <c r="C6" s="8" t="s">
        <v>557</v>
      </c>
      <c r="D6" s="8" t="s">
        <v>11</v>
      </c>
      <c r="E6" s="8" t="s">
        <v>12</v>
      </c>
      <c r="F6" s="9" t="s">
        <v>13</v>
      </c>
      <c r="G6" s="8" t="s">
        <v>14</v>
      </c>
    </row>
    <row r="7" spans="1:7" ht="103" customHeight="1" x14ac:dyDescent="0.2">
      <c r="A7" s="10" t="s">
        <v>15</v>
      </c>
      <c r="B7" s="11" t="s">
        <v>16</v>
      </c>
      <c r="C7" s="11" t="s">
        <v>559</v>
      </c>
      <c r="D7" s="11" t="s">
        <v>560</v>
      </c>
      <c r="E7" s="11" t="s">
        <v>17</v>
      </c>
      <c r="F7" s="12" t="s">
        <v>18</v>
      </c>
      <c r="G7" s="11" t="s">
        <v>561</v>
      </c>
    </row>
    <row r="8" spans="1:7" ht="103" customHeight="1" x14ac:dyDescent="0.2">
      <c r="A8" s="10" t="s">
        <v>19</v>
      </c>
      <c r="B8" s="11" t="s">
        <v>20</v>
      </c>
      <c r="C8" s="11" t="s">
        <v>558</v>
      </c>
      <c r="D8" s="11" t="s">
        <v>21</v>
      </c>
      <c r="E8" s="11" t="s">
        <v>22</v>
      </c>
      <c r="F8" s="12" t="s">
        <v>13</v>
      </c>
      <c r="G8" s="11" t="s">
        <v>23</v>
      </c>
    </row>
    <row r="9" spans="1:7" ht="103" customHeight="1" x14ac:dyDescent="0.2">
      <c r="A9" s="10" t="s">
        <v>24</v>
      </c>
      <c r="B9" s="11" t="s">
        <v>25</v>
      </c>
      <c r="C9" s="11" t="s">
        <v>26</v>
      </c>
      <c r="D9" s="11" t="s">
        <v>27</v>
      </c>
      <c r="E9" s="11" t="s">
        <v>28</v>
      </c>
      <c r="F9" s="12" t="s">
        <v>29</v>
      </c>
      <c r="G9" s="11" t="s">
        <v>30</v>
      </c>
    </row>
    <row r="10" spans="1:7" ht="64" customHeight="1" x14ac:dyDescent="0.2">
      <c r="A10" s="1"/>
      <c r="B10" s="2"/>
      <c r="C10" s="2"/>
      <c r="D10" s="2"/>
      <c r="E10" s="2"/>
      <c r="F10" s="3"/>
      <c r="G10" s="2"/>
    </row>
    <row r="11" spans="1:7" ht="42.75" customHeight="1" x14ac:dyDescent="0.2">
      <c r="A11" s="74" t="s">
        <v>31</v>
      </c>
      <c r="B11" s="73"/>
      <c r="C11" s="73"/>
      <c r="D11" s="73"/>
      <c r="E11" s="73"/>
      <c r="F11" s="74"/>
      <c r="G11" s="73"/>
    </row>
    <row r="12" spans="1:7" ht="39" customHeight="1" x14ac:dyDescent="0.2">
      <c r="A12" s="75" t="s">
        <v>32</v>
      </c>
      <c r="B12" s="76"/>
      <c r="C12" s="76"/>
      <c r="D12" s="76"/>
      <c r="E12" s="76"/>
      <c r="F12" s="75"/>
      <c r="G12" s="76"/>
    </row>
    <row r="13" spans="1:7" ht="64" customHeight="1" x14ac:dyDescent="0.2">
      <c r="A13" s="10"/>
      <c r="B13" s="11"/>
      <c r="C13" s="11"/>
      <c r="D13" s="11"/>
      <c r="E13" s="11"/>
      <c r="F13" s="12"/>
      <c r="G13" s="11"/>
    </row>
    <row r="14" spans="1:7" ht="32" customHeight="1" x14ac:dyDescent="0.2">
      <c r="A14" s="16" t="s">
        <v>33</v>
      </c>
      <c r="B14" s="86" t="s">
        <v>34</v>
      </c>
      <c r="C14" s="86"/>
      <c r="D14" s="17" t="s">
        <v>35</v>
      </c>
      <c r="E14" s="17" t="s">
        <v>36</v>
      </c>
      <c r="F14" s="16" t="s">
        <v>37</v>
      </c>
      <c r="G14" s="17" t="s">
        <v>8</v>
      </c>
    </row>
    <row r="15" spans="1:7" ht="40" customHeight="1" x14ac:dyDescent="0.2">
      <c r="A15" s="10" t="s">
        <v>38</v>
      </c>
      <c r="B15" s="87" t="s">
        <v>562</v>
      </c>
      <c r="C15" s="87"/>
      <c r="D15" s="11" t="str">
        <f>'الإعدادات واللجنة'!$B$12</f>
        <v>د. نهلة بنت سعد القثامي</v>
      </c>
      <c r="E15" s="11" t="s">
        <v>563</v>
      </c>
      <c r="F15" s="12" t="s">
        <v>40</v>
      </c>
      <c r="G15" s="11"/>
    </row>
    <row r="16" spans="1:7" ht="40" customHeight="1" x14ac:dyDescent="0.2">
      <c r="A16" s="10" t="s">
        <v>38</v>
      </c>
      <c r="B16" s="87" t="s">
        <v>564</v>
      </c>
      <c r="C16" s="87"/>
      <c r="D16" s="11" t="str">
        <f>'الإعدادات واللجنة'!$B$18</f>
        <v>د. عبدالله بن محمد البركاتي</v>
      </c>
      <c r="E16" s="11" t="s">
        <v>42</v>
      </c>
      <c r="F16" s="12" t="s">
        <v>40</v>
      </c>
      <c r="G16" s="11"/>
    </row>
    <row r="17" spans="1:8" ht="40" customHeight="1" x14ac:dyDescent="0.2">
      <c r="A17" s="10" t="s">
        <v>38</v>
      </c>
      <c r="B17" s="87" t="s">
        <v>565</v>
      </c>
      <c r="C17" s="87"/>
      <c r="D17" s="11" t="str">
        <f>'الإعدادات واللجنة'!$B$12</f>
        <v>د. نهلة بنت سعد القثامي</v>
      </c>
      <c r="E17" s="11" t="s">
        <v>566</v>
      </c>
      <c r="F17" s="12" t="s">
        <v>40</v>
      </c>
      <c r="G17" s="11"/>
    </row>
    <row r="18" spans="1:8" ht="40" customHeight="1" x14ac:dyDescent="0.2">
      <c r="A18" s="10" t="s">
        <v>43</v>
      </c>
      <c r="B18" s="87" t="s">
        <v>567</v>
      </c>
      <c r="C18" s="87"/>
      <c r="D18" s="11" t="str">
        <f>'الإعدادات واللجنة'!$B$13</f>
        <v>د. عبير بنت عبدالله راجحي</v>
      </c>
      <c r="E18" s="11" t="s">
        <v>568</v>
      </c>
      <c r="F18" s="12" t="s">
        <v>40</v>
      </c>
      <c r="G18" s="11"/>
    </row>
    <row r="19" spans="1:8" ht="40" customHeight="1" x14ac:dyDescent="0.2">
      <c r="A19" s="10" t="s">
        <v>46</v>
      </c>
      <c r="B19" s="87" t="s">
        <v>581</v>
      </c>
      <c r="C19" s="87"/>
      <c r="D19" s="11" t="s">
        <v>45</v>
      </c>
      <c r="E19" s="11" t="s">
        <v>569</v>
      </c>
      <c r="F19" s="12" t="s">
        <v>40</v>
      </c>
      <c r="G19" s="11"/>
    </row>
    <row r="20" spans="1:8" ht="40" customHeight="1" x14ac:dyDescent="0.2">
      <c r="A20" s="10" t="s">
        <v>46</v>
      </c>
      <c r="B20" s="87" t="s">
        <v>570</v>
      </c>
      <c r="C20" s="87"/>
      <c r="D20" s="11" t="str">
        <f>'الإعدادات واللجنة'!$B$14</f>
        <v>أ. فاطمة بنت سلمان الخزعل</v>
      </c>
      <c r="E20" s="11" t="s">
        <v>571</v>
      </c>
      <c r="F20" s="12" t="s">
        <v>40</v>
      </c>
      <c r="G20" s="11"/>
    </row>
    <row r="21" spans="1:8" ht="40" customHeight="1" x14ac:dyDescent="0.2">
      <c r="A21" s="10" t="s">
        <v>48</v>
      </c>
      <c r="B21" s="87" t="s">
        <v>572</v>
      </c>
      <c r="C21" s="87"/>
      <c r="D21" s="11" t="str">
        <f>'الإعدادات واللجنة'!$B$12</f>
        <v>د. نهلة بنت سعد القثامي</v>
      </c>
      <c r="E21" s="11" t="s">
        <v>573</v>
      </c>
      <c r="F21" s="12" t="s">
        <v>40</v>
      </c>
      <c r="G21" s="11"/>
    </row>
    <row r="22" spans="1:8" ht="40" customHeight="1" x14ac:dyDescent="0.2">
      <c r="A22" s="10" t="s">
        <v>49</v>
      </c>
      <c r="B22" s="87" t="s">
        <v>574</v>
      </c>
      <c r="C22" s="87"/>
      <c r="D22" s="11" t="str">
        <f>'الإعدادات واللجنة'!$B$12</f>
        <v>د. نهلة بنت سعد القثامي</v>
      </c>
      <c r="E22" s="11" t="s">
        <v>575</v>
      </c>
      <c r="F22" s="12" t="s">
        <v>40</v>
      </c>
      <c r="G22" s="11"/>
    </row>
    <row r="23" spans="1:8" ht="40" customHeight="1" x14ac:dyDescent="0.2">
      <c r="A23" s="10" t="s">
        <v>50</v>
      </c>
      <c r="B23" s="87" t="s">
        <v>582</v>
      </c>
      <c r="C23" s="87"/>
      <c r="D23" s="11" t="str">
        <f>"الأعضاء + "&amp;'الإعدادات واللجنة'!$B$12</f>
        <v>الأعضاء + د. نهلة بنت سعد القثامي</v>
      </c>
      <c r="E23" s="11" t="s">
        <v>576</v>
      </c>
      <c r="F23" s="12" t="s">
        <v>40</v>
      </c>
      <c r="G23" s="11"/>
    </row>
    <row r="24" spans="1:8" ht="40" customHeight="1" x14ac:dyDescent="0.2">
      <c r="A24" s="18" t="s">
        <v>50</v>
      </c>
      <c r="B24" s="88" t="s">
        <v>577</v>
      </c>
      <c r="C24" s="88"/>
      <c r="D24" s="20" t="str">
        <f>'الإعدادات واللجنة'!$B$18</f>
        <v>د. عبدالله بن محمد البركاتي</v>
      </c>
      <c r="E24" s="19" t="s">
        <v>578</v>
      </c>
      <c r="F24" s="21" t="s">
        <v>40</v>
      </c>
      <c r="G24" s="11"/>
    </row>
    <row r="25" spans="1:8" ht="40" customHeight="1" x14ac:dyDescent="0.2">
      <c r="A25" s="22" t="s">
        <v>51</v>
      </c>
      <c r="B25" s="89" t="s">
        <v>579</v>
      </c>
      <c r="C25" s="90"/>
      <c r="D25" s="23" t="str">
        <f>'الإعدادات واللجنة'!$B$12&amp;" + "&amp;'الإعدادات واللجنة'!$B$14&amp;" + "&amp;'الإعدادات واللجنة'!$B$13</f>
        <v>د. نهلة بنت سعد القثامي + أ. فاطمة بنت سلمان الخزعل + د. عبير بنت عبدالله راجحي</v>
      </c>
      <c r="E25" s="23" t="s">
        <v>580</v>
      </c>
      <c r="F25" s="24" t="s">
        <v>40</v>
      </c>
      <c r="G25" s="25"/>
    </row>
    <row r="26" spans="1:8" ht="26.75" customHeight="1" x14ac:dyDescent="0.2">
      <c r="A26" s="13"/>
      <c r="B26" s="13"/>
      <c r="C26" s="13"/>
      <c r="D26" s="13"/>
      <c r="E26" s="4"/>
      <c r="F26" s="13"/>
      <c r="G26" s="4"/>
    </row>
    <row r="27" spans="1:8" ht="42.75" customHeight="1" x14ac:dyDescent="0.2">
      <c r="A27" s="80" t="s">
        <v>52</v>
      </c>
      <c r="B27" s="80"/>
      <c r="C27" s="80"/>
      <c r="D27" s="80"/>
      <c r="E27" s="80"/>
      <c r="F27" s="80"/>
      <c r="G27" s="80"/>
    </row>
    <row r="28" spans="1:8" ht="44.25" customHeight="1" x14ac:dyDescent="0.2">
      <c r="A28" s="81" t="s">
        <v>53</v>
      </c>
      <c r="B28" s="81"/>
      <c r="C28" s="81"/>
      <c r="D28" s="81"/>
      <c r="E28" s="81"/>
      <c r="F28" s="81"/>
      <c r="G28" s="81"/>
    </row>
    <row r="29" spans="1:8" ht="44.25" customHeight="1" x14ac:dyDescent="0.2">
      <c r="A29" s="82" t="s">
        <v>54</v>
      </c>
      <c r="B29" s="82"/>
      <c r="C29" s="82"/>
      <c r="D29" s="82"/>
      <c r="E29" s="82"/>
      <c r="F29" s="82"/>
      <c r="G29" s="83"/>
    </row>
    <row r="30" spans="1:8" ht="44.25" customHeight="1" x14ac:dyDescent="0.2">
      <c r="A30" s="82" t="s">
        <v>55</v>
      </c>
      <c r="B30" s="82"/>
      <c r="C30" s="82"/>
      <c r="D30" s="82"/>
      <c r="E30" s="82"/>
      <c r="F30" s="82"/>
      <c r="G30" s="83"/>
    </row>
    <row r="31" spans="1:8" ht="42.75" customHeight="1" x14ac:dyDescent="0.2">
      <c r="A31" s="80" t="s">
        <v>583</v>
      </c>
      <c r="B31" s="80"/>
      <c r="C31" s="80"/>
      <c r="D31" s="80"/>
      <c r="E31" s="80"/>
      <c r="F31" s="80"/>
      <c r="G31" s="80"/>
    </row>
    <row r="32" spans="1:8" ht="125" customHeight="1" x14ac:dyDescent="0.2">
      <c r="A32" s="91" t="s">
        <v>584</v>
      </c>
      <c r="B32" s="92"/>
      <c r="C32" s="92"/>
      <c r="D32" s="92"/>
      <c r="E32" s="92"/>
      <c r="F32" s="92"/>
      <c r="G32" s="93"/>
      <c r="H32" s="14"/>
    </row>
    <row r="33" spans="1:7" ht="90" customHeight="1" x14ac:dyDescent="0.2">
      <c r="A33" s="94" t="s">
        <v>646</v>
      </c>
      <c r="B33" s="94"/>
      <c r="C33" s="94"/>
      <c r="D33" s="94"/>
      <c r="E33" s="94"/>
      <c r="F33" s="94"/>
      <c r="G33" s="95"/>
    </row>
    <row r="34" spans="1:7" ht="140" customHeight="1" x14ac:dyDescent="0.2">
      <c r="A34" s="94" t="s">
        <v>647</v>
      </c>
      <c r="B34" s="94"/>
      <c r="C34" s="94"/>
      <c r="D34" s="94"/>
      <c r="E34" s="94"/>
      <c r="F34" s="94"/>
      <c r="G34" s="95"/>
    </row>
    <row r="35" spans="1:7" ht="42.75" customHeight="1" x14ac:dyDescent="0.2">
      <c r="A35" s="77" t="s">
        <v>56</v>
      </c>
      <c r="B35" s="77"/>
      <c r="C35" s="77"/>
      <c r="D35" s="77"/>
      <c r="E35" s="77"/>
      <c r="F35" s="77"/>
      <c r="G35" s="77"/>
    </row>
    <row r="36" spans="1:7" ht="48" customHeight="1" x14ac:dyDescent="0.2">
      <c r="A36" s="78" t="s">
        <v>585</v>
      </c>
      <c r="B36" s="78"/>
      <c r="C36" s="78"/>
      <c r="D36" s="78"/>
      <c r="E36" s="78"/>
      <c r="F36" s="78"/>
      <c r="G36" s="79"/>
    </row>
    <row r="37" spans="1:7" ht="30" customHeight="1" x14ac:dyDescent="0.2">
      <c r="A37" s="84" t="s">
        <v>57</v>
      </c>
      <c r="B37" s="84"/>
      <c r="C37" s="84"/>
      <c r="D37" s="84"/>
      <c r="E37" s="84"/>
      <c r="F37" s="84"/>
      <c r="G37" s="85"/>
    </row>
    <row r="40" spans="1:7" x14ac:dyDescent="0.2">
      <c r="A40" s="15"/>
    </row>
  </sheetData>
  <mergeCells count="28">
    <mergeCell ref="A37:G37"/>
    <mergeCell ref="B14:C14"/>
    <mergeCell ref="B15:C15"/>
    <mergeCell ref="B16:C16"/>
    <mergeCell ref="B17:C17"/>
    <mergeCell ref="B18:C18"/>
    <mergeCell ref="B24:C24"/>
    <mergeCell ref="B25:C25"/>
    <mergeCell ref="B19:C19"/>
    <mergeCell ref="B20:C20"/>
    <mergeCell ref="B21:C21"/>
    <mergeCell ref="B22:C22"/>
    <mergeCell ref="B23:C23"/>
    <mergeCell ref="A32:G32"/>
    <mergeCell ref="A33:G33"/>
    <mergeCell ref="A34:G34"/>
    <mergeCell ref="A35:G35"/>
    <mergeCell ref="A36:G36"/>
    <mergeCell ref="A27:G27"/>
    <mergeCell ref="A28:G28"/>
    <mergeCell ref="A29:G29"/>
    <mergeCell ref="A30:G30"/>
    <mergeCell ref="A31:G31"/>
    <mergeCell ref="A1:G1"/>
    <mergeCell ref="A2:G2"/>
    <mergeCell ref="A4:G4"/>
    <mergeCell ref="A11:G11"/>
    <mergeCell ref="A12:G12"/>
  </mergeCells>
  <conditionalFormatting sqref="F15:F25">
    <cfRule type="cellIs" dxfId="28" priority="2" operator="equal">
      <formula>"مكتملة"</formula>
    </cfRule>
    <cfRule type="cellIs" dxfId="27" priority="3" operator="equal">
      <formula>"متأخرة"</formula>
    </cfRule>
  </conditionalFormatting>
  <dataValidations count="1">
    <dataValidation type="list" allowBlank="1" sqref="F15:F25" xr:uid="{00000000-0002-0000-0000-000000000000}">
      <formula1>"لم تبدأ,قيد التنفيذ,مكتملة,متأخرة"</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F76BD-1E17-DC4F-93F9-7A03DF44BB80}">
  <dimension ref="A1:F46"/>
  <sheetViews>
    <sheetView rightToLeft="1" workbookViewId="0">
      <selection activeCell="B7" sqref="B7:C7"/>
    </sheetView>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6" ht="33" customHeight="1" x14ac:dyDescent="0.55000000000000004">
      <c r="A1" s="98" t="s">
        <v>58</v>
      </c>
      <c r="B1" s="98"/>
      <c r="C1" s="98"/>
      <c r="D1" s="98"/>
      <c r="E1" s="98"/>
      <c r="F1" s="26"/>
    </row>
    <row r="2" spans="1:6" ht="26.75" customHeight="1" x14ac:dyDescent="0.55000000000000004">
      <c r="A2" s="99" t="s">
        <v>59</v>
      </c>
      <c r="B2" s="99"/>
      <c r="C2" s="99"/>
      <c r="D2" s="99"/>
      <c r="E2" s="99"/>
      <c r="F2" s="26"/>
    </row>
    <row r="3" spans="1:6" ht="26" x14ac:dyDescent="0.55000000000000004">
      <c r="A3" s="26"/>
      <c r="B3" s="26"/>
      <c r="C3" s="26"/>
      <c r="D3" s="26"/>
      <c r="E3" s="26"/>
      <c r="F3" s="26"/>
    </row>
    <row r="4" spans="1:6" ht="26.75" customHeight="1" x14ac:dyDescent="0.55000000000000004">
      <c r="A4" s="97" t="s">
        <v>60</v>
      </c>
      <c r="B4" s="97"/>
      <c r="C4" s="97"/>
      <c r="D4" s="97"/>
      <c r="E4" s="97"/>
      <c r="F4" s="26"/>
    </row>
    <row r="5" spans="1:6" ht="26.75" customHeight="1" x14ac:dyDescent="0.55000000000000004">
      <c r="A5" s="27" t="s">
        <v>61</v>
      </c>
      <c r="B5" s="96" t="s">
        <v>62</v>
      </c>
      <c r="C5" s="96"/>
      <c r="D5" s="26"/>
      <c r="E5" s="26"/>
      <c r="F5" s="26"/>
    </row>
    <row r="6" spans="1:6" ht="26.75" customHeight="1" x14ac:dyDescent="0.55000000000000004">
      <c r="A6" s="27" t="s">
        <v>63</v>
      </c>
      <c r="B6" s="96" t="s">
        <v>64</v>
      </c>
      <c r="C6" s="96"/>
      <c r="D6" s="26"/>
      <c r="E6" s="26"/>
      <c r="F6" s="26"/>
    </row>
    <row r="7" spans="1:6" ht="26.75" customHeight="1" x14ac:dyDescent="0.55000000000000004">
      <c r="A7" s="27" t="s">
        <v>65</v>
      </c>
      <c r="B7" s="96" t="s">
        <v>66</v>
      </c>
      <c r="C7" s="96"/>
      <c r="D7" s="26"/>
      <c r="E7" s="26"/>
      <c r="F7" s="26"/>
    </row>
    <row r="8" spans="1:6" ht="53.25" customHeight="1" x14ac:dyDescent="0.55000000000000004">
      <c r="A8" s="100" t="s">
        <v>67</v>
      </c>
      <c r="B8" s="100"/>
      <c r="C8" s="100"/>
      <c r="D8" s="100"/>
      <c r="E8" s="100"/>
      <c r="F8" s="26"/>
    </row>
    <row r="9" spans="1:6" ht="26" x14ac:dyDescent="0.55000000000000004">
      <c r="A9" s="26"/>
      <c r="B9" s="26"/>
      <c r="C9" s="26"/>
      <c r="D9" s="26"/>
      <c r="E9" s="26"/>
      <c r="F9" s="26"/>
    </row>
    <row r="10" spans="1:6" ht="26.75" customHeight="1" x14ac:dyDescent="0.55000000000000004">
      <c r="A10" s="97" t="s">
        <v>68</v>
      </c>
      <c r="B10" s="97"/>
      <c r="C10" s="97"/>
      <c r="D10" s="97"/>
      <c r="E10" s="97"/>
      <c r="F10" s="26"/>
    </row>
    <row r="11" spans="1:6" ht="26" x14ac:dyDescent="0.55000000000000004">
      <c r="A11" s="29" t="s">
        <v>69</v>
      </c>
      <c r="B11" s="29" t="s">
        <v>70</v>
      </c>
      <c r="C11" s="29" t="s">
        <v>71</v>
      </c>
      <c r="D11" s="29" t="s">
        <v>72</v>
      </c>
      <c r="E11" s="29" t="s">
        <v>73</v>
      </c>
      <c r="F11" s="26"/>
    </row>
    <row r="12" spans="1:6" ht="74.75" customHeight="1" x14ac:dyDescent="0.55000000000000004">
      <c r="A12" s="30">
        <v>1</v>
      </c>
      <c r="B12" s="28" t="s">
        <v>39</v>
      </c>
      <c r="C12" s="30" t="s">
        <v>74</v>
      </c>
      <c r="D12" s="31" t="s">
        <v>75</v>
      </c>
      <c r="E12" s="30">
        <f>COUNTIF('فحص-حاسب-بكالوريوس'!$H:$H,B12)+COUNTIF('فحص-بيانات-بكالوريوس'!$H:$H,B12)+COUNTIF('فحص-بيانات-ماجستير'!$H:$H,B12)</f>
        <v>0</v>
      </c>
      <c r="F12" s="26"/>
    </row>
    <row r="13" spans="1:6" ht="74.75" customHeight="1" x14ac:dyDescent="0.55000000000000004">
      <c r="A13" s="30">
        <v>2</v>
      </c>
      <c r="B13" s="28" t="s">
        <v>44</v>
      </c>
      <c r="C13" s="30" t="s">
        <v>76</v>
      </c>
      <c r="D13" s="31" t="s">
        <v>77</v>
      </c>
      <c r="E13" s="30">
        <f>COUNTIF('فحص-حاسب-بكالوريوس'!$H:$H,B13)+COUNTIF('فحص-بيانات-بكالوريوس'!$H:$H,B13)+COUNTIF('فحص-بيانات-ماجستير'!$H:$H,B13)</f>
        <v>0</v>
      </c>
      <c r="F13" s="26"/>
    </row>
    <row r="14" spans="1:6" ht="74.75" customHeight="1" x14ac:dyDescent="0.55000000000000004">
      <c r="A14" s="30">
        <v>3</v>
      </c>
      <c r="B14" s="28" t="s">
        <v>47</v>
      </c>
      <c r="C14" s="30" t="s">
        <v>78</v>
      </c>
      <c r="D14" s="31" t="s">
        <v>79</v>
      </c>
      <c r="E14" s="30">
        <f>COUNTIF('فحص-حاسب-بكالوريوس'!$H:$H,B14)+COUNTIF('فحص-بيانات-بكالوريوس'!$H:$H,B14)+COUNTIF('فحص-بيانات-ماجستير'!$H:$H,B14)</f>
        <v>0</v>
      </c>
      <c r="F14" s="26"/>
    </row>
    <row r="15" spans="1:6" ht="74.75" customHeight="1" x14ac:dyDescent="0.55000000000000004">
      <c r="A15" s="30">
        <v>4</v>
      </c>
      <c r="B15" s="28" t="s">
        <v>80</v>
      </c>
      <c r="C15" s="30" t="s">
        <v>81</v>
      </c>
      <c r="D15" s="31" t="s">
        <v>82</v>
      </c>
      <c r="E15" s="30">
        <f>COUNTIF('فحص-حاسب-بكالوريوس'!$H:$H,B15)+COUNTIF('فحص-بيانات-بكالوريوس'!$H:$H,B15)+COUNTIF('فحص-بيانات-ماجستير'!$H:$H,B15)</f>
        <v>117</v>
      </c>
      <c r="F15" s="26"/>
    </row>
    <row r="16" spans="1:6" ht="74.75" customHeight="1" x14ac:dyDescent="0.55000000000000004">
      <c r="A16" s="30">
        <v>5</v>
      </c>
      <c r="B16" s="28" t="s">
        <v>83</v>
      </c>
      <c r="C16" s="30" t="s">
        <v>81</v>
      </c>
      <c r="D16" s="31" t="s">
        <v>84</v>
      </c>
      <c r="E16" s="30">
        <f>COUNTIF('فحص-حاسب-بكالوريوس'!$H:$H,B16)+COUNTIF('فحص-بيانات-بكالوريوس'!$H:$H,B16)+COUNTIF('فحص-بيانات-ماجستير'!$H:$H,B16)</f>
        <v>141</v>
      </c>
      <c r="F16" s="26"/>
    </row>
    <row r="17" spans="1:6" ht="74.75" customHeight="1" x14ac:dyDescent="0.55000000000000004">
      <c r="A17" s="30">
        <v>6</v>
      </c>
      <c r="B17" s="28" t="s">
        <v>85</v>
      </c>
      <c r="C17" s="30" t="s">
        <v>81</v>
      </c>
      <c r="D17" s="31" t="s">
        <v>86</v>
      </c>
      <c r="E17" s="30">
        <f>COUNTIF('فحص-حاسب-بكالوريوس'!$H:$H,B17)+COUNTIF('فحص-بيانات-بكالوريوس'!$H:$H,B17)+COUNTIF('فحص-بيانات-ماجستير'!$H:$H,B17)</f>
        <v>77</v>
      </c>
      <c r="F17" s="26"/>
    </row>
    <row r="18" spans="1:6" ht="74.75" customHeight="1" x14ac:dyDescent="0.55000000000000004">
      <c r="A18" s="30">
        <v>7</v>
      </c>
      <c r="B18" s="28" t="s">
        <v>41</v>
      </c>
      <c r="C18" s="30" t="s">
        <v>87</v>
      </c>
      <c r="D18" s="31" t="s">
        <v>88</v>
      </c>
      <c r="E18" s="30">
        <f>COUNTIF('فحص-حاسب-بكالوريوس'!$H:$H,B18)+COUNTIF('فحص-بيانات-بكالوريوس'!$H:$H,B18)+COUNTIF('فحص-بيانات-ماجستير'!$H:$H,B18)</f>
        <v>92</v>
      </c>
      <c r="F18" s="26"/>
    </row>
    <row r="19" spans="1:6" ht="74.75" customHeight="1" x14ac:dyDescent="0.55000000000000004">
      <c r="A19" s="30">
        <v>8</v>
      </c>
      <c r="B19" s="28" t="s">
        <v>89</v>
      </c>
      <c r="C19" s="30" t="s">
        <v>81</v>
      </c>
      <c r="D19" s="31" t="s">
        <v>586</v>
      </c>
      <c r="E19" s="30">
        <f>COUNTIF('فحص-حاسب-بكالوريوس'!$H:$H,B19)+COUNTIF('فحص-بيانات-بكالوريوس'!$H:$H,B19)+COUNTIF('فحص-بيانات-ماجستير'!$H:$H,B19)</f>
        <v>117</v>
      </c>
      <c r="F19" s="26"/>
    </row>
    <row r="20" spans="1:6" ht="74.75" customHeight="1" x14ac:dyDescent="0.55000000000000004">
      <c r="A20" s="30">
        <v>9</v>
      </c>
      <c r="B20" s="28" t="s">
        <v>90</v>
      </c>
      <c r="C20" s="30" t="s">
        <v>81</v>
      </c>
      <c r="D20" s="31" t="s">
        <v>587</v>
      </c>
      <c r="E20" s="30">
        <f>COUNTIF('فحص-حاسب-بكالوريوس'!$H:$H,B20)+COUNTIF('فحص-بيانات-بكالوريوس'!$H:$H,B20)+COUNTIF('فحص-بيانات-ماجستير'!$H:$H,B20)</f>
        <v>90</v>
      </c>
      <c r="F20" s="26"/>
    </row>
    <row r="21" spans="1:6" ht="26" x14ac:dyDescent="0.55000000000000004">
      <c r="A21" s="26"/>
      <c r="B21" s="26"/>
      <c r="C21" s="26"/>
      <c r="D21" s="26"/>
      <c r="E21" s="26"/>
      <c r="F21" s="26"/>
    </row>
    <row r="22" spans="1:6" ht="26.75" customHeight="1" x14ac:dyDescent="0.55000000000000004">
      <c r="A22" s="97" t="s">
        <v>91</v>
      </c>
      <c r="B22" s="97"/>
      <c r="C22" s="97"/>
      <c r="D22" s="97"/>
      <c r="E22" s="97"/>
      <c r="F22" s="26"/>
    </row>
    <row r="23" spans="1:6" ht="52" x14ac:dyDescent="0.55000000000000004">
      <c r="A23" s="29" t="s">
        <v>92</v>
      </c>
      <c r="B23" s="29" t="s">
        <v>93</v>
      </c>
      <c r="C23" s="29" t="s">
        <v>35</v>
      </c>
      <c r="D23" s="29" t="s">
        <v>94</v>
      </c>
      <c r="E23" s="29" t="s">
        <v>95</v>
      </c>
      <c r="F23" s="26"/>
    </row>
    <row r="24" spans="1:6" ht="26" x14ac:dyDescent="0.55000000000000004">
      <c r="A24" s="32" t="s">
        <v>96</v>
      </c>
      <c r="B24" s="31" t="s">
        <v>97</v>
      </c>
      <c r="C24" s="33" t="str">
        <f>'الإعدادات واللجنة'!$B$15</f>
        <v>د. سلطان بن سعيد الشمراني</v>
      </c>
      <c r="D24" s="30">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30">
        <f>COUNTIF('فحص-حاسب-بكالوريوس'!$A:$A,A24&amp;"-*")+COUNTIF('فحص-بيانات-بكالوريوس'!$A:$A,A24&amp;"-*")+COUNTIF('فحص-بيانات-ماجستير'!$A:$A,A24&amp;"-*")</f>
        <v>117</v>
      </c>
      <c r="F24" s="26"/>
    </row>
    <row r="25" spans="1:6" ht="26" x14ac:dyDescent="0.55000000000000004">
      <c r="A25" s="32" t="s">
        <v>98</v>
      </c>
      <c r="B25" s="31" t="s">
        <v>99</v>
      </c>
      <c r="C25" s="33" t="str">
        <f>'الإعدادات واللجنة'!$B$19</f>
        <v>د. عمر بن محمد موسى</v>
      </c>
      <c r="D25" s="30">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30">
        <f>COUNTIF('فحص-حاسب-بكالوريوس'!$A:$A,A25&amp;"-*")+COUNTIF('فحص-بيانات-بكالوريوس'!$A:$A,A25&amp;"-*")+COUNTIF('فحص-بيانات-ماجستير'!$A:$A,A25&amp;"-*")</f>
        <v>39</v>
      </c>
      <c r="F25" s="26"/>
    </row>
    <row r="26" spans="1:6" ht="26" x14ac:dyDescent="0.55000000000000004">
      <c r="A26" s="32" t="s">
        <v>100</v>
      </c>
      <c r="B26" s="31" t="s">
        <v>101</v>
      </c>
      <c r="C26" s="33" t="str">
        <f>'الإعدادات واللجنة'!$B$16</f>
        <v>د. احمد بن عوض البشري</v>
      </c>
      <c r="D26" s="30">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30">
        <f>COUNTIF('فحص-حاسب-بكالوريوس'!$A:$A,A26&amp;"-*")+COUNTIF('فحص-بيانات-بكالوريوس'!$A:$A,A26&amp;"-*")+COUNTIF('فحص-بيانات-ماجستير'!$A:$A,A26&amp;"-*")</f>
        <v>75</v>
      </c>
      <c r="F26" s="26"/>
    </row>
    <row r="27" spans="1:6" ht="26" x14ac:dyDescent="0.55000000000000004">
      <c r="A27" s="32" t="s">
        <v>102</v>
      </c>
      <c r="B27" s="31" t="s">
        <v>103</v>
      </c>
      <c r="C27" s="33" t="str">
        <f>'الإعدادات واللجنة'!$B$16</f>
        <v>د. احمد بن عوض البشري</v>
      </c>
      <c r="D27" s="30">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30">
        <f>COUNTIF('فحص-حاسب-بكالوريوس'!$A:$A,A27&amp;"-*")+COUNTIF('فحص-بيانات-بكالوريوس'!$A:$A,A27&amp;"-*")+COUNTIF('فحص-بيانات-ماجستير'!$A:$A,A27&amp;"-*")</f>
        <v>66</v>
      </c>
      <c r="F27" s="26"/>
    </row>
    <row r="28" spans="1:6" ht="26" x14ac:dyDescent="0.55000000000000004">
      <c r="A28" s="32" t="s">
        <v>104</v>
      </c>
      <c r="B28" s="31" t="s">
        <v>105</v>
      </c>
      <c r="C28" s="33" t="str">
        <f>'الإعدادات واللجنة'!$B$17</f>
        <v>د. يثرب بنت سعد القحطاني</v>
      </c>
      <c r="D28" s="30">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30">
        <f>COUNTIF('فحص-حاسب-بكالوريوس'!$A:$A,A28&amp;"-*")+COUNTIF('فحص-بيانات-بكالوريوس'!$A:$A,A28&amp;"-*")+COUNTIF('فحص-بيانات-ماجستير'!$A:$A,A28&amp;"-*")</f>
        <v>77</v>
      </c>
      <c r="F28" s="26"/>
    </row>
    <row r="29" spans="1:6" ht="26" x14ac:dyDescent="0.55000000000000004">
      <c r="A29" s="32" t="s">
        <v>106</v>
      </c>
      <c r="B29" s="31" t="s">
        <v>107</v>
      </c>
      <c r="C29" s="33" t="str">
        <f>'الإعدادات واللجنة'!$B$18</f>
        <v>د. عبدالله بن محمد البركاتي</v>
      </c>
      <c r="D29" s="30">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30">
        <f>COUNTIF('فحص-حاسب-بكالوريوس'!$A:$A,A29&amp;"-*")+COUNTIF('فحص-بيانات-بكالوريوس'!$A:$A,A29&amp;"-*")+COUNTIF('فحص-بيانات-ماجستير'!$A:$A,A29&amp;"-*")</f>
        <v>92</v>
      </c>
      <c r="F29" s="26"/>
    </row>
    <row r="30" spans="1:6" ht="26" x14ac:dyDescent="0.55000000000000004">
      <c r="A30" s="32" t="s">
        <v>108</v>
      </c>
      <c r="B30" s="31" t="s">
        <v>109</v>
      </c>
      <c r="C30" s="33" t="str">
        <f>'الإعدادات واللجنة'!$B$19</f>
        <v>د. عمر بن محمد موسى</v>
      </c>
      <c r="D30" s="30">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30">
        <f>COUNTIF('فحص-حاسب-بكالوريوس'!$A:$A,A30&amp;"-*")+COUNTIF('فحص-بيانات-بكالوريوس'!$A:$A,A30&amp;"-*")+COUNTIF('فحص-بيانات-ماجستير'!$A:$A,A30&amp;"-*")</f>
        <v>78</v>
      </c>
      <c r="F30" s="26"/>
    </row>
    <row r="31" spans="1:6" ht="26" x14ac:dyDescent="0.55000000000000004">
      <c r="A31" s="32" t="s">
        <v>110</v>
      </c>
      <c r="B31" s="31" t="s">
        <v>111</v>
      </c>
      <c r="C31" s="33" t="str">
        <f>'الإعدادات واللجنة'!$B$20</f>
        <v>د. حسن بن سعد القحطاني</v>
      </c>
      <c r="D31" s="30">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30">
        <f>COUNTIF('فحص-حاسب-بكالوريوس'!$A:$A,A31&amp;"-*")+COUNTIF('فحص-بيانات-بكالوريوس'!$A:$A,A31&amp;"-*")+COUNTIF('فحص-بيانات-ماجستير'!$A:$A,A31&amp;"-*")</f>
        <v>57</v>
      </c>
      <c r="F31" s="26"/>
    </row>
    <row r="32" spans="1:6" ht="26" x14ac:dyDescent="0.55000000000000004">
      <c r="A32" s="32" t="s">
        <v>112</v>
      </c>
      <c r="B32" s="31" t="s">
        <v>113</v>
      </c>
      <c r="C32" s="33" t="str">
        <f>'الإعدادات واللجنة'!$B$20</f>
        <v>د. حسن بن سعد القحطاني</v>
      </c>
      <c r="D32" s="30">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30">
        <f>COUNTIF('فحص-حاسب-بكالوريوس'!$A:$A,A32&amp;"-*")+COUNTIF('فحص-بيانات-بكالوريوس'!$A:$A,A32&amp;"-*")+COUNTIF('فحص-بيانات-ماجستير'!$A:$A,A32&amp;"-*")</f>
        <v>33</v>
      </c>
      <c r="F32" s="26"/>
    </row>
    <row r="34" spans="1:5">
      <c r="A34" s="97" t="inlineStr">
        <is>
          <t>قائمة جهات الأدلة (تظهر في عمود "جهة الدليل" بأوراق الفحص) – يمكن تعديل الأسماء هنا</t>
        </is>
      </c>
    </row>
    <row r="35" spans="1:5">
      <c r="A35" s="31" t="inlineStr">
        <is>
          <t>القسم العلمي</t>
        </is>
      </c>
    </row>
    <row r="36" spans="1:5">
      <c r="A36" s="31" t="inlineStr">
        <is>
          <t>لجنة الجودة بالكلية</t>
        </is>
      </c>
    </row>
    <row r="37" spans="1:5">
      <c r="A37" s="31" t="inlineStr">
        <is>
          <t>عمادة الجودة</t>
        </is>
      </c>
    </row>
    <row r="38" spans="1:5">
      <c r="A38" s="31" t="inlineStr">
        <is>
          <t>إدارة الكلية</t>
        </is>
      </c>
    </row>
    <row r="39" spans="1:5">
      <c r="A39" s="31" t="inlineStr">
        <is>
          <t>القبول والتسجيل (وحدة البانر)</t>
        </is>
      </c>
    </row>
    <row r="40" spans="1:5">
      <c r="A40" s="31" t="inlineStr">
        <is>
          <t>وحدة الأنشطة بالكلية / شؤون الطلاب</t>
        </is>
      </c>
    </row>
    <row r="41" spans="1:5">
      <c r="A41" s="31" t="inlineStr">
        <is>
          <t>وحدة الخريجين</t>
        </is>
      </c>
    </row>
    <row r="42" spans="1:5">
      <c r="A42" s="31" t="inlineStr">
        <is>
          <t>الموارد البشرية</t>
        </is>
      </c>
    </row>
    <row r="43" spans="1:5">
      <c r="A43" s="31" t="inlineStr">
        <is>
          <t>التعليم الإلكتروني</t>
        </is>
      </c>
    </row>
    <row r="44" spans="1:5">
      <c r="A44" s="31" t="inlineStr">
        <is>
          <t>المكتبة ومصادر التعلم</t>
        </is>
      </c>
    </row>
    <row r="45" spans="1:5">
      <c r="A45" s="31" t="inlineStr">
        <is>
          <t>الأمن والسلامة والمرافق</t>
        </is>
      </c>
    </row>
    <row r="46" spans="1:5">
      <c r="A46" s="31" t="inlineStr">
        <is>
          <t>البحث العلمي والدراسات العليا</t>
        </is>
      </c>
    </row>
  </sheetData>
  <mergeCells count="10">
    <mergeCell ref="A34:D34"/>
    <mergeCell ref="B7:C7"/>
    <mergeCell ref="A10:E10"/>
    <mergeCell ref="A22:E22"/>
    <mergeCell ref="A1:E1"/>
    <mergeCell ref="A2:E2"/>
    <mergeCell ref="A4:E4"/>
    <mergeCell ref="B5:C5"/>
    <mergeCell ref="B6:C6"/>
    <mergeCell ref="A8:E8"/>
  </mergeCells>
  <dataValidations count="1">
    <dataValidation type="list" allowBlank="1" sqref="C24:C32" xr:uid="{00000000-0002-0000-0100-000000000000}">
      <formula1>$B$12:$B$20</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95FAB-3879-8A4D-8B7E-9AC5ACC5111B}">
  <sheetPr>
    <tabColor rgb="FF2E75B6"/>
  </sheetPr>
  <dimension ref="A1:J47"/>
  <sheetViews>
    <sheetView rightToLeft="1" topLeftCell="A32" workbookViewId="0">
      <selection activeCell="C51" sqref="C51"/>
    </sheetView>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25.33203125" customWidth="1"/>
  </cols>
  <sheetData>
    <row r="1" spans="1:10" ht="33" customHeight="1" x14ac:dyDescent="0.55000000000000004">
      <c r="A1" s="98" t="s">
        <v>114</v>
      </c>
      <c r="B1" s="98"/>
      <c r="C1" s="98"/>
      <c r="D1" s="98"/>
      <c r="E1" s="98"/>
      <c r="F1" s="98"/>
      <c r="G1" s="98"/>
      <c r="H1" s="98"/>
      <c r="I1" s="98"/>
      <c r="J1" s="26"/>
    </row>
    <row r="2" spans="1:10" ht="26.75" customHeight="1" x14ac:dyDescent="0.55000000000000004">
      <c r="A2" s="99" t="s">
        <v>115</v>
      </c>
      <c r="B2" s="99"/>
      <c r="C2" s="99"/>
      <c r="D2" s="99"/>
      <c r="E2" s="99"/>
      <c r="F2" s="99"/>
      <c r="G2" s="99"/>
      <c r="H2" s="99"/>
      <c r="I2" s="99"/>
      <c r="J2" s="26"/>
    </row>
    <row r="3" spans="1:10" ht="26" x14ac:dyDescent="0.55000000000000004">
      <c r="A3" s="26"/>
      <c r="B3" s="26"/>
      <c r="C3" s="26"/>
      <c r="D3" s="26"/>
      <c r="E3" s="26"/>
      <c r="F3" s="26"/>
      <c r="G3" s="26"/>
      <c r="H3" s="26"/>
      <c r="I3" s="26"/>
      <c r="J3" s="26"/>
    </row>
    <row r="4" spans="1:10" ht="28" x14ac:dyDescent="0.6">
      <c r="A4" s="101" t="str">
        <f>'الإعدادات واللجنة'!$B$5</f>
        <v>بكالوريوس علوم الحاسب</v>
      </c>
      <c r="B4" s="101"/>
      <c r="C4" s="101"/>
      <c r="D4" s="101"/>
      <c r="E4" s="101"/>
      <c r="F4" s="101"/>
      <c r="G4" s="101"/>
      <c r="H4" s="101"/>
      <c r="I4" s="101"/>
      <c r="J4" s="26"/>
    </row>
    <row r="5" spans="1:10" ht="26" x14ac:dyDescent="0.55000000000000004">
      <c r="A5" s="29" t="s">
        <v>116</v>
      </c>
      <c r="B5" s="29" t="s">
        <v>117</v>
      </c>
      <c r="C5" s="29" t="s">
        <v>118</v>
      </c>
      <c r="D5" s="29" t="s">
        <v>119</v>
      </c>
      <c r="E5" s="29" t="s">
        <v>120</v>
      </c>
      <c r="F5" s="29" t="s">
        <v>121</v>
      </c>
      <c r="G5" s="29" t="s">
        <v>122</v>
      </c>
      <c r="H5" s="29" t="s">
        <v>123</v>
      </c>
      <c r="I5" s="29" t="s">
        <v>648</v>
      </c>
      <c r="J5" s="26"/>
    </row>
    <row r="6" spans="1:10" ht="26" x14ac:dyDescent="0.55000000000000004">
      <c r="A6" s="34" t="s">
        <v>125</v>
      </c>
      <c r="B6" s="30">
        <f>COUNTIF('فحص-حاسب-بكالوريوس'!$B$5:$B$208,"1. إدارة البرنامج وضمان جودته")</f>
        <v>52</v>
      </c>
      <c r="C6" s="30">
        <f>COUNTIFS('فحص-حاسب-بكالوريوس'!$B$5:$B$208,"1. إدارة البرنامج وضمان جودته",'فحص-حاسب-بكالوريوس'!$I$5:$I$208,"متوفر ومكتمل")</f>
        <v>1</v>
      </c>
      <c r="D6" s="30">
        <f>COUNTIFS('فحص-حاسب-بكالوريوس'!$B$5:$B$208,"1. إدارة البرنامج وضمان جودته",'فحص-حاسب-بكالوريوس'!$I$5:$I$208,"متوفر ويحتاج تحسين")</f>
        <v>1</v>
      </c>
      <c r="E6" s="30">
        <f>COUNTIFS('فحص-حاسب-بكالوريوس'!$B$5:$B$208,"1. إدارة البرنامج وضمان جودته",'فحص-حاسب-بكالوريوس'!$I$5:$I$208,"غير متوفر")</f>
        <v>1</v>
      </c>
      <c r="F6" s="30">
        <f t="shared" ref="F6:F12" si="0">B6-SUM(C6:E6)</f>
        <v>49</v>
      </c>
      <c r="G6" s="35">
        <f t="shared" ref="G6:G12" si="1">IF(B6=0,0,C6/B6)</f>
        <v>1.9230769230769232E-2</v>
      </c>
      <c r="H6" s="30">
        <f>COUNTIFS('فحص-حاسب-بكالوريوس'!$B$5:$B$208,"1. إدارة البرنامج وضمان جودته",'فحص-حاسب-بكالوريوس'!$K$5:$K$208,"عالية")</f>
        <v>1</v>
      </c>
      <c r="I6" s="30">
        <f>COUNTIFS('فحص-حاسب-بكالوريوس'!$B$5:$B$208,"1. إدارة البرنامج وضمان جودته",'فحص-حاسب-بكالوريوس'!$P$5:$P$208,"&lt;&gt;")</f>
        <v>0</v>
      </c>
      <c r="J6" s="26"/>
    </row>
    <row r="7" spans="1:10" ht="26" x14ac:dyDescent="0.55000000000000004">
      <c r="A7" s="34" t="s">
        <v>126</v>
      </c>
      <c r="B7" s="30">
        <f>COUNTIF('فحص-حاسب-بكالوريوس'!$B$5:$B$208,"2. التعليم والتعلم")</f>
        <v>75</v>
      </c>
      <c r="C7" s="30">
        <f>COUNTIFS('فحص-حاسب-بكالوريوس'!$B$5:$B$208,"2. التعليم والتعلم",'فحص-حاسب-بكالوريوس'!$I$5:$I$208,"متوفر ومكتمل")</f>
        <v>0</v>
      </c>
      <c r="D7" s="30">
        <f>COUNTIFS('فحص-حاسب-بكالوريوس'!$B$5:$B$208,"2. التعليم والتعلم",'فحص-حاسب-بكالوريوس'!$I$5:$I$208,"متوفر ويحتاج تحسين")</f>
        <v>0</v>
      </c>
      <c r="E7" s="30">
        <f>COUNTIFS('فحص-حاسب-بكالوريوس'!$B$5:$B$208,"2. التعليم والتعلم",'فحص-حاسب-بكالوريوس'!$I$5:$I$208,"غير متوفر")</f>
        <v>0</v>
      </c>
      <c r="F7" s="30">
        <f t="shared" si="0"/>
        <v>75</v>
      </c>
      <c r="G7" s="35">
        <f t="shared" si="1"/>
        <v>0</v>
      </c>
      <c r="H7" s="30">
        <f>COUNTIFS('فحص-حاسب-بكالوريوس'!$B$5:$B$208,"2. التعليم والتعلم",'فحص-حاسب-بكالوريوس'!$K$5:$K$208,"عالية")</f>
        <v>0</v>
      </c>
      <c r="I7" s="30">
        <f>COUNTIFS('فحص-حاسب-بكالوريوس'!$B$5:$B$208,"2. التعليم والتعلم",'فحص-حاسب-بكالوريوس'!$P$5:$P$208,"&lt;&gt;")</f>
        <v>0</v>
      </c>
      <c r="J7" s="26"/>
    </row>
    <row r="8" spans="1:10" ht="26" x14ac:dyDescent="0.55000000000000004">
      <c r="A8" s="34" t="s">
        <v>127</v>
      </c>
      <c r="B8" s="30">
        <f>COUNTIF('فحص-حاسب-بكالوريوس'!$B$5:$B$208,"3. الطالب")</f>
        <v>32</v>
      </c>
      <c r="C8" s="30">
        <f>COUNTIFS('فحص-حاسب-بكالوريوس'!$B$5:$B$208,"3. الطالب",'فحص-حاسب-بكالوريوس'!$I$5:$I$208,"متوفر ومكتمل")</f>
        <v>0</v>
      </c>
      <c r="D8" s="30">
        <f>COUNTIFS('فحص-حاسب-بكالوريوس'!$B$5:$B$208,"3. الطالب",'فحص-حاسب-بكالوريوس'!$I$5:$I$208,"متوفر ويحتاج تحسين")</f>
        <v>0</v>
      </c>
      <c r="E8" s="30">
        <f>COUNTIFS('فحص-حاسب-بكالوريوس'!$B$5:$B$208,"3. الطالب",'فحص-حاسب-بكالوريوس'!$I$5:$I$208,"غير متوفر")</f>
        <v>0</v>
      </c>
      <c r="F8" s="30">
        <f t="shared" si="0"/>
        <v>32</v>
      </c>
      <c r="G8" s="35">
        <f t="shared" si="1"/>
        <v>0</v>
      </c>
      <c r="H8" s="30">
        <f>COUNTIFS('فحص-حاسب-بكالوريوس'!$B$5:$B$208,"3. الطالب",'فحص-حاسب-بكالوريوس'!$K$5:$K$208,"عالية")</f>
        <v>0</v>
      </c>
      <c r="I8" s="30">
        <f>COUNTIFS('فحص-حاسب-بكالوريوس'!$B$5:$B$208,"3. الطالب",'فحص-حاسب-بكالوريوس'!$P$5:$P$208,"&lt;&gt;")</f>
        <v>0</v>
      </c>
      <c r="J8" s="26"/>
    </row>
    <row r="9" spans="1:10" ht="26" x14ac:dyDescent="0.55000000000000004">
      <c r="A9" s="34" t="s">
        <v>128</v>
      </c>
      <c r="B9" s="30">
        <f>COUNTIF('فحص-حاسب-بكالوريوس'!$B$5:$B$208,"4. هيئة التدريس")</f>
        <v>26</v>
      </c>
      <c r="C9" s="30">
        <f>COUNTIFS('فحص-حاسب-بكالوريوس'!$B$5:$B$208,"4. هيئة التدريس",'فحص-حاسب-بكالوريوس'!$I$5:$I$208,"متوفر ومكتمل")</f>
        <v>0</v>
      </c>
      <c r="D9" s="30">
        <f>COUNTIFS('فحص-حاسب-بكالوريوس'!$B$5:$B$208,"4. هيئة التدريس",'فحص-حاسب-بكالوريوس'!$I$5:$I$208,"متوفر ويحتاج تحسين")</f>
        <v>0</v>
      </c>
      <c r="E9" s="30">
        <f>COUNTIFS('فحص-حاسب-بكالوريوس'!$B$5:$B$208,"4. هيئة التدريس",'فحص-حاسب-بكالوريوس'!$I$5:$I$208,"غير متوفر")</f>
        <v>0</v>
      </c>
      <c r="F9" s="30">
        <f t="shared" si="0"/>
        <v>26</v>
      </c>
      <c r="G9" s="35">
        <f t="shared" si="1"/>
        <v>0</v>
      </c>
      <c r="H9" s="30">
        <f>COUNTIFS('فحص-حاسب-بكالوريوس'!$B$5:$B$208,"4. هيئة التدريس",'فحص-حاسب-بكالوريوس'!$K$5:$K$208,"عالية")</f>
        <v>0</v>
      </c>
      <c r="I9" s="30">
        <f>COUNTIFS('فحص-حاسب-بكالوريوس'!$B$5:$B$208,"4. هيئة التدريس",'فحص-حاسب-بكالوريوس'!$P$5:$P$208,"&lt;&gt;")</f>
        <v>0</v>
      </c>
      <c r="J9" s="26"/>
    </row>
    <row r="10" spans="1:10" ht="26" x14ac:dyDescent="0.55000000000000004">
      <c r="A10" s="34" t="s">
        <v>129</v>
      </c>
      <c r="B10" s="30">
        <f>COUNTIF('فحص-حاسب-بكالوريوس'!$B$5:$B$208,"5. مصادر التعلم والمرافق والتجهيزات")</f>
        <v>19</v>
      </c>
      <c r="C10" s="30">
        <f>COUNTIFS('فحص-حاسب-بكالوريوس'!$B$5:$B$208,"5. مصادر التعلم والمرافق والتجهيزات",'فحص-حاسب-بكالوريوس'!$I$5:$I$208,"متوفر ومكتمل")</f>
        <v>0</v>
      </c>
      <c r="D10" s="30">
        <f>COUNTIFS('فحص-حاسب-بكالوريوس'!$B$5:$B$208,"5. مصادر التعلم والمرافق والتجهيزات",'فحص-حاسب-بكالوريوس'!$I$5:$I$208,"متوفر ويحتاج تحسين")</f>
        <v>0</v>
      </c>
      <c r="E10" s="30">
        <f>COUNTIFS('فحص-حاسب-بكالوريوس'!$B$5:$B$208,"5. مصادر التعلم والمرافق والتجهيزات",'فحص-حاسب-بكالوريوس'!$I$5:$I$208,"غير متوفر")</f>
        <v>0</v>
      </c>
      <c r="F10" s="30">
        <f t="shared" si="0"/>
        <v>19</v>
      </c>
      <c r="G10" s="35">
        <f t="shared" si="1"/>
        <v>0</v>
      </c>
      <c r="H10" s="30">
        <f>COUNTIFS('فحص-حاسب-بكالوريوس'!$B$5:$B$208,"5. مصادر التعلم والمرافق والتجهيزات",'فحص-حاسب-بكالوريوس'!$K$5:$K$208,"عالية")</f>
        <v>0</v>
      </c>
      <c r="I10" s="30">
        <f>COUNTIFS('فحص-حاسب-بكالوريوس'!$B$5:$B$208,"5. مصادر التعلم والمرافق والتجهيزات",'فحص-حاسب-بكالوريوس'!$P$5:$P$208,"&lt;&gt;")</f>
        <v>0</v>
      </c>
      <c r="J10" s="26"/>
    </row>
    <row r="11" spans="1:10" ht="26" x14ac:dyDescent="0.55000000000000004">
      <c r="A11" s="27" t="s">
        <v>130</v>
      </c>
      <c r="B11" s="36">
        <f>COUNTIF('فحص-حاسب-بكالوريوس'!$D$5:$D$208,"★")</f>
        <v>63</v>
      </c>
      <c r="C11" s="36">
        <f>COUNTIFS('فحص-حاسب-بكالوريوس'!$D$5:$D$208,"★",'فحص-حاسب-بكالوريوس'!$I$5:$I$208,"متوفر ومكتمل")</f>
        <v>0</v>
      </c>
      <c r="D11" s="36">
        <f>COUNTIFS('فحص-حاسب-بكالوريوس'!$D$5:$D$208,"★",'فحص-حاسب-بكالوريوس'!$I$5:$I$208,"متوفر ويحتاج تحسين")</f>
        <v>0</v>
      </c>
      <c r="E11" s="36">
        <f>COUNTIFS('فحص-حاسب-بكالوريوس'!$D$5:$D$208,"★",'فحص-حاسب-بكالوريوس'!$I$5:$I$208,"غير متوفر")</f>
        <v>1</v>
      </c>
      <c r="F11" s="36">
        <f t="shared" si="0"/>
        <v>62</v>
      </c>
      <c r="G11" s="37">
        <f t="shared" si="1"/>
        <v>0</v>
      </c>
      <c r="H11" s="36">
        <f>COUNTIFS('فحص-حاسب-بكالوريوس'!$D$5:$D$208,"★",'فحص-حاسب-بكالوريوس'!$K$5:$K$208,"عالية")</f>
        <v>1</v>
      </c>
      <c r="I11" s="36">
        <f>COUNTIFS('فحص-حاسب-بكالوريوس'!$D$5:$D$208,"★",'فحص-حاسب-بكالوريوس'!$P$5:$P$208,"&lt;&gt;")</f>
        <v>0</v>
      </c>
      <c r="J11" s="26"/>
    </row>
    <row r="12" spans="1:10" ht="26" x14ac:dyDescent="0.55000000000000004">
      <c r="A12" s="27" t="s">
        <v>131</v>
      </c>
      <c r="B12" s="36">
        <f>COUNTIF('فحص-حاسب-بكالوريوس'!$A$5:$A$208,"*")</f>
        <v>204</v>
      </c>
      <c r="C12" s="36">
        <f>COUNTIFS('فحص-حاسب-بكالوريوس'!$A$5:$A$208,"*",'فحص-حاسب-بكالوريوس'!$I$5:$I$208,"متوفر ومكتمل")</f>
        <v>1</v>
      </c>
      <c r="D12" s="36">
        <f>COUNTIFS('فحص-حاسب-بكالوريوس'!$A$5:$A$208,"*",'فحص-حاسب-بكالوريوس'!$I$5:$I$208,"متوفر ويحتاج تحسين")</f>
        <v>1</v>
      </c>
      <c r="E12" s="36">
        <f>COUNTIFS('فحص-حاسب-بكالوريوس'!$A$5:$A$208,"*",'فحص-حاسب-بكالوريوس'!$I$5:$I$208,"غير متوفر")</f>
        <v>1</v>
      </c>
      <c r="F12" s="36">
        <f t="shared" si="0"/>
        <v>201</v>
      </c>
      <c r="G12" s="37">
        <f t="shared" si="1"/>
        <v>4.9019607843137254E-3</v>
      </c>
      <c r="H12" s="36">
        <f>COUNTIFS('فحص-حاسب-بكالوريوس'!$A$5:$A$208,"*",'فحص-حاسب-بكالوريوس'!$K$5:$K$208,"عالية")</f>
        <v>1</v>
      </c>
      <c r="I12" s="36">
        <f>COUNTIFS('فحص-حاسب-بكالوريوس'!$A$5:$A$208,"*",'فحص-حاسب-بكالوريوس'!$P$5:$P$208,"&lt;&gt;")</f>
        <v>0</v>
      </c>
      <c r="J12" s="26"/>
    </row>
    <row r="13" spans="1:10" ht="26" x14ac:dyDescent="0.55000000000000004">
      <c r="A13" s="26"/>
      <c r="B13" s="26"/>
      <c r="C13" s="26"/>
      <c r="D13" s="26"/>
      <c r="E13" s="26"/>
      <c r="F13" s="26"/>
      <c r="G13" s="26"/>
      <c r="H13" s="26"/>
      <c r="I13" s="26"/>
      <c r="J13" s="26"/>
    </row>
    <row r="14" spans="1:10" ht="28" x14ac:dyDescent="0.6">
      <c r="A14" s="101" t="str">
        <f>'الإعدادات واللجنة'!$B$6</f>
        <v>بكالوريوس علوم البيانات</v>
      </c>
      <c r="B14" s="101"/>
      <c r="C14" s="101"/>
      <c r="D14" s="101"/>
      <c r="E14" s="101"/>
      <c r="F14" s="101"/>
      <c r="G14" s="101"/>
      <c r="H14" s="101"/>
      <c r="I14" s="101"/>
      <c r="J14" s="26"/>
    </row>
    <row r="15" spans="1:10" ht="26" x14ac:dyDescent="0.55000000000000004">
      <c r="A15" s="29" t="s">
        <v>116</v>
      </c>
      <c r="B15" s="29" t="s">
        <v>117</v>
      </c>
      <c r="C15" s="29" t="s">
        <v>118</v>
      </c>
      <c r="D15" s="29" t="s">
        <v>119</v>
      </c>
      <c r="E15" s="29" t="s">
        <v>120</v>
      </c>
      <c r="F15" s="29" t="s">
        <v>121</v>
      </c>
      <c r="G15" s="29" t="s">
        <v>122</v>
      </c>
      <c r="H15" s="29" t="s">
        <v>123</v>
      </c>
      <c r="I15" s="29" t="s">
        <v>648</v>
      </c>
      <c r="J15" s="26"/>
    </row>
    <row r="16" spans="1:10" ht="26" x14ac:dyDescent="0.55000000000000004">
      <c r="A16" s="34" t="s">
        <v>125</v>
      </c>
      <c r="B16" s="30">
        <f>COUNTIF('فحص-بيانات-بكالوريوس'!$B$5:$B$208,"1. إدارة البرنامج وضمان جودته")</f>
        <v>52</v>
      </c>
      <c r="C16" s="30">
        <f>COUNTIFS('فحص-بيانات-بكالوريوس'!$B$5:$B$208,"1. إدارة البرنامج وضمان جودته",'فحص-بيانات-بكالوريوس'!$I$5:$I$208,"متوفر ومكتمل")</f>
        <v>0</v>
      </c>
      <c r="D16" s="30">
        <f>COUNTIFS('فحص-بيانات-بكالوريوس'!$B$5:$B$208,"1. إدارة البرنامج وضمان جودته",'فحص-بيانات-بكالوريوس'!$I$5:$I$208,"متوفر ويحتاج تحسين")</f>
        <v>0</v>
      </c>
      <c r="E16" s="30">
        <f>COUNTIFS('فحص-بيانات-بكالوريوس'!$B$5:$B$208,"1. إدارة البرنامج وضمان جودته",'فحص-بيانات-بكالوريوس'!$I$5:$I$208,"غير متوفر")</f>
        <v>0</v>
      </c>
      <c r="F16" s="30">
        <f t="shared" ref="F16:F22" si="2">B16-SUM(C16:E16)</f>
        <v>52</v>
      </c>
      <c r="G16" s="35">
        <f t="shared" ref="G16:G22" si="3">IF(B16=0,0,C16/B16)</f>
        <v>0</v>
      </c>
      <c r="H16" s="30">
        <f>COUNTIFS('فحص-بيانات-بكالوريوس'!$B$5:$B$208,"1. إدارة البرنامج وضمان جودته",'فحص-بيانات-بكالوريوس'!$K$5:$K$208,"عالية")</f>
        <v>0</v>
      </c>
      <c r="I16" s="30">
        <f>COUNTIFS('فحص-بيانات-بكالوريوس'!$B$5:$B$208,"1. إدارة البرنامج وضمان جودته",'فحص-بيانات-بكالوريوس'!$P$5:$P$208,"&lt;&gt;")</f>
        <v>0</v>
      </c>
      <c r="J16" s="26"/>
    </row>
    <row r="17" spans="1:10" ht="26" x14ac:dyDescent="0.55000000000000004">
      <c r="A17" s="34" t="s">
        <v>126</v>
      </c>
      <c r="B17" s="30">
        <f>COUNTIF('فحص-بيانات-بكالوريوس'!$B$5:$B$208,"2. التعليم والتعلم")</f>
        <v>75</v>
      </c>
      <c r="C17" s="30">
        <f>COUNTIFS('فحص-بيانات-بكالوريوس'!$B$5:$B$208,"2. التعليم والتعلم",'فحص-بيانات-بكالوريوس'!$I$5:$I$208,"متوفر ومكتمل")</f>
        <v>0</v>
      </c>
      <c r="D17" s="30">
        <f>COUNTIFS('فحص-بيانات-بكالوريوس'!$B$5:$B$208,"2. التعليم والتعلم",'فحص-بيانات-بكالوريوس'!$I$5:$I$208,"متوفر ويحتاج تحسين")</f>
        <v>0</v>
      </c>
      <c r="E17" s="30">
        <f>COUNTIFS('فحص-بيانات-بكالوريوس'!$B$5:$B$208,"2. التعليم والتعلم",'فحص-بيانات-بكالوريوس'!$I$5:$I$208,"غير متوفر")</f>
        <v>0</v>
      </c>
      <c r="F17" s="30">
        <f t="shared" si="2"/>
        <v>75</v>
      </c>
      <c r="G17" s="35">
        <f t="shared" si="3"/>
        <v>0</v>
      </c>
      <c r="H17" s="30">
        <f>COUNTIFS('فحص-بيانات-بكالوريوس'!$B$5:$B$208,"2. التعليم والتعلم",'فحص-بيانات-بكالوريوس'!$K$5:$K$208,"عالية")</f>
        <v>0</v>
      </c>
      <c r="I17" s="30">
        <f>COUNTIFS('فحص-بيانات-بكالوريوس'!$B$5:$B$208,"2. التعليم والتعلم",'فحص-بيانات-بكالوريوس'!$P$5:$P$208,"&lt;&gt;")</f>
        <v>0</v>
      </c>
      <c r="J17" s="26"/>
    </row>
    <row r="18" spans="1:10" ht="26" x14ac:dyDescent="0.55000000000000004">
      <c r="A18" s="34" t="s">
        <v>127</v>
      </c>
      <c r="B18" s="30">
        <f>COUNTIF('فحص-بيانات-بكالوريوس'!$B$5:$B$208,"3. الطالب")</f>
        <v>32</v>
      </c>
      <c r="C18" s="30">
        <f>COUNTIFS('فحص-بيانات-بكالوريوس'!$B$5:$B$208,"3. الطالب",'فحص-بيانات-بكالوريوس'!$I$5:$I$208,"متوفر ومكتمل")</f>
        <v>0</v>
      </c>
      <c r="D18" s="30">
        <f>COUNTIFS('فحص-بيانات-بكالوريوس'!$B$5:$B$208,"3. الطالب",'فحص-بيانات-بكالوريوس'!$I$5:$I$208,"متوفر ويحتاج تحسين")</f>
        <v>0</v>
      </c>
      <c r="E18" s="30">
        <f>COUNTIFS('فحص-بيانات-بكالوريوس'!$B$5:$B$208,"3. الطالب",'فحص-بيانات-بكالوريوس'!$I$5:$I$208,"غير متوفر")</f>
        <v>0</v>
      </c>
      <c r="F18" s="30">
        <f t="shared" si="2"/>
        <v>32</v>
      </c>
      <c r="G18" s="35">
        <f t="shared" si="3"/>
        <v>0</v>
      </c>
      <c r="H18" s="30">
        <f>COUNTIFS('فحص-بيانات-بكالوريوس'!$B$5:$B$208,"3. الطالب",'فحص-بيانات-بكالوريوس'!$K$5:$K$208,"عالية")</f>
        <v>0</v>
      </c>
      <c r="I18" s="30">
        <f>COUNTIFS('فحص-بيانات-بكالوريوس'!$B$5:$B$208,"3. الطالب",'فحص-بيانات-بكالوريوس'!$P$5:$P$208,"&lt;&gt;")</f>
        <v>0</v>
      </c>
      <c r="J18" s="26"/>
    </row>
    <row r="19" spans="1:10" ht="26" x14ac:dyDescent="0.55000000000000004">
      <c r="A19" s="34" t="s">
        <v>128</v>
      </c>
      <c r="B19" s="30">
        <f>COUNTIF('فحص-بيانات-بكالوريوس'!$B$5:$B$208,"4. هيئة التدريس")</f>
        <v>26</v>
      </c>
      <c r="C19" s="30">
        <f>COUNTIFS('فحص-بيانات-بكالوريوس'!$B$5:$B$208,"4. هيئة التدريس",'فحص-بيانات-بكالوريوس'!$I$5:$I$208,"متوفر ومكتمل")</f>
        <v>0</v>
      </c>
      <c r="D19" s="30">
        <f>COUNTIFS('فحص-بيانات-بكالوريوس'!$B$5:$B$208,"4. هيئة التدريس",'فحص-بيانات-بكالوريوس'!$I$5:$I$208,"متوفر ويحتاج تحسين")</f>
        <v>0</v>
      </c>
      <c r="E19" s="30">
        <f>COUNTIFS('فحص-بيانات-بكالوريوس'!$B$5:$B$208,"4. هيئة التدريس",'فحص-بيانات-بكالوريوس'!$I$5:$I$208,"غير متوفر")</f>
        <v>0</v>
      </c>
      <c r="F19" s="30">
        <f t="shared" si="2"/>
        <v>26</v>
      </c>
      <c r="G19" s="35">
        <f t="shared" si="3"/>
        <v>0</v>
      </c>
      <c r="H19" s="30">
        <f>COUNTIFS('فحص-بيانات-بكالوريوس'!$B$5:$B$208,"4. هيئة التدريس",'فحص-بيانات-بكالوريوس'!$K$5:$K$208,"عالية")</f>
        <v>0</v>
      </c>
      <c r="I19" s="30">
        <f>COUNTIFS('فحص-بيانات-بكالوريوس'!$B$5:$B$208,"4. هيئة التدريس",'فحص-بيانات-بكالوريوس'!$P$5:$P$208,"&lt;&gt;")</f>
        <v>0</v>
      </c>
      <c r="J19" s="26"/>
    </row>
    <row r="20" spans="1:10" ht="26" x14ac:dyDescent="0.55000000000000004">
      <c r="A20" s="34" t="s">
        <v>129</v>
      </c>
      <c r="B20" s="30">
        <f>COUNTIF('فحص-بيانات-بكالوريوس'!$B$5:$B$208,"5. مصادر التعلم والمرافق والتجهيزات")</f>
        <v>19</v>
      </c>
      <c r="C20" s="30">
        <f>COUNTIFS('فحص-بيانات-بكالوريوس'!$B$5:$B$208,"5. مصادر التعلم والمرافق والتجهيزات",'فحص-بيانات-بكالوريوس'!$I$5:$I$208,"متوفر ومكتمل")</f>
        <v>0</v>
      </c>
      <c r="D20" s="30">
        <f>COUNTIFS('فحص-بيانات-بكالوريوس'!$B$5:$B$208,"5. مصادر التعلم والمرافق والتجهيزات",'فحص-بيانات-بكالوريوس'!$I$5:$I$208,"متوفر ويحتاج تحسين")</f>
        <v>0</v>
      </c>
      <c r="E20" s="30">
        <f>COUNTIFS('فحص-بيانات-بكالوريوس'!$B$5:$B$208,"5. مصادر التعلم والمرافق والتجهيزات",'فحص-بيانات-بكالوريوس'!$I$5:$I$208,"غير متوفر")</f>
        <v>0</v>
      </c>
      <c r="F20" s="30">
        <f t="shared" si="2"/>
        <v>19</v>
      </c>
      <c r="G20" s="35">
        <f t="shared" si="3"/>
        <v>0</v>
      </c>
      <c r="H20" s="30">
        <f>COUNTIFS('فحص-بيانات-بكالوريوس'!$B$5:$B$208,"5. مصادر التعلم والمرافق والتجهيزات",'فحص-بيانات-بكالوريوس'!$K$5:$K$208,"عالية")</f>
        <v>0</v>
      </c>
      <c r="I20" s="30">
        <f>COUNTIFS('فحص-بيانات-بكالوريوس'!$B$5:$B$208,"5. مصادر التعلم والمرافق والتجهيزات",'فحص-بيانات-بكالوريوس'!$P$5:$P$208,"&lt;&gt;")</f>
        <v>0</v>
      </c>
      <c r="J20" s="26"/>
    </row>
    <row r="21" spans="1:10" ht="26" x14ac:dyDescent="0.55000000000000004">
      <c r="A21" s="27" t="s">
        <v>130</v>
      </c>
      <c r="B21" s="36">
        <f>COUNTIF('فحص-بيانات-بكالوريوس'!$D$5:$D$208,"★")</f>
        <v>63</v>
      </c>
      <c r="C21" s="36">
        <f>COUNTIFS('فحص-بيانات-بكالوريوس'!$D$5:$D$208,"★",'فحص-بيانات-بكالوريوس'!$I$5:$I$208,"متوفر ومكتمل")</f>
        <v>0</v>
      </c>
      <c r="D21" s="36">
        <f>COUNTIFS('فحص-بيانات-بكالوريوس'!$D$5:$D$208,"★",'فحص-بيانات-بكالوريوس'!$I$5:$I$208,"متوفر ويحتاج تحسين")</f>
        <v>0</v>
      </c>
      <c r="E21" s="36">
        <f>COUNTIFS('فحص-بيانات-بكالوريوس'!$D$5:$D$208,"★",'فحص-بيانات-بكالوريوس'!$I$5:$I$208,"غير متوفر")</f>
        <v>0</v>
      </c>
      <c r="F21" s="36">
        <f t="shared" si="2"/>
        <v>63</v>
      </c>
      <c r="G21" s="37">
        <f t="shared" si="3"/>
        <v>0</v>
      </c>
      <c r="H21" s="36">
        <f>COUNTIFS('فحص-بيانات-بكالوريوس'!$D$5:$D$208,"★",'فحص-بيانات-بكالوريوس'!$K$5:$K$208,"عالية")</f>
        <v>0</v>
      </c>
      <c r="I21" s="36">
        <f>COUNTIFS('فحص-بيانات-بكالوريوس'!$D$5:$D$208,"★",'فحص-بيانات-بكالوريوس'!$P$5:$P$208,"&lt;&gt;")</f>
        <v>0</v>
      </c>
      <c r="J21" s="26"/>
    </row>
    <row r="22" spans="1:10" ht="26" x14ac:dyDescent="0.55000000000000004">
      <c r="A22" s="27" t="s">
        <v>131</v>
      </c>
      <c r="B22" s="36">
        <f>COUNTIF('فحص-بيانات-بكالوريوس'!$A$5:$A$208,"*")</f>
        <v>204</v>
      </c>
      <c r="C22" s="36">
        <f>COUNTIFS('فحص-بيانات-بكالوريوس'!$A$5:$A$208,"*",'فحص-بيانات-بكالوريوس'!$I$5:$I$208,"متوفر ومكتمل")</f>
        <v>0</v>
      </c>
      <c r="D22" s="36">
        <f>COUNTIFS('فحص-بيانات-بكالوريوس'!$A$5:$A$208,"*",'فحص-بيانات-بكالوريوس'!$I$5:$I$208,"متوفر ويحتاج تحسين")</f>
        <v>0</v>
      </c>
      <c r="E22" s="36">
        <f>COUNTIFS('فحص-بيانات-بكالوريوس'!$A$5:$A$208,"*",'فحص-بيانات-بكالوريوس'!$I$5:$I$208,"غير متوفر")</f>
        <v>0</v>
      </c>
      <c r="F22" s="36">
        <f t="shared" si="2"/>
        <v>204</v>
      </c>
      <c r="G22" s="37">
        <f t="shared" si="3"/>
        <v>0</v>
      </c>
      <c r="H22" s="36">
        <f>COUNTIFS('فحص-بيانات-بكالوريوس'!$A$5:$A$208,"*",'فحص-بيانات-بكالوريوس'!$K$5:$K$208,"عالية")</f>
        <v>0</v>
      </c>
      <c r="I22" s="36">
        <f>COUNTIFS('فحص-بيانات-بكالوريوس'!$A$5:$A$208,"*",'فحص-بيانات-بكالوريوس'!$P$5:$P$208,"&lt;&gt;")</f>
        <v>0</v>
      </c>
      <c r="J22" s="26"/>
    </row>
    <row r="23" spans="1:10" ht="26" x14ac:dyDescent="0.55000000000000004">
      <c r="A23" s="26"/>
      <c r="B23" s="26"/>
      <c r="C23" s="26"/>
      <c r="D23" s="26"/>
      <c r="E23" s="26"/>
      <c r="F23" s="26"/>
      <c r="G23" s="26"/>
      <c r="H23" s="26"/>
      <c r="I23" s="26"/>
      <c r="J23" s="26"/>
    </row>
    <row r="24" spans="1:10" ht="28" x14ac:dyDescent="0.6">
      <c r="A24" s="101" t="str">
        <f>'الإعدادات واللجنة'!$B$7</f>
        <v>ماجستير علوم البيانات</v>
      </c>
      <c r="B24" s="101"/>
      <c r="C24" s="101"/>
      <c r="D24" s="101"/>
      <c r="E24" s="101"/>
      <c r="F24" s="101"/>
      <c r="G24" s="101"/>
      <c r="H24" s="101"/>
      <c r="I24" s="101"/>
      <c r="J24" s="26"/>
    </row>
    <row r="25" spans="1:10" ht="26" x14ac:dyDescent="0.55000000000000004">
      <c r="A25" s="29" t="s">
        <v>116</v>
      </c>
      <c r="B25" s="29" t="s">
        <v>117</v>
      </c>
      <c r="C25" s="29" t="s">
        <v>118</v>
      </c>
      <c r="D25" s="29" t="s">
        <v>119</v>
      </c>
      <c r="E25" s="29" t="s">
        <v>120</v>
      </c>
      <c r="F25" s="29" t="s">
        <v>121</v>
      </c>
      <c r="G25" s="29" t="s">
        <v>122</v>
      </c>
      <c r="H25" s="29" t="s">
        <v>123</v>
      </c>
      <c r="I25" s="29" t="s">
        <v>648</v>
      </c>
      <c r="J25" s="26"/>
    </row>
    <row r="26" spans="1:10" ht="26" x14ac:dyDescent="0.55000000000000004">
      <c r="A26" s="34" t="s">
        <v>125</v>
      </c>
      <c r="B26" s="30">
        <f>COUNTIF('فحص-بيانات-ماجستير'!$B$5:$B$230,"1. إدارة البرنامج وضمان جودته")</f>
        <v>52</v>
      </c>
      <c r="C26" s="30">
        <f>COUNTIFS('فحص-بيانات-ماجستير'!$B$5:$B$230,"1. إدارة البرنامج وضمان جودته",'فحص-بيانات-ماجستير'!$I$5:$I$230,"متوفر ومكتمل")</f>
        <v>0</v>
      </c>
      <c r="D26" s="30">
        <f>COUNTIFS('فحص-بيانات-ماجستير'!$B$5:$B$230,"1. إدارة البرنامج وضمان جودته",'فحص-بيانات-ماجستير'!$I$5:$I$230,"متوفر ويحتاج تحسين")</f>
        <v>0</v>
      </c>
      <c r="E26" s="30">
        <f>COUNTIFS('فحص-بيانات-ماجستير'!$B$5:$B$230,"1. إدارة البرنامج وضمان جودته",'فحص-بيانات-ماجستير'!$I$5:$I$230,"غير متوفر")</f>
        <v>0</v>
      </c>
      <c r="F26" s="30">
        <f t="shared" ref="F26:F33" si="4">B26-SUM(C26:E26)</f>
        <v>52</v>
      </c>
      <c r="G26" s="35">
        <f t="shared" ref="G26:G33" si="5">IF(B26=0,0,C26/B26)</f>
        <v>0</v>
      </c>
      <c r="H26" s="30">
        <f>COUNTIFS('فحص-بيانات-ماجستير'!$B$5:$B$230,"1. إدارة البرنامج وضمان جودته",'فحص-بيانات-ماجستير'!$K$5:$K$230,"عالية")</f>
        <v>0</v>
      </c>
      <c r="I26" s="30">
        <f>COUNTIFS('فحص-بيانات-ماجستير'!$B$5:$B$230,"1. إدارة البرنامج وضمان جودته",'فحص-بيانات-ماجستير'!$P$5:$P$230,"&lt;&gt;")</f>
        <v>0</v>
      </c>
      <c r="J26" s="26"/>
    </row>
    <row r="27" spans="1:10" ht="26" x14ac:dyDescent="0.55000000000000004">
      <c r="A27" s="34" t="s">
        <v>126</v>
      </c>
      <c r="B27" s="30">
        <f>COUNTIF('فحص-بيانات-ماجستير'!$B$5:$B$230,"2. التعليم والتعلم")</f>
        <v>68</v>
      </c>
      <c r="C27" s="30">
        <f>COUNTIFS('فحص-بيانات-ماجستير'!$B$5:$B$230,"2. التعليم والتعلم",'فحص-بيانات-ماجستير'!$I$5:$I$230,"متوفر ومكتمل")</f>
        <v>0</v>
      </c>
      <c r="D27" s="30">
        <f>COUNTIFS('فحص-بيانات-ماجستير'!$B$5:$B$230,"2. التعليم والتعلم",'فحص-بيانات-ماجستير'!$I$5:$I$230,"متوفر ويحتاج تحسين")</f>
        <v>0</v>
      </c>
      <c r="E27" s="30">
        <f>COUNTIFS('فحص-بيانات-ماجستير'!$B$5:$B$230,"2. التعليم والتعلم",'فحص-بيانات-ماجستير'!$I$5:$I$230,"غير متوفر")</f>
        <v>0</v>
      </c>
      <c r="F27" s="30">
        <f t="shared" si="4"/>
        <v>68</v>
      </c>
      <c r="G27" s="35">
        <f t="shared" si="5"/>
        <v>0</v>
      </c>
      <c r="H27" s="30">
        <f>COUNTIFS('فحص-بيانات-ماجستير'!$B$5:$B$230,"2. التعليم والتعلم",'فحص-بيانات-ماجستير'!$K$5:$K$230,"عالية")</f>
        <v>0</v>
      </c>
      <c r="I27" s="30">
        <f>COUNTIFS('فحص-بيانات-ماجستير'!$B$5:$B$230,"2. التعليم والتعلم",'فحص-بيانات-ماجستير'!$P$5:$P$230,"&lt;&gt;")</f>
        <v>0</v>
      </c>
      <c r="J27" s="26"/>
    </row>
    <row r="28" spans="1:10" ht="26" x14ac:dyDescent="0.55000000000000004">
      <c r="A28" s="34" t="s">
        <v>127</v>
      </c>
      <c r="B28" s="30">
        <f>COUNTIF('فحص-بيانات-ماجستير'!$B$5:$B$230,"3. الطالب")</f>
        <v>28</v>
      </c>
      <c r="C28" s="30">
        <f>COUNTIFS('فحص-بيانات-ماجستير'!$B$5:$B$230,"3. الطالب",'فحص-بيانات-ماجستير'!$I$5:$I$230,"متوفر ومكتمل")</f>
        <v>0</v>
      </c>
      <c r="D28" s="30">
        <f>COUNTIFS('فحص-بيانات-ماجستير'!$B$5:$B$230,"3. الطالب",'فحص-بيانات-ماجستير'!$I$5:$I$230,"متوفر ويحتاج تحسين")</f>
        <v>0</v>
      </c>
      <c r="E28" s="30">
        <f>COUNTIFS('فحص-بيانات-ماجستير'!$B$5:$B$230,"3. الطالب",'فحص-بيانات-ماجستير'!$I$5:$I$230,"غير متوفر")</f>
        <v>0</v>
      </c>
      <c r="F28" s="30">
        <f t="shared" si="4"/>
        <v>28</v>
      </c>
      <c r="G28" s="35">
        <f t="shared" si="5"/>
        <v>0</v>
      </c>
      <c r="H28" s="30">
        <f>COUNTIFS('فحص-بيانات-ماجستير'!$B$5:$B$230,"3. الطالب",'فحص-بيانات-ماجستير'!$K$5:$K$230,"عالية")</f>
        <v>0</v>
      </c>
      <c r="I28" s="30">
        <f>COUNTIFS('فحص-بيانات-ماجستير'!$B$5:$B$230,"3. الطالب",'فحص-بيانات-ماجستير'!$P$5:$P$230,"&lt;&gt;")</f>
        <v>0</v>
      </c>
      <c r="J28" s="26"/>
    </row>
    <row r="29" spans="1:10" ht="26" x14ac:dyDescent="0.55000000000000004">
      <c r="A29" s="34" t="s">
        <v>128</v>
      </c>
      <c r="B29" s="30">
        <f>COUNTIF('فحص-بيانات-ماجستير'!$B$5:$B$230,"4. هيئة التدريس")</f>
        <v>26</v>
      </c>
      <c r="C29" s="30">
        <f>COUNTIFS('فحص-بيانات-ماجستير'!$B$5:$B$230,"4. هيئة التدريس",'فحص-بيانات-ماجستير'!$I$5:$I$230,"متوفر ومكتمل")</f>
        <v>0</v>
      </c>
      <c r="D29" s="30">
        <f>COUNTIFS('فحص-بيانات-ماجستير'!$B$5:$B$230,"4. هيئة التدريس",'فحص-بيانات-ماجستير'!$I$5:$I$230,"متوفر ويحتاج تحسين")</f>
        <v>0</v>
      </c>
      <c r="E29" s="30">
        <f>COUNTIFS('فحص-بيانات-ماجستير'!$B$5:$B$230,"4. هيئة التدريس",'فحص-بيانات-ماجستير'!$I$5:$I$230,"غير متوفر")</f>
        <v>0</v>
      </c>
      <c r="F29" s="30">
        <f t="shared" si="4"/>
        <v>26</v>
      </c>
      <c r="G29" s="35">
        <f t="shared" si="5"/>
        <v>0</v>
      </c>
      <c r="H29" s="30">
        <f>COUNTIFS('فحص-بيانات-ماجستير'!$B$5:$B$230,"4. هيئة التدريس",'فحص-بيانات-ماجستير'!$K$5:$K$230,"عالية")</f>
        <v>0</v>
      </c>
      <c r="I29" s="30">
        <f>COUNTIFS('فحص-بيانات-ماجستير'!$B$5:$B$230,"4. هيئة التدريس",'فحص-بيانات-ماجستير'!$P$5:$P$230,"&lt;&gt;")</f>
        <v>0</v>
      </c>
      <c r="J29" s="26"/>
    </row>
    <row r="30" spans="1:10" ht="26" x14ac:dyDescent="0.55000000000000004">
      <c r="A30" s="34" t="s">
        <v>129</v>
      </c>
      <c r="B30" s="30">
        <f>COUNTIF('فحص-بيانات-ماجستير'!$B$5:$B$230,"5. مصادر التعلم والمرافق والتجهيزات")</f>
        <v>19</v>
      </c>
      <c r="C30" s="30">
        <f>COUNTIFS('فحص-بيانات-ماجستير'!$B$5:$B$230,"5. مصادر التعلم والمرافق والتجهيزات",'فحص-بيانات-ماجستير'!$I$5:$I$230,"متوفر ومكتمل")</f>
        <v>0</v>
      </c>
      <c r="D30" s="30">
        <f>COUNTIFS('فحص-بيانات-ماجستير'!$B$5:$B$230,"5. مصادر التعلم والمرافق والتجهيزات",'فحص-بيانات-ماجستير'!$I$5:$I$230,"متوفر ويحتاج تحسين")</f>
        <v>0</v>
      </c>
      <c r="E30" s="30">
        <f>COUNTIFS('فحص-بيانات-ماجستير'!$B$5:$B$230,"5. مصادر التعلم والمرافق والتجهيزات",'فحص-بيانات-ماجستير'!$I$5:$I$230,"غير متوفر")</f>
        <v>0</v>
      </c>
      <c r="F30" s="30">
        <f t="shared" si="4"/>
        <v>19</v>
      </c>
      <c r="G30" s="35">
        <f t="shared" si="5"/>
        <v>0</v>
      </c>
      <c r="H30" s="30">
        <f>COUNTIFS('فحص-بيانات-ماجستير'!$B$5:$B$230,"5. مصادر التعلم والمرافق والتجهيزات",'فحص-بيانات-ماجستير'!$K$5:$K$230,"عالية")</f>
        <v>0</v>
      </c>
      <c r="I30" s="30">
        <f>COUNTIFS('فحص-بيانات-ماجستير'!$B$5:$B$230,"5. مصادر التعلم والمرافق والتجهيزات",'فحص-بيانات-ماجستير'!$P$5:$P$230,"&lt;&gt;")</f>
        <v>0</v>
      </c>
      <c r="J30" s="26"/>
    </row>
    <row r="31" spans="1:10" ht="26" x14ac:dyDescent="0.55000000000000004">
      <c r="A31" s="34" t="s">
        <v>132</v>
      </c>
      <c r="B31" s="30">
        <f>COUNTIF('فحص-بيانات-ماجستير'!$B$5:$B$230,"6. البحث والمشاريع")</f>
        <v>33</v>
      </c>
      <c r="C31" s="30">
        <f>COUNTIFS('فحص-بيانات-ماجستير'!$B$5:$B$230,"6. البحث والمشاريع",'فحص-بيانات-ماجستير'!$I$5:$I$230,"متوفر ومكتمل")</f>
        <v>0</v>
      </c>
      <c r="D31" s="30">
        <f>COUNTIFS('فحص-بيانات-ماجستير'!$B$5:$B$230,"6. البحث والمشاريع",'فحص-بيانات-ماجستير'!$I$5:$I$230,"متوفر ويحتاج تحسين")</f>
        <v>0</v>
      </c>
      <c r="E31" s="30">
        <f>COUNTIFS('فحص-بيانات-ماجستير'!$B$5:$B$230,"6. البحث والمشاريع",'فحص-بيانات-ماجستير'!$I$5:$I$230,"غير متوفر")</f>
        <v>0</v>
      </c>
      <c r="F31" s="30">
        <f t="shared" si="4"/>
        <v>33</v>
      </c>
      <c r="G31" s="35">
        <f t="shared" si="5"/>
        <v>0</v>
      </c>
      <c r="H31" s="30">
        <f>COUNTIFS('فحص-بيانات-ماجستير'!$B$5:$B$230,"6. البحث والمشاريع",'فحص-بيانات-ماجستير'!$K$5:$K$230,"عالية")</f>
        <v>0</v>
      </c>
      <c r="I31" s="30">
        <f>COUNTIFS('فحص-بيانات-ماجستير'!$B$5:$B$230,"6. البحث والمشاريع",'فحص-بيانات-ماجستير'!$P$5:$P$230,"&lt;&gt;")</f>
        <v>0</v>
      </c>
      <c r="J31" s="26"/>
    </row>
    <row r="32" spans="1:10" ht="26" x14ac:dyDescent="0.55000000000000004">
      <c r="A32" s="27" t="s">
        <v>130</v>
      </c>
      <c r="B32" s="36">
        <f>COUNTIF('فحص-بيانات-ماجستير'!$D$5:$D$230,"★")</f>
        <v>69</v>
      </c>
      <c r="C32" s="36">
        <f>COUNTIFS('فحص-بيانات-ماجستير'!$D$5:$D$230,"★",'فحص-بيانات-ماجستير'!$I$5:$I$230,"متوفر ومكتمل")</f>
        <v>0</v>
      </c>
      <c r="D32" s="36">
        <f>COUNTIFS('فحص-بيانات-ماجستير'!$D$5:$D$230,"★",'فحص-بيانات-ماجستير'!$I$5:$I$230,"متوفر ويحتاج تحسين")</f>
        <v>0</v>
      </c>
      <c r="E32" s="36">
        <f>COUNTIFS('فحص-بيانات-ماجستير'!$D$5:$D$230,"★",'فحص-بيانات-ماجستير'!$I$5:$I$230,"غير متوفر")</f>
        <v>0</v>
      </c>
      <c r="F32" s="36">
        <f t="shared" si="4"/>
        <v>69</v>
      </c>
      <c r="G32" s="37">
        <f t="shared" si="5"/>
        <v>0</v>
      </c>
      <c r="H32" s="36">
        <f>COUNTIFS('فحص-بيانات-ماجستير'!$D$5:$D$230,"★",'فحص-بيانات-ماجستير'!$K$5:$K$230,"عالية")</f>
        <v>0</v>
      </c>
      <c r="I32" s="36">
        <f>COUNTIFS('فحص-بيانات-ماجستير'!$D$5:$D$230,"★",'فحص-بيانات-ماجستير'!$P$5:$P$230,"&lt;&gt;")</f>
        <v>0</v>
      </c>
      <c r="J32" s="26"/>
    </row>
    <row r="33" spans="1:10" ht="26" x14ac:dyDescent="0.55000000000000004">
      <c r="A33" s="27" t="s">
        <v>131</v>
      </c>
      <c r="B33" s="36">
        <f>COUNTIF('فحص-بيانات-ماجستير'!$A$5:$A$230,"*")</f>
        <v>226</v>
      </c>
      <c r="C33" s="36">
        <f>COUNTIFS('فحص-بيانات-ماجستير'!$A$5:$A$230,"*",'فحص-بيانات-ماجستير'!$I$5:$I$230,"متوفر ومكتمل")</f>
        <v>0</v>
      </c>
      <c r="D33" s="36">
        <f>COUNTIFS('فحص-بيانات-ماجستير'!$A$5:$A$230,"*",'فحص-بيانات-ماجستير'!$I$5:$I$230,"متوفر ويحتاج تحسين")</f>
        <v>0</v>
      </c>
      <c r="E33" s="36">
        <f>COUNTIFS('فحص-بيانات-ماجستير'!$A$5:$A$230,"*",'فحص-بيانات-ماجستير'!$I$5:$I$230,"غير متوفر")</f>
        <v>0</v>
      </c>
      <c r="F33" s="36">
        <f t="shared" si="4"/>
        <v>226</v>
      </c>
      <c r="G33" s="37">
        <f t="shared" si="5"/>
        <v>0</v>
      </c>
      <c r="H33" s="36">
        <f>COUNTIFS('فحص-بيانات-ماجستير'!$A$5:$A$230,"*",'فحص-بيانات-ماجستير'!$K$5:$K$230,"عالية")</f>
        <v>0</v>
      </c>
      <c r="I33" s="36">
        <f>COUNTIFS('فحص-بيانات-ماجستير'!$A$5:$A$230,"*",'فحص-بيانات-ماجستير'!$P$5:$P$230,"&lt;&gt;")</f>
        <v>0</v>
      </c>
      <c r="J33" s="26"/>
    </row>
    <row r="34" spans="1:10" ht="26" x14ac:dyDescent="0.55000000000000004">
      <c r="A34" s="26"/>
      <c r="B34" s="26"/>
      <c r="C34" s="26"/>
      <c r="D34" s="26"/>
      <c r="E34" s="26"/>
      <c r="F34" s="26"/>
      <c r="G34" s="26"/>
      <c r="H34" s="26"/>
      <c r="I34" s="26"/>
      <c r="J34" s="26"/>
    </row>
    <row r="35" spans="1:10" ht="26.75" customHeight="1" x14ac:dyDescent="0.55000000000000004">
      <c r="A35" s="97" t="s">
        <v>133</v>
      </c>
      <c r="B35" s="97"/>
      <c r="C35" s="97"/>
      <c r="D35" s="97"/>
      <c r="E35" s="97"/>
      <c r="F35" s="97"/>
      <c r="G35" s="97"/>
      <c r="H35" s="97"/>
      <c r="I35" s="97"/>
      <c r="J35" s="26"/>
    </row>
    <row r="36" spans="1:10" ht="52" x14ac:dyDescent="0.55000000000000004">
      <c r="A36" s="29" t="s">
        <v>70</v>
      </c>
      <c r="B36" s="29" t="s">
        <v>134</v>
      </c>
      <c r="C36" s="29" t="s">
        <v>135</v>
      </c>
      <c r="D36" s="29" t="s">
        <v>136</v>
      </c>
      <c r="E36" s="29" t="s">
        <v>124</v>
      </c>
      <c r="F36" s="29" t="s">
        <v>137</v>
      </c>
      <c r="G36" s="29"/>
      <c r="H36" s="29"/>
      <c r="I36" s="29"/>
      <c r="J36" s="26"/>
    </row>
    <row r="37" spans="1:10" ht="26" x14ac:dyDescent="0.55000000000000004">
      <c r="A37" s="34" t="str">
        <f>'الإعدادات واللجنة'!$B$15</f>
        <v>د. سلطان بن سعيد الشمراني</v>
      </c>
      <c r="B37" s="30">
        <f>COUNTIFS('فحص-حاسب-بكالوريوس'!$H$5:$H$208,'الإعدادات واللجنة'!$B$15)+COUNTIFS('فحص-بيانات-بكالوريوس'!$H$5:$H$208,'الإعدادات واللجنة'!$B$15)+COUNTIFS('فحص-بيانات-ماجستير'!$H$5:$H$230,'الإعدادات واللجنة'!$B$15)</f>
        <v>117</v>
      </c>
      <c r="C37" s="30">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3</v>
      </c>
      <c r="D37" s="35">
        <f t="shared" ref="D37:D42" si="6">IF(B37=0,0,C37/B37)</f>
        <v>2.564102564102564E-2</v>
      </c>
      <c r="E37" s="30">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30">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c r="G37" s="26"/>
      <c r="H37" s="26"/>
      <c r="I37" s="26"/>
      <c r="J37" s="26"/>
    </row>
    <row r="38" spans="1:10" ht="26" x14ac:dyDescent="0.55000000000000004">
      <c r="A38" s="34" t="str">
        <f>'الإعدادات واللجنة'!$B$16</f>
        <v>د. احمد بن عوض البشري</v>
      </c>
      <c r="B38" s="30">
        <f>COUNTIFS('فحص-حاسب-بكالوريوس'!$H$5:$H$208,'الإعدادات واللجنة'!$B$16)+COUNTIFS('فحص-بيانات-بكالوريوس'!$H$5:$H$208,'الإعدادات واللجنة'!$B$16)+COUNTIFS('فحص-بيانات-ماجستير'!$H$5:$H$230,'الإعدادات واللجنة'!$B$16)</f>
        <v>141</v>
      </c>
      <c r="C38" s="30">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35">
        <f t="shared" si="6"/>
        <v>0</v>
      </c>
      <c r="E38" s="30">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30">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c r="G38" s="26"/>
      <c r="H38" s="26"/>
      <c r="I38" s="26"/>
      <c r="J38" s="26"/>
    </row>
    <row r="39" spans="1:10" ht="26" x14ac:dyDescent="0.55000000000000004">
      <c r="A39" s="34" t="str">
        <f>'الإعدادات واللجنة'!$B$17</f>
        <v>د. يثرب بنت سعد القحطاني</v>
      </c>
      <c r="B39" s="30">
        <f>COUNTIFS('فحص-حاسب-بكالوريوس'!$H$5:$H$208,'الإعدادات واللجنة'!$B$17)+COUNTIFS('فحص-بيانات-بكالوريوس'!$H$5:$H$208,'الإعدادات واللجنة'!$B$17)+COUNTIFS('فحص-بيانات-ماجستير'!$H$5:$H$230,'الإعدادات واللجنة'!$B$17)</f>
        <v>77</v>
      </c>
      <c r="C39" s="30">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35">
        <f t="shared" si="6"/>
        <v>0</v>
      </c>
      <c r="E39" s="30">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30">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c r="G39" s="26"/>
      <c r="H39" s="26"/>
      <c r="I39" s="26"/>
      <c r="J39" s="26"/>
    </row>
    <row r="40" spans="1:10" ht="26" x14ac:dyDescent="0.55000000000000004">
      <c r="A40" s="34" t="str">
        <f>'الإعدادات واللجنة'!$B$18</f>
        <v>د. عبدالله بن محمد البركاتي</v>
      </c>
      <c r="B40" s="30">
        <f>COUNTIFS('فحص-حاسب-بكالوريوس'!$H$5:$H$208,'الإعدادات واللجنة'!$B$18)+COUNTIFS('فحص-بيانات-بكالوريوس'!$H$5:$H$208,'الإعدادات واللجنة'!$B$18)+COUNTIFS('فحص-بيانات-ماجستير'!$H$5:$H$230,'الإعدادات واللجنة'!$B$18)</f>
        <v>92</v>
      </c>
      <c r="C40" s="30">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35">
        <f t="shared" si="6"/>
        <v>0</v>
      </c>
      <c r="E40" s="30">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30">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c r="G40" s="26"/>
      <c r="H40" s="26"/>
      <c r="I40" s="26"/>
      <c r="J40" s="26"/>
    </row>
    <row r="41" spans="1:10" ht="26" x14ac:dyDescent="0.55000000000000004">
      <c r="A41" s="34" t="str">
        <f>'الإعدادات واللجنة'!$B$19</f>
        <v>د. عمر بن محمد موسى</v>
      </c>
      <c r="B41" s="30">
        <f>COUNTIFS('فحص-حاسب-بكالوريوس'!$H$5:$H$208,'الإعدادات واللجنة'!$B$19)+COUNTIFS('فحص-بيانات-بكالوريوس'!$H$5:$H$208,'الإعدادات واللجنة'!$B$19)+COUNTIFS('فحص-بيانات-ماجستير'!$H$5:$H$230,'الإعدادات واللجنة'!$B$19)</f>
        <v>117</v>
      </c>
      <c r="C41" s="30">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35">
        <f t="shared" si="6"/>
        <v>0</v>
      </c>
      <c r="E41" s="30">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30">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c r="G41" s="26"/>
      <c r="H41" s="26"/>
      <c r="I41" s="26"/>
      <c r="J41" s="26"/>
    </row>
    <row r="42" spans="1:10" ht="26" x14ac:dyDescent="0.55000000000000004">
      <c r="A42" s="34" t="str">
        <f>'الإعدادات واللجنة'!$B$20</f>
        <v>د. حسن بن سعد القحطاني</v>
      </c>
      <c r="B42" s="30">
        <f>COUNTIFS('فحص-حاسب-بكالوريوس'!$H$5:$H$208,'الإعدادات واللجنة'!$B$20)+COUNTIFS('فحص-بيانات-بكالوريوس'!$H$5:$H$208,'الإعدادات واللجنة'!$B$20)+COUNTIFS('فحص-بيانات-ماجستير'!$H$5:$H$230,'الإعدادات واللجنة'!$B$20)</f>
        <v>90</v>
      </c>
      <c r="C42" s="30">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35">
        <f t="shared" si="6"/>
        <v>0</v>
      </c>
      <c r="E42" s="30">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30">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c r="G42" s="26"/>
      <c r="H42" s="26"/>
      <c r="I42" s="26"/>
      <c r="J42" s="26"/>
    </row>
    <row r="43" spans="1:10" ht="26" x14ac:dyDescent="0.55000000000000004">
      <c r="A43" s="26"/>
      <c r="B43" s="26"/>
      <c r="C43" s="26"/>
      <c r="D43" s="26"/>
      <c r="E43" s="26"/>
      <c r="F43" s="26"/>
      <c r="G43" s="26"/>
      <c r="H43" s="26"/>
      <c r="I43" s="26"/>
      <c r="J43" s="26"/>
    </row>
    <row r="44" spans="1:10" ht="26.75" customHeight="1" x14ac:dyDescent="0.55000000000000004">
      <c r="A44" s="97" t="s">
        <v>138</v>
      </c>
      <c r="B44" s="97"/>
      <c r="C44" s="97"/>
      <c r="D44" s="97"/>
      <c r="E44" s="97"/>
      <c r="F44" s="97"/>
      <c r="G44" s="97"/>
      <c r="H44" s="97"/>
      <c r="I44" s="97"/>
      <c r="J44" s="26"/>
    </row>
    <row r="45" spans="1:10" ht="52" x14ac:dyDescent="0.55000000000000004">
      <c r="A45" s="29" t="s">
        <v>139</v>
      </c>
      <c r="B45" s="29" t="str">
        <f>'الإعدادات واللجنة'!$B$5</f>
        <v>بكالوريوس علوم الحاسب</v>
      </c>
      <c r="C45" s="29" t="str">
        <f>'الإعدادات واللجنة'!$B$6</f>
        <v>بكالوريوس علوم البيانات</v>
      </c>
      <c r="D45" s="29" t="str">
        <f>'الإعدادات واللجنة'!$B$7</f>
        <v>ماجستير علوم البيانات</v>
      </c>
      <c r="E45" s="26"/>
      <c r="F45" s="26"/>
      <c r="G45" s="26"/>
      <c r="H45" s="26"/>
      <c r="I45" s="26"/>
      <c r="J45" s="26"/>
    </row>
    <row r="46" spans="1:10" ht="26" x14ac:dyDescent="0.55000000000000004">
      <c r="A46" s="34" t="s">
        <v>588</v>
      </c>
      <c r="B46" s="30">
        <f>COUNTIF('فحص-حاسب-بكالوريوس'!$J$5:$J$208,"فجوة توثيق")</f>
        <v>1</v>
      </c>
      <c r="C46" s="30">
        <f>COUNTIF('فحص-بيانات-بكالوريوس'!$J$5:$J$208,"فجوة توثيق")</f>
        <v>0</v>
      </c>
      <c r="D46" s="30">
        <f>COUNTIF('فحص-بيانات-ماجستير'!$J$5:$J$230,"فجوة توثيق")</f>
        <v>0</v>
      </c>
      <c r="E46" s="26"/>
      <c r="F46" s="26"/>
      <c r="G46" s="26"/>
      <c r="H46" s="26"/>
      <c r="I46" s="26"/>
      <c r="J46" s="26"/>
    </row>
    <row r="47" spans="1:10" ht="26" x14ac:dyDescent="0.55000000000000004">
      <c r="A47" s="34" t="s">
        <v>589</v>
      </c>
      <c r="B47" s="30">
        <f>COUNTIF('فحص-حاسب-بكالوريوس'!$J$5:$J$208,"فجوة تطبيق")</f>
        <v>1</v>
      </c>
      <c r="C47" s="30">
        <f>COUNTIF('فحص-بيانات-بكالوريوس'!$J$5:$J$208,"فجوة تطبيق")</f>
        <v>0</v>
      </c>
      <c r="D47" s="30">
        <f>COUNTIF('فحص-بيانات-ماجستير'!$J$5:$J$230,"فجوة تطبيق")</f>
        <v>0</v>
      </c>
      <c r="E47" s="26"/>
      <c r="F47" s="26"/>
      <c r="G47" s="26"/>
      <c r="H47" s="26"/>
      <c r="I47" s="26"/>
      <c r="J47" s="26"/>
    </row>
  </sheetData>
  <mergeCells count="7">
    <mergeCell ref="A35:I35"/>
    <mergeCell ref="A44:I44"/>
    <mergeCell ref="A1:I1"/>
    <mergeCell ref="A2:I2"/>
    <mergeCell ref="A4:I4"/>
    <mergeCell ref="A14:I14"/>
    <mergeCell ref="A24:I24"/>
  </mergeCells>
  <conditionalFormatting sqref="D37:D42">
    <cfRule type="dataBar" priority="5">
      <dataBar>
        <cfvo type="num" val="0"/>
        <cfvo type="num" val="1"/>
        <color rgb="FF70AD47"/>
      </dataBar>
    </cfRule>
    <cfRule type="dataBar" priority="6">
      <dataBar>
        <cfvo type="num" val="0"/>
        <cfvo type="num" val="1"/>
        <color rgb="FF70AD47"/>
      </dataBar>
    </cfRule>
    <cfRule type="dataBar" priority="10">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cfRule>
    <cfRule type="dataBar" priority="7">
      <dataBar>
        <cfvo type="num" val="0"/>
        <cfvo type="num" val="1"/>
        <color rgb="FF5B9BD5"/>
      </dataBar>
    </cfRule>
    <cfRule type="dataBar" priority="11">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cfRule>
    <cfRule type="dataBar" priority="8">
      <dataBar>
        <cfvo type="num" val="0"/>
        <cfvo type="num" val="1"/>
        <color rgb="FF5B9BD5"/>
      </dataBar>
    </cfRule>
    <cfRule type="dataBar" priority="12">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cfRule>
    <cfRule type="dataBar" priority="9">
      <dataBar>
        <cfvo type="num" val="0"/>
        <cfvo type="num" val="1"/>
        <color rgb="FF5B9BD5"/>
      </dataBar>
    </cfRule>
    <cfRule type="dataBar" priority="13">
      <dataBar>
        <cfvo type="num" val="0"/>
        <cfvo type="num" val="1"/>
        <color rgb="FF5B9BD5"/>
      </dataBar>
      <extLst>
        <ext xmlns:x14="http://schemas.microsoft.com/office/spreadsheetml/2009/9/main" uri="{B025F937-C7B1-47D3-B67F-A62EFF666E3E}">
          <x14:id>{89BBA577-6837-4B9C-B61B-62FF5024EAF4}</x14:id>
        </ext>
      </extLst>
    </cfRule>
  </conditionalFormatting>
  <pageMargins left="0.7" right="0.7" top="0.75" bottom="0.75" header="0.3" footer="0.3"/>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x14:cfvo type="num">
                <xm:f>0</xm:f>
              </x14:cfvo>
              <x14:cfvo type="num">
                <xm:f>1</xm:f>
              </x14:cfvo>
              <x14:negativeFillColor rgb="FF70AD47"/>
              <x14:axisColor auto="1"/>
            </x14:dataBar>
          </x14:cfRule>
          <xm:sqref>D37:D42</xm:sqref>
        </x14:conditionalFormatting>
        <x14:conditionalFormatting xmlns:xm="http://schemas.microsoft.com/office/excel/2006/main">
          <x14:cfRule type="dataBar" id="{3385169E-CA70-4B7D-8470-29DC1E962E10}">
            <x14:dataBar>
              <x14:cfvo type="num">
                <xm:f>0</xm:f>
              </x14:cfvo>
              <x14:cfvo type="num">
                <xm:f>1</xm:f>
              </x14:cfvo>
              <x14:negativeFillColor rgb="FF5B9BD5"/>
              <x14:axisColor auto="1"/>
            </x14:dataBar>
          </x14:cfRule>
          <xm:sqref>G6:G12</xm:sqref>
        </x14:conditionalFormatting>
        <x14:conditionalFormatting xmlns:xm="http://schemas.microsoft.com/office/excel/2006/main">
          <x14:cfRule type="dataBar" id="{BFE9761E-F0C6-40F7-997F-A4177A875D6C}">
            <x14:dataBar>
              <x14:cfvo type="num">
                <xm:f>0</xm:f>
              </x14:cfvo>
              <x14:cfvo type="num">
                <xm:f>1</xm:f>
              </x14:cfvo>
              <x14:negativeFillColor rgb="FF5B9BD5"/>
              <x14:axisColor auto="1"/>
            </x14:dataBar>
          </x14:cfRule>
          <xm:sqref>G16:G22</xm:sqref>
        </x14:conditionalFormatting>
        <x14:conditionalFormatting xmlns:xm="http://schemas.microsoft.com/office/excel/2006/main">
          <x14:cfRule type="dataBar" id="{89BBA577-6837-4B9C-B61B-62FF5024EAF4}">
            <x14:dataBar>
              <x14:cfvo type="num">
                <xm:f>0</xm:f>
              </x14:cfvo>
              <x14:cfvo type="num">
                <xm:f>1</xm:f>
              </x14:cfvo>
              <x14:negativeFillColor rgb="FF5B9BD5"/>
              <x14:axisColor auto="1"/>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6D899-D0E7-A14D-966D-CF424C8168F3}">
  <sheetPr>
    <tabColor rgb="FF2E75B6"/>
  </sheetPr>
  <dimension ref="A1:J235"/>
  <sheetViews>
    <sheetView rightToLeft="1" tabSelected="1" workbookViewId="0">
      <selection activeCell="B3" sqref="B3"/>
    </sheetView>
  </sheetViews>
  <sheetFormatPr baseColWidth="10" defaultColWidth="8.83203125" defaultRowHeight="15" x14ac:dyDescent="0.2"/>
  <cols>
    <col min="1" max="1" width="6" customWidth="1"/>
    <col min="2" max="2" width="10" customWidth="1"/>
    <col min="3" max="3" width="48" customWidth="1"/>
    <col min="4" max="4" width="26" customWidth="1"/>
    <col min="5" max="5" width="13" customWidth="1"/>
    <col min="6" max="6" width="40" customWidth="1"/>
    <col min="7" max="7" width="18" customWidth="1"/>
    <col min="8" max="8" width="26" customWidth="1"/>
    <col min="9" max="10" width="6" hidden="1" customWidth="1"/>
  </cols>
  <sheetData>
    <row r="1" spans="1:10" ht="30" customHeight="1" x14ac:dyDescent="0.55000000000000004">
      <c r="A1" s="74" t="s">
        <v>590</v>
      </c>
      <c r="B1" s="102"/>
      <c r="C1" s="102"/>
      <c r="D1" s="102"/>
      <c r="E1" s="102"/>
      <c r="F1" s="102"/>
      <c r="G1" s="102"/>
    </row>
    <row r="2" spans="1:10" ht="22" customHeight="1" x14ac:dyDescent="0.55000000000000004">
      <c r="A2" s="75" t="s">
        <v>591</v>
      </c>
      <c r="B2" s="102"/>
      <c r="C2" s="102"/>
      <c r="D2" s="102"/>
      <c r="E2" s="102"/>
      <c r="F2" s="102"/>
      <c r="G2" s="102"/>
    </row>
    <row r="3" spans="1:10" ht="28" customHeight="1" x14ac:dyDescent="0.55000000000000004">
      <c r="A3" s="16" t="s">
        <v>592</v>
      </c>
      <c r="B3" s="103" t="s">
        <v>62</v>
      </c>
      <c r="C3" s="102"/>
      <c r="D3" s="16" t="s">
        <v>191</v>
      </c>
      <c r="E3" s="38" t="s">
        <v>120</v>
      </c>
      <c r="F3" s="16" t="s">
        <v>117</v>
      </c>
      <c r="G3" s="10">
        <f>IFERROR(CHOOSE($J$3,COUNTIF('فحص-حاسب-بكالوريوس'!$I$5:$I$208,$E$3),COUNTIF('فحص-بيانات-بكالوريوس'!$I$5:$I$208,$E$3),COUNTIF('فحص-بيانات-ماجستير'!$I$5:$I$230,$E$3)),0)</f>
        <v>1</v>
      </c>
      <c r="J3" s="2">
        <f>IFERROR(MATCH($B$3,'الإعدادات واللجنة'!$B$5:$B$7,0),1)</f>
        <v>1</v>
      </c>
    </row>
    <row r="4" spans="1:10" ht="26" x14ac:dyDescent="0.55000000000000004">
      <c r="A4" s="26"/>
      <c r="B4" s="26"/>
      <c r="C4" s="26"/>
      <c r="D4" s="26"/>
      <c r="E4" s="26"/>
      <c r="F4" s="26"/>
      <c r="G4" s="26"/>
    </row>
    <row r="5" spans="1:10" ht="28" customHeight="1" x14ac:dyDescent="0.2">
      <c r="A5" s="16" t="s">
        <v>69</v>
      </c>
      <c r="B5" s="16" t="s">
        <v>92</v>
      </c>
      <c r="C5" s="16" t="s">
        <v>593</v>
      </c>
      <c r="D5" s="16" t="s">
        <v>35</v>
      </c>
      <c r="E5" s="16" t="s">
        <v>139</v>
      </c>
      <c r="F5" s="16" t="s">
        <v>193</v>
      </c>
      <c r="G5" s="16" t="s">
        <v>194</v>
      </c>
      <c r="H5" s="16" t="inlineStr">
        <is>
          <t>جهة الدليل</t>
        </is>
      </c>
    </row>
    <row r="6" spans="1:10" x14ac:dyDescent="0.2">
      <c r="A6" s="1">
        <f>IF($I6="","",1)</f>
        <v>1</v>
      </c>
      <c r="B6" s="2" t="str">
        <f>IF($I6="","",INDEX(CHOOSE($J$3,'فحص-حاسب-بكالوريوس'!$A$5:$A$208,'فحص-بيانات-بكالوريوس'!$A$5:$A$208,'فحص-بيانات-ماجستير'!$A$5:$A$230),$I6)&amp;"")</f>
        <v>1-1-2</v>
      </c>
      <c r="C6" s="2" t="str">
        <f>IF($I6="","",INDEX(CHOOSE($J$3,'فحص-حاسب-بكالوريوس'!$F$5:$F$208,'فحص-بيانات-بكالوريوس'!$F$5:$F$208,'فحص-بيانات-ماجستير'!$F$5:$F$230),$I6)&amp;"")</f>
        <v>استبانة تقييم القيادات الأكاديمية والإدارية بالبرنامج.</v>
      </c>
      <c r="D6" s="2" t="str">
        <f>IF($I6="","",INDEX(CHOOSE($J$3,'فحص-حاسب-بكالوريوس'!$H$5:$H$208,'فحص-بيانات-بكالوريوس'!$H$5:$H$208,'فحص-بيانات-ماجستير'!$H$5:$H$230),$I6)&amp;"")</f>
        <v>د. سلطان بن سعيد الشمراني</v>
      </c>
      <c r="E6" s="2" t="str">
        <f>IF($I6="","",INDEX(CHOOSE($J$3,'فحص-حاسب-بكالوريوس'!$J$5:$J$208,'فحص-بيانات-بكالوريوس'!$J$5:$J$208,'فحص-بيانات-ماجستير'!$J$5:$J$230),$I6)&amp;"")</f>
        <v>فجوة تطبيق</v>
      </c>
      <c r="F6" s="2" t="str">
        <f>IF($I6="","",INDEX(CHOOSE($J$3,'فحص-حاسب-بكالوريوس'!$L$5:$L$208,'فحص-بيانات-بكالوريوس'!$L$5:$L$208,'فحص-بيانات-ماجستير'!$L$5:$L$230),$I6)&amp;"")</f>
        <v/>
      </c>
      <c r="G6" s="2" t="str">
        <f>IF($I6="","",INDEX(CHOOSE($J$3,'فحص-حاسب-بكالوريوس'!$M$5:$M$208,'فحص-بيانات-بكالوريوس'!$M$5:$M$208,'فحص-بيانات-ماجستير'!$M$5:$M$230),$I6)&amp;"")</f>
        <v/>
      </c>
      <c r="H6" s="2" t="str">
        <f>IF($I6="","",INDEX(CHOOSE($J$3,'فحص-حاسب-بكالوريوس'!$G$5:$G$208,'فحص-بيانات-بكالوريوس'!$G$5:$G$208,'فحص-بيانات-ماجستير'!$G$5:$G$230),$I6)&amp;"")</f>
        <v/>
      </c>
      <c r="I6" s="2">
        <f>IFERROR(MATCH($E$3&amp;"#"&amp;1,CHOOSE($J$3,'فحص-حاسب-بكالوريوس'!$R$5:$R$208,'فحص-بيانات-بكالوريوس'!$R$5:$R$208,'فحص-بيانات-ماجستير'!$R$5:$R$230),0),"")</f>
        <v>9</v>
      </c>
    </row>
    <row r="7" spans="1:10" x14ac:dyDescent="0.2">
      <c r="A7" s="1" t="str">
        <f>IF($I7="","",2)</f>
        <v/>
      </c>
      <c r="B7" s="2" t="str">
        <f>IF($I7="","",INDEX(CHOOSE($J$3,'فحص-حاسب-بكالوريوس'!$A$5:$A$208,'فحص-بيانات-بكالوريوس'!$A$5:$A$208,'فحص-بيانات-ماجستير'!$A$5:$A$230),$I7)&amp;"")</f>
        <v/>
      </c>
      <c r="C7" s="2" t="str">
        <f>IF($I7="","",INDEX(CHOOSE($J$3,'فحص-حاسب-بكالوريوس'!$F$5:$F$208,'فحص-بيانات-بكالوريوس'!$F$5:$F$208,'فحص-بيانات-ماجستير'!$F$5:$F$230),$I7)&amp;"")</f>
        <v/>
      </c>
      <c r="D7" s="2" t="str">
        <f>IF($I7="","",INDEX(CHOOSE($J$3,'فحص-حاسب-بكالوريوس'!$H$5:$H$208,'فحص-بيانات-بكالوريوس'!$H$5:$H$208,'فحص-بيانات-ماجستير'!$H$5:$H$230),$I7)&amp;"")</f>
        <v/>
      </c>
      <c r="E7" s="2" t="str">
        <f>IF($I7="","",INDEX(CHOOSE($J$3,'فحص-حاسب-بكالوريوس'!$J$5:$J$208,'فحص-بيانات-بكالوريوس'!$J$5:$J$208,'فحص-بيانات-ماجستير'!$J$5:$J$230),$I7)&amp;"")</f>
        <v/>
      </c>
      <c r="F7" s="2" t="str">
        <f>IF($I7="","",INDEX(CHOOSE($J$3,'فحص-حاسب-بكالوريوس'!$L$5:$L$208,'فحص-بيانات-بكالوريوس'!$L$5:$L$208,'فحص-بيانات-ماجستير'!$L$5:$L$230),$I7)&amp;"")</f>
        <v/>
      </c>
      <c r="G7" s="2" t="str">
        <f>IF($I7="","",INDEX(CHOOSE($J$3,'فحص-حاسب-بكالوريوس'!$M$5:$M$208,'فحص-بيانات-بكالوريوس'!$M$5:$M$208,'فحص-بيانات-ماجستير'!$M$5:$M$230),$I7)&amp;"")</f>
        <v/>
      </c>
      <c r="H7" s="2" t="str">
        <f>IF($I7="","",INDEX(CHOOSE($J$3,'فحص-حاسب-بكالوريوس'!$G$5:$G$208,'فحص-بيانات-بكالوريوس'!$G$5:$G$208,'فحص-بيانات-ماجستير'!$G$5:$G$230),$I7)&amp;"")</f>
        <v/>
      </c>
      <c r="I7" s="2" t="str">
        <f>IFERROR(MATCH($E$3&amp;"#"&amp;2,CHOOSE($J$3,'فحص-حاسب-بكالوريوس'!$R$5:$R$208,'فحص-بيانات-بكالوريوس'!$R$5:$R$208,'فحص-بيانات-ماجستير'!$R$5:$R$230),0),"")</f>
        <v/>
      </c>
    </row>
    <row r="8" spans="1:10" x14ac:dyDescent="0.2">
      <c r="A8" s="1" t="str">
        <f>IF($I8="","",3)</f>
        <v/>
      </c>
      <c r="B8" s="2" t="str">
        <f>IF($I8="","",INDEX(CHOOSE($J$3,'فحص-حاسب-بكالوريوس'!$A$5:$A$208,'فحص-بيانات-بكالوريوس'!$A$5:$A$208,'فحص-بيانات-ماجستير'!$A$5:$A$230),$I8)&amp;"")</f>
        <v/>
      </c>
      <c r="C8" s="2" t="str">
        <f>IF($I8="","",INDEX(CHOOSE($J$3,'فحص-حاسب-بكالوريوس'!$F$5:$F$208,'فحص-بيانات-بكالوريوس'!$F$5:$F$208,'فحص-بيانات-ماجستير'!$F$5:$F$230),$I8)&amp;"")</f>
        <v/>
      </c>
      <c r="D8" s="2" t="str">
        <f>IF($I8="","",INDEX(CHOOSE($J$3,'فحص-حاسب-بكالوريوس'!$H$5:$H$208,'فحص-بيانات-بكالوريوس'!$H$5:$H$208,'فحص-بيانات-ماجستير'!$H$5:$H$230),$I8)&amp;"")</f>
        <v/>
      </c>
      <c r="E8" s="2" t="str">
        <f>IF($I8="","",INDEX(CHOOSE($J$3,'فحص-حاسب-بكالوريوس'!$J$5:$J$208,'فحص-بيانات-بكالوريوس'!$J$5:$J$208,'فحص-بيانات-ماجستير'!$J$5:$J$230),$I8)&amp;"")</f>
        <v/>
      </c>
      <c r="F8" s="2" t="str">
        <f>IF($I8="","",INDEX(CHOOSE($J$3,'فحص-حاسب-بكالوريوس'!$L$5:$L$208,'فحص-بيانات-بكالوريوس'!$L$5:$L$208,'فحص-بيانات-ماجستير'!$L$5:$L$230),$I8)&amp;"")</f>
        <v/>
      </c>
      <c r="G8" s="2" t="str">
        <f>IF($I8="","",INDEX(CHOOSE($J$3,'فحص-حاسب-بكالوريوس'!$M$5:$M$208,'فحص-بيانات-بكالوريوس'!$M$5:$M$208,'فحص-بيانات-ماجستير'!$M$5:$M$230),$I8)&amp;"")</f>
        <v/>
      </c>
      <c r="H8" s="2" t="str">
        <f>IF($I8="","",INDEX(CHOOSE($J$3,'فحص-حاسب-بكالوريوس'!$G$5:$G$208,'فحص-بيانات-بكالوريوس'!$G$5:$G$208,'فحص-بيانات-ماجستير'!$G$5:$G$230),$I8)&amp;"")</f>
        <v/>
      </c>
      <c r="I8" s="2" t="str">
        <f>IFERROR(MATCH($E$3&amp;"#"&amp;3,CHOOSE($J$3,'فحص-حاسب-بكالوريوس'!$R$5:$R$208,'فحص-بيانات-بكالوريوس'!$R$5:$R$208,'فحص-بيانات-ماجستير'!$R$5:$R$230),0),"")</f>
        <v/>
      </c>
    </row>
    <row r="9" spans="1:10" x14ac:dyDescent="0.2">
      <c r="A9" s="1" t="str">
        <f>IF($I9="","",4)</f>
        <v/>
      </c>
      <c r="B9" s="2" t="str">
        <f>IF($I9="","",INDEX(CHOOSE($J$3,'فحص-حاسب-بكالوريوس'!$A$5:$A$208,'فحص-بيانات-بكالوريوس'!$A$5:$A$208,'فحص-بيانات-ماجستير'!$A$5:$A$230),$I9)&amp;"")</f>
        <v/>
      </c>
      <c r="C9" s="2" t="str">
        <f>IF($I9="","",INDEX(CHOOSE($J$3,'فحص-حاسب-بكالوريوس'!$F$5:$F$208,'فحص-بيانات-بكالوريوس'!$F$5:$F$208,'فحص-بيانات-ماجستير'!$F$5:$F$230),$I9)&amp;"")</f>
        <v/>
      </c>
      <c r="D9" s="2" t="str">
        <f>IF($I9="","",INDEX(CHOOSE($J$3,'فحص-حاسب-بكالوريوس'!$H$5:$H$208,'فحص-بيانات-بكالوريوس'!$H$5:$H$208,'فحص-بيانات-ماجستير'!$H$5:$H$230),$I9)&amp;"")</f>
        <v/>
      </c>
      <c r="E9" s="2" t="str">
        <f>IF($I9="","",INDEX(CHOOSE($J$3,'فحص-حاسب-بكالوريوس'!$J$5:$J$208,'فحص-بيانات-بكالوريوس'!$J$5:$J$208,'فحص-بيانات-ماجستير'!$J$5:$J$230),$I9)&amp;"")</f>
        <v/>
      </c>
      <c r="F9" s="2" t="str">
        <f>IF($I9="","",INDEX(CHOOSE($J$3,'فحص-حاسب-بكالوريوس'!$L$5:$L$208,'فحص-بيانات-بكالوريوس'!$L$5:$L$208,'فحص-بيانات-ماجستير'!$L$5:$L$230),$I9)&amp;"")</f>
        <v/>
      </c>
      <c r="G9" s="2" t="str">
        <f>IF($I9="","",INDEX(CHOOSE($J$3,'فحص-حاسب-بكالوريوس'!$M$5:$M$208,'فحص-بيانات-بكالوريوس'!$M$5:$M$208,'فحص-بيانات-ماجستير'!$M$5:$M$230),$I9)&amp;"")</f>
        <v/>
      </c>
      <c r="H9" s="2" t="str">
        <f>IF($I9="","",INDEX(CHOOSE($J$3,'فحص-حاسب-بكالوريوس'!$G$5:$G$208,'فحص-بيانات-بكالوريوس'!$G$5:$G$208,'فحص-بيانات-ماجستير'!$G$5:$G$230),$I9)&amp;"")</f>
        <v/>
      </c>
      <c r="I9" s="2" t="str">
        <f>IFERROR(MATCH($E$3&amp;"#"&amp;4,CHOOSE($J$3,'فحص-حاسب-بكالوريوس'!$R$5:$R$208,'فحص-بيانات-بكالوريوس'!$R$5:$R$208,'فحص-بيانات-ماجستير'!$R$5:$R$230),0),"")</f>
        <v/>
      </c>
    </row>
    <row r="10" spans="1:10" x14ac:dyDescent="0.2">
      <c r="A10" s="1" t="str">
        <f>IF($I10="","",5)</f>
        <v/>
      </c>
      <c r="B10" s="2" t="str">
        <f>IF($I10="","",INDEX(CHOOSE($J$3,'فحص-حاسب-بكالوريوس'!$A$5:$A$208,'فحص-بيانات-بكالوريوس'!$A$5:$A$208,'فحص-بيانات-ماجستير'!$A$5:$A$230),$I10)&amp;"")</f>
        <v/>
      </c>
      <c r="C10" s="2" t="str">
        <f>IF($I10="","",INDEX(CHOOSE($J$3,'فحص-حاسب-بكالوريوس'!$F$5:$F$208,'فحص-بيانات-بكالوريوس'!$F$5:$F$208,'فحص-بيانات-ماجستير'!$F$5:$F$230),$I10)&amp;"")</f>
        <v/>
      </c>
      <c r="D10" s="2" t="str">
        <f>IF($I10="","",INDEX(CHOOSE($J$3,'فحص-حاسب-بكالوريوس'!$H$5:$H$208,'فحص-بيانات-بكالوريوس'!$H$5:$H$208,'فحص-بيانات-ماجستير'!$H$5:$H$230),$I10)&amp;"")</f>
        <v/>
      </c>
      <c r="E10" s="2" t="str">
        <f>IF($I10="","",INDEX(CHOOSE($J$3,'فحص-حاسب-بكالوريوس'!$J$5:$J$208,'فحص-بيانات-بكالوريوس'!$J$5:$J$208,'فحص-بيانات-ماجستير'!$J$5:$J$230),$I10)&amp;"")</f>
        <v/>
      </c>
      <c r="F10" s="2" t="str">
        <f>IF($I10="","",INDEX(CHOOSE($J$3,'فحص-حاسب-بكالوريوس'!$L$5:$L$208,'فحص-بيانات-بكالوريوس'!$L$5:$L$208,'فحص-بيانات-ماجستير'!$L$5:$L$230),$I10)&amp;"")</f>
        <v/>
      </c>
      <c r="G10" s="2" t="str">
        <f>IF($I10="","",INDEX(CHOOSE($J$3,'فحص-حاسب-بكالوريوس'!$M$5:$M$208,'فحص-بيانات-بكالوريوس'!$M$5:$M$208,'فحص-بيانات-ماجستير'!$M$5:$M$230),$I10)&amp;"")</f>
        <v/>
      </c>
      <c r="H10" s="2" t="str">
        <f>IF($I10="","",INDEX(CHOOSE($J$3,'فحص-حاسب-بكالوريوس'!$G$5:$G$208,'فحص-بيانات-بكالوريوس'!$G$5:$G$208,'فحص-بيانات-ماجستير'!$G$5:$G$230),$I10)&amp;"")</f>
        <v/>
      </c>
      <c r="I10" s="2" t="str">
        <f>IFERROR(MATCH($E$3&amp;"#"&amp;5,CHOOSE($J$3,'فحص-حاسب-بكالوريوس'!$R$5:$R$208,'فحص-بيانات-بكالوريوس'!$R$5:$R$208,'فحص-بيانات-ماجستير'!$R$5:$R$230),0),"")</f>
        <v/>
      </c>
    </row>
    <row r="11" spans="1:10" x14ac:dyDescent="0.2">
      <c r="A11" s="1" t="str">
        <f>IF($I11="","",6)</f>
        <v/>
      </c>
      <c r="B11" s="2" t="str">
        <f>IF($I11="","",INDEX(CHOOSE($J$3,'فحص-حاسب-بكالوريوس'!$A$5:$A$208,'فحص-بيانات-بكالوريوس'!$A$5:$A$208,'فحص-بيانات-ماجستير'!$A$5:$A$230),$I11)&amp;"")</f>
        <v/>
      </c>
      <c r="C11" s="2" t="str">
        <f>IF($I11="","",INDEX(CHOOSE($J$3,'فحص-حاسب-بكالوريوس'!$F$5:$F$208,'فحص-بيانات-بكالوريوس'!$F$5:$F$208,'فحص-بيانات-ماجستير'!$F$5:$F$230),$I11)&amp;"")</f>
        <v/>
      </c>
      <c r="D11" s="2" t="str">
        <f>IF($I11="","",INDEX(CHOOSE($J$3,'فحص-حاسب-بكالوريوس'!$H$5:$H$208,'فحص-بيانات-بكالوريوس'!$H$5:$H$208,'فحص-بيانات-ماجستير'!$H$5:$H$230),$I11)&amp;"")</f>
        <v/>
      </c>
      <c r="E11" s="2" t="str">
        <f>IF($I11="","",INDEX(CHOOSE($J$3,'فحص-حاسب-بكالوريوس'!$J$5:$J$208,'فحص-بيانات-بكالوريوس'!$J$5:$J$208,'فحص-بيانات-ماجستير'!$J$5:$J$230),$I11)&amp;"")</f>
        <v/>
      </c>
      <c r="F11" s="2" t="str">
        <f>IF($I11="","",INDEX(CHOOSE($J$3,'فحص-حاسب-بكالوريوس'!$L$5:$L$208,'فحص-بيانات-بكالوريوس'!$L$5:$L$208,'فحص-بيانات-ماجستير'!$L$5:$L$230),$I11)&amp;"")</f>
        <v/>
      </c>
      <c r="G11" s="2" t="str">
        <f>IF($I11="","",INDEX(CHOOSE($J$3,'فحص-حاسب-بكالوريوس'!$M$5:$M$208,'فحص-بيانات-بكالوريوس'!$M$5:$M$208,'فحص-بيانات-ماجستير'!$M$5:$M$230),$I11)&amp;"")</f>
        <v/>
      </c>
      <c r="H11" s="2" t="str">
        <f>IF($I11="","",INDEX(CHOOSE($J$3,'فحص-حاسب-بكالوريوس'!$G$5:$G$208,'فحص-بيانات-بكالوريوس'!$G$5:$G$208,'فحص-بيانات-ماجستير'!$G$5:$G$230),$I11)&amp;"")</f>
        <v/>
      </c>
      <c r="I11" s="2" t="str">
        <f>IFERROR(MATCH($E$3&amp;"#"&amp;6,CHOOSE($J$3,'فحص-حاسب-بكالوريوس'!$R$5:$R$208,'فحص-بيانات-بكالوريوس'!$R$5:$R$208,'فحص-بيانات-ماجستير'!$R$5:$R$230),0),"")</f>
        <v/>
      </c>
    </row>
    <row r="12" spans="1:10" x14ac:dyDescent="0.2">
      <c r="A12" s="1" t="str">
        <f>IF($I12="","",7)</f>
        <v/>
      </c>
      <c r="B12" s="2" t="str">
        <f>IF($I12="","",INDEX(CHOOSE($J$3,'فحص-حاسب-بكالوريوس'!$A$5:$A$208,'فحص-بيانات-بكالوريوس'!$A$5:$A$208,'فحص-بيانات-ماجستير'!$A$5:$A$230),$I12)&amp;"")</f>
        <v/>
      </c>
      <c r="C12" s="2" t="str">
        <f>IF($I12="","",INDEX(CHOOSE($J$3,'فحص-حاسب-بكالوريوس'!$F$5:$F$208,'فحص-بيانات-بكالوريوس'!$F$5:$F$208,'فحص-بيانات-ماجستير'!$F$5:$F$230),$I12)&amp;"")</f>
        <v/>
      </c>
      <c r="D12" s="2" t="str">
        <f>IF($I12="","",INDEX(CHOOSE($J$3,'فحص-حاسب-بكالوريوس'!$H$5:$H$208,'فحص-بيانات-بكالوريوس'!$H$5:$H$208,'فحص-بيانات-ماجستير'!$H$5:$H$230),$I12)&amp;"")</f>
        <v/>
      </c>
      <c r="E12" s="2" t="str">
        <f>IF($I12="","",INDEX(CHOOSE($J$3,'فحص-حاسب-بكالوريوس'!$J$5:$J$208,'فحص-بيانات-بكالوريوس'!$J$5:$J$208,'فحص-بيانات-ماجستير'!$J$5:$J$230),$I12)&amp;"")</f>
        <v/>
      </c>
      <c r="F12" s="2" t="str">
        <f>IF($I12="","",INDEX(CHOOSE($J$3,'فحص-حاسب-بكالوريوس'!$L$5:$L$208,'فحص-بيانات-بكالوريوس'!$L$5:$L$208,'فحص-بيانات-ماجستير'!$L$5:$L$230),$I12)&amp;"")</f>
        <v/>
      </c>
      <c r="G12" s="2" t="str">
        <f>IF($I12="","",INDEX(CHOOSE($J$3,'فحص-حاسب-بكالوريوس'!$M$5:$M$208,'فحص-بيانات-بكالوريوس'!$M$5:$M$208,'فحص-بيانات-ماجستير'!$M$5:$M$230),$I12)&amp;"")</f>
        <v/>
      </c>
      <c r="H12" s="2" t="str">
        <f>IF($I12="","",INDEX(CHOOSE($J$3,'فحص-حاسب-بكالوريوس'!$G$5:$G$208,'فحص-بيانات-بكالوريوس'!$G$5:$G$208,'فحص-بيانات-ماجستير'!$G$5:$G$230),$I12)&amp;"")</f>
        <v/>
      </c>
      <c r="I12" s="2" t="str">
        <f>IFERROR(MATCH($E$3&amp;"#"&amp;7,CHOOSE($J$3,'فحص-حاسب-بكالوريوس'!$R$5:$R$208,'فحص-بيانات-بكالوريوس'!$R$5:$R$208,'فحص-بيانات-ماجستير'!$R$5:$R$230),0),"")</f>
        <v/>
      </c>
    </row>
    <row r="13" spans="1:10" x14ac:dyDescent="0.2">
      <c r="A13" s="1" t="str">
        <f>IF($I13="","",8)</f>
        <v/>
      </c>
      <c r="B13" s="2" t="str">
        <f>IF($I13="","",INDEX(CHOOSE($J$3,'فحص-حاسب-بكالوريوس'!$A$5:$A$208,'فحص-بيانات-بكالوريوس'!$A$5:$A$208,'فحص-بيانات-ماجستير'!$A$5:$A$230),$I13)&amp;"")</f>
        <v/>
      </c>
      <c r="C13" s="2" t="str">
        <f>IF($I13="","",INDEX(CHOOSE($J$3,'فحص-حاسب-بكالوريوس'!$F$5:$F$208,'فحص-بيانات-بكالوريوس'!$F$5:$F$208,'فحص-بيانات-ماجستير'!$F$5:$F$230),$I13)&amp;"")</f>
        <v/>
      </c>
      <c r="D13" s="2" t="str">
        <f>IF($I13="","",INDEX(CHOOSE($J$3,'فحص-حاسب-بكالوريوس'!$H$5:$H$208,'فحص-بيانات-بكالوريوس'!$H$5:$H$208,'فحص-بيانات-ماجستير'!$H$5:$H$230),$I13)&amp;"")</f>
        <v/>
      </c>
      <c r="E13" s="2" t="str">
        <f>IF($I13="","",INDEX(CHOOSE($J$3,'فحص-حاسب-بكالوريوس'!$J$5:$J$208,'فحص-بيانات-بكالوريوس'!$J$5:$J$208,'فحص-بيانات-ماجستير'!$J$5:$J$230),$I13)&amp;"")</f>
        <v/>
      </c>
      <c r="F13" s="2" t="str">
        <f>IF($I13="","",INDEX(CHOOSE($J$3,'فحص-حاسب-بكالوريوس'!$L$5:$L$208,'فحص-بيانات-بكالوريوس'!$L$5:$L$208,'فحص-بيانات-ماجستير'!$L$5:$L$230),$I13)&amp;"")</f>
        <v/>
      </c>
      <c r="G13" s="2" t="str">
        <f>IF($I13="","",INDEX(CHOOSE($J$3,'فحص-حاسب-بكالوريوس'!$M$5:$M$208,'فحص-بيانات-بكالوريوس'!$M$5:$M$208,'فحص-بيانات-ماجستير'!$M$5:$M$230),$I13)&amp;"")</f>
        <v/>
      </c>
      <c r="H13" s="2" t="str">
        <f>IF($I13="","",INDEX(CHOOSE($J$3,'فحص-حاسب-بكالوريوس'!$G$5:$G$208,'فحص-بيانات-بكالوريوس'!$G$5:$G$208,'فحص-بيانات-ماجستير'!$G$5:$G$230),$I13)&amp;"")</f>
        <v/>
      </c>
      <c r="I13" s="2" t="str">
        <f>IFERROR(MATCH($E$3&amp;"#"&amp;8,CHOOSE($J$3,'فحص-حاسب-بكالوريوس'!$R$5:$R$208,'فحص-بيانات-بكالوريوس'!$R$5:$R$208,'فحص-بيانات-ماجستير'!$R$5:$R$230),0),"")</f>
        <v/>
      </c>
    </row>
    <row r="14" spans="1:10" x14ac:dyDescent="0.2">
      <c r="A14" s="1" t="str">
        <f>IF($I14="","",9)</f>
        <v/>
      </c>
      <c r="B14" s="2" t="str">
        <f>IF($I14="","",INDEX(CHOOSE($J$3,'فحص-حاسب-بكالوريوس'!$A$5:$A$208,'فحص-بيانات-بكالوريوس'!$A$5:$A$208,'فحص-بيانات-ماجستير'!$A$5:$A$230),$I14)&amp;"")</f>
        <v/>
      </c>
      <c r="C14" s="2" t="str">
        <f>IF($I14="","",INDEX(CHOOSE($J$3,'فحص-حاسب-بكالوريوس'!$F$5:$F$208,'فحص-بيانات-بكالوريوس'!$F$5:$F$208,'فحص-بيانات-ماجستير'!$F$5:$F$230),$I14)&amp;"")</f>
        <v/>
      </c>
      <c r="D14" s="2" t="str">
        <f>IF($I14="","",INDEX(CHOOSE($J$3,'فحص-حاسب-بكالوريوس'!$H$5:$H$208,'فحص-بيانات-بكالوريوس'!$H$5:$H$208,'فحص-بيانات-ماجستير'!$H$5:$H$230),$I14)&amp;"")</f>
        <v/>
      </c>
      <c r="E14" s="2" t="str">
        <f>IF($I14="","",INDEX(CHOOSE($J$3,'فحص-حاسب-بكالوريوس'!$J$5:$J$208,'فحص-بيانات-بكالوريوس'!$J$5:$J$208,'فحص-بيانات-ماجستير'!$J$5:$J$230),$I14)&amp;"")</f>
        <v/>
      </c>
      <c r="F14" s="2" t="str">
        <f>IF($I14="","",INDEX(CHOOSE($J$3,'فحص-حاسب-بكالوريوس'!$L$5:$L$208,'فحص-بيانات-بكالوريوس'!$L$5:$L$208,'فحص-بيانات-ماجستير'!$L$5:$L$230),$I14)&amp;"")</f>
        <v/>
      </c>
      <c r="G14" s="2" t="str">
        <f>IF($I14="","",INDEX(CHOOSE($J$3,'فحص-حاسب-بكالوريوس'!$M$5:$M$208,'فحص-بيانات-بكالوريوس'!$M$5:$M$208,'فحص-بيانات-ماجستير'!$M$5:$M$230),$I14)&amp;"")</f>
        <v/>
      </c>
      <c r="H14" s="2" t="str">
        <f>IF($I14="","",INDEX(CHOOSE($J$3,'فحص-حاسب-بكالوريوس'!$G$5:$G$208,'فحص-بيانات-بكالوريوس'!$G$5:$G$208,'فحص-بيانات-ماجستير'!$G$5:$G$230),$I14)&amp;"")</f>
        <v/>
      </c>
      <c r="I14" s="2" t="str">
        <f>IFERROR(MATCH($E$3&amp;"#"&amp;9,CHOOSE($J$3,'فحص-حاسب-بكالوريوس'!$R$5:$R$208,'فحص-بيانات-بكالوريوس'!$R$5:$R$208,'فحص-بيانات-ماجستير'!$R$5:$R$230),0),"")</f>
        <v/>
      </c>
    </row>
    <row r="15" spans="1:10" x14ac:dyDescent="0.2">
      <c r="A15" s="1" t="str">
        <f>IF($I15="","",10)</f>
        <v/>
      </c>
      <c r="B15" s="2" t="str">
        <f>IF($I15="","",INDEX(CHOOSE($J$3,'فحص-حاسب-بكالوريوس'!$A$5:$A$208,'فحص-بيانات-بكالوريوس'!$A$5:$A$208,'فحص-بيانات-ماجستير'!$A$5:$A$230),$I15)&amp;"")</f>
        <v/>
      </c>
      <c r="C15" s="2" t="str">
        <f>IF($I15="","",INDEX(CHOOSE($J$3,'فحص-حاسب-بكالوريوس'!$F$5:$F$208,'فحص-بيانات-بكالوريوس'!$F$5:$F$208,'فحص-بيانات-ماجستير'!$F$5:$F$230),$I15)&amp;"")</f>
        <v/>
      </c>
      <c r="D15" s="2" t="str">
        <f>IF($I15="","",INDEX(CHOOSE($J$3,'فحص-حاسب-بكالوريوس'!$H$5:$H$208,'فحص-بيانات-بكالوريوس'!$H$5:$H$208,'فحص-بيانات-ماجستير'!$H$5:$H$230),$I15)&amp;"")</f>
        <v/>
      </c>
      <c r="E15" s="2" t="str">
        <f>IF($I15="","",INDEX(CHOOSE($J$3,'فحص-حاسب-بكالوريوس'!$J$5:$J$208,'فحص-بيانات-بكالوريوس'!$J$5:$J$208,'فحص-بيانات-ماجستير'!$J$5:$J$230),$I15)&amp;"")</f>
        <v/>
      </c>
      <c r="F15" s="2" t="str">
        <f>IF($I15="","",INDEX(CHOOSE($J$3,'فحص-حاسب-بكالوريوس'!$L$5:$L$208,'فحص-بيانات-بكالوريوس'!$L$5:$L$208,'فحص-بيانات-ماجستير'!$L$5:$L$230),$I15)&amp;"")</f>
        <v/>
      </c>
      <c r="G15" s="2" t="str">
        <f>IF($I15="","",INDEX(CHOOSE($J$3,'فحص-حاسب-بكالوريوس'!$M$5:$M$208,'فحص-بيانات-بكالوريوس'!$M$5:$M$208,'فحص-بيانات-ماجستير'!$M$5:$M$230),$I15)&amp;"")</f>
        <v/>
      </c>
      <c r="H15" s="2" t="str">
        <f>IF($I15="","",INDEX(CHOOSE($J$3,'فحص-حاسب-بكالوريوس'!$G$5:$G$208,'فحص-بيانات-بكالوريوس'!$G$5:$G$208,'فحص-بيانات-ماجستير'!$G$5:$G$230),$I15)&amp;"")</f>
        <v/>
      </c>
      <c r="I15" s="2" t="str">
        <f>IFERROR(MATCH($E$3&amp;"#"&amp;10,CHOOSE($J$3,'فحص-حاسب-بكالوريوس'!$R$5:$R$208,'فحص-بيانات-بكالوريوس'!$R$5:$R$208,'فحص-بيانات-ماجستير'!$R$5:$R$230),0),"")</f>
        <v/>
      </c>
    </row>
    <row r="16" spans="1:10" x14ac:dyDescent="0.2">
      <c r="A16" s="1" t="str">
        <f>IF($I16="","",11)</f>
        <v/>
      </c>
      <c r="B16" s="2" t="str">
        <f>IF($I16="","",INDEX(CHOOSE($J$3,'فحص-حاسب-بكالوريوس'!$A$5:$A$208,'فحص-بيانات-بكالوريوس'!$A$5:$A$208,'فحص-بيانات-ماجستير'!$A$5:$A$230),$I16)&amp;"")</f>
        <v/>
      </c>
      <c r="C16" s="2" t="str">
        <f>IF($I16="","",INDEX(CHOOSE($J$3,'فحص-حاسب-بكالوريوس'!$F$5:$F$208,'فحص-بيانات-بكالوريوس'!$F$5:$F$208,'فحص-بيانات-ماجستير'!$F$5:$F$230),$I16)&amp;"")</f>
        <v/>
      </c>
      <c r="D16" s="2" t="str">
        <f>IF($I16="","",INDEX(CHOOSE($J$3,'فحص-حاسب-بكالوريوس'!$H$5:$H$208,'فحص-بيانات-بكالوريوس'!$H$5:$H$208,'فحص-بيانات-ماجستير'!$H$5:$H$230),$I16)&amp;"")</f>
        <v/>
      </c>
      <c r="E16" s="2" t="str">
        <f>IF($I16="","",INDEX(CHOOSE($J$3,'فحص-حاسب-بكالوريوس'!$J$5:$J$208,'فحص-بيانات-بكالوريوس'!$J$5:$J$208,'فحص-بيانات-ماجستير'!$J$5:$J$230),$I16)&amp;"")</f>
        <v/>
      </c>
      <c r="F16" s="2" t="str">
        <f>IF($I16="","",INDEX(CHOOSE($J$3,'فحص-حاسب-بكالوريوس'!$L$5:$L$208,'فحص-بيانات-بكالوريوس'!$L$5:$L$208,'فحص-بيانات-ماجستير'!$L$5:$L$230),$I16)&amp;"")</f>
        <v/>
      </c>
      <c r="G16" s="2" t="str">
        <f>IF($I16="","",INDEX(CHOOSE($J$3,'فحص-حاسب-بكالوريوس'!$M$5:$M$208,'فحص-بيانات-بكالوريوس'!$M$5:$M$208,'فحص-بيانات-ماجستير'!$M$5:$M$230),$I16)&amp;"")</f>
        <v/>
      </c>
      <c r="H16" s="2" t="str">
        <f>IF($I16="","",INDEX(CHOOSE($J$3,'فحص-حاسب-بكالوريوس'!$G$5:$G$208,'فحص-بيانات-بكالوريوس'!$G$5:$G$208,'فحص-بيانات-ماجستير'!$G$5:$G$230),$I16)&amp;"")</f>
        <v/>
      </c>
      <c r="I16" s="2" t="str">
        <f>IFERROR(MATCH($E$3&amp;"#"&amp;11,CHOOSE($J$3,'فحص-حاسب-بكالوريوس'!$R$5:$R$208,'فحص-بيانات-بكالوريوس'!$R$5:$R$208,'فحص-بيانات-ماجستير'!$R$5:$R$230),0),"")</f>
        <v/>
      </c>
    </row>
    <row r="17" spans="1:9" x14ac:dyDescent="0.2">
      <c r="A17" s="1" t="str">
        <f>IF($I17="","",12)</f>
        <v/>
      </c>
      <c r="B17" s="2" t="str">
        <f>IF($I17="","",INDEX(CHOOSE($J$3,'فحص-حاسب-بكالوريوس'!$A$5:$A$208,'فحص-بيانات-بكالوريوس'!$A$5:$A$208,'فحص-بيانات-ماجستير'!$A$5:$A$230),$I17)&amp;"")</f>
        <v/>
      </c>
      <c r="C17" s="2" t="str">
        <f>IF($I17="","",INDEX(CHOOSE($J$3,'فحص-حاسب-بكالوريوس'!$F$5:$F$208,'فحص-بيانات-بكالوريوس'!$F$5:$F$208,'فحص-بيانات-ماجستير'!$F$5:$F$230),$I17)&amp;"")</f>
        <v/>
      </c>
      <c r="D17" s="2" t="str">
        <f>IF($I17="","",INDEX(CHOOSE($J$3,'فحص-حاسب-بكالوريوس'!$H$5:$H$208,'فحص-بيانات-بكالوريوس'!$H$5:$H$208,'فحص-بيانات-ماجستير'!$H$5:$H$230),$I17)&amp;"")</f>
        <v/>
      </c>
      <c r="E17" s="2" t="str">
        <f>IF($I17="","",INDEX(CHOOSE($J$3,'فحص-حاسب-بكالوريوس'!$J$5:$J$208,'فحص-بيانات-بكالوريوس'!$J$5:$J$208,'فحص-بيانات-ماجستير'!$J$5:$J$230),$I17)&amp;"")</f>
        <v/>
      </c>
      <c r="F17" s="2" t="str">
        <f>IF($I17="","",INDEX(CHOOSE($J$3,'فحص-حاسب-بكالوريوس'!$L$5:$L$208,'فحص-بيانات-بكالوريوس'!$L$5:$L$208,'فحص-بيانات-ماجستير'!$L$5:$L$230),$I17)&amp;"")</f>
        <v/>
      </c>
      <c r="G17" s="2" t="str">
        <f>IF($I17="","",INDEX(CHOOSE($J$3,'فحص-حاسب-بكالوريوس'!$M$5:$M$208,'فحص-بيانات-بكالوريوس'!$M$5:$M$208,'فحص-بيانات-ماجستير'!$M$5:$M$230),$I17)&amp;"")</f>
        <v/>
      </c>
      <c r="H17" s="2" t="str">
        <f>IF($I17="","",INDEX(CHOOSE($J$3,'فحص-حاسب-بكالوريوس'!$G$5:$G$208,'فحص-بيانات-بكالوريوس'!$G$5:$G$208,'فحص-بيانات-ماجستير'!$G$5:$G$230),$I17)&amp;"")</f>
        <v/>
      </c>
      <c r="I17" s="2" t="str">
        <f>IFERROR(MATCH($E$3&amp;"#"&amp;12,CHOOSE($J$3,'فحص-حاسب-بكالوريوس'!$R$5:$R$208,'فحص-بيانات-بكالوريوس'!$R$5:$R$208,'فحص-بيانات-ماجستير'!$R$5:$R$230),0),"")</f>
        <v/>
      </c>
    </row>
    <row r="18" spans="1:9" x14ac:dyDescent="0.2">
      <c r="A18" s="1" t="str">
        <f>IF($I18="","",13)</f>
        <v/>
      </c>
      <c r="B18" s="2" t="str">
        <f>IF($I18="","",INDEX(CHOOSE($J$3,'فحص-حاسب-بكالوريوس'!$A$5:$A$208,'فحص-بيانات-بكالوريوس'!$A$5:$A$208,'فحص-بيانات-ماجستير'!$A$5:$A$230),$I18)&amp;"")</f>
        <v/>
      </c>
      <c r="C18" s="2" t="str">
        <f>IF($I18="","",INDEX(CHOOSE($J$3,'فحص-حاسب-بكالوريوس'!$F$5:$F$208,'فحص-بيانات-بكالوريوس'!$F$5:$F$208,'فحص-بيانات-ماجستير'!$F$5:$F$230),$I18)&amp;"")</f>
        <v/>
      </c>
      <c r="D18" s="2" t="str">
        <f>IF($I18="","",INDEX(CHOOSE($J$3,'فحص-حاسب-بكالوريوس'!$H$5:$H$208,'فحص-بيانات-بكالوريوس'!$H$5:$H$208,'فحص-بيانات-ماجستير'!$H$5:$H$230),$I18)&amp;"")</f>
        <v/>
      </c>
      <c r="E18" s="2" t="str">
        <f>IF($I18="","",INDEX(CHOOSE($J$3,'فحص-حاسب-بكالوريوس'!$J$5:$J$208,'فحص-بيانات-بكالوريوس'!$J$5:$J$208,'فحص-بيانات-ماجستير'!$J$5:$J$230),$I18)&amp;"")</f>
        <v/>
      </c>
      <c r="F18" s="2" t="str">
        <f>IF($I18="","",INDEX(CHOOSE($J$3,'فحص-حاسب-بكالوريوس'!$L$5:$L$208,'فحص-بيانات-بكالوريوس'!$L$5:$L$208,'فحص-بيانات-ماجستير'!$L$5:$L$230),$I18)&amp;"")</f>
        <v/>
      </c>
      <c r="G18" s="2" t="str">
        <f>IF($I18="","",INDEX(CHOOSE($J$3,'فحص-حاسب-بكالوريوس'!$M$5:$M$208,'فحص-بيانات-بكالوريوس'!$M$5:$M$208,'فحص-بيانات-ماجستير'!$M$5:$M$230),$I18)&amp;"")</f>
        <v/>
      </c>
      <c r="H18" s="2" t="str">
        <f>IF($I18="","",INDEX(CHOOSE($J$3,'فحص-حاسب-بكالوريوس'!$G$5:$G$208,'فحص-بيانات-بكالوريوس'!$G$5:$G$208,'فحص-بيانات-ماجستير'!$G$5:$G$230),$I18)&amp;"")</f>
        <v/>
      </c>
      <c r="I18" s="2" t="str">
        <f>IFERROR(MATCH($E$3&amp;"#"&amp;13,CHOOSE($J$3,'فحص-حاسب-بكالوريوس'!$R$5:$R$208,'فحص-بيانات-بكالوريوس'!$R$5:$R$208,'فحص-بيانات-ماجستير'!$R$5:$R$230),0),"")</f>
        <v/>
      </c>
    </row>
    <row r="19" spans="1:9" x14ac:dyDescent="0.2">
      <c r="A19" s="1" t="str">
        <f>IF($I19="","",14)</f>
        <v/>
      </c>
      <c r="B19" s="2" t="str">
        <f>IF($I19="","",INDEX(CHOOSE($J$3,'فحص-حاسب-بكالوريوس'!$A$5:$A$208,'فحص-بيانات-بكالوريوس'!$A$5:$A$208,'فحص-بيانات-ماجستير'!$A$5:$A$230),$I19)&amp;"")</f>
        <v/>
      </c>
      <c r="C19" s="2" t="str">
        <f>IF($I19="","",INDEX(CHOOSE($J$3,'فحص-حاسب-بكالوريوس'!$F$5:$F$208,'فحص-بيانات-بكالوريوس'!$F$5:$F$208,'فحص-بيانات-ماجستير'!$F$5:$F$230),$I19)&amp;"")</f>
        <v/>
      </c>
      <c r="D19" s="2" t="str">
        <f>IF($I19="","",INDEX(CHOOSE($J$3,'فحص-حاسب-بكالوريوس'!$H$5:$H$208,'فحص-بيانات-بكالوريوس'!$H$5:$H$208,'فحص-بيانات-ماجستير'!$H$5:$H$230),$I19)&amp;"")</f>
        <v/>
      </c>
      <c r="E19" s="2" t="str">
        <f>IF($I19="","",INDEX(CHOOSE($J$3,'فحص-حاسب-بكالوريوس'!$J$5:$J$208,'فحص-بيانات-بكالوريوس'!$J$5:$J$208,'فحص-بيانات-ماجستير'!$J$5:$J$230),$I19)&amp;"")</f>
        <v/>
      </c>
      <c r="F19" s="2" t="str">
        <f>IF($I19="","",INDEX(CHOOSE($J$3,'فحص-حاسب-بكالوريوس'!$L$5:$L$208,'فحص-بيانات-بكالوريوس'!$L$5:$L$208,'فحص-بيانات-ماجستير'!$L$5:$L$230),$I19)&amp;"")</f>
        <v/>
      </c>
      <c r="G19" s="2" t="str">
        <f>IF($I19="","",INDEX(CHOOSE($J$3,'فحص-حاسب-بكالوريوس'!$M$5:$M$208,'فحص-بيانات-بكالوريوس'!$M$5:$M$208,'فحص-بيانات-ماجستير'!$M$5:$M$230),$I19)&amp;"")</f>
        <v/>
      </c>
      <c r="H19" s="2" t="str">
        <f>IF($I19="","",INDEX(CHOOSE($J$3,'فحص-حاسب-بكالوريوس'!$G$5:$G$208,'فحص-بيانات-بكالوريوس'!$G$5:$G$208,'فحص-بيانات-ماجستير'!$G$5:$G$230),$I19)&amp;"")</f>
        <v/>
      </c>
      <c r="I19" s="2" t="str">
        <f>IFERROR(MATCH($E$3&amp;"#"&amp;14,CHOOSE($J$3,'فحص-حاسب-بكالوريوس'!$R$5:$R$208,'فحص-بيانات-بكالوريوس'!$R$5:$R$208,'فحص-بيانات-ماجستير'!$R$5:$R$230),0),"")</f>
        <v/>
      </c>
    </row>
    <row r="20" spans="1:9" x14ac:dyDescent="0.2">
      <c r="A20" s="1" t="str">
        <f>IF($I20="","",15)</f>
        <v/>
      </c>
      <c r="B20" s="2" t="str">
        <f>IF($I20="","",INDEX(CHOOSE($J$3,'فحص-حاسب-بكالوريوس'!$A$5:$A$208,'فحص-بيانات-بكالوريوس'!$A$5:$A$208,'فحص-بيانات-ماجستير'!$A$5:$A$230),$I20)&amp;"")</f>
        <v/>
      </c>
      <c r="C20" s="2" t="str">
        <f>IF($I20="","",INDEX(CHOOSE($J$3,'فحص-حاسب-بكالوريوس'!$F$5:$F$208,'فحص-بيانات-بكالوريوس'!$F$5:$F$208,'فحص-بيانات-ماجستير'!$F$5:$F$230),$I20)&amp;"")</f>
        <v/>
      </c>
      <c r="D20" s="2" t="str">
        <f>IF($I20="","",INDEX(CHOOSE($J$3,'فحص-حاسب-بكالوريوس'!$H$5:$H$208,'فحص-بيانات-بكالوريوس'!$H$5:$H$208,'فحص-بيانات-ماجستير'!$H$5:$H$230),$I20)&amp;"")</f>
        <v/>
      </c>
      <c r="E20" s="2" t="str">
        <f>IF($I20="","",INDEX(CHOOSE($J$3,'فحص-حاسب-بكالوريوس'!$J$5:$J$208,'فحص-بيانات-بكالوريوس'!$J$5:$J$208,'فحص-بيانات-ماجستير'!$J$5:$J$230),$I20)&amp;"")</f>
        <v/>
      </c>
      <c r="F20" s="2" t="str">
        <f>IF($I20="","",INDEX(CHOOSE($J$3,'فحص-حاسب-بكالوريوس'!$L$5:$L$208,'فحص-بيانات-بكالوريوس'!$L$5:$L$208,'فحص-بيانات-ماجستير'!$L$5:$L$230),$I20)&amp;"")</f>
        <v/>
      </c>
      <c r="G20" s="2" t="str">
        <f>IF($I20="","",INDEX(CHOOSE($J$3,'فحص-حاسب-بكالوريوس'!$M$5:$M$208,'فحص-بيانات-بكالوريوس'!$M$5:$M$208,'فحص-بيانات-ماجستير'!$M$5:$M$230),$I20)&amp;"")</f>
        <v/>
      </c>
      <c r="H20" s="2" t="str">
        <f>IF($I20="","",INDEX(CHOOSE($J$3,'فحص-حاسب-بكالوريوس'!$G$5:$G$208,'فحص-بيانات-بكالوريوس'!$G$5:$G$208,'فحص-بيانات-ماجستير'!$G$5:$G$230),$I20)&amp;"")</f>
        <v/>
      </c>
      <c r="I20" s="2" t="str">
        <f>IFERROR(MATCH($E$3&amp;"#"&amp;15,CHOOSE($J$3,'فحص-حاسب-بكالوريوس'!$R$5:$R$208,'فحص-بيانات-بكالوريوس'!$R$5:$R$208,'فحص-بيانات-ماجستير'!$R$5:$R$230),0),"")</f>
        <v/>
      </c>
    </row>
    <row r="21" spans="1:9" x14ac:dyDescent="0.2">
      <c r="A21" s="1" t="str">
        <f>IF($I21="","",16)</f>
        <v/>
      </c>
      <c r="B21" s="2" t="str">
        <f>IF($I21="","",INDEX(CHOOSE($J$3,'فحص-حاسب-بكالوريوس'!$A$5:$A$208,'فحص-بيانات-بكالوريوس'!$A$5:$A$208,'فحص-بيانات-ماجستير'!$A$5:$A$230),$I21)&amp;"")</f>
        <v/>
      </c>
      <c r="C21" s="2" t="str">
        <f>IF($I21="","",INDEX(CHOOSE($J$3,'فحص-حاسب-بكالوريوس'!$F$5:$F$208,'فحص-بيانات-بكالوريوس'!$F$5:$F$208,'فحص-بيانات-ماجستير'!$F$5:$F$230),$I21)&amp;"")</f>
        <v/>
      </c>
      <c r="D21" s="2" t="str">
        <f>IF($I21="","",INDEX(CHOOSE($J$3,'فحص-حاسب-بكالوريوس'!$H$5:$H$208,'فحص-بيانات-بكالوريوس'!$H$5:$H$208,'فحص-بيانات-ماجستير'!$H$5:$H$230),$I21)&amp;"")</f>
        <v/>
      </c>
      <c r="E21" s="2" t="str">
        <f>IF($I21="","",INDEX(CHOOSE($J$3,'فحص-حاسب-بكالوريوس'!$J$5:$J$208,'فحص-بيانات-بكالوريوس'!$J$5:$J$208,'فحص-بيانات-ماجستير'!$J$5:$J$230),$I21)&amp;"")</f>
        <v/>
      </c>
      <c r="F21" s="2" t="str">
        <f>IF($I21="","",INDEX(CHOOSE($J$3,'فحص-حاسب-بكالوريوس'!$L$5:$L$208,'فحص-بيانات-بكالوريوس'!$L$5:$L$208,'فحص-بيانات-ماجستير'!$L$5:$L$230),$I21)&amp;"")</f>
        <v/>
      </c>
      <c r="G21" s="2" t="str">
        <f>IF($I21="","",INDEX(CHOOSE($J$3,'فحص-حاسب-بكالوريوس'!$M$5:$M$208,'فحص-بيانات-بكالوريوس'!$M$5:$M$208,'فحص-بيانات-ماجستير'!$M$5:$M$230),$I21)&amp;"")</f>
        <v/>
      </c>
      <c r="H21" s="2" t="str">
        <f>IF($I21="","",INDEX(CHOOSE($J$3,'فحص-حاسب-بكالوريوس'!$G$5:$G$208,'فحص-بيانات-بكالوريوس'!$G$5:$G$208,'فحص-بيانات-ماجستير'!$G$5:$G$230),$I21)&amp;"")</f>
        <v/>
      </c>
      <c r="I21" s="2" t="str">
        <f>IFERROR(MATCH($E$3&amp;"#"&amp;16,CHOOSE($J$3,'فحص-حاسب-بكالوريوس'!$R$5:$R$208,'فحص-بيانات-بكالوريوس'!$R$5:$R$208,'فحص-بيانات-ماجستير'!$R$5:$R$230),0),"")</f>
        <v/>
      </c>
    </row>
    <row r="22" spans="1:9" x14ac:dyDescent="0.2">
      <c r="A22" s="1" t="str">
        <f>IF($I22="","",17)</f>
        <v/>
      </c>
      <c r="B22" s="2" t="str">
        <f>IF($I22="","",INDEX(CHOOSE($J$3,'فحص-حاسب-بكالوريوس'!$A$5:$A$208,'فحص-بيانات-بكالوريوس'!$A$5:$A$208,'فحص-بيانات-ماجستير'!$A$5:$A$230),$I22)&amp;"")</f>
        <v/>
      </c>
      <c r="C22" s="2" t="str">
        <f>IF($I22="","",INDEX(CHOOSE($J$3,'فحص-حاسب-بكالوريوس'!$F$5:$F$208,'فحص-بيانات-بكالوريوس'!$F$5:$F$208,'فحص-بيانات-ماجستير'!$F$5:$F$230),$I22)&amp;"")</f>
        <v/>
      </c>
      <c r="D22" s="2" t="str">
        <f>IF($I22="","",INDEX(CHOOSE($J$3,'فحص-حاسب-بكالوريوس'!$H$5:$H$208,'فحص-بيانات-بكالوريوس'!$H$5:$H$208,'فحص-بيانات-ماجستير'!$H$5:$H$230),$I22)&amp;"")</f>
        <v/>
      </c>
      <c r="E22" s="2" t="str">
        <f>IF($I22="","",INDEX(CHOOSE($J$3,'فحص-حاسب-بكالوريوس'!$J$5:$J$208,'فحص-بيانات-بكالوريوس'!$J$5:$J$208,'فحص-بيانات-ماجستير'!$J$5:$J$230),$I22)&amp;"")</f>
        <v/>
      </c>
      <c r="F22" s="2" t="str">
        <f>IF($I22="","",INDEX(CHOOSE($J$3,'فحص-حاسب-بكالوريوس'!$L$5:$L$208,'فحص-بيانات-بكالوريوس'!$L$5:$L$208,'فحص-بيانات-ماجستير'!$L$5:$L$230),$I22)&amp;"")</f>
        <v/>
      </c>
      <c r="G22" s="2" t="str">
        <f>IF($I22="","",INDEX(CHOOSE($J$3,'فحص-حاسب-بكالوريوس'!$M$5:$M$208,'فحص-بيانات-بكالوريوس'!$M$5:$M$208,'فحص-بيانات-ماجستير'!$M$5:$M$230),$I22)&amp;"")</f>
        <v/>
      </c>
      <c r="H22" s="2" t="str">
        <f>IF($I22="","",INDEX(CHOOSE($J$3,'فحص-حاسب-بكالوريوس'!$G$5:$G$208,'فحص-بيانات-بكالوريوس'!$G$5:$G$208,'فحص-بيانات-ماجستير'!$G$5:$G$230),$I22)&amp;"")</f>
        <v/>
      </c>
      <c r="I22" s="2" t="str">
        <f>IFERROR(MATCH($E$3&amp;"#"&amp;17,CHOOSE($J$3,'فحص-حاسب-بكالوريوس'!$R$5:$R$208,'فحص-بيانات-بكالوريوس'!$R$5:$R$208,'فحص-بيانات-ماجستير'!$R$5:$R$230),0),"")</f>
        <v/>
      </c>
    </row>
    <row r="23" spans="1:9" x14ac:dyDescent="0.2">
      <c r="A23" s="1" t="str">
        <f>IF($I23="","",18)</f>
        <v/>
      </c>
      <c r="B23" s="2" t="str">
        <f>IF($I23="","",INDEX(CHOOSE($J$3,'فحص-حاسب-بكالوريوس'!$A$5:$A$208,'فحص-بيانات-بكالوريوس'!$A$5:$A$208,'فحص-بيانات-ماجستير'!$A$5:$A$230),$I23)&amp;"")</f>
        <v/>
      </c>
      <c r="C23" s="2" t="str">
        <f>IF($I23="","",INDEX(CHOOSE($J$3,'فحص-حاسب-بكالوريوس'!$F$5:$F$208,'فحص-بيانات-بكالوريوس'!$F$5:$F$208,'فحص-بيانات-ماجستير'!$F$5:$F$230),$I23)&amp;"")</f>
        <v/>
      </c>
      <c r="D23" s="2" t="str">
        <f>IF($I23="","",INDEX(CHOOSE($J$3,'فحص-حاسب-بكالوريوس'!$H$5:$H$208,'فحص-بيانات-بكالوريوس'!$H$5:$H$208,'فحص-بيانات-ماجستير'!$H$5:$H$230),$I23)&amp;"")</f>
        <v/>
      </c>
      <c r="E23" s="2" t="str">
        <f>IF($I23="","",INDEX(CHOOSE($J$3,'فحص-حاسب-بكالوريوس'!$J$5:$J$208,'فحص-بيانات-بكالوريوس'!$J$5:$J$208,'فحص-بيانات-ماجستير'!$J$5:$J$230),$I23)&amp;"")</f>
        <v/>
      </c>
      <c r="F23" s="2" t="str">
        <f>IF($I23="","",INDEX(CHOOSE($J$3,'فحص-حاسب-بكالوريوس'!$L$5:$L$208,'فحص-بيانات-بكالوريوس'!$L$5:$L$208,'فحص-بيانات-ماجستير'!$L$5:$L$230),$I23)&amp;"")</f>
        <v/>
      </c>
      <c r="G23" s="2" t="str">
        <f>IF($I23="","",INDEX(CHOOSE($J$3,'فحص-حاسب-بكالوريوس'!$M$5:$M$208,'فحص-بيانات-بكالوريوس'!$M$5:$M$208,'فحص-بيانات-ماجستير'!$M$5:$M$230),$I23)&amp;"")</f>
        <v/>
      </c>
      <c r="H23" s="2" t="str">
        <f>IF($I23="","",INDEX(CHOOSE($J$3,'فحص-حاسب-بكالوريوس'!$G$5:$G$208,'فحص-بيانات-بكالوريوس'!$G$5:$G$208,'فحص-بيانات-ماجستير'!$G$5:$G$230),$I23)&amp;"")</f>
        <v/>
      </c>
      <c r="I23" s="2" t="str">
        <f>IFERROR(MATCH($E$3&amp;"#"&amp;18,CHOOSE($J$3,'فحص-حاسب-بكالوريوس'!$R$5:$R$208,'فحص-بيانات-بكالوريوس'!$R$5:$R$208,'فحص-بيانات-ماجستير'!$R$5:$R$230),0),"")</f>
        <v/>
      </c>
    </row>
    <row r="24" spans="1:9" x14ac:dyDescent="0.2">
      <c r="A24" s="1" t="str">
        <f>IF($I24="","",19)</f>
        <v/>
      </c>
      <c r="B24" s="2" t="str">
        <f>IF($I24="","",INDEX(CHOOSE($J$3,'فحص-حاسب-بكالوريوس'!$A$5:$A$208,'فحص-بيانات-بكالوريوس'!$A$5:$A$208,'فحص-بيانات-ماجستير'!$A$5:$A$230),$I24)&amp;"")</f>
        <v/>
      </c>
      <c r="C24" s="2" t="str">
        <f>IF($I24="","",INDEX(CHOOSE($J$3,'فحص-حاسب-بكالوريوس'!$F$5:$F$208,'فحص-بيانات-بكالوريوس'!$F$5:$F$208,'فحص-بيانات-ماجستير'!$F$5:$F$230),$I24)&amp;"")</f>
        <v/>
      </c>
      <c r="D24" s="2" t="str">
        <f>IF($I24="","",INDEX(CHOOSE($J$3,'فحص-حاسب-بكالوريوس'!$H$5:$H$208,'فحص-بيانات-بكالوريوس'!$H$5:$H$208,'فحص-بيانات-ماجستير'!$H$5:$H$230),$I24)&amp;"")</f>
        <v/>
      </c>
      <c r="E24" s="2" t="str">
        <f>IF($I24="","",INDEX(CHOOSE($J$3,'فحص-حاسب-بكالوريوس'!$J$5:$J$208,'فحص-بيانات-بكالوريوس'!$J$5:$J$208,'فحص-بيانات-ماجستير'!$J$5:$J$230),$I24)&amp;"")</f>
        <v/>
      </c>
      <c r="F24" s="2" t="str">
        <f>IF($I24="","",INDEX(CHOOSE($J$3,'فحص-حاسب-بكالوريوس'!$L$5:$L$208,'فحص-بيانات-بكالوريوس'!$L$5:$L$208,'فحص-بيانات-ماجستير'!$L$5:$L$230),$I24)&amp;"")</f>
        <v/>
      </c>
      <c r="G24" s="2" t="str">
        <f>IF($I24="","",INDEX(CHOOSE($J$3,'فحص-حاسب-بكالوريوس'!$M$5:$M$208,'فحص-بيانات-بكالوريوس'!$M$5:$M$208,'فحص-بيانات-ماجستير'!$M$5:$M$230),$I24)&amp;"")</f>
        <v/>
      </c>
      <c r="H24" s="2" t="str">
        <f>IF($I24="","",INDEX(CHOOSE($J$3,'فحص-حاسب-بكالوريوس'!$G$5:$G$208,'فحص-بيانات-بكالوريوس'!$G$5:$G$208,'فحص-بيانات-ماجستير'!$G$5:$G$230),$I24)&amp;"")</f>
        <v/>
      </c>
      <c r="I24" s="2" t="str">
        <f>IFERROR(MATCH($E$3&amp;"#"&amp;19,CHOOSE($J$3,'فحص-حاسب-بكالوريوس'!$R$5:$R$208,'فحص-بيانات-بكالوريوس'!$R$5:$R$208,'فحص-بيانات-ماجستير'!$R$5:$R$230),0),"")</f>
        <v/>
      </c>
    </row>
    <row r="25" spans="1:9" x14ac:dyDescent="0.2">
      <c r="A25" s="1" t="str">
        <f>IF($I25="","",20)</f>
        <v/>
      </c>
      <c r="B25" s="2" t="str">
        <f>IF($I25="","",INDEX(CHOOSE($J$3,'فحص-حاسب-بكالوريوس'!$A$5:$A$208,'فحص-بيانات-بكالوريوس'!$A$5:$A$208,'فحص-بيانات-ماجستير'!$A$5:$A$230),$I25)&amp;"")</f>
        <v/>
      </c>
      <c r="C25" s="2" t="str">
        <f>IF($I25="","",INDEX(CHOOSE($J$3,'فحص-حاسب-بكالوريوس'!$F$5:$F$208,'فحص-بيانات-بكالوريوس'!$F$5:$F$208,'فحص-بيانات-ماجستير'!$F$5:$F$230),$I25)&amp;"")</f>
        <v/>
      </c>
      <c r="D25" s="2" t="str">
        <f>IF($I25="","",INDEX(CHOOSE($J$3,'فحص-حاسب-بكالوريوس'!$H$5:$H$208,'فحص-بيانات-بكالوريوس'!$H$5:$H$208,'فحص-بيانات-ماجستير'!$H$5:$H$230),$I25)&amp;"")</f>
        <v/>
      </c>
      <c r="E25" s="2" t="str">
        <f>IF($I25="","",INDEX(CHOOSE($J$3,'فحص-حاسب-بكالوريوس'!$J$5:$J$208,'فحص-بيانات-بكالوريوس'!$J$5:$J$208,'فحص-بيانات-ماجستير'!$J$5:$J$230),$I25)&amp;"")</f>
        <v/>
      </c>
      <c r="F25" s="2" t="str">
        <f>IF($I25="","",INDEX(CHOOSE($J$3,'فحص-حاسب-بكالوريوس'!$L$5:$L$208,'فحص-بيانات-بكالوريوس'!$L$5:$L$208,'فحص-بيانات-ماجستير'!$L$5:$L$230),$I25)&amp;"")</f>
        <v/>
      </c>
      <c r="G25" s="2" t="str">
        <f>IF($I25="","",INDEX(CHOOSE($J$3,'فحص-حاسب-بكالوريوس'!$M$5:$M$208,'فحص-بيانات-بكالوريوس'!$M$5:$M$208,'فحص-بيانات-ماجستير'!$M$5:$M$230),$I25)&amp;"")</f>
        <v/>
      </c>
      <c r="H25" s="2" t="str">
        <f>IF($I25="","",INDEX(CHOOSE($J$3,'فحص-حاسب-بكالوريوس'!$G$5:$G$208,'فحص-بيانات-بكالوريوس'!$G$5:$G$208,'فحص-بيانات-ماجستير'!$G$5:$G$230),$I25)&amp;"")</f>
        <v/>
      </c>
      <c r="I25" s="2" t="str">
        <f>IFERROR(MATCH($E$3&amp;"#"&amp;20,CHOOSE($J$3,'فحص-حاسب-بكالوريوس'!$R$5:$R$208,'فحص-بيانات-بكالوريوس'!$R$5:$R$208,'فحص-بيانات-ماجستير'!$R$5:$R$230),0),"")</f>
        <v/>
      </c>
    </row>
    <row r="26" spans="1:9" x14ac:dyDescent="0.2">
      <c r="A26" s="1" t="str">
        <f>IF($I26="","",21)</f>
        <v/>
      </c>
      <c r="B26" s="2" t="str">
        <f>IF($I26="","",INDEX(CHOOSE($J$3,'فحص-حاسب-بكالوريوس'!$A$5:$A$208,'فحص-بيانات-بكالوريوس'!$A$5:$A$208,'فحص-بيانات-ماجستير'!$A$5:$A$230),$I26)&amp;"")</f>
        <v/>
      </c>
      <c r="C26" s="2" t="str">
        <f>IF($I26="","",INDEX(CHOOSE($J$3,'فحص-حاسب-بكالوريوس'!$F$5:$F$208,'فحص-بيانات-بكالوريوس'!$F$5:$F$208,'فحص-بيانات-ماجستير'!$F$5:$F$230),$I26)&amp;"")</f>
        <v/>
      </c>
      <c r="D26" s="2" t="str">
        <f>IF($I26="","",INDEX(CHOOSE($J$3,'فحص-حاسب-بكالوريوس'!$H$5:$H$208,'فحص-بيانات-بكالوريوس'!$H$5:$H$208,'فحص-بيانات-ماجستير'!$H$5:$H$230),$I26)&amp;"")</f>
        <v/>
      </c>
      <c r="E26" s="2" t="str">
        <f>IF($I26="","",INDEX(CHOOSE($J$3,'فحص-حاسب-بكالوريوس'!$J$5:$J$208,'فحص-بيانات-بكالوريوس'!$J$5:$J$208,'فحص-بيانات-ماجستير'!$J$5:$J$230),$I26)&amp;"")</f>
        <v/>
      </c>
      <c r="F26" s="2" t="str">
        <f>IF($I26="","",INDEX(CHOOSE($J$3,'فحص-حاسب-بكالوريوس'!$L$5:$L$208,'فحص-بيانات-بكالوريوس'!$L$5:$L$208,'فحص-بيانات-ماجستير'!$L$5:$L$230),$I26)&amp;"")</f>
        <v/>
      </c>
      <c r="G26" s="2" t="str">
        <f>IF($I26="","",INDEX(CHOOSE($J$3,'فحص-حاسب-بكالوريوس'!$M$5:$M$208,'فحص-بيانات-بكالوريوس'!$M$5:$M$208,'فحص-بيانات-ماجستير'!$M$5:$M$230),$I26)&amp;"")</f>
        <v/>
      </c>
      <c r="H26" s="2" t="str">
        <f>IF($I26="","",INDEX(CHOOSE($J$3,'فحص-حاسب-بكالوريوس'!$G$5:$G$208,'فحص-بيانات-بكالوريوس'!$G$5:$G$208,'فحص-بيانات-ماجستير'!$G$5:$G$230),$I26)&amp;"")</f>
        <v/>
      </c>
      <c r="I26" s="2" t="str">
        <f>IFERROR(MATCH($E$3&amp;"#"&amp;21,CHOOSE($J$3,'فحص-حاسب-بكالوريوس'!$R$5:$R$208,'فحص-بيانات-بكالوريوس'!$R$5:$R$208,'فحص-بيانات-ماجستير'!$R$5:$R$230),0),"")</f>
        <v/>
      </c>
    </row>
    <row r="27" spans="1:9" x14ac:dyDescent="0.2">
      <c r="A27" s="1" t="str">
        <f>IF($I27="","",22)</f>
        <v/>
      </c>
      <c r="B27" s="2" t="str">
        <f>IF($I27="","",INDEX(CHOOSE($J$3,'فحص-حاسب-بكالوريوس'!$A$5:$A$208,'فحص-بيانات-بكالوريوس'!$A$5:$A$208,'فحص-بيانات-ماجستير'!$A$5:$A$230),$I27)&amp;"")</f>
        <v/>
      </c>
      <c r="C27" s="2" t="str">
        <f>IF($I27="","",INDEX(CHOOSE($J$3,'فحص-حاسب-بكالوريوس'!$F$5:$F$208,'فحص-بيانات-بكالوريوس'!$F$5:$F$208,'فحص-بيانات-ماجستير'!$F$5:$F$230),$I27)&amp;"")</f>
        <v/>
      </c>
      <c r="D27" s="2" t="str">
        <f>IF($I27="","",INDEX(CHOOSE($J$3,'فحص-حاسب-بكالوريوس'!$H$5:$H$208,'فحص-بيانات-بكالوريوس'!$H$5:$H$208,'فحص-بيانات-ماجستير'!$H$5:$H$230),$I27)&amp;"")</f>
        <v/>
      </c>
      <c r="E27" s="2" t="str">
        <f>IF($I27="","",INDEX(CHOOSE($J$3,'فحص-حاسب-بكالوريوس'!$J$5:$J$208,'فحص-بيانات-بكالوريوس'!$J$5:$J$208,'فحص-بيانات-ماجستير'!$J$5:$J$230),$I27)&amp;"")</f>
        <v/>
      </c>
      <c r="F27" s="2" t="str">
        <f>IF($I27="","",INDEX(CHOOSE($J$3,'فحص-حاسب-بكالوريوس'!$L$5:$L$208,'فحص-بيانات-بكالوريوس'!$L$5:$L$208,'فحص-بيانات-ماجستير'!$L$5:$L$230),$I27)&amp;"")</f>
        <v/>
      </c>
      <c r="G27" s="2" t="str">
        <f>IF($I27="","",INDEX(CHOOSE($J$3,'فحص-حاسب-بكالوريوس'!$M$5:$M$208,'فحص-بيانات-بكالوريوس'!$M$5:$M$208,'فحص-بيانات-ماجستير'!$M$5:$M$230),$I27)&amp;"")</f>
        <v/>
      </c>
      <c r="H27" s="2" t="str">
        <f>IF($I27="","",INDEX(CHOOSE($J$3,'فحص-حاسب-بكالوريوس'!$G$5:$G$208,'فحص-بيانات-بكالوريوس'!$G$5:$G$208,'فحص-بيانات-ماجستير'!$G$5:$G$230),$I27)&amp;"")</f>
        <v/>
      </c>
      <c r="I27" s="2" t="str">
        <f>IFERROR(MATCH($E$3&amp;"#"&amp;22,CHOOSE($J$3,'فحص-حاسب-بكالوريوس'!$R$5:$R$208,'فحص-بيانات-بكالوريوس'!$R$5:$R$208,'فحص-بيانات-ماجستير'!$R$5:$R$230),0),"")</f>
        <v/>
      </c>
    </row>
    <row r="28" spans="1:9" x14ac:dyDescent="0.2">
      <c r="A28" s="1" t="str">
        <f>IF($I28="","",23)</f>
        <v/>
      </c>
      <c r="B28" s="2" t="str">
        <f>IF($I28="","",INDEX(CHOOSE($J$3,'فحص-حاسب-بكالوريوس'!$A$5:$A$208,'فحص-بيانات-بكالوريوس'!$A$5:$A$208,'فحص-بيانات-ماجستير'!$A$5:$A$230),$I28)&amp;"")</f>
        <v/>
      </c>
      <c r="C28" s="2" t="str">
        <f>IF($I28="","",INDEX(CHOOSE($J$3,'فحص-حاسب-بكالوريوس'!$F$5:$F$208,'فحص-بيانات-بكالوريوس'!$F$5:$F$208,'فحص-بيانات-ماجستير'!$F$5:$F$230),$I28)&amp;"")</f>
        <v/>
      </c>
      <c r="D28" s="2" t="str">
        <f>IF($I28="","",INDEX(CHOOSE($J$3,'فحص-حاسب-بكالوريوس'!$H$5:$H$208,'فحص-بيانات-بكالوريوس'!$H$5:$H$208,'فحص-بيانات-ماجستير'!$H$5:$H$230),$I28)&amp;"")</f>
        <v/>
      </c>
      <c r="E28" s="2" t="str">
        <f>IF($I28="","",INDEX(CHOOSE($J$3,'فحص-حاسب-بكالوريوس'!$J$5:$J$208,'فحص-بيانات-بكالوريوس'!$J$5:$J$208,'فحص-بيانات-ماجستير'!$J$5:$J$230),$I28)&amp;"")</f>
        <v/>
      </c>
      <c r="F28" s="2" t="str">
        <f>IF($I28="","",INDEX(CHOOSE($J$3,'فحص-حاسب-بكالوريوس'!$L$5:$L$208,'فحص-بيانات-بكالوريوس'!$L$5:$L$208,'فحص-بيانات-ماجستير'!$L$5:$L$230),$I28)&amp;"")</f>
        <v/>
      </c>
      <c r="G28" s="2" t="str">
        <f>IF($I28="","",INDEX(CHOOSE($J$3,'فحص-حاسب-بكالوريوس'!$M$5:$M$208,'فحص-بيانات-بكالوريوس'!$M$5:$M$208,'فحص-بيانات-ماجستير'!$M$5:$M$230),$I28)&amp;"")</f>
        <v/>
      </c>
      <c r="H28" s="2" t="str">
        <f>IF($I28="","",INDEX(CHOOSE($J$3,'فحص-حاسب-بكالوريوس'!$G$5:$G$208,'فحص-بيانات-بكالوريوس'!$G$5:$G$208,'فحص-بيانات-ماجستير'!$G$5:$G$230),$I28)&amp;"")</f>
        <v/>
      </c>
      <c r="I28" s="2" t="str">
        <f>IFERROR(MATCH($E$3&amp;"#"&amp;23,CHOOSE($J$3,'فحص-حاسب-بكالوريوس'!$R$5:$R$208,'فحص-بيانات-بكالوريوس'!$R$5:$R$208,'فحص-بيانات-ماجستير'!$R$5:$R$230),0),"")</f>
        <v/>
      </c>
    </row>
    <row r="29" spans="1:9" x14ac:dyDescent="0.2">
      <c r="A29" s="1" t="str">
        <f>IF($I29="","",24)</f>
        <v/>
      </c>
      <c r="B29" s="2" t="str">
        <f>IF($I29="","",INDEX(CHOOSE($J$3,'فحص-حاسب-بكالوريوس'!$A$5:$A$208,'فحص-بيانات-بكالوريوس'!$A$5:$A$208,'فحص-بيانات-ماجستير'!$A$5:$A$230),$I29)&amp;"")</f>
        <v/>
      </c>
      <c r="C29" s="2" t="str">
        <f>IF($I29="","",INDEX(CHOOSE($J$3,'فحص-حاسب-بكالوريوس'!$F$5:$F$208,'فحص-بيانات-بكالوريوس'!$F$5:$F$208,'فحص-بيانات-ماجستير'!$F$5:$F$230),$I29)&amp;"")</f>
        <v/>
      </c>
      <c r="D29" s="2" t="str">
        <f>IF($I29="","",INDEX(CHOOSE($J$3,'فحص-حاسب-بكالوريوس'!$H$5:$H$208,'فحص-بيانات-بكالوريوس'!$H$5:$H$208,'فحص-بيانات-ماجستير'!$H$5:$H$230),$I29)&amp;"")</f>
        <v/>
      </c>
      <c r="E29" s="2" t="str">
        <f>IF($I29="","",INDEX(CHOOSE($J$3,'فحص-حاسب-بكالوريوس'!$J$5:$J$208,'فحص-بيانات-بكالوريوس'!$J$5:$J$208,'فحص-بيانات-ماجستير'!$J$5:$J$230),$I29)&amp;"")</f>
        <v/>
      </c>
      <c r="F29" s="2" t="str">
        <f>IF($I29="","",INDEX(CHOOSE($J$3,'فحص-حاسب-بكالوريوس'!$L$5:$L$208,'فحص-بيانات-بكالوريوس'!$L$5:$L$208,'فحص-بيانات-ماجستير'!$L$5:$L$230),$I29)&amp;"")</f>
        <v/>
      </c>
      <c r="G29" s="2" t="str">
        <f>IF($I29="","",INDEX(CHOOSE($J$3,'فحص-حاسب-بكالوريوس'!$M$5:$M$208,'فحص-بيانات-بكالوريوس'!$M$5:$M$208,'فحص-بيانات-ماجستير'!$M$5:$M$230),$I29)&amp;"")</f>
        <v/>
      </c>
      <c r="H29" s="2" t="str">
        <f>IF($I29="","",INDEX(CHOOSE($J$3,'فحص-حاسب-بكالوريوس'!$G$5:$G$208,'فحص-بيانات-بكالوريوس'!$G$5:$G$208,'فحص-بيانات-ماجستير'!$G$5:$G$230),$I29)&amp;"")</f>
        <v/>
      </c>
      <c r="I29" s="2" t="str">
        <f>IFERROR(MATCH($E$3&amp;"#"&amp;24,CHOOSE($J$3,'فحص-حاسب-بكالوريوس'!$R$5:$R$208,'فحص-بيانات-بكالوريوس'!$R$5:$R$208,'فحص-بيانات-ماجستير'!$R$5:$R$230),0),"")</f>
        <v/>
      </c>
    </row>
    <row r="30" spans="1:9" x14ac:dyDescent="0.2">
      <c r="A30" s="1" t="str">
        <f>IF($I30="","",25)</f>
        <v/>
      </c>
      <c r="B30" s="2" t="str">
        <f>IF($I30="","",INDEX(CHOOSE($J$3,'فحص-حاسب-بكالوريوس'!$A$5:$A$208,'فحص-بيانات-بكالوريوس'!$A$5:$A$208,'فحص-بيانات-ماجستير'!$A$5:$A$230),$I30)&amp;"")</f>
        <v/>
      </c>
      <c r="C30" s="2" t="str">
        <f>IF($I30="","",INDEX(CHOOSE($J$3,'فحص-حاسب-بكالوريوس'!$F$5:$F$208,'فحص-بيانات-بكالوريوس'!$F$5:$F$208,'فحص-بيانات-ماجستير'!$F$5:$F$230),$I30)&amp;"")</f>
        <v/>
      </c>
      <c r="D30" s="2" t="str">
        <f>IF($I30="","",INDEX(CHOOSE($J$3,'فحص-حاسب-بكالوريوس'!$H$5:$H$208,'فحص-بيانات-بكالوريوس'!$H$5:$H$208,'فحص-بيانات-ماجستير'!$H$5:$H$230),$I30)&amp;"")</f>
        <v/>
      </c>
      <c r="E30" s="2" t="str">
        <f>IF($I30="","",INDEX(CHOOSE($J$3,'فحص-حاسب-بكالوريوس'!$J$5:$J$208,'فحص-بيانات-بكالوريوس'!$J$5:$J$208,'فحص-بيانات-ماجستير'!$J$5:$J$230),$I30)&amp;"")</f>
        <v/>
      </c>
      <c r="F30" s="2" t="str">
        <f>IF($I30="","",INDEX(CHOOSE($J$3,'فحص-حاسب-بكالوريوس'!$L$5:$L$208,'فحص-بيانات-بكالوريوس'!$L$5:$L$208,'فحص-بيانات-ماجستير'!$L$5:$L$230),$I30)&amp;"")</f>
        <v/>
      </c>
      <c r="G30" s="2" t="str">
        <f>IF($I30="","",INDEX(CHOOSE($J$3,'فحص-حاسب-بكالوريوس'!$M$5:$M$208,'فحص-بيانات-بكالوريوس'!$M$5:$M$208,'فحص-بيانات-ماجستير'!$M$5:$M$230),$I30)&amp;"")</f>
        <v/>
      </c>
      <c r="H30" s="2" t="str">
        <f>IF($I30="","",INDEX(CHOOSE($J$3,'فحص-حاسب-بكالوريوس'!$G$5:$G$208,'فحص-بيانات-بكالوريوس'!$G$5:$G$208,'فحص-بيانات-ماجستير'!$G$5:$G$230),$I30)&amp;"")</f>
        <v/>
      </c>
      <c r="I30" s="2" t="str">
        <f>IFERROR(MATCH($E$3&amp;"#"&amp;25,CHOOSE($J$3,'فحص-حاسب-بكالوريوس'!$R$5:$R$208,'فحص-بيانات-بكالوريوس'!$R$5:$R$208,'فحص-بيانات-ماجستير'!$R$5:$R$230),0),"")</f>
        <v/>
      </c>
    </row>
    <row r="31" spans="1:9" x14ac:dyDescent="0.2">
      <c r="A31" s="1" t="str">
        <f>IF($I31="","",26)</f>
        <v/>
      </c>
      <c r="B31" s="2" t="str">
        <f>IF($I31="","",INDEX(CHOOSE($J$3,'فحص-حاسب-بكالوريوس'!$A$5:$A$208,'فحص-بيانات-بكالوريوس'!$A$5:$A$208,'فحص-بيانات-ماجستير'!$A$5:$A$230),$I31)&amp;"")</f>
        <v/>
      </c>
      <c r="C31" s="2" t="str">
        <f>IF($I31="","",INDEX(CHOOSE($J$3,'فحص-حاسب-بكالوريوس'!$F$5:$F$208,'فحص-بيانات-بكالوريوس'!$F$5:$F$208,'فحص-بيانات-ماجستير'!$F$5:$F$230),$I31)&amp;"")</f>
        <v/>
      </c>
      <c r="D31" s="2" t="str">
        <f>IF($I31="","",INDEX(CHOOSE($J$3,'فحص-حاسب-بكالوريوس'!$H$5:$H$208,'فحص-بيانات-بكالوريوس'!$H$5:$H$208,'فحص-بيانات-ماجستير'!$H$5:$H$230),$I31)&amp;"")</f>
        <v/>
      </c>
      <c r="E31" s="2" t="str">
        <f>IF($I31="","",INDEX(CHOOSE($J$3,'فحص-حاسب-بكالوريوس'!$J$5:$J$208,'فحص-بيانات-بكالوريوس'!$J$5:$J$208,'فحص-بيانات-ماجستير'!$J$5:$J$230),$I31)&amp;"")</f>
        <v/>
      </c>
      <c r="F31" s="2" t="str">
        <f>IF($I31="","",INDEX(CHOOSE($J$3,'فحص-حاسب-بكالوريوس'!$L$5:$L$208,'فحص-بيانات-بكالوريوس'!$L$5:$L$208,'فحص-بيانات-ماجستير'!$L$5:$L$230),$I31)&amp;"")</f>
        <v/>
      </c>
      <c r="G31" s="2" t="str">
        <f>IF($I31="","",INDEX(CHOOSE($J$3,'فحص-حاسب-بكالوريوس'!$M$5:$M$208,'فحص-بيانات-بكالوريوس'!$M$5:$M$208,'فحص-بيانات-ماجستير'!$M$5:$M$230),$I31)&amp;"")</f>
        <v/>
      </c>
      <c r="H31" s="2" t="str">
        <f>IF($I31="","",INDEX(CHOOSE($J$3,'فحص-حاسب-بكالوريوس'!$G$5:$G$208,'فحص-بيانات-بكالوريوس'!$G$5:$G$208,'فحص-بيانات-ماجستير'!$G$5:$G$230),$I31)&amp;"")</f>
        <v/>
      </c>
      <c r="I31" s="2" t="str">
        <f>IFERROR(MATCH($E$3&amp;"#"&amp;26,CHOOSE($J$3,'فحص-حاسب-بكالوريوس'!$R$5:$R$208,'فحص-بيانات-بكالوريوس'!$R$5:$R$208,'فحص-بيانات-ماجستير'!$R$5:$R$230),0),"")</f>
        <v/>
      </c>
    </row>
    <row r="32" spans="1:9" x14ac:dyDescent="0.2">
      <c r="A32" s="1" t="str">
        <f>IF($I32="","",27)</f>
        <v/>
      </c>
      <c r="B32" s="2" t="str">
        <f>IF($I32="","",INDEX(CHOOSE($J$3,'فحص-حاسب-بكالوريوس'!$A$5:$A$208,'فحص-بيانات-بكالوريوس'!$A$5:$A$208,'فحص-بيانات-ماجستير'!$A$5:$A$230),$I32)&amp;"")</f>
        <v/>
      </c>
      <c r="C32" s="2" t="str">
        <f>IF($I32="","",INDEX(CHOOSE($J$3,'فحص-حاسب-بكالوريوس'!$F$5:$F$208,'فحص-بيانات-بكالوريوس'!$F$5:$F$208,'فحص-بيانات-ماجستير'!$F$5:$F$230),$I32)&amp;"")</f>
        <v/>
      </c>
      <c r="D32" s="2" t="str">
        <f>IF($I32="","",INDEX(CHOOSE($J$3,'فحص-حاسب-بكالوريوس'!$H$5:$H$208,'فحص-بيانات-بكالوريوس'!$H$5:$H$208,'فحص-بيانات-ماجستير'!$H$5:$H$230),$I32)&amp;"")</f>
        <v/>
      </c>
      <c r="E32" s="2" t="str">
        <f>IF($I32="","",INDEX(CHOOSE($J$3,'فحص-حاسب-بكالوريوس'!$J$5:$J$208,'فحص-بيانات-بكالوريوس'!$J$5:$J$208,'فحص-بيانات-ماجستير'!$J$5:$J$230),$I32)&amp;"")</f>
        <v/>
      </c>
      <c r="F32" s="2" t="str">
        <f>IF($I32="","",INDEX(CHOOSE($J$3,'فحص-حاسب-بكالوريوس'!$L$5:$L$208,'فحص-بيانات-بكالوريوس'!$L$5:$L$208,'فحص-بيانات-ماجستير'!$L$5:$L$230),$I32)&amp;"")</f>
        <v/>
      </c>
      <c r="G32" s="2" t="str">
        <f>IF($I32="","",INDEX(CHOOSE($J$3,'فحص-حاسب-بكالوريوس'!$M$5:$M$208,'فحص-بيانات-بكالوريوس'!$M$5:$M$208,'فحص-بيانات-ماجستير'!$M$5:$M$230),$I32)&amp;"")</f>
        <v/>
      </c>
      <c r="H32" s="2" t="str">
        <f>IF($I32="","",INDEX(CHOOSE($J$3,'فحص-حاسب-بكالوريوس'!$G$5:$G$208,'فحص-بيانات-بكالوريوس'!$G$5:$G$208,'فحص-بيانات-ماجستير'!$G$5:$G$230),$I32)&amp;"")</f>
        <v/>
      </c>
      <c r="I32" s="2" t="str">
        <f>IFERROR(MATCH($E$3&amp;"#"&amp;27,CHOOSE($J$3,'فحص-حاسب-بكالوريوس'!$R$5:$R$208,'فحص-بيانات-بكالوريوس'!$R$5:$R$208,'فحص-بيانات-ماجستير'!$R$5:$R$230),0),"")</f>
        <v/>
      </c>
    </row>
    <row r="33" spans="1:9" x14ac:dyDescent="0.2">
      <c r="A33" s="1" t="str">
        <f>IF($I33="","",28)</f>
        <v/>
      </c>
      <c r="B33" s="2" t="str">
        <f>IF($I33="","",INDEX(CHOOSE($J$3,'فحص-حاسب-بكالوريوس'!$A$5:$A$208,'فحص-بيانات-بكالوريوس'!$A$5:$A$208,'فحص-بيانات-ماجستير'!$A$5:$A$230),$I33)&amp;"")</f>
        <v/>
      </c>
      <c r="C33" s="2" t="str">
        <f>IF($I33="","",INDEX(CHOOSE($J$3,'فحص-حاسب-بكالوريوس'!$F$5:$F$208,'فحص-بيانات-بكالوريوس'!$F$5:$F$208,'فحص-بيانات-ماجستير'!$F$5:$F$230),$I33)&amp;"")</f>
        <v/>
      </c>
      <c r="D33" s="2" t="str">
        <f>IF($I33="","",INDEX(CHOOSE($J$3,'فحص-حاسب-بكالوريوس'!$H$5:$H$208,'فحص-بيانات-بكالوريوس'!$H$5:$H$208,'فحص-بيانات-ماجستير'!$H$5:$H$230),$I33)&amp;"")</f>
        <v/>
      </c>
      <c r="E33" s="2" t="str">
        <f>IF($I33="","",INDEX(CHOOSE($J$3,'فحص-حاسب-بكالوريوس'!$J$5:$J$208,'فحص-بيانات-بكالوريوس'!$J$5:$J$208,'فحص-بيانات-ماجستير'!$J$5:$J$230),$I33)&amp;"")</f>
        <v/>
      </c>
      <c r="F33" s="2" t="str">
        <f>IF($I33="","",INDEX(CHOOSE($J$3,'فحص-حاسب-بكالوريوس'!$L$5:$L$208,'فحص-بيانات-بكالوريوس'!$L$5:$L$208,'فحص-بيانات-ماجستير'!$L$5:$L$230),$I33)&amp;"")</f>
        <v/>
      </c>
      <c r="G33" s="2" t="str">
        <f>IF($I33="","",INDEX(CHOOSE($J$3,'فحص-حاسب-بكالوريوس'!$M$5:$M$208,'فحص-بيانات-بكالوريوس'!$M$5:$M$208,'فحص-بيانات-ماجستير'!$M$5:$M$230),$I33)&amp;"")</f>
        <v/>
      </c>
      <c r="H33" s="2" t="str">
        <f>IF($I33="","",INDEX(CHOOSE($J$3,'فحص-حاسب-بكالوريوس'!$G$5:$G$208,'فحص-بيانات-بكالوريوس'!$G$5:$G$208,'فحص-بيانات-ماجستير'!$G$5:$G$230),$I33)&amp;"")</f>
        <v/>
      </c>
      <c r="I33" s="2" t="str">
        <f>IFERROR(MATCH($E$3&amp;"#"&amp;28,CHOOSE($J$3,'فحص-حاسب-بكالوريوس'!$R$5:$R$208,'فحص-بيانات-بكالوريوس'!$R$5:$R$208,'فحص-بيانات-ماجستير'!$R$5:$R$230),0),"")</f>
        <v/>
      </c>
    </row>
    <row r="34" spans="1:9" x14ac:dyDescent="0.2">
      <c r="A34" s="1" t="str">
        <f>IF($I34="","",29)</f>
        <v/>
      </c>
      <c r="B34" s="2" t="str">
        <f>IF($I34="","",INDEX(CHOOSE($J$3,'فحص-حاسب-بكالوريوس'!$A$5:$A$208,'فحص-بيانات-بكالوريوس'!$A$5:$A$208,'فحص-بيانات-ماجستير'!$A$5:$A$230),$I34)&amp;"")</f>
        <v/>
      </c>
      <c r="C34" s="2" t="str">
        <f>IF($I34="","",INDEX(CHOOSE($J$3,'فحص-حاسب-بكالوريوس'!$F$5:$F$208,'فحص-بيانات-بكالوريوس'!$F$5:$F$208,'فحص-بيانات-ماجستير'!$F$5:$F$230),$I34)&amp;"")</f>
        <v/>
      </c>
      <c r="D34" s="2" t="str">
        <f>IF($I34="","",INDEX(CHOOSE($J$3,'فحص-حاسب-بكالوريوس'!$H$5:$H$208,'فحص-بيانات-بكالوريوس'!$H$5:$H$208,'فحص-بيانات-ماجستير'!$H$5:$H$230),$I34)&amp;"")</f>
        <v/>
      </c>
      <c r="E34" s="2" t="str">
        <f>IF($I34="","",INDEX(CHOOSE($J$3,'فحص-حاسب-بكالوريوس'!$J$5:$J$208,'فحص-بيانات-بكالوريوس'!$J$5:$J$208,'فحص-بيانات-ماجستير'!$J$5:$J$230),$I34)&amp;"")</f>
        <v/>
      </c>
      <c r="F34" s="2" t="str">
        <f>IF($I34="","",INDEX(CHOOSE($J$3,'فحص-حاسب-بكالوريوس'!$L$5:$L$208,'فحص-بيانات-بكالوريوس'!$L$5:$L$208,'فحص-بيانات-ماجستير'!$L$5:$L$230),$I34)&amp;"")</f>
        <v/>
      </c>
      <c r="G34" s="2" t="str">
        <f>IF($I34="","",INDEX(CHOOSE($J$3,'فحص-حاسب-بكالوريوس'!$M$5:$M$208,'فحص-بيانات-بكالوريوس'!$M$5:$M$208,'فحص-بيانات-ماجستير'!$M$5:$M$230),$I34)&amp;"")</f>
        <v/>
      </c>
      <c r="H34" s="2" t="str">
        <f>IF($I34="","",INDEX(CHOOSE($J$3,'فحص-حاسب-بكالوريوس'!$G$5:$G$208,'فحص-بيانات-بكالوريوس'!$G$5:$G$208,'فحص-بيانات-ماجستير'!$G$5:$G$230),$I34)&amp;"")</f>
        <v/>
      </c>
      <c r="I34" s="2" t="str">
        <f>IFERROR(MATCH($E$3&amp;"#"&amp;29,CHOOSE($J$3,'فحص-حاسب-بكالوريوس'!$R$5:$R$208,'فحص-بيانات-بكالوريوس'!$R$5:$R$208,'فحص-بيانات-ماجستير'!$R$5:$R$230),0),"")</f>
        <v/>
      </c>
    </row>
    <row r="35" spans="1:9" x14ac:dyDescent="0.2">
      <c r="A35" s="1" t="str">
        <f>IF($I35="","",30)</f>
        <v/>
      </c>
      <c r="B35" s="2" t="str">
        <f>IF($I35="","",INDEX(CHOOSE($J$3,'فحص-حاسب-بكالوريوس'!$A$5:$A$208,'فحص-بيانات-بكالوريوس'!$A$5:$A$208,'فحص-بيانات-ماجستير'!$A$5:$A$230),$I35)&amp;"")</f>
        <v/>
      </c>
      <c r="C35" s="2" t="str">
        <f>IF($I35="","",INDEX(CHOOSE($J$3,'فحص-حاسب-بكالوريوس'!$F$5:$F$208,'فحص-بيانات-بكالوريوس'!$F$5:$F$208,'فحص-بيانات-ماجستير'!$F$5:$F$230),$I35)&amp;"")</f>
        <v/>
      </c>
      <c r="D35" s="2" t="str">
        <f>IF($I35="","",INDEX(CHOOSE($J$3,'فحص-حاسب-بكالوريوس'!$H$5:$H$208,'فحص-بيانات-بكالوريوس'!$H$5:$H$208,'فحص-بيانات-ماجستير'!$H$5:$H$230),$I35)&amp;"")</f>
        <v/>
      </c>
      <c r="E35" s="2" t="str">
        <f>IF($I35="","",INDEX(CHOOSE($J$3,'فحص-حاسب-بكالوريوس'!$J$5:$J$208,'فحص-بيانات-بكالوريوس'!$J$5:$J$208,'فحص-بيانات-ماجستير'!$J$5:$J$230),$I35)&amp;"")</f>
        <v/>
      </c>
      <c r="F35" s="2" t="str">
        <f>IF($I35="","",INDEX(CHOOSE($J$3,'فحص-حاسب-بكالوريوس'!$L$5:$L$208,'فحص-بيانات-بكالوريوس'!$L$5:$L$208,'فحص-بيانات-ماجستير'!$L$5:$L$230),$I35)&amp;"")</f>
        <v/>
      </c>
      <c r="G35" s="2" t="str">
        <f>IF($I35="","",INDEX(CHOOSE($J$3,'فحص-حاسب-بكالوريوس'!$M$5:$M$208,'فحص-بيانات-بكالوريوس'!$M$5:$M$208,'فحص-بيانات-ماجستير'!$M$5:$M$230),$I35)&amp;"")</f>
        <v/>
      </c>
      <c r="H35" s="2" t="str">
        <f>IF($I35="","",INDEX(CHOOSE($J$3,'فحص-حاسب-بكالوريوس'!$G$5:$G$208,'فحص-بيانات-بكالوريوس'!$G$5:$G$208,'فحص-بيانات-ماجستير'!$G$5:$G$230),$I35)&amp;"")</f>
        <v/>
      </c>
      <c r="I35" s="2" t="str">
        <f>IFERROR(MATCH($E$3&amp;"#"&amp;30,CHOOSE($J$3,'فحص-حاسب-بكالوريوس'!$R$5:$R$208,'فحص-بيانات-بكالوريوس'!$R$5:$R$208,'فحص-بيانات-ماجستير'!$R$5:$R$230),0),"")</f>
        <v/>
      </c>
    </row>
    <row r="36" spans="1:9" x14ac:dyDescent="0.2">
      <c r="A36" s="1" t="str">
        <f>IF($I36="","",31)</f>
        <v/>
      </c>
      <c r="B36" s="2" t="str">
        <f>IF($I36="","",INDEX(CHOOSE($J$3,'فحص-حاسب-بكالوريوس'!$A$5:$A$208,'فحص-بيانات-بكالوريوس'!$A$5:$A$208,'فحص-بيانات-ماجستير'!$A$5:$A$230),$I36)&amp;"")</f>
        <v/>
      </c>
      <c r="C36" s="2" t="str">
        <f>IF($I36="","",INDEX(CHOOSE($J$3,'فحص-حاسب-بكالوريوس'!$F$5:$F$208,'فحص-بيانات-بكالوريوس'!$F$5:$F$208,'فحص-بيانات-ماجستير'!$F$5:$F$230),$I36)&amp;"")</f>
        <v/>
      </c>
      <c r="D36" s="2" t="str">
        <f>IF($I36="","",INDEX(CHOOSE($J$3,'فحص-حاسب-بكالوريوس'!$H$5:$H$208,'فحص-بيانات-بكالوريوس'!$H$5:$H$208,'فحص-بيانات-ماجستير'!$H$5:$H$230),$I36)&amp;"")</f>
        <v/>
      </c>
      <c r="E36" s="2" t="str">
        <f>IF($I36="","",INDEX(CHOOSE($J$3,'فحص-حاسب-بكالوريوس'!$J$5:$J$208,'فحص-بيانات-بكالوريوس'!$J$5:$J$208,'فحص-بيانات-ماجستير'!$J$5:$J$230),$I36)&amp;"")</f>
        <v/>
      </c>
      <c r="F36" s="2" t="str">
        <f>IF($I36="","",INDEX(CHOOSE($J$3,'فحص-حاسب-بكالوريوس'!$L$5:$L$208,'فحص-بيانات-بكالوريوس'!$L$5:$L$208,'فحص-بيانات-ماجستير'!$L$5:$L$230),$I36)&amp;"")</f>
        <v/>
      </c>
      <c r="G36" s="2" t="str">
        <f>IF($I36="","",INDEX(CHOOSE($J$3,'فحص-حاسب-بكالوريوس'!$M$5:$M$208,'فحص-بيانات-بكالوريوس'!$M$5:$M$208,'فحص-بيانات-ماجستير'!$M$5:$M$230),$I36)&amp;"")</f>
        <v/>
      </c>
      <c r="H36" s="2" t="str">
        <f>IF($I36="","",INDEX(CHOOSE($J$3,'فحص-حاسب-بكالوريوس'!$G$5:$G$208,'فحص-بيانات-بكالوريوس'!$G$5:$G$208,'فحص-بيانات-ماجستير'!$G$5:$G$230),$I36)&amp;"")</f>
        <v/>
      </c>
      <c r="I36" s="2" t="str">
        <f>IFERROR(MATCH($E$3&amp;"#"&amp;31,CHOOSE($J$3,'فحص-حاسب-بكالوريوس'!$R$5:$R$208,'فحص-بيانات-بكالوريوس'!$R$5:$R$208,'فحص-بيانات-ماجستير'!$R$5:$R$230),0),"")</f>
        <v/>
      </c>
    </row>
    <row r="37" spans="1:9" x14ac:dyDescent="0.2">
      <c r="A37" s="1" t="str">
        <f>IF($I37="","",32)</f>
        <v/>
      </c>
      <c r="B37" s="2" t="str">
        <f>IF($I37="","",INDEX(CHOOSE($J$3,'فحص-حاسب-بكالوريوس'!$A$5:$A$208,'فحص-بيانات-بكالوريوس'!$A$5:$A$208,'فحص-بيانات-ماجستير'!$A$5:$A$230),$I37)&amp;"")</f>
        <v/>
      </c>
      <c r="C37" s="2" t="str">
        <f>IF($I37="","",INDEX(CHOOSE($J$3,'فحص-حاسب-بكالوريوس'!$F$5:$F$208,'فحص-بيانات-بكالوريوس'!$F$5:$F$208,'فحص-بيانات-ماجستير'!$F$5:$F$230),$I37)&amp;"")</f>
        <v/>
      </c>
      <c r="D37" s="2" t="str">
        <f>IF($I37="","",INDEX(CHOOSE($J$3,'فحص-حاسب-بكالوريوس'!$H$5:$H$208,'فحص-بيانات-بكالوريوس'!$H$5:$H$208,'فحص-بيانات-ماجستير'!$H$5:$H$230),$I37)&amp;"")</f>
        <v/>
      </c>
      <c r="E37" s="2" t="str">
        <f>IF($I37="","",INDEX(CHOOSE($J$3,'فحص-حاسب-بكالوريوس'!$J$5:$J$208,'فحص-بيانات-بكالوريوس'!$J$5:$J$208,'فحص-بيانات-ماجستير'!$J$5:$J$230),$I37)&amp;"")</f>
        <v/>
      </c>
      <c r="F37" s="2" t="str">
        <f>IF($I37="","",INDEX(CHOOSE($J$3,'فحص-حاسب-بكالوريوس'!$L$5:$L$208,'فحص-بيانات-بكالوريوس'!$L$5:$L$208,'فحص-بيانات-ماجستير'!$L$5:$L$230),$I37)&amp;"")</f>
        <v/>
      </c>
      <c r="G37" s="2" t="str">
        <f>IF($I37="","",INDEX(CHOOSE($J$3,'فحص-حاسب-بكالوريوس'!$M$5:$M$208,'فحص-بيانات-بكالوريوس'!$M$5:$M$208,'فحص-بيانات-ماجستير'!$M$5:$M$230),$I37)&amp;"")</f>
        <v/>
      </c>
      <c r="H37" s="2" t="str">
        <f>IF($I37="","",INDEX(CHOOSE($J$3,'فحص-حاسب-بكالوريوس'!$G$5:$G$208,'فحص-بيانات-بكالوريوس'!$G$5:$G$208,'فحص-بيانات-ماجستير'!$G$5:$G$230),$I37)&amp;"")</f>
        <v/>
      </c>
      <c r="I37" s="2" t="str">
        <f>IFERROR(MATCH($E$3&amp;"#"&amp;32,CHOOSE($J$3,'فحص-حاسب-بكالوريوس'!$R$5:$R$208,'فحص-بيانات-بكالوريوس'!$R$5:$R$208,'فحص-بيانات-ماجستير'!$R$5:$R$230),0),"")</f>
        <v/>
      </c>
    </row>
    <row r="38" spans="1:9" x14ac:dyDescent="0.2">
      <c r="A38" s="1" t="str">
        <f>IF($I38="","",33)</f>
        <v/>
      </c>
      <c r="B38" s="2" t="str">
        <f>IF($I38="","",INDEX(CHOOSE($J$3,'فحص-حاسب-بكالوريوس'!$A$5:$A$208,'فحص-بيانات-بكالوريوس'!$A$5:$A$208,'فحص-بيانات-ماجستير'!$A$5:$A$230),$I38)&amp;"")</f>
        <v/>
      </c>
      <c r="C38" s="2" t="str">
        <f>IF($I38="","",INDEX(CHOOSE($J$3,'فحص-حاسب-بكالوريوس'!$F$5:$F$208,'فحص-بيانات-بكالوريوس'!$F$5:$F$208,'فحص-بيانات-ماجستير'!$F$5:$F$230),$I38)&amp;"")</f>
        <v/>
      </c>
      <c r="D38" s="2" t="str">
        <f>IF($I38="","",INDEX(CHOOSE($J$3,'فحص-حاسب-بكالوريوس'!$H$5:$H$208,'فحص-بيانات-بكالوريوس'!$H$5:$H$208,'فحص-بيانات-ماجستير'!$H$5:$H$230),$I38)&amp;"")</f>
        <v/>
      </c>
      <c r="E38" s="2" t="str">
        <f>IF($I38="","",INDEX(CHOOSE($J$3,'فحص-حاسب-بكالوريوس'!$J$5:$J$208,'فحص-بيانات-بكالوريوس'!$J$5:$J$208,'فحص-بيانات-ماجستير'!$J$5:$J$230),$I38)&amp;"")</f>
        <v/>
      </c>
      <c r="F38" s="2" t="str">
        <f>IF($I38="","",INDEX(CHOOSE($J$3,'فحص-حاسب-بكالوريوس'!$L$5:$L$208,'فحص-بيانات-بكالوريوس'!$L$5:$L$208,'فحص-بيانات-ماجستير'!$L$5:$L$230),$I38)&amp;"")</f>
        <v/>
      </c>
      <c r="G38" s="2" t="str">
        <f>IF($I38="","",INDEX(CHOOSE($J$3,'فحص-حاسب-بكالوريوس'!$M$5:$M$208,'فحص-بيانات-بكالوريوس'!$M$5:$M$208,'فحص-بيانات-ماجستير'!$M$5:$M$230),$I38)&amp;"")</f>
        <v/>
      </c>
      <c r="H38" s="2" t="str">
        <f>IF($I38="","",INDEX(CHOOSE($J$3,'فحص-حاسب-بكالوريوس'!$G$5:$G$208,'فحص-بيانات-بكالوريوس'!$G$5:$G$208,'فحص-بيانات-ماجستير'!$G$5:$G$230),$I38)&amp;"")</f>
        <v/>
      </c>
      <c r="I38" s="2" t="str">
        <f>IFERROR(MATCH($E$3&amp;"#"&amp;33,CHOOSE($J$3,'فحص-حاسب-بكالوريوس'!$R$5:$R$208,'فحص-بيانات-بكالوريوس'!$R$5:$R$208,'فحص-بيانات-ماجستير'!$R$5:$R$230),0),"")</f>
        <v/>
      </c>
    </row>
    <row r="39" spans="1:9" x14ac:dyDescent="0.2">
      <c r="A39" s="1" t="str">
        <f>IF($I39="","",34)</f>
        <v/>
      </c>
      <c r="B39" s="2" t="str">
        <f>IF($I39="","",INDEX(CHOOSE($J$3,'فحص-حاسب-بكالوريوس'!$A$5:$A$208,'فحص-بيانات-بكالوريوس'!$A$5:$A$208,'فحص-بيانات-ماجستير'!$A$5:$A$230),$I39)&amp;"")</f>
        <v/>
      </c>
      <c r="C39" s="2" t="str">
        <f>IF($I39="","",INDEX(CHOOSE($J$3,'فحص-حاسب-بكالوريوس'!$F$5:$F$208,'فحص-بيانات-بكالوريوس'!$F$5:$F$208,'فحص-بيانات-ماجستير'!$F$5:$F$230),$I39)&amp;"")</f>
        <v/>
      </c>
      <c r="D39" s="2" t="str">
        <f>IF($I39="","",INDEX(CHOOSE($J$3,'فحص-حاسب-بكالوريوس'!$H$5:$H$208,'فحص-بيانات-بكالوريوس'!$H$5:$H$208,'فحص-بيانات-ماجستير'!$H$5:$H$230),$I39)&amp;"")</f>
        <v/>
      </c>
      <c r="E39" s="2" t="str">
        <f>IF($I39="","",INDEX(CHOOSE($J$3,'فحص-حاسب-بكالوريوس'!$J$5:$J$208,'فحص-بيانات-بكالوريوس'!$J$5:$J$208,'فحص-بيانات-ماجستير'!$J$5:$J$230),$I39)&amp;"")</f>
        <v/>
      </c>
      <c r="F39" s="2" t="str">
        <f>IF($I39="","",INDEX(CHOOSE($J$3,'فحص-حاسب-بكالوريوس'!$L$5:$L$208,'فحص-بيانات-بكالوريوس'!$L$5:$L$208,'فحص-بيانات-ماجستير'!$L$5:$L$230),$I39)&amp;"")</f>
        <v/>
      </c>
      <c r="G39" s="2" t="str">
        <f>IF($I39="","",INDEX(CHOOSE($J$3,'فحص-حاسب-بكالوريوس'!$M$5:$M$208,'فحص-بيانات-بكالوريوس'!$M$5:$M$208,'فحص-بيانات-ماجستير'!$M$5:$M$230),$I39)&amp;"")</f>
        <v/>
      </c>
      <c r="H39" s="2" t="str">
        <f>IF($I39="","",INDEX(CHOOSE($J$3,'فحص-حاسب-بكالوريوس'!$G$5:$G$208,'فحص-بيانات-بكالوريوس'!$G$5:$G$208,'فحص-بيانات-ماجستير'!$G$5:$G$230),$I39)&amp;"")</f>
        <v/>
      </c>
      <c r="I39" s="2" t="str">
        <f>IFERROR(MATCH($E$3&amp;"#"&amp;34,CHOOSE($J$3,'فحص-حاسب-بكالوريوس'!$R$5:$R$208,'فحص-بيانات-بكالوريوس'!$R$5:$R$208,'فحص-بيانات-ماجستير'!$R$5:$R$230),0),"")</f>
        <v/>
      </c>
    </row>
    <row r="40" spans="1:9" x14ac:dyDescent="0.2">
      <c r="A40" s="1" t="str">
        <f>IF($I40="","",35)</f>
        <v/>
      </c>
      <c r="B40" s="2" t="str">
        <f>IF($I40="","",INDEX(CHOOSE($J$3,'فحص-حاسب-بكالوريوس'!$A$5:$A$208,'فحص-بيانات-بكالوريوس'!$A$5:$A$208,'فحص-بيانات-ماجستير'!$A$5:$A$230),$I40)&amp;"")</f>
        <v/>
      </c>
      <c r="C40" s="2" t="str">
        <f>IF($I40="","",INDEX(CHOOSE($J$3,'فحص-حاسب-بكالوريوس'!$F$5:$F$208,'فحص-بيانات-بكالوريوس'!$F$5:$F$208,'فحص-بيانات-ماجستير'!$F$5:$F$230),$I40)&amp;"")</f>
        <v/>
      </c>
      <c r="D40" s="2" t="str">
        <f>IF($I40="","",INDEX(CHOOSE($J$3,'فحص-حاسب-بكالوريوس'!$H$5:$H$208,'فحص-بيانات-بكالوريوس'!$H$5:$H$208,'فحص-بيانات-ماجستير'!$H$5:$H$230),$I40)&amp;"")</f>
        <v/>
      </c>
      <c r="E40" s="2" t="str">
        <f>IF($I40="","",INDEX(CHOOSE($J$3,'فحص-حاسب-بكالوريوس'!$J$5:$J$208,'فحص-بيانات-بكالوريوس'!$J$5:$J$208,'فحص-بيانات-ماجستير'!$J$5:$J$230),$I40)&amp;"")</f>
        <v/>
      </c>
      <c r="F40" s="2" t="str">
        <f>IF($I40="","",INDEX(CHOOSE($J$3,'فحص-حاسب-بكالوريوس'!$L$5:$L$208,'فحص-بيانات-بكالوريوس'!$L$5:$L$208,'فحص-بيانات-ماجستير'!$L$5:$L$230),$I40)&amp;"")</f>
        <v/>
      </c>
      <c r="G40" s="2" t="str">
        <f>IF($I40="","",INDEX(CHOOSE($J$3,'فحص-حاسب-بكالوريوس'!$M$5:$M$208,'فحص-بيانات-بكالوريوس'!$M$5:$M$208,'فحص-بيانات-ماجستير'!$M$5:$M$230),$I40)&amp;"")</f>
        <v/>
      </c>
      <c r="H40" s="2" t="str">
        <f>IF($I40="","",INDEX(CHOOSE($J$3,'فحص-حاسب-بكالوريوس'!$G$5:$G$208,'فحص-بيانات-بكالوريوس'!$G$5:$G$208,'فحص-بيانات-ماجستير'!$G$5:$G$230),$I40)&amp;"")</f>
        <v/>
      </c>
      <c r="I40" s="2" t="str">
        <f>IFERROR(MATCH($E$3&amp;"#"&amp;35,CHOOSE($J$3,'فحص-حاسب-بكالوريوس'!$R$5:$R$208,'فحص-بيانات-بكالوريوس'!$R$5:$R$208,'فحص-بيانات-ماجستير'!$R$5:$R$230),0),"")</f>
        <v/>
      </c>
    </row>
    <row r="41" spans="1:9" x14ac:dyDescent="0.2">
      <c r="A41" s="1" t="str">
        <f>IF($I41="","",36)</f>
        <v/>
      </c>
      <c r="B41" s="2" t="str">
        <f>IF($I41="","",INDEX(CHOOSE($J$3,'فحص-حاسب-بكالوريوس'!$A$5:$A$208,'فحص-بيانات-بكالوريوس'!$A$5:$A$208,'فحص-بيانات-ماجستير'!$A$5:$A$230),$I41)&amp;"")</f>
        <v/>
      </c>
      <c r="C41" s="2" t="str">
        <f>IF($I41="","",INDEX(CHOOSE($J$3,'فحص-حاسب-بكالوريوس'!$F$5:$F$208,'فحص-بيانات-بكالوريوس'!$F$5:$F$208,'فحص-بيانات-ماجستير'!$F$5:$F$230),$I41)&amp;"")</f>
        <v/>
      </c>
      <c r="D41" s="2" t="str">
        <f>IF($I41="","",INDEX(CHOOSE($J$3,'فحص-حاسب-بكالوريوس'!$H$5:$H$208,'فحص-بيانات-بكالوريوس'!$H$5:$H$208,'فحص-بيانات-ماجستير'!$H$5:$H$230),$I41)&amp;"")</f>
        <v/>
      </c>
      <c r="E41" s="2" t="str">
        <f>IF($I41="","",INDEX(CHOOSE($J$3,'فحص-حاسب-بكالوريوس'!$J$5:$J$208,'فحص-بيانات-بكالوريوس'!$J$5:$J$208,'فحص-بيانات-ماجستير'!$J$5:$J$230),$I41)&amp;"")</f>
        <v/>
      </c>
      <c r="F41" s="2" t="str">
        <f>IF($I41="","",INDEX(CHOOSE($J$3,'فحص-حاسب-بكالوريوس'!$L$5:$L$208,'فحص-بيانات-بكالوريوس'!$L$5:$L$208,'فحص-بيانات-ماجستير'!$L$5:$L$230),$I41)&amp;"")</f>
        <v/>
      </c>
      <c r="G41" s="2" t="str">
        <f>IF($I41="","",INDEX(CHOOSE($J$3,'فحص-حاسب-بكالوريوس'!$M$5:$M$208,'فحص-بيانات-بكالوريوس'!$M$5:$M$208,'فحص-بيانات-ماجستير'!$M$5:$M$230),$I41)&amp;"")</f>
        <v/>
      </c>
      <c r="H41" s="2" t="str">
        <f>IF($I41="","",INDEX(CHOOSE($J$3,'فحص-حاسب-بكالوريوس'!$G$5:$G$208,'فحص-بيانات-بكالوريوس'!$G$5:$G$208,'فحص-بيانات-ماجستير'!$G$5:$G$230),$I41)&amp;"")</f>
        <v/>
      </c>
      <c r="I41" s="2" t="str">
        <f>IFERROR(MATCH($E$3&amp;"#"&amp;36,CHOOSE($J$3,'فحص-حاسب-بكالوريوس'!$R$5:$R$208,'فحص-بيانات-بكالوريوس'!$R$5:$R$208,'فحص-بيانات-ماجستير'!$R$5:$R$230),0),"")</f>
        <v/>
      </c>
    </row>
    <row r="42" spans="1:9" x14ac:dyDescent="0.2">
      <c r="A42" s="1" t="str">
        <f>IF($I42="","",37)</f>
        <v/>
      </c>
      <c r="B42" s="2" t="str">
        <f>IF($I42="","",INDEX(CHOOSE($J$3,'فحص-حاسب-بكالوريوس'!$A$5:$A$208,'فحص-بيانات-بكالوريوس'!$A$5:$A$208,'فحص-بيانات-ماجستير'!$A$5:$A$230),$I42)&amp;"")</f>
        <v/>
      </c>
      <c r="C42" s="2" t="str">
        <f>IF($I42="","",INDEX(CHOOSE($J$3,'فحص-حاسب-بكالوريوس'!$F$5:$F$208,'فحص-بيانات-بكالوريوس'!$F$5:$F$208,'فحص-بيانات-ماجستير'!$F$5:$F$230),$I42)&amp;"")</f>
        <v/>
      </c>
      <c r="D42" s="2" t="str">
        <f>IF($I42="","",INDEX(CHOOSE($J$3,'فحص-حاسب-بكالوريوس'!$H$5:$H$208,'فحص-بيانات-بكالوريوس'!$H$5:$H$208,'فحص-بيانات-ماجستير'!$H$5:$H$230),$I42)&amp;"")</f>
        <v/>
      </c>
      <c r="E42" s="2" t="str">
        <f>IF($I42="","",INDEX(CHOOSE($J$3,'فحص-حاسب-بكالوريوس'!$J$5:$J$208,'فحص-بيانات-بكالوريوس'!$J$5:$J$208,'فحص-بيانات-ماجستير'!$J$5:$J$230),$I42)&amp;"")</f>
        <v/>
      </c>
      <c r="F42" s="2" t="str">
        <f>IF($I42="","",INDEX(CHOOSE($J$3,'فحص-حاسب-بكالوريوس'!$L$5:$L$208,'فحص-بيانات-بكالوريوس'!$L$5:$L$208,'فحص-بيانات-ماجستير'!$L$5:$L$230),$I42)&amp;"")</f>
        <v/>
      </c>
      <c r="G42" s="2" t="str">
        <f>IF($I42="","",INDEX(CHOOSE($J$3,'فحص-حاسب-بكالوريوس'!$M$5:$M$208,'فحص-بيانات-بكالوريوس'!$M$5:$M$208,'فحص-بيانات-ماجستير'!$M$5:$M$230),$I42)&amp;"")</f>
        <v/>
      </c>
      <c r="H42" s="2" t="str">
        <f>IF($I42="","",INDEX(CHOOSE($J$3,'فحص-حاسب-بكالوريوس'!$G$5:$G$208,'فحص-بيانات-بكالوريوس'!$G$5:$G$208,'فحص-بيانات-ماجستير'!$G$5:$G$230),$I42)&amp;"")</f>
        <v/>
      </c>
      <c r="I42" s="2" t="str">
        <f>IFERROR(MATCH($E$3&amp;"#"&amp;37,CHOOSE($J$3,'فحص-حاسب-بكالوريوس'!$R$5:$R$208,'فحص-بيانات-بكالوريوس'!$R$5:$R$208,'فحص-بيانات-ماجستير'!$R$5:$R$230),0),"")</f>
        <v/>
      </c>
    </row>
    <row r="43" spans="1:9" x14ac:dyDescent="0.2">
      <c r="A43" s="1" t="str">
        <f>IF($I43="","",38)</f>
        <v/>
      </c>
      <c r="B43" s="2" t="str">
        <f>IF($I43="","",INDEX(CHOOSE($J$3,'فحص-حاسب-بكالوريوس'!$A$5:$A$208,'فحص-بيانات-بكالوريوس'!$A$5:$A$208,'فحص-بيانات-ماجستير'!$A$5:$A$230),$I43)&amp;"")</f>
        <v/>
      </c>
      <c r="C43" s="2" t="str">
        <f>IF($I43="","",INDEX(CHOOSE($J$3,'فحص-حاسب-بكالوريوس'!$F$5:$F$208,'فحص-بيانات-بكالوريوس'!$F$5:$F$208,'فحص-بيانات-ماجستير'!$F$5:$F$230),$I43)&amp;"")</f>
        <v/>
      </c>
      <c r="D43" s="2" t="str">
        <f>IF($I43="","",INDEX(CHOOSE($J$3,'فحص-حاسب-بكالوريوس'!$H$5:$H$208,'فحص-بيانات-بكالوريوس'!$H$5:$H$208,'فحص-بيانات-ماجستير'!$H$5:$H$230),$I43)&amp;"")</f>
        <v/>
      </c>
      <c r="E43" s="2" t="str">
        <f>IF($I43="","",INDEX(CHOOSE($J$3,'فحص-حاسب-بكالوريوس'!$J$5:$J$208,'فحص-بيانات-بكالوريوس'!$J$5:$J$208,'فحص-بيانات-ماجستير'!$J$5:$J$230),$I43)&amp;"")</f>
        <v/>
      </c>
      <c r="F43" s="2" t="str">
        <f>IF($I43="","",INDEX(CHOOSE($J$3,'فحص-حاسب-بكالوريوس'!$L$5:$L$208,'فحص-بيانات-بكالوريوس'!$L$5:$L$208,'فحص-بيانات-ماجستير'!$L$5:$L$230),$I43)&amp;"")</f>
        <v/>
      </c>
      <c r="G43" s="2" t="str">
        <f>IF($I43="","",INDEX(CHOOSE($J$3,'فحص-حاسب-بكالوريوس'!$M$5:$M$208,'فحص-بيانات-بكالوريوس'!$M$5:$M$208,'فحص-بيانات-ماجستير'!$M$5:$M$230),$I43)&amp;"")</f>
        <v/>
      </c>
      <c r="H43" s="2" t="str">
        <f>IF($I43="","",INDEX(CHOOSE($J$3,'فحص-حاسب-بكالوريوس'!$G$5:$G$208,'فحص-بيانات-بكالوريوس'!$G$5:$G$208,'فحص-بيانات-ماجستير'!$G$5:$G$230),$I43)&amp;"")</f>
        <v/>
      </c>
      <c r="I43" s="2" t="str">
        <f>IFERROR(MATCH($E$3&amp;"#"&amp;38,CHOOSE($J$3,'فحص-حاسب-بكالوريوس'!$R$5:$R$208,'فحص-بيانات-بكالوريوس'!$R$5:$R$208,'فحص-بيانات-ماجستير'!$R$5:$R$230),0),"")</f>
        <v/>
      </c>
    </row>
    <row r="44" spans="1:9" x14ac:dyDescent="0.2">
      <c r="A44" s="1" t="str">
        <f>IF($I44="","",39)</f>
        <v/>
      </c>
      <c r="B44" s="2" t="str">
        <f>IF($I44="","",INDEX(CHOOSE($J$3,'فحص-حاسب-بكالوريوس'!$A$5:$A$208,'فحص-بيانات-بكالوريوس'!$A$5:$A$208,'فحص-بيانات-ماجستير'!$A$5:$A$230),$I44)&amp;"")</f>
        <v/>
      </c>
      <c r="C44" s="2" t="str">
        <f>IF($I44="","",INDEX(CHOOSE($J$3,'فحص-حاسب-بكالوريوس'!$F$5:$F$208,'فحص-بيانات-بكالوريوس'!$F$5:$F$208,'فحص-بيانات-ماجستير'!$F$5:$F$230),$I44)&amp;"")</f>
        <v/>
      </c>
      <c r="D44" s="2" t="str">
        <f>IF($I44="","",INDEX(CHOOSE($J$3,'فحص-حاسب-بكالوريوس'!$H$5:$H$208,'فحص-بيانات-بكالوريوس'!$H$5:$H$208,'فحص-بيانات-ماجستير'!$H$5:$H$230),$I44)&amp;"")</f>
        <v/>
      </c>
      <c r="E44" s="2" t="str">
        <f>IF($I44="","",INDEX(CHOOSE($J$3,'فحص-حاسب-بكالوريوس'!$J$5:$J$208,'فحص-بيانات-بكالوريوس'!$J$5:$J$208,'فحص-بيانات-ماجستير'!$J$5:$J$230),$I44)&amp;"")</f>
        <v/>
      </c>
      <c r="F44" s="2" t="str">
        <f>IF($I44="","",INDEX(CHOOSE($J$3,'فحص-حاسب-بكالوريوس'!$L$5:$L$208,'فحص-بيانات-بكالوريوس'!$L$5:$L$208,'فحص-بيانات-ماجستير'!$L$5:$L$230),$I44)&amp;"")</f>
        <v/>
      </c>
      <c r="G44" s="2" t="str">
        <f>IF($I44="","",INDEX(CHOOSE($J$3,'فحص-حاسب-بكالوريوس'!$M$5:$M$208,'فحص-بيانات-بكالوريوس'!$M$5:$M$208,'فحص-بيانات-ماجستير'!$M$5:$M$230),$I44)&amp;"")</f>
        <v/>
      </c>
      <c r="H44" s="2" t="str">
        <f>IF($I44="","",INDEX(CHOOSE($J$3,'فحص-حاسب-بكالوريوس'!$G$5:$G$208,'فحص-بيانات-بكالوريوس'!$G$5:$G$208,'فحص-بيانات-ماجستير'!$G$5:$G$230),$I44)&amp;"")</f>
        <v/>
      </c>
      <c r="I44" s="2" t="str">
        <f>IFERROR(MATCH($E$3&amp;"#"&amp;39,CHOOSE($J$3,'فحص-حاسب-بكالوريوس'!$R$5:$R$208,'فحص-بيانات-بكالوريوس'!$R$5:$R$208,'فحص-بيانات-ماجستير'!$R$5:$R$230),0),"")</f>
        <v/>
      </c>
    </row>
    <row r="45" spans="1:9" x14ac:dyDescent="0.2">
      <c r="A45" s="1" t="str">
        <f>IF($I45="","",40)</f>
        <v/>
      </c>
      <c r="B45" s="2" t="str">
        <f>IF($I45="","",INDEX(CHOOSE($J$3,'فحص-حاسب-بكالوريوس'!$A$5:$A$208,'فحص-بيانات-بكالوريوس'!$A$5:$A$208,'فحص-بيانات-ماجستير'!$A$5:$A$230),$I45)&amp;"")</f>
        <v/>
      </c>
      <c r="C45" s="2" t="str">
        <f>IF($I45="","",INDEX(CHOOSE($J$3,'فحص-حاسب-بكالوريوس'!$F$5:$F$208,'فحص-بيانات-بكالوريوس'!$F$5:$F$208,'فحص-بيانات-ماجستير'!$F$5:$F$230),$I45)&amp;"")</f>
        <v/>
      </c>
      <c r="D45" s="2" t="str">
        <f>IF($I45="","",INDEX(CHOOSE($J$3,'فحص-حاسب-بكالوريوس'!$H$5:$H$208,'فحص-بيانات-بكالوريوس'!$H$5:$H$208,'فحص-بيانات-ماجستير'!$H$5:$H$230),$I45)&amp;"")</f>
        <v/>
      </c>
      <c r="E45" s="2" t="str">
        <f>IF($I45="","",INDEX(CHOOSE($J$3,'فحص-حاسب-بكالوريوس'!$J$5:$J$208,'فحص-بيانات-بكالوريوس'!$J$5:$J$208,'فحص-بيانات-ماجستير'!$J$5:$J$230),$I45)&amp;"")</f>
        <v/>
      </c>
      <c r="F45" s="2" t="str">
        <f>IF($I45="","",INDEX(CHOOSE($J$3,'فحص-حاسب-بكالوريوس'!$L$5:$L$208,'فحص-بيانات-بكالوريوس'!$L$5:$L$208,'فحص-بيانات-ماجستير'!$L$5:$L$230),$I45)&amp;"")</f>
        <v/>
      </c>
      <c r="G45" s="2" t="str">
        <f>IF($I45="","",INDEX(CHOOSE($J$3,'فحص-حاسب-بكالوريوس'!$M$5:$M$208,'فحص-بيانات-بكالوريوس'!$M$5:$M$208,'فحص-بيانات-ماجستير'!$M$5:$M$230),$I45)&amp;"")</f>
        <v/>
      </c>
      <c r="H45" s="2" t="str">
        <f>IF($I45="","",INDEX(CHOOSE($J$3,'فحص-حاسب-بكالوريوس'!$G$5:$G$208,'فحص-بيانات-بكالوريوس'!$G$5:$G$208,'فحص-بيانات-ماجستير'!$G$5:$G$230),$I45)&amp;"")</f>
        <v/>
      </c>
      <c r="I45" s="2" t="str">
        <f>IFERROR(MATCH($E$3&amp;"#"&amp;40,CHOOSE($J$3,'فحص-حاسب-بكالوريوس'!$R$5:$R$208,'فحص-بيانات-بكالوريوس'!$R$5:$R$208,'فحص-بيانات-ماجستير'!$R$5:$R$230),0),"")</f>
        <v/>
      </c>
    </row>
    <row r="46" spans="1:9" x14ac:dyDescent="0.2">
      <c r="A46" s="1" t="str">
        <f>IF($I46="","",41)</f>
        <v/>
      </c>
      <c r="B46" s="2" t="str">
        <f>IF($I46="","",INDEX(CHOOSE($J$3,'فحص-حاسب-بكالوريوس'!$A$5:$A$208,'فحص-بيانات-بكالوريوس'!$A$5:$A$208,'فحص-بيانات-ماجستير'!$A$5:$A$230),$I46)&amp;"")</f>
        <v/>
      </c>
      <c r="C46" s="2" t="str">
        <f>IF($I46="","",INDEX(CHOOSE($J$3,'فحص-حاسب-بكالوريوس'!$F$5:$F$208,'فحص-بيانات-بكالوريوس'!$F$5:$F$208,'فحص-بيانات-ماجستير'!$F$5:$F$230),$I46)&amp;"")</f>
        <v/>
      </c>
      <c r="D46" s="2" t="str">
        <f>IF($I46="","",INDEX(CHOOSE($J$3,'فحص-حاسب-بكالوريوس'!$H$5:$H$208,'فحص-بيانات-بكالوريوس'!$H$5:$H$208,'فحص-بيانات-ماجستير'!$H$5:$H$230),$I46)&amp;"")</f>
        <v/>
      </c>
      <c r="E46" s="2" t="str">
        <f>IF($I46="","",INDEX(CHOOSE($J$3,'فحص-حاسب-بكالوريوس'!$J$5:$J$208,'فحص-بيانات-بكالوريوس'!$J$5:$J$208,'فحص-بيانات-ماجستير'!$J$5:$J$230),$I46)&amp;"")</f>
        <v/>
      </c>
      <c r="F46" s="2" t="str">
        <f>IF($I46="","",INDEX(CHOOSE($J$3,'فحص-حاسب-بكالوريوس'!$L$5:$L$208,'فحص-بيانات-بكالوريوس'!$L$5:$L$208,'فحص-بيانات-ماجستير'!$L$5:$L$230),$I46)&amp;"")</f>
        <v/>
      </c>
      <c r="G46" s="2" t="str">
        <f>IF($I46="","",INDEX(CHOOSE($J$3,'فحص-حاسب-بكالوريوس'!$M$5:$M$208,'فحص-بيانات-بكالوريوس'!$M$5:$M$208,'فحص-بيانات-ماجستير'!$M$5:$M$230),$I46)&amp;"")</f>
        <v/>
      </c>
      <c r="H46" s="2" t="str">
        <f>IF($I46="","",INDEX(CHOOSE($J$3,'فحص-حاسب-بكالوريوس'!$G$5:$G$208,'فحص-بيانات-بكالوريوس'!$G$5:$G$208,'فحص-بيانات-ماجستير'!$G$5:$G$230),$I46)&amp;"")</f>
        <v/>
      </c>
      <c r="I46" s="2" t="str">
        <f>IFERROR(MATCH($E$3&amp;"#"&amp;41,CHOOSE($J$3,'فحص-حاسب-بكالوريوس'!$R$5:$R$208,'فحص-بيانات-بكالوريوس'!$R$5:$R$208,'فحص-بيانات-ماجستير'!$R$5:$R$230),0),"")</f>
        <v/>
      </c>
    </row>
    <row r="47" spans="1:9" x14ac:dyDescent="0.2">
      <c r="A47" s="1" t="str">
        <f>IF($I47="","",42)</f>
        <v/>
      </c>
      <c r="B47" s="2" t="str">
        <f>IF($I47="","",INDEX(CHOOSE($J$3,'فحص-حاسب-بكالوريوس'!$A$5:$A$208,'فحص-بيانات-بكالوريوس'!$A$5:$A$208,'فحص-بيانات-ماجستير'!$A$5:$A$230),$I47)&amp;"")</f>
        <v/>
      </c>
      <c r="C47" s="2" t="str">
        <f>IF($I47="","",INDEX(CHOOSE($J$3,'فحص-حاسب-بكالوريوس'!$F$5:$F$208,'فحص-بيانات-بكالوريوس'!$F$5:$F$208,'فحص-بيانات-ماجستير'!$F$5:$F$230),$I47)&amp;"")</f>
        <v/>
      </c>
      <c r="D47" s="2" t="str">
        <f>IF($I47="","",INDEX(CHOOSE($J$3,'فحص-حاسب-بكالوريوس'!$H$5:$H$208,'فحص-بيانات-بكالوريوس'!$H$5:$H$208,'فحص-بيانات-ماجستير'!$H$5:$H$230),$I47)&amp;"")</f>
        <v/>
      </c>
      <c r="E47" s="2" t="str">
        <f>IF($I47="","",INDEX(CHOOSE($J$3,'فحص-حاسب-بكالوريوس'!$J$5:$J$208,'فحص-بيانات-بكالوريوس'!$J$5:$J$208,'فحص-بيانات-ماجستير'!$J$5:$J$230),$I47)&amp;"")</f>
        <v/>
      </c>
      <c r="F47" s="2" t="str">
        <f>IF($I47="","",INDEX(CHOOSE($J$3,'فحص-حاسب-بكالوريوس'!$L$5:$L$208,'فحص-بيانات-بكالوريوس'!$L$5:$L$208,'فحص-بيانات-ماجستير'!$L$5:$L$230),$I47)&amp;"")</f>
        <v/>
      </c>
      <c r="G47" s="2" t="str">
        <f>IF($I47="","",INDEX(CHOOSE($J$3,'فحص-حاسب-بكالوريوس'!$M$5:$M$208,'فحص-بيانات-بكالوريوس'!$M$5:$M$208,'فحص-بيانات-ماجستير'!$M$5:$M$230),$I47)&amp;"")</f>
        <v/>
      </c>
      <c r="H47" s="2" t="str">
        <f>IF($I47="","",INDEX(CHOOSE($J$3,'فحص-حاسب-بكالوريوس'!$G$5:$G$208,'فحص-بيانات-بكالوريوس'!$G$5:$G$208,'فحص-بيانات-ماجستير'!$G$5:$G$230),$I47)&amp;"")</f>
        <v/>
      </c>
      <c r="I47" s="2" t="str">
        <f>IFERROR(MATCH($E$3&amp;"#"&amp;42,CHOOSE($J$3,'فحص-حاسب-بكالوريوس'!$R$5:$R$208,'فحص-بيانات-بكالوريوس'!$R$5:$R$208,'فحص-بيانات-ماجستير'!$R$5:$R$230),0),"")</f>
        <v/>
      </c>
    </row>
    <row r="48" spans="1:9" x14ac:dyDescent="0.2">
      <c r="A48" s="1" t="str">
        <f>IF($I48="","",43)</f>
        <v/>
      </c>
      <c r="B48" s="2" t="str">
        <f>IF($I48="","",INDEX(CHOOSE($J$3,'فحص-حاسب-بكالوريوس'!$A$5:$A$208,'فحص-بيانات-بكالوريوس'!$A$5:$A$208,'فحص-بيانات-ماجستير'!$A$5:$A$230),$I48)&amp;"")</f>
        <v/>
      </c>
      <c r="C48" s="2" t="str">
        <f>IF($I48="","",INDEX(CHOOSE($J$3,'فحص-حاسب-بكالوريوس'!$F$5:$F$208,'فحص-بيانات-بكالوريوس'!$F$5:$F$208,'فحص-بيانات-ماجستير'!$F$5:$F$230),$I48)&amp;"")</f>
        <v/>
      </c>
      <c r="D48" s="2" t="str">
        <f>IF($I48="","",INDEX(CHOOSE($J$3,'فحص-حاسب-بكالوريوس'!$H$5:$H$208,'فحص-بيانات-بكالوريوس'!$H$5:$H$208,'فحص-بيانات-ماجستير'!$H$5:$H$230),$I48)&amp;"")</f>
        <v/>
      </c>
      <c r="E48" s="2" t="str">
        <f>IF($I48="","",INDEX(CHOOSE($J$3,'فحص-حاسب-بكالوريوس'!$J$5:$J$208,'فحص-بيانات-بكالوريوس'!$J$5:$J$208,'فحص-بيانات-ماجستير'!$J$5:$J$230),$I48)&amp;"")</f>
        <v/>
      </c>
      <c r="F48" s="2" t="str">
        <f>IF($I48="","",INDEX(CHOOSE($J$3,'فحص-حاسب-بكالوريوس'!$L$5:$L$208,'فحص-بيانات-بكالوريوس'!$L$5:$L$208,'فحص-بيانات-ماجستير'!$L$5:$L$230),$I48)&amp;"")</f>
        <v/>
      </c>
      <c r="G48" s="2" t="str">
        <f>IF($I48="","",INDEX(CHOOSE($J$3,'فحص-حاسب-بكالوريوس'!$M$5:$M$208,'فحص-بيانات-بكالوريوس'!$M$5:$M$208,'فحص-بيانات-ماجستير'!$M$5:$M$230),$I48)&amp;"")</f>
        <v/>
      </c>
      <c r="H48" s="2" t="str">
        <f>IF($I48="","",INDEX(CHOOSE($J$3,'فحص-حاسب-بكالوريوس'!$G$5:$G$208,'فحص-بيانات-بكالوريوس'!$G$5:$G$208,'فحص-بيانات-ماجستير'!$G$5:$G$230),$I48)&amp;"")</f>
        <v/>
      </c>
      <c r="I48" s="2" t="str">
        <f>IFERROR(MATCH($E$3&amp;"#"&amp;43,CHOOSE($J$3,'فحص-حاسب-بكالوريوس'!$R$5:$R$208,'فحص-بيانات-بكالوريوس'!$R$5:$R$208,'فحص-بيانات-ماجستير'!$R$5:$R$230),0),"")</f>
        <v/>
      </c>
    </row>
    <row r="49" spans="1:9" x14ac:dyDescent="0.2">
      <c r="A49" s="1" t="str">
        <f>IF($I49="","",44)</f>
        <v/>
      </c>
      <c r="B49" s="2" t="str">
        <f>IF($I49="","",INDEX(CHOOSE($J$3,'فحص-حاسب-بكالوريوس'!$A$5:$A$208,'فحص-بيانات-بكالوريوس'!$A$5:$A$208,'فحص-بيانات-ماجستير'!$A$5:$A$230),$I49)&amp;"")</f>
        <v/>
      </c>
      <c r="C49" s="2" t="str">
        <f>IF($I49="","",INDEX(CHOOSE($J$3,'فحص-حاسب-بكالوريوس'!$F$5:$F$208,'فحص-بيانات-بكالوريوس'!$F$5:$F$208,'فحص-بيانات-ماجستير'!$F$5:$F$230),$I49)&amp;"")</f>
        <v/>
      </c>
      <c r="D49" s="2" t="str">
        <f>IF($I49="","",INDEX(CHOOSE($J$3,'فحص-حاسب-بكالوريوس'!$H$5:$H$208,'فحص-بيانات-بكالوريوس'!$H$5:$H$208,'فحص-بيانات-ماجستير'!$H$5:$H$230),$I49)&amp;"")</f>
        <v/>
      </c>
      <c r="E49" s="2" t="str">
        <f>IF($I49="","",INDEX(CHOOSE($J$3,'فحص-حاسب-بكالوريوس'!$J$5:$J$208,'فحص-بيانات-بكالوريوس'!$J$5:$J$208,'فحص-بيانات-ماجستير'!$J$5:$J$230),$I49)&amp;"")</f>
        <v/>
      </c>
      <c r="F49" s="2" t="str">
        <f>IF($I49="","",INDEX(CHOOSE($J$3,'فحص-حاسب-بكالوريوس'!$L$5:$L$208,'فحص-بيانات-بكالوريوس'!$L$5:$L$208,'فحص-بيانات-ماجستير'!$L$5:$L$230),$I49)&amp;"")</f>
        <v/>
      </c>
      <c r="G49" s="2" t="str">
        <f>IF($I49="","",INDEX(CHOOSE($J$3,'فحص-حاسب-بكالوريوس'!$M$5:$M$208,'فحص-بيانات-بكالوريوس'!$M$5:$M$208,'فحص-بيانات-ماجستير'!$M$5:$M$230),$I49)&amp;"")</f>
        <v/>
      </c>
      <c r="H49" s="2" t="str">
        <f>IF($I49="","",INDEX(CHOOSE($J$3,'فحص-حاسب-بكالوريوس'!$G$5:$G$208,'فحص-بيانات-بكالوريوس'!$G$5:$G$208,'فحص-بيانات-ماجستير'!$G$5:$G$230),$I49)&amp;"")</f>
        <v/>
      </c>
      <c r="I49" s="2" t="str">
        <f>IFERROR(MATCH($E$3&amp;"#"&amp;44,CHOOSE($J$3,'فحص-حاسب-بكالوريوس'!$R$5:$R$208,'فحص-بيانات-بكالوريوس'!$R$5:$R$208,'فحص-بيانات-ماجستير'!$R$5:$R$230),0),"")</f>
        <v/>
      </c>
    </row>
    <row r="50" spans="1:9" x14ac:dyDescent="0.2">
      <c r="A50" s="1" t="str">
        <f>IF($I50="","",45)</f>
        <v/>
      </c>
      <c r="B50" s="2" t="str">
        <f>IF($I50="","",INDEX(CHOOSE($J$3,'فحص-حاسب-بكالوريوس'!$A$5:$A$208,'فحص-بيانات-بكالوريوس'!$A$5:$A$208,'فحص-بيانات-ماجستير'!$A$5:$A$230),$I50)&amp;"")</f>
        <v/>
      </c>
      <c r="C50" s="2" t="str">
        <f>IF($I50="","",INDEX(CHOOSE($J$3,'فحص-حاسب-بكالوريوس'!$F$5:$F$208,'فحص-بيانات-بكالوريوس'!$F$5:$F$208,'فحص-بيانات-ماجستير'!$F$5:$F$230),$I50)&amp;"")</f>
        <v/>
      </c>
      <c r="D50" s="2" t="str">
        <f>IF($I50="","",INDEX(CHOOSE($J$3,'فحص-حاسب-بكالوريوس'!$H$5:$H$208,'فحص-بيانات-بكالوريوس'!$H$5:$H$208,'فحص-بيانات-ماجستير'!$H$5:$H$230),$I50)&amp;"")</f>
        <v/>
      </c>
      <c r="E50" s="2" t="str">
        <f>IF($I50="","",INDEX(CHOOSE($J$3,'فحص-حاسب-بكالوريوس'!$J$5:$J$208,'فحص-بيانات-بكالوريوس'!$J$5:$J$208,'فحص-بيانات-ماجستير'!$J$5:$J$230),$I50)&amp;"")</f>
        <v/>
      </c>
      <c r="F50" s="2" t="str">
        <f>IF($I50="","",INDEX(CHOOSE($J$3,'فحص-حاسب-بكالوريوس'!$L$5:$L$208,'فحص-بيانات-بكالوريوس'!$L$5:$L$208,'فحص-بيانات-ماجستير'!$L$5:$L$230),$I50)&amp;"")</f>
        <v/>
      </c>
      <c r="G50" s="2" t="str">
        <f>IF($I50="","",INDEX(CHOOSE($J$3,'فحص-حاسب-بكالوريوس'!$M$5:$M$208,'فحص-بيانات-بكالوريوس'!$M$5:$M$208,'فحص-بيانات-ماجستير'!$M$5:$M$230),$I50)&amp;"")</f>
        <v/>
      </c>
      <c r="H50" s="2" t="str">
        <f>IF($I50="","",INDEX(CHOOSE($J$3,'فحص-حاسب-بكالوريوس'!$G$5:$G$208,'فحص-بيانات-بكالوريوس'!$G$5:$G$208,'فحص-بيانات-ماجستير'!$G$5:$G$230),$I50)&amp;"")</f>
        <v/>
      </c>
      <c r="I50" s="2" t="str">
        <f>IFERROR(MATCH($E$3&amp;"#"&amp;45,CHOOSE($J$3,'فحص-حاسب-بكالوريوس'!$R$5:$R$208,'فحص-بيانات-بكالوريوس'!$R$5:$R$208,'فحص-بيانات-ماجستير'!$R$5:$R$230),0),"")</f>
        <v/>
      </c>
    </row>
    <row r="51" spans="1:9" x14ac:dyDescent="0.2">
      <c r="A51" s="1" t="str">
        <f>IF($I51="","",46)</f>
        <v/>
      </c>
      <c r="B51" s="2" t="str">
        <f>IF($I51="","",INDEX(CHOOSE($J$3,'فحص-حاسب-بكالوريوس'!$A$5:$A$208,'فحص-بيانات-بكالوريوس'!$A$5:$A$208,'فحص-بيانات-ماجستير'!$A$5:$A$230),$I51)&amp;"")</f>
        <v/>
      </c>
      <c r="C51" s="2" t="str">
        <f>IF($I51="","",INDEX(CHOOSE($J$3,'فحص-حاسب-بكالوريوس'!$F$5:$F$208,'فحص-بيانات-بكالوريوس'!$F$5:$F$208,'فحص-بيانات-ماجستير'!$F$5:$F$230),$I51)&amp;"")</f>
        <v/>
      </c>
      <c r="D51" s="2" t="str">
        <f>IF($I51="","",INDEX(CHOOSE($J$3,'فحص-حاسب-بكالوريوس'!$H$5:$H$208,'فحص-بيانات-بكالوريوس'!$H$5:$H$208,'فحص-بيانات-ماجستير'!$H$5:$H$230),$I51)&amp;"")</f>
        <v/>
      </c>
      <c r="E51" s="2" t="str">
        <f>IF($I51="","",INDEX(CHOOSE($J$3,'فحص-حاسب-بكالوريوس'!$J$5:$J$208,'فحص-بيانات-بكالوريوس'!$J$5:$J$208,'فحص-بيانات-ماجستير'!$J$5:$J$230),$I51)&amp;"")</f>
        <v/>
      </c>
      <c r="F51" s="2" t="str">
        <f>IF($I51="","",INDEX(CHOOSE($J$3,'فحص-حاسب-بكالوريوس'!$L$5:$L$208,'فحص-بيانات-بكالوريوس'!$L$5:$L$208,'فحص-بيانات-ماجستير'!$L$5:$L$230),$I51)&amp;"")</f>
        <v/>
      </c>
      <c r="G51" s="2" t="str">
        <f>IF($I51="","",INDEX(CHOOSE($J$3,'فحص-حاسب-بكالوريوس'!$M$5:$M$208,'فحص-بيانات-بكالوريوس'!$M$5:$M$208,'فحص-بيانات-ماجستير'!$M$5:$M$230),$I51)&amp;"")</f>
        <v/>
      </c>
      <c r="H51" s="2" t="str">
        <f>IF($I51="","",INDEX(CHOOSE($J$3,'فحص-حاسب-بكالوريوس'!$G$5:$G$208,'فحص-بيانات-بكالوريوس'!$G$5:$G$208,'فحص-بيانات-ماجستير'!$G$5:$G$230),$I51)&amp;"")</f>
        <v/>
      </c>
      <c r="I51" s="2" t="str">
        <f>IFERROR(MATCH($E$3&amp;"#"&amp;46,CHOOSE($J$3,'فحص-حاسب-بكالوريوس'!$R$5:$R$208,'فحص-بيانات-بكالوريوس'!$R$5:$R$208,'فحص-بيانات-ماجستير'!$R$5:$R$230),0),"")</f>
        <v/>
      </c>
    </row>
    <row r="52" spans="1:9" x14ac:dyDescent="0.2">
      <c r="A52" s="1" t="str">
        <f>IF($I52="","",47)</f>
        <v/>
      </c>
      <c r="B52" s="2" t="str">
        <f>IF($I52="","",INDEX(CHOOSE($J$3,'فحص-حاسب-بكالوريوس'!$A$5:$A$208,'فحص-بيانات-بكالوريوس'!$A$5:$A$208,'فحص-بيانات-ماجستير'!$A$5:$A$230),$I52)&amp;"")</f>
        <v/>
      </c>
      <c r="C52" s="2" t="str">
        <f>IF($I52="","",INDEX(CHOOSE($J$3,'فحص-حاسب-بكالوريوس'!$F$5:$F$208,'فحص-بيانات-بكالوريوس'!$F$5:$F$208,'فحص-بيانات-ماجستير'!$F$5:$F$230),$I52)&amp;"")</f>
        <v/>
      </c>
      <c r="D52" s="2" t="str">
        <f>IF($I52="","",INDEX(CHOOSE($J$3,'فحص-حاسب-بكالوريوس'!$H$5:$H$208,'فحص-بيانات-بكالوريوس'!$H$5:$H$208,'فحص-بيانات-ماجستير'!$H$5:$H$230),$I52)&amp;"")</f>
        <v/>
      </c>
      <c r="E52" s="2" t="str">
        <f>IF($I52="","",INDEX(CHOOSE($J$3,'فحص-حاسب-بكالوريوس'!$J$5:$J$208,'فحص-بيانات-بكالوريوس'!$J$5:$J$208,'فحص-بيانات-ماجستير'!$J$5:$J$230),$I52)&amp;"")</f>
        <v/>
      </c>
      <c r="F52" s="2" t="str">
        <f>IF($I52="","",INDEX(CHOOSE($J$3,'فحص-حاسب-بكالوريوس'!$L$5:$L$208,'فحص-بيانات-بكالوريوس'!$L$5:$L$208,'فحص-بيانات-ماجستير'!$L$5:$L$230),$I52)&amp;"")</f>
        <v/>
      </c>
      <c r="G52" s="2" t="str">
        <f>IF($I52="","",INDEX(CHOOSE($J$3,'فحص-حاسب-بكالوريوس'!$M$5:$M$208,'فحص-بيانات-بكالوريوس'!$M$5:$M$208,'فحص-بيانات-ماجستير'!$M$5:$M$230),$I52)&amp;"")</f>
        <v/>
      </c>
      <c r="H52" s="2" t="str">
        <f>IF($I52="","",INDEX(CHOOSE($J$3,'فحص-حاسب-بكالوريوس'!$G$5:$G$208,'فحص-بيانات-بكالوريوس'!$G$5:$G$208,'فحص-بيانات-ماجستير'!$G$5:$G$230),$I52)&amp;"")</f>
        <v/>
      </c>
      <c r="I52" s="2" t="str">
        <f>IFERROR(MATCH($E$3&amp;"#"&amp;47,CHOOSE($J$3,'فحص-حاسب-بكالوريوس'!$R$5:$R$208,'فحص-بيانات-بكالوريوس'!$R$5:$R$208,'فحص-بيانات-ماجستير'!$R$5:$R$230),0),"")</f>
        <v/>
      </c>
    </row>
    <row r="53" spans="1:9" x14ac:dyDescent="0.2">
      <c r="A53" s="1" t="str">
        <f>IF($I53="","",48)</f>
        <v/>
      </c>
      <c r="B53" s="2" t="str">
        <f>IF($I53="","",INDEX(CHOOSE($J$3,'فحص-حاسب-بكالوريوس'!$A$5:$A$208,'فحص-بيانات-بكالوريوس'!$A$5:$A$208,'فحص-بيانات-ماجستير'!$A$5:$A$230),$I53)&amp;"")</f>
        <v/>
      </c>
      <c r="C53" s="2" t="str">
        <f>IF($I53="","",INDEX(CHOOSE($J$3,'فحص-حاسب-بكالوريوس'!$F$5:$F$208,'فحص-بيانات-بكالوريوس'!$F$5:$F$208,'فحص-بيانات-ماجستير'!$F$5:$F$230),$I53)&amp;"")</f>
        <v/>
      </c>
      <c r="D53" s="2" t="str">
        <f>IF($I53="","",INDEX(CHOOSE($J$3,'فحص-حاسب-بكالوريوس'!$H$5:$H$208,'فحص-بيانات-بكالوريوس'!$H$5:$H$208,'فحص-بيانات-ماجستير'!$H$5:$H$230),$I53)&amp;"")</f>
        <v/>
      </c>
      <c r="E53" s="2" t="str">
        <f>IF($I53="","",INDEX(CHOOSE($J$3,'فحص-حاسب-بكالوريوس'!$J$5:$J$208,'فحص-بيانات-بكالوريوس'!$J$5:$J$208,'فحص-بيانات-ماجستير'!$J$5:$J$230),$I53)&amp;"")</f>
        <v/>
      </c>
      <c r="F53" s="2" t="str">
        <f>IF($I53="","",INDEX(CHOOSE($J$3,'فحص-حاسب-بكالوريوس'!$L$5:$L$208,'فحص-بيانات-بكالوريوس'!$L$5:$L$208,'فحص-بيانات-ماجستير'!$L$5:$L$230),$I53)&amp;"")</f>
        <v/>
      </c>
      <c r="G53" s="2" t="str">
        <f>IF($I53="","",INDEX(CHOOSE($J$3,'فحص-حاسب-بكالوريوس'!$M$5:$M$208,'فحص-بيانات-بكالوريوس'!$M$5:$M$208,'فحص-بيانات-ماجستير'!$M$5:$M$230),$I53)&amp;"")</f>
        <v/>
      </c>
      <c r="H53" s="2" t="str">
        <f>IF($I53="","",INDEX(CHOOSE($J$3,'فحص-حاسب-بكالوريوس'!$G$5:$G$208,'فحص-بيانات-بكالوريوس'!$G$5:$G$208,'فحص-بيانات-ماجستير'!$G$5:$G$230),$I53)&amp;"")</f>
        <v/>
      </c>
      <c r="I53" s="2" t="str">
        <f>IFERROR(MATCH($E$3&amp;"#"&amp;48,CHOOSE($J$3,'فحص-حاسب-بكالوريوس'!$R$5:$R$208,'فحص-بيانات-بكالوريوس'!$R$5:$R$208,'فحص-بيانات-ماجستير'!$R$5:$R$230),0),"")</f>
        <v/>
      </c>
    </row>
    <row r="54" spans="1:9" x14ac:dyDescent="0.2">
      <c r="A54" s="1" t="str">
        <f>IF($I54="","",49)</f>
        <v/>
      </c>
      <c r="B54" s="2" t="str">
        <f>IF($I54="","",INDEX(CHOOSE($J$3,'فحص-حاسب-بكالوريوس'!$A$5:$A$208,'فحص-بيانات-بكالوريوس'!$A$5:$A$208,'فحص-بيانات-ماجستير'!$A$5:$A$230),$I54)&amp;"")</f>
        <v/>
      </c>
      <c r="C54" s="2" t="str">
        <f>IF($I54="","",INDEX(CHOOSE($J$3,'فحص-حاسب-بكالوريوس'!$F$5:$F$208,'فحص-بيانات-بكالوريوس'!$F$5:$F$208,'فحص-بيانات-ماجستير'!$F$5:$F$230),$I54)&amp;"")</f>
        <v/>
      </c>
      <c r="D54" s="2" t="str">
        <f>IF($I54="","",INDEX(CHOOSE($J$3,'فحص-حاسب-بكالوريوس'!$H$5:$H$208,'فحص-بيانات-بكالوريوس'!$H$5:$H$208,'فحص-بيانات-ماجستير'!$H$5:$H$230),$I54)&amp;"")</f>
        <v/>
      </c>
      <c r="E54" s="2" t="str">
        <f>IF($I54="","",INDEX(CHOOSE($J$3,'فحص-حاسب-بكالوريوس'!$J$5:$J$208,'فحص-بيانات-بكالوريوس'!$J$5:$J$208,'فحص-بيانات-ماجستير'!$J$5:$J$230),$I54)&amp;"")</f>
        <v/>
      </c>
      <c r="F54" s="2" t="str">
        <f>IF($I54="","",INDEX(CHOOSE($J$3,'فحص-حاسب-بكالوريوس'!$L$5:$L$208,'فحص-بيانات-بكالوريوس'!$L$5:$L$208,'فحص-بيانات-ماجستير'!$L$5:$L$230),$I54)&amp;"")</f>
        <v/>
      </c>
      <c r="G54" s="2" t="str">
        <f>IF($I54="","",INDEX(CHOOSE($J$3,'فحص-حاسب-بكالوريوس'!$M$5:$M$208,'فحص-بيانات-بكالوريوس'!$M$5:$M$208,'فحص-بيانات-ماجستير'!$M$5:$M$230),$I54)&amp;"")</f>
        <v/>
      </c>
      <c r="H54" s="2" t="str">
        <f>IF($I54="","",INDEX(CHOOSE($J$3,'فحص-حاسب-بكالوريوس'!$G$5:$G$208,'فحص-بيانات-بكالوريوس'!$G$5:$G$208,'فحص-بيانات-ماجستير'!$G$5:$G$230),$I54)&amp;"")</f>
        <v/>
      </c>
      <c r="I54" s="2" t="str">
        <f>IFERROR(MATCH($E$3&amp;"#"&amp;49,CHOOSE($J$3,'فحص-حاسب-بكالوريوس'!$R$5:$R$208,'فحص-بيانات-بكالوريوس'!$R$5:$R$208,'فحص-بيانات-ماجستير'!$R$5:$R$230),0),"")</f>
        <v/>
      </c>
    </row>
    <row r="55" spans="1:9" x14ac:dyDescent="0.2">
      <c r="A55" s="1" t="str">
        <f>IF($I55="","",50)</f>
        <v/>
      </c>
      <c r="B55" s="2" t="str">
        <f>IF($I55="","",INDEX(CHOOSE($J$3,'فحص-حاسب-بكالوريوس'!$A$5:$A$208,'فحص-بيانات-بكالوريوس'!$A$5:$A$208,'فحص-بيانات-ماجستير'!$A$5:$A$230),$I55)&amp;"")</f>
        <v/>
      </c>
      <c r="C55" s="2" t="str">
        <f>IF($I55="","",INDEX(CHOOSE($J$3,'فحص-حاسب-بكالوريوس'!$F$5:$F$208,'فحص-بيانات-بكالوريوس'!$F$5:$F$208,'فحص-بيانات-ماجستير'!$F$5:$F$230),$I55)&amp;"")</f>
        <v/>
      </c>
      <c r="D55" s="2" t="str">
        <f>IF($I55="","",INDEX(CHOOSE($J$3,'فحص-حاسب-بكالوريوس'!$H$5:$H$208,'فحص-بيانات-بكالوريوس'!$H$5:$H$208,'فحص-بيانات-ماجستير'!$H$5:$H$230),$I55)&amp;"")</f>
        <v/>
      </c>
      <c r="E55" s="2" t="str">
        <f>IF($I55="","",INDEX(CHOOSE($J$3,'فحص-حاسب-بكالوريوس'!$J$5:$J$208,'فحص-بيانات-بكالوريوس'!$J$5:$J$208,'فحص-بيانات-ماجستير'!$J$5:$J$230),$I55)&amp;"")</f>
        <v/>
      </c>
      <c r="F55" s="2" t="str">
        <f>IF($I55="","",INDEX(CHOOSE($J$3,'فحص-حاسب-بكالوريوس'!$L$5:$L$208,'فحص-بيانات-بكالوريوس'!$L$5:$L$208,'فحص-بيانات-ماجستير'!$L$5:$L$230),$I55)&amp;"")</f>
        <v/>
      </c>
      <c r="G55" s="2" t="str">
        <f>IF($I55="","",INDEX(CHOOSE($J$3,'فحص-حاسب-بكالوريوس'!$M$5:$M$208,'فحص-بيانات-بكالوريوس'!$M$5:$M$208,'فحص-بيانات-ماجستير'!$M$5:$M$230),$I55)&amp;"")</f>
        <v/>
      </c>
      <c r="H55" s="2" t="str">
        <f>IF($I55="","",INDEX(CHOOSE($J$3,'فحص-حاسب-بكالوريوس'!$G$5:$G$208,'فحص-بيانات-بكالوريوس'!$G$5:$G$208,'فحص-بيانات-ماجستير'!$G$5:$G$230),$I55)&amp;"")</f>
        <v/>
      </c>
      <c r="I55" s="2" t="str">
        <f>IFERROR(MATCH($E$3&amp;"#"&amp;50,CHOOSE($J$3,'فحص-حاسب-بكالوريوس'!$R$5:$R$208,'فحص-بيانات-بكالوريوس'!$R$5:$R$208,'فحص-بيانات-ماجستير'!$R$5:$R$230),0),"")</f>
        <v/>
      </c>
    </row>
    <row r="56" spans="1:9" x14ac:dyDescent="0.2">
      <c r="A56" s="1" t="str">
        <f>IF($I56="","",51)</f>
        <v/>
      </c>
      <c r="B56" s="2" t="str">
        <f>IF($I56="","",INDEX(CHOOSE($J$3,'فحص-حاسب-بكالوريوس'!$A$5:$A$208,'فحص-بيانات-بكالوريوس'!$A$5:$A$208,'فحص-بيانات-ماجستير'!$A$5:$A$230),$I56)&amp;"")</f>
        <v/>
      </c>
      <c r="C56" s="2" t="str">
        <f>IF($I56="","",INDEX(CHOOSE($J$3,'فحص-حاسب-بكالوريوس'!$F$5:$F$208,'فحص-بيانات-بكالوريوس'!$F$5:$F$208,'فحص-بيانات-ماجستير'!$F$5:$F$230),$I56)&amp;"")</f>
        <v/>
      </c>
      <c r="D56" s="2" t="str">
        <f>IF($I56="","",INDEX(CHOOSE($J$3,'فحص-حاسب-بكالوريوس'!$H$5:$H$208,'فحص-بيانات-بكالوريوس'!$H$5:$H$208,'فحص-بيانات-ماجستير'!$H$5:$H$230),$I56)&amp;"")</f>
        <v/>
      </c>
      <c r="E56" s="2" t="str">
        <f>IF($I56="","",INDEX(CHOOSE($J$3,'فحص-حاسب-بكالوريوس'!$J$5:$J$208,'فحص-بيانات-بكالوريوس'!$J$5:$J$208,'فحص-بيانات-ماجستير'!$J$5:$J$230),$I56)&amp;"")</f>
        <v/>
      </c>
      <c r="F56" s="2" t="str">
        <f>IF($I56="","",INDEX(CHOOSE($J$3,'فحص-حاسب-بكالوريوس'!$L$5:$L$208,'فحص-بيانات-بكالوريوس'!$L$5:$L$208,'فحص-بيانات-ماجستير'!$L$5:$L$230),$I56)&amp;"")</f>
        <v/>
      </c>
      <c r="G56" s="2" t="str">
        <f>IF($I56="","",INDEX(CHOOSE($J$3,'فحص-حاسب-بكالوريوس'!$M$5:$M$208,'فحص-بيانات-بكالوريوس'!$M$5:$M$208,'فحص-بيانات-ماجستير'!$M$5:$M$230),$I56)&amp;"")</f>
        <v/>
      </c>
      <c r="H56" s="2" t="str">
        <f>IF($I56="","",INDEX(CHOOSE($J$3,'فحص-حاسب-بكالوريوس'!$G$5:$G$208,'فحص-بيانات-بكالوريوس'!$G$5:$G$208,'فحص-بيانات-ماجستير'!$G$5:$G$230),$I56)&amp;"")</f>
        <v/>
      </c>
      <c r="I56" s="2" t="str">
        <f>IFERROR(MATCH($E$3&amp;"#"&amp;51,CHOOSE($J$3,'فحص-حاسب-بكالوريوس'!$R$5:$R$208,'فحص-بيانات-بكالوريوس'!$R$5:$R$208,'فحص-بيانات-ماجستير'!$R$5:$R$230),0),"")</f>
        <v/>
      </c>
    </row>
    <row r="57" spans="1:9" x14ac:dyDescent="0.2">
      <c r="A57" s="1" t="str">
        <f>IF($I57="","",52)</f>
        <v/>
      </c>
      <c r="B57" s="2" t="str">
        <f>IF($I57="","",INDEX(CHOOSE($J$3,'فحص-حاسب-بكالوريوس'!$A$5:$A$208,'فحص-بيانات-بكالوريوس'!$A$5:$A$208,'فحص-بيانات-ماجستير'!$A$5:$A$230),$I57)&amp;"")</f>
        <v/>
      </c>
      <c r="C57" s="2" t="str">
        <f>IF($I57="","",INDEX(CHOOSE($J$3,'فحص-حاسب-بكالوريوس'!$F$5:$F$208,'فحص-بيانات-بكالوريوس'!$F$5:$F$208,'فحص-بيانات-ماجستير'!$F$5:$F$230),$I57)&amp;"")</f>
        <v/>
      </c>
      <c r="D57" s="2" t="str">
        <f>IF($I57="","",INDEX(CHOOSE($J$3,'فحص-حاسب-بكالوريوس'!$H$5:$H$208,'فحص-بيانات-بكالوريوس'!$H$5:$H$208,'فحص-بيانات-ماجستير'!$H$5:$H$230),$I57)&amp;"")</f>
        <v/>
      </c>
      <c r="E57" s="2" t="str">
        <f>IF($I57="","",INDEX(CHOOSE($J$3,'فحص-حاسب-بكالوريوس'!$J$5:$J$208,'فحص-بيانات-بكالوريوس'!$J$5:$J$208,'فحص-بيانات-ماجستير'!$J$5:$J$230),$I57)&amp;"")</f>
        <v/>
      </c>
      <c r="F57" s="2" t="str">
        <f>IF($I57="","",INDEX(CHOOSE($J$3,'فحص-حاسب-بكالوريوس'!$L$5:$L$208,'فحص-بيانات-بكالوريوس'!$L$5:$L$208,'فحص-بيانات-ماجستير'!$L$5:$L$230),$I57)&amp;"")</f>
        <v/>
      </c>
      <c r="G57" s="2" t="str">
        <f>IF($I57="","",INDEX(CHOOSE($J$3,'فحص-حاسب-بكالوريوس'!$M$5:$M$208,'فحص-بيانات-بكالوريوس'!$M$5:$M$208,'فحص-بيانات-ماجستير'!$M$5:$M$230),$I57)&amp;"")</f>
        <v/>
      </c>
      <c r="H57" s="2" t="str">
        <f>IF($I57="","",INDEX(CHOOSE($J$3,'فحص-حاسب-بكالوريوس'!$G$5:$G$208,'فحص-بيانات-بكالوريوس'!$G$5:$G$208,'فحص-بيانات-ماجستير'!$G$5:$G$230),$I57)&amp;"")</f>
        <v/>
      </c>
      <c r="I57" s="2" t="str">
        <f>IFERROR(MATCH($E$3&amp;"#"&amp;52,CHOOSE($J$3,'فحص-حاسب-بكالوريوس'!$R$5:$R$208,'فحص-بيانات-بكالوريوس'!$R$5:$R$208,'فحص-بيانات-ماجستير'!$R$5:$R$230),0),"")</f>
        <v/>
      </c>
    </row>
    <row r="58" spans="1:9" x14ac:dyDescent="0.2">
      <c r="A58" s="1" t="str">
        <f>IF($I58="","",53)</f>
        <v/>
      </c>
      <c r="B58" s="2" t="str">
        <f>IF($I58="","",INDEX(CHOOSE($J$3,'فحص-حاسب-بكالوريوس'!$A$5:$A$208,'فحص-بيانات-بكالوريوس'!$A$5:$A$208,'فحص-بيانات-ماجستير'!$A$5:$A$230),$I58)&amp;"")</f>
        <v/>
      </c>
      <c r="C58" s="2" t="str">
        <f>IF($I58="","",INDEX(CHOOSE($J$3,'فحص-حاسب-بكالوريوس'!$F$5:$F$208,'فحص-بيانات-بكالوريوس'!$F$5:$F$208,'فحص-بيانات-ماجستير'!$F$5:$F$230),$I58)&amp;"")</f>
        <v/>
      </c>
      <c r="D58" s="2" t="str">
        <f>IF($I58="","",INDEX(CHOOSE($J$3,'فحص-حاسب-بكالوريوس'!$H$5:$H$208,'فحص-بيانات-بكالوريوس'!$H$5:$H$208,'فحص-بيانات-ماجستير'!$H$5:$H$230),$I58)&amp;"")</f>
        <v/>
      </c>
      <c r="E58" s="2" t="str">
        <f>IF($I58="","",INDEX(CHOOSE($J$3,'فحص-حاسب-بكالوريوس'!$J$5:$J$208,'فحص-بيانات-بكالوريوس'!$J$5:$J$208,'فحص-بيانات-ماجستير'!$J$5:$J$230),$I58)&amp;"")</f>
        <v/>
      </c>
      <c r="F58" s="2" t="str">
        <f>IF($I58="","",INDEX(CHOOSE($J$3,'فحص-حاسب-بكالوريوس'!$L$5:$L$208,'فحص-بيانات-بكالوريوس'!$L$5:$L$208,'فحص-بيانات-ماجستير'!$L$5:$L$230),$I58)&amp;"")</f>
        <v/>
      </c>
      <c r="G58" s="2" t="str">
        <f>IF($I58="","",INDEX(CHOOSE($J$3,'فحص-حاسب-بكالوريوس'!$M$5:$M$208,'فحص-بيانات-بكالوريوس'!$M$5:$M$208,'فحص-بيانات-ماجستير'!$M$5:$M$230),$I58)&amp;"")</f>
        <v/>
      </c>
      <c r="H58" s="2" t="str">
        <f>IF($I58="","",INDEX(CHOOSE($J$3,'فحص-حاسب-بكالوريوس'!$G$5:$G$208,'فحص-بيانات-بكالوريوس'!$G$5:$G$208,'فحص-بيانات-ماجستير'!$G$5:$G$230),$I58)&amp;"")</f>
        <v/>
      </c>
      <c r="I58" s="2" t="str">
        <f>IFERROR(MATCH($E$3&amp;"#"&amp;53,CHOOSE($J$3,'فحص-حاسب-بكالوريوس'!$R$5:$R$208,'فحص-بيانات-بكالوريوس'!$R$5:$R$208,'فحص-بيانات-ماجستير'!$R$5:$R$230),0),"")</f>
        <v/>
      </c>
    </row>
    <row r="59" spans="1:9" x14ac:dyDescent="0.2">
      <c r="A59" s="1" t="str">
        <f>IF($I59="","",54)</f>
        <v/>
      </c>
      <c r="B59" s="2" t="str">
        <f>IF($I59="","",INDEX(CHOOSE($J$3,'فحص-حاسب-بكالوريوس'!$A$5:$A$208,'فحص-بيانات-بكالوريوس'!$A$5:$A$208,'فحص-بيانات-ماجستير'!$A$5:$A$230),$I59)&amp;"")</f>
        <v/>
      </c>
      <c r="C59" s="2" t="str">
        <f>IF($I59="","",INDEX(CHOOSE($J$3,'فحص-حاسب-بكالوريوس'!$F$5:$F$208,'فحص-بيانات-بكالوريوس'!$F$5:$F$208,'فحص-بيانات-ماجستير'!$F$5:$F$230),$I59)&amp;"")</f>
        <v/>
      </c>
      <c r="D59" s="2" t="str">
        <f>IF($I59="","",INDEX(CHOOSE($J$3,'فحص-حاسب-بكالوريوس'!$H$5:$H$208,'فحص-بيانات-بكالوريوس'!$H$5:$H$208,'فحص-بيانات-ماجستير'!$H$5:$H$230),$I59)&amp;"")</f>
        <v/>
      </c>
      <c r="E59" s="2" t="str">
        <f>IF($I59="","",INDEX(CHOOSE($J$3,'فحص-حاسب-بكالوريوس'!$J$5:$J$208,'فحص-بيانات-بكالوريوس'!$J$5:$J$208,'فحص-بيانات-ماجستير'!$J$5:$J$230),$I59)&amp;"")</f>
        <v/>
      </c>
      <c r="F59" s="2" t="str">
        <f>IF($I59="","",INDEX(CHOOSE($J$3,'فحص-حاسب-بكالوريوس'!$L$5:$L$208,'فحص-بيانات-بكالوريوس'!$L$5:$L$208,'فحص-بيانات-ماجستير'!$L$5:$L$230),$I59)&amp;"")</f>
        <v/>
      </c>
      <c r="G59" s="2" t="str">
        <f>IF($I59="","",INDEX(CHOOSE($J$3,'فحص-حاسب-بكالوريوس'!$M$5:$M$208,'فحص-بيانات-بكالوريوس'!$M$5:$M$208,'فحص-بيانات-ماجستير'!$M$5:$M$230),$I59)&amp;"")</f>
        <v/>
      </c>
      <c r="H59" s="2" t="str">
        <f>IF($I59="","",INDEX(CHOOSE($J$3,'فحص-حاسب-بكالوريوس'!$G$5:$G$208,'فحص-بيانات-بكالوريوس'!$G$5:$G$208,'فحص-بيانات-ماجستير'!$G$5:$G$230),$I59)&amp;"")</f>
        <v/>
      </c>
      <c r="I59" s="2" t="str">
        <f>IFERROR(MATCH($E$3&amp;"#"&amp;54,CHOOSE($J$3,'فحص-حاسب-بكالوريوس'!$R$5:$R$208,'فحص-بيانات-بكالوريوس'!$R$5:$R$208,'فحص-بيانات-ماجستير'!$R$5:$R$230),0),"")</f>
        <v/>
      </c>
    </row>
    <row r="60" spans="1:9" x14ac:dyDescent="0.2">
      <c r="A60" s="1" t="str">
        <f>IF($I60="","",55)</f>
        <v/>
      </c>
      <c r="B60" s="2" t="str">
        <f>IF($I60="","",INDEX(CHOOSE($J$3,'فحص-حاسب-بكالوريوس'!$A$5:$A$208,'فحص-بيانات-بكالوريوس'!$A$5:$A$208,'فحص-بيانات-ماجستير'!$A$5:$A$230),$I60)&amp;"")</f>
        <v/>
      </c>
      <c r="C60" s="2" t="str">
        <f>IF($I60="","",INDEX(CHOOSE($J$3,'فحص-حاسب-بكالوريوس'!$F$5:$F$208,'فحص-بيانات-بكالوريوس'!$F$5:$F$208,'فحص-بيانات-ماجستير'!$F$5:$F$230),$I60)&amp;"")</f>
        <v/>
      </c>
      <c r="D60" s="2" t="str">
        <f>IF($I60="","",INDEX(CHOOSE($J$3,'فحص-حاسب-بكالوريوس'!$H$5:$H$208,'فحص-بيانات-بكالوريوس'!$H$5:$H$208,'فحص-بيانات-ماجستير'!$H$5:$H$230),$I60)&amp;"")</f>
        <v/>
      </c>
      <c r="E60" s="2" t="str">
        <f>IF($I60="","",INDEX(CHOOSE($J$3,'فحص-حاسب-بكالوريوس'!$J$5:$J$208,'فحص-بيانات-بكالوريوس'!$J$5:$J$208,'فحص-بيانات-ماجستير'!$J$5:$J$230),$I60)&amp;"")</f>
        <v/>
      </c>
      <c r="F60" s="2" t="str">
        <f>IF($I60="","",INDEX(CHOOSE($J$3,'فحص-حاسب-بكالوريوس'!$L$5:$L$208,'فحص-بيانات-بكالوريوس'!$L$5:$L$208,'فحص-بيانات-ماجستير'!$L$5:$L$230),$I60)&amp;"")</f>
        <v/>
      </c>
      <c r="G60" s="2" t="str">
        <f>IF($I60="","",INDEX(CHOOSE($J$3,'فحص-حاسب-بكالوريوس'!$M$5:$M$208,'فحص-بيانات-بكالوريوس'!$M$5:$M$208,'فحص-بيانات-ماجستير'!$M$5:$M$230),$I60)&amp;"")</f>
        <v/>
      </c>
      <c r="H60" s="2" t="str">
        <f>IF($I60="","",INDEX(CHOOSE($J$3,'فحص-حاسب-بكالوريوس'!$G$5:$G$208,'فحص-بيانات-بكالوريوس'!$G$5:$G$208,'فحص-بيانات-ماجستير'!$G$5:$G$230),$I60)&amp;"")</f>
        <v/>
      </c>
      <c r="I60" s="2" t="str">
        <f>IFERROR(MATCH($E$3&amp;"#"&amp;55,CHOOSE($J$3,'فحص-حاسب-بكالوريوس'!$R$5:$R$208,'فحص-بيانات-بكالوريوس'!$R$5:$R$208,'فحص-بيانات-ماجستير'!$R$5:$R$230),0),"")</f>
        <v/>
      </c>
    </row>
    <row r="61" spans="1:9" x14ac:dyDescent="0.2">
      <c r="A61" s="1" t="str">
        <f>IF($I61="","",56)</f>
        <v/>
      </c>
      <c r="B61" s="2" t="str">
        <f>IF($I61="","",INDEX(CHOOSE($J$3,'فحص-حاسب-بكالوريوس'!$A$5:$A$208,'فحص-بيانات-بكالوريوس'!$A$5:$A$208,'فحص-بيانات-ماجستير'!$A$5:$A$230),$I61)&amp;"")</f>
        <v/>
      </c>
      <c r="C61" s="2" t="str">
        <f>IF($I61="","",INDEX(CHOOSE($J$3,'فحص-حاسب-بكالوريوس'!$F$5:$F$208,'فحص-بيانات-بكالوريوس'!$F$5:$F$208,'فحص-بيانات-ماجستير'!$F$5:$F$230),$I61)&amp;"")</f>
        <v/>
      </c>
      <c r="D61" s="2" t="str">
        <f>IF($I61="","",INDEX(CHOOSE($J$3,'فحص-حاسب-بكالوريوس'!$H$5:$H$208,'فحص-بيانات-بكالوريوس'!$H$5:$H$208,'فحص-بيانات-ماجستير'!$H$5:$H$230),$I61)&amp;"")</f>
        <v/>
      </c>
      <c r="E61" s="2" t="str">
        <f>IF($I61="","",INDEX(CHOOSE($J$3,'فحص-حاسب-بكالوريوس'!$J$5:$J$208,'فحص-بيانات-بكالوريوس'!$J$5:$J$208,'فحص-بيانات-ماجستير'!$J$5:$J$230),$I61)&amp;"")</f>
        <v/>
      </c>
      <c r="F61" s="2" t="str">
        <f>IF($I61="","",INDEX(CHOOSE($J$3,'فحص-حاسب-بكالوريوس'!$L$5:$L$208,'فحص-بيانات-بكالوريوس'!$L$5:$L$208,'فحص-بيانات-ماجستير'!$L$5:$L$230),$I61)&amp;"")</f>
        <v/>
      </c>
      <c r="G61" s="2" t="str">
        <f>IF($I61="","",INDEX(CHOOSE($J$3,'فحص-حاسب-بكالوريوس'!$M$5:$M$208,'فحص-بيانات-بكالوريوس'!$M$5:$M$208,'فحص-بيانات-ماجستير'!$M$5:$M$230),$I61)&amp;"")</f>
        <v/>
      </c>
      <c r="H61" s="2" t="str">
        <f>IF($I61="","",INDEX(CHOOSE($J$3,'فحص-حاسب-بكالوريوس'!$G$5:$G$208,'فحص-بيانات-بكالوريوس'!$G$5:$G$208,'فحص-بيانات-ماجستير'!$G$5:$G$230),$I61)&amp;"")</f>
        <v/>
      </c>
      <c r="I61" s="2" t="str">
        <f>IFERROR(MATCH($E$3&amp;"#"&amp;56,CHOOSE($J$3,'فحص-حاسب-بكالوريوس'!$R$5:$R$208,'فحص-بيانات-بكالوريوس'!$R$5:$R$208,'فحص-بيانات-ماجستير'!$R$5:$R$230),0),"")</f>
        <v/>
      </c>
    </row>
    <row r="62" spans="1:9" x14ac:dyDescent="0.2">
      <c r="A62" s="1" t="str">
        <f>IF($I62="","",57)</f>
        <v/>
      </c>
      <c r="B62" s="2" t="str">
        <f>IF($I62="","",INDEX(CHOOSE($J$3,'فحص-حاسب-بكالوريوس'!$A$5:$A$208,'فحص-بيانات-بكالوريوس'!$A$5:$A$208,'فحص-بيانات-ماجستير'!$A$5:$A$230),$I62)&amp;"")</f>
        <v/>
      </c>
      <c r="C62" s="2" t="str">
        <f>IF($I62="","",INDEX(CHOOSE($J$3,'فحص-حاسب-بكالوريوس'!$F$5:$F$208,'فحص-بيانات-بكالوريوس'!$F$5:$F$208,'فحص-بيانات-ماجستير'!$F$5:$F$230),$I62)&amp;"")</f>
        <v/>
      </c>
      <c r="D62" s="2" t="str">
        <f>IF($I62="","",INDEX(CHOOSE($J$3,'فحص-حاسب-بكالوريوس'!$H$5:$H$208,'فحص-بيانات-بكالوريوس'!$H$5:$H$208,'فحص-بيانات-ماجستير'!$H$5:$H$230),$I62)&amp;"")</f>
        <v/>
      </c>
      <c r="E62" s="2" t="str">
        <f>IF($I62="","",INDEX(CHOOSE($J$3,'فحص-حاسب-بكالوريوس'!$J$5:$J$208,'فحص-بيانات-بكالوريوس'!$J$5:$J$208,'فحص-بيانات-ماجستير'!$J$5:$J$230),$I62)&amp;"")</f>
        <v/>
      </c>
      <c r="F62" s="2" t="str">
        <f>IF($I62="","",INDEX(CHOOSE($J$3,'فحص-حاسب-بكالوريوس'!$L$5:$L$208,'فحص-بيانات-بكالوريوس'!$L$5:$L$208,'فحص-بيانات-ماجستير'!$L$5:$L$230),$I62)&amp;"")</f>
        <v/>
      </c>
      <c r="G62" s="2" t="str">
        <f>IF($I62="","",INDEX(CHOOSE($J$3,'فحص-حاسب-بكالوريوس'!$M$5:$M$208,'فحص-بيانات-بكالوريوس'!$M$5:$M$208,'فحص-بيانات-ماجستير'!$M$5:$M$230),$I62)&amp;"")</f>
        <v/>
      </c>
      <c r="H62" s="2" t="str">
        <f>IF($I62="","",INDEX(CHOOSE($J$3,'فحص-حاسب-بكالوريوس'!$G$5:$G$208,'فحص-بيانات-بكالوريوس'!$G$5:$G$208,'فحص-بيانات-ماجستير'!$G$5:$G$230),$I62)&amp;"")</f>
        <v/>
      </c>
      <c r="I62" s="2" t="str">
        <f>IFERROR(MATCH($E$3&amp;"#"&amp;57,CHOOSE($J$3,'فحص-حاسب-بكالوريوس'!$R$5:$R$208,'فحص-بيانات-بكالوريوس'!$R$5:$R$208,'فحص-بيانات-ماجستير'!$R$5:$R$230),0),"")</f>
        <v/>
      </c>
    </row>
    <row r="63" spans="1:9" x14ac:dyDescent="0.2">
      <c r="A63" s="1" t="str">
        <f>IF($I63="","",58)</f>
        <v/>
      </c>
      <c r="B63" s="2" t="str">
        <f>IF($I63="","",INDEX(CHOOSE($J$3,'فحص-حاسب-بكالوريوس'!$A$5:$A$208,'فحص-بيانات-بكالوريوس'!$A$5:$A$208,'فحص-بيانات-ماجستير'!$A$5:$A$230),$I63)&amp;"")</f>
        <v/>
      </c>
      <c r="C63" s="2" t="str">
        <f>IF($I63="","",INDEX(CHOOSE($J$3,'فحص-حاسب-بكالوريوس'!$F$5:$F$208,'فحص-بيانات-بكالوريوس'!$F$5:$F$208,'فحص-بيانات-ماجستير'!$F$5:$F$230),$I63)&amp;"")</f>
        <v/>
      </c>
      <c r="D63" s="2" t="str">
        <f>IF($I63="","",INDEX(CHOOSE($J$3,'فحص-حاسب-بكالوريوس'!$H$5:$H$208,'فحص-بيانات-بكالوريوس'!$H$5:$H$208,'فحص-بيانات-ماجستير'!$H$5:$H$230),$I63)&amp;"")</f>
        <v/>
      </c>
      <c r="E63" s="2" t="str">
        <f>IF($I63="","",INDEX(CHOOSE($J$3,'فحص-حاسب-بكالوريوس'!$J$5:$J$208,'فحص-بيانات-بكالوريوس'!$J$5:$J$208,'فحص-بيانات-ماجستير'!$J$5:$J$230),$I63)&amp;"")</f>
        <v/>
      </c>
      <c r="F63" s="2" t="str">
        <f>IF($I63="","",INDEX(CHOOSE($J$3,'فحص-حاسب-بكالوريوس'!$L$5:$L$208,'فحص-بيانات-بكالوريوس'!$L$5:$L$208,'فحص-بيانات-ماجستير'!$L$5:$L$230),$I63)&amp;"")</f>
        <v/>
      </c>
      <c r="G63" s="2" t="str">
        <f>IF($I63="","",INDEX(CHOOSE($J$3,'فحص-حاسب-بكالوريوس'!$M$5:$M$208,'فحص-بيانات-بكالوريوس'!$M$5:$M$208,'فحص-بيانات-ماجستير'!$M$5:$M$230),$I63)&amp;"")</f>
        <v/>
      </c>
      <c r="H63" s="2" t="str">
        <f>IF($I63="","",INDEX(CHOOSE($J$3,'فحص-حاسب-بكالوريوس'!$G$5:$G$208,'فحص-بيانات-بكالوريوس'!$G$5:$G$208,'فحص-بيانات-ماجستير'!$G$5:$G$230),$I63)&amp;"")</f>
        <v/>
      </c>
      <c r="I63" s="2" t="str">
        <f>IFERROR(MATCH($E$3&amp;"#"&amp;58,CHOOSE($J$3,'فحص-حاسب-بكالوريوس'!$R$5:$R$208,'فحص-بيانات-بكالوريوس'!$R$5:$R$208,'فحص-بيانات-ماجستير'!$R$5:$R$230),0),"")</f>
        <v/>
      </c>
    </row>
    <row r="64" spans="1:9" x14ac:dyDescent="0.2">
      <c r="A64" s="1" t="str">
        <f>IF($I64="","",59)</f>
        <v/>
      </c>
      <c r="B64" s="2" t="str">
        <f>IF($I64="","",INDEX(CHOOSE($J$3,'فحص-حاسب-بكالوريوس'!$A$5:$A$208,'فحص-بيانات-بكالوريوس'!$A$5:$A$208,'فحص-بيانات-ماجستير'!$A$5:$A$230),$I64)&amp;"")</f>
        <v/>
      </c>
      <c r="C64" s="2" t="str">
        <f>IF($I64="","",INDEX(CHOOSE($J$3,'فحص-حاسب-بكالوريوس'!$F$5:$F$208,'فحص-بيانات-بكالوريوس'!$F$5:$F$208,'فحص-بيانات-ماجستير'!$F$5:$F$230),$I64)&amp;"")</f>
        <v/>
      </c>
      <c r="D64" s="2" t="str">
        <f>IF($I64="","",INDEX(CHOOSE($J$3,'فحص-حاسب-بكالوريوس'!$H$5:$H$208,'فحص-بيانات-بكالوريوس'!$H$5:$H$208,'فحص-بيانات-ماجستير'!$H$5:$H$230),$I64)&amp;"")</f>
        <v/>
      </c>
      <c r="E64" s="2" t="str">
        <f>IF($I64="","",INDEX(CHOOSE($J$3,'فحص-حاسب-بكالوريوس'!$J$5:$J$208,'فحص-بيانات-بكالوريوس'!$J$5:$J$208,'فحص-بيانات-ماجستير'!$J$5:$J$230),$I64)&amp;"")</f>
        <v/>
      </c>
      <c r="F64" s="2" t="str">
        <f>IF($I64="","",INDEX(CHOOSE($J$3,'فحص-حاسب-بكالوريوس'!$L$5:$L$208,'فحص-بيانات-بكالوريوس'!$L$5:$L$208,'فحص-بيانات-ماجستير'!$L$5:$L$230),$I64)&amp;"")</f>
        <v/>
      </c>
      <c r="G64" s="2" t="str">
        <f>IF($I64="","",INDEX(CHOOSE($J$3,'فحص-حاسب-بكالوريوس'!$M$5:$M$208,'فحص-بيانات-بكالوريوس'!$M$5:$M$208,'فحص-بيانات-ماجستير'!$M$5:$M$230),$I64)&amp;"")</f>
        <v/>
      </c>
      <c r="H64" s="2" t="str">
        <f>IF($I64="","",INDEX(CHOOSE($J$3,'فحص-حاسب-بكالوريوس'!$G$5:$G$208,'فحص-بيانات-بكالوريوس'!$G$5:$G$208,'فحص-بيانات-ماجستير'!$G$5:$G$230),$I64)&amp;"")</f>
        <v/>
      </c>
      <c r="I64" s="2" t="str">
        <f>IFERROR(MATCH($E$3&amp;"#"&amp;59,CHOOSE($J$3,'فحص-حاسب-بكالوريوس'!$R$5:$R$208,'فحص-بيانات-بكالوريوس'!$R$5:$R$208,'فحص-بيانات-ماجستير'!$R$5:$R$230),0),"")</f>
        <v/>
      </c>
    </row>
    <row r="65" spans="1:9" x14ac:dyDescent="0.2">
      <c r="A65" s="1" t="str">
        <f>IF($I65="","",60)</f>
        <v/>
      </c>
      <c r="B65" s="2" t="str">
        <f>IF($I65="","",INDEX(CHOOSE($J$3,'فحص-حاسب-بكالوريوس'!$A$5:$A$208,'فحص-بيانات-بكالوريوس'!$A$5:$A$208,'فحص-بيانات-ماجستير'!$A$5:$A$230),$I65)&amp;"")</f>
        <v/>
      </c>
      <c r="C65" s="2" t="str">
        <f>IF($I65="","",INDEX(CHOOSE($J$3,'فحص-حاسب-بكالوريوس'!$F$5:$F$208,'فحص-بيانات-بكالوريوس'!$F$5:$F$208,'فحص-بيانات-ماجستير'!$F$5:$F$230),$I65)&amp;"")</f>
        <v/>
      </c>
      <c r="D65" s="2" t="str">
        <f>IF($I65="","",INDEX(CHOOSE($J$3,'فحص-حاسب-بكالوريوس'!$H$5:$H$208,'فحص-بيانات-بكالوريوس'!$H$5:$H$208,'فحص-بيانات-ماجستير'!$H$5:$H$230),$I65)&amp;"")</f>
        <v/>
      </c>
      <c r="E65" s="2" t="str">
        <f>IF($I65="","",INDEX(CHOOSE($J$3,'فحص-حاسب-بكالوريوس'!$J$5:$J$208,'فحص-بيانات-بكالوريوس'!$J$5:$J$208,'فحص-بيانات-ماجستير'!$J$5:$J$230),$I65)&amp;"")</f>
        <v/>
      </c>
      <c r="F65" s="2" t="str">
        <f>IF($I65="","",INDEX(CHOOSE($J$3,'فحص-حاسب-بكالوريوس'!$L$5:$L$208,'فحص-بيانات-بكالوريوس'!$L$5:$L$208,'فحص-بيانات-ماجستير'!$L$5:$L$230),$I65)&amp;"")</f>
        <v/>
      </c>
      <c r="G65" s="2" t="str">
        <f>IF($I65="","",INDEX(CHOOSE($J$3,'فحص-حاسب-بكالوريوس'!$M$5:$M$208,'فحص-بيانات-بكالوريوس'!$M$5:$M$208,'فحص-بيانات-ماجستير'!$M$5:$M$230),$I65)&amp;"")</f>
        <v/>
      </c>
      <c r="H65" s="2" t="str">
        <f>IF($I65="","",INDEX(CHOOSE($J$3,'فحص-حاسب-بكالوريوس'!$G$5:$G$208,'فحص-بيانات-بكالوريوس'!$G$5:$G$208,'فحص-بيانات-ماجستير'!$G$5:$G$230),$I65)&amp;"")</f>
        <v/>
      </c>
      <c r="I65" s="2" t="str">
        <f>IFERROR(MATCH($E$3&amp;"#"&amp;60,CHOOSE($J$3,'فحص-حاسب-بكالوريوس'!$R$5:$R$208,'فحص-بيانات-بكالوريوس'!$R$5:$R$208,'فحص-بيانات-ماجستير'!$R$5:$R$230),0),"")</f>
        <v/>
      </c>
    </row>
    <row r="66" spans="1:9" x14ac:dyDescent="0.2">
      <c r="A66" s="1" t="str">
        <f>IF($I66="","",61)</f>
        <v/>
      </c>
      <c r="B66" s="2" t="str">
        <f>IF($I66="","",INDEX(CHOOSE($J$3,'فحص-حاسب-بكالوريوس'!$A$5:$A$208,'فحص-بيانات-بكالوريوس'!$A$5:$A$208,'فحص-بيانات-ماجستير'!$A$5:$A$230),$I66)&amp;"")</f>
        <v/>
      </c>
      <c r="C66" s="2" t="str">
        <f>IF($I66="","",INDEX(CHOOSE($J$3,'فحص-حاسب-بكالوريوس'!$F$5:$F$208,'فحص-بيانات-بكالوريوس'!$F$5:$F$208,'فحص-بيانات-ماجستير'!$F$5:$F$230),$I66)&amp;"")</f>
        <v/>
      </c>
      <c r="D66" s="2" t="str">
        <f>IF($I66="","",INDEX(CHOOSE($J$3,'فحص-حاسب-بكالوريوس'!$H$5:$H$208,'فحص-بيانات-بكالوريوس'!$H$5:$H$208,'فحص-بيانات-ماجستير'!$H$5:$H$230),$I66)&amp;"")</f>
        <v/>
      </c>
      <c r="E66" s="2" t="str">
        <f>IF($I66="","",INDEX(CHOOSE($J$3,'فحص-حاسب-بكالوريوس'!$J$5:$J$208,'فحص-بيانات-بكالوريوس'!$J$5:$J$208,'فحص-بيانات-ماجستير'!$J$5:$J$230),$I66)&amp;"")</f>
        <v/>
      </c>
      <c r="F66" s="2" t="str">
        <f>IF($I66="","",INDEX(CHOOSE($J$3,'فحص-حاسب-بكالوريوس'!$L$5:$L$208,'فحص-بيانات-بكالوريوس'!$L$5:$L$208,'فحص-بيانات-ماجستير'!$L$5:$L$230),$I66)&amp;"")</f>
        <v/>
      </c>
      <c r="G66" s="2" t="str">
        <f>IF($I66="","",INDEX(CHOOSE($J$3,'فحص-حاسب-بكالوريوس'!$M$5:$M$208,'فحص-بيانات-بكالوريوس'!$M$5:$M$208,'فحص-بيانات-ماجستير'!$M$5:$M$230),$I66)&amp;"")</f>
        <v/>
      </c>
      <c r="H66" s="2" t="str">
        <f>IF($I66="","",INDEX(CHOOSE($J$3,'فحص-حاسب-بكالوريوس'!$G$5:$G$208,'فحص-بيانات-بكالوريوس'!$G$5:$G$208,'فحص-بيانات-ماجستير'!$G$5:$G$230),$I66)&amp;"")</f>
        <v/>
      </c>
      <c r="I66" s="2" t="str">
        <f>IFERROR(MATCH($E$3&amp;"#"&amp;61,CHOOSE($J$3,'فحص-حاسب-بكالوريوس'!$R$5:$R$208,'فحص-بيانات-بكالوريوس'!$R$5:$R$208,'فحص-بيانات-ماجستير'!$R$5:$R$230),0),"")</f>
        <v/>
      </c>
    </row>
    <row r="67" spans="1:9" x14ac:dyDescent="0.2">
      <c r="A67" s="1" t="str">
        <f>IF($I67="","",62)</f>
        <v/>
      </c>
      <c r="B67" s="2" t="str">
        <f>IF($I67="","",INDEX(CHOOSE($J$3,'فحص-حاسب-بكالوريوس'!$A$5:$A$208,'فحص-بيانات-بكالوريوس'!$A$5:$A$208,'فحص-بيانات-ماجستير'!$A$5:$A$230),$I67)&amp;"")</f>
        <v/>
      </c>
      <c r="C67" s="2" t="str">
        <f>IF($I67="","",INDEX(CHOOSE($J$3,'فحص-حاسب-بكالوريوس'!$F$5:$F$208,'فحص-بيانات-بكالوريوس'!$F$5:$F$208,'فحص-بيانات-ماجستير'!$F$5:$F$230),$I67)&amp;"")</f>
        <v/>
      </c>
      <c r="D67" s="2" t="str">
        <f>IF($I67="","",INDEX(CHOOSE($J$3,'فحص-حاسب-بكالوريوس'!$H$5:$H$208,'فحص-بيانات-بكالوريوس'!$H$5:$H$208,'فحص-بيانات-ماجستير'!$H$5:$H$230),$I67)&amp;"")</f>
        <v/>
      </c>
      <c r="E67" s="2" t="str">
        <f>IF($I67="","",INDEX(CHOOSE($J$3,'فحص-حاسب-بكالوريوس'!$J$5:$J$208,'فحص-بيانات-بكالوريوس'!$J$5:$J$208,'فحص-بيانات-ماجستير'!$J$5:$J$230),$I67)&amp;"")</f>
        <v/>
      </c>
      <c r="F67" s="2" t="str">
        <f>IF($I67="","",INDEX(CHOOSE($J$3,'فحص-حاسب-بكالوريوس'!$L$5:$L$208,'فحص-بيانات-بكالوريوس'!$L$5:$L$208,'فحص-بيانات-ماجستير'!$L$5:$L$230),$I67)&amp;"")</f>
        <v/>
      </c>
      <c r="G67" s="2" t="str">
        <f>IF($I67="","",INDEX(CHOOSE($J$3,'فحص-حاسب-بكالوريوس'!$M$5:$M$208,'فحص-بيانات-بكالوريوس'!$M$5:$M$208,'فحص-بيانات-ماجستير'!$M$5:$M$230),$I67)&amp;"")</f>
        <v/>
      </c>
      <c r="H67" s="2" t="str">
        <f>IF($I67="","",INDEX(CHOOSE($J$3,'فحص-حاسب-بكالوريوس'!$G$5:$G$208,'فحص-بيانات-بكالوريوس'!$G$5:$G$208,'فحص-بيانات-ماجستير'!$G$5:$G$230),$I67)&amp;"")</f>
        <v/>
      </c>
      <c r="I67" s="2" t="str">
        <f>IFERROR(MATCH($E$3&amp;"#"&amp;62,CHOOSE($J$3,'فحص-حاسب-بكالوريوس'!$R$5:$R$208,'فحص-بيانات-بكالوريوس'!$R$5:$R$208,'فحص-بيانات-ماجستير'!$R$5:$R$230),0),"")</f>
        <v/>
      </c>
    </row>
    <row r="68" spans="1:9" x14ac:dyDescent="0.2">
      <c r="A68" s="1" t="str">
        <f>IF($I68="","",63)</f>
        <v/>
      </c>
      <c r="B68" s="2" t="str">
        <f>IF($I68="","",INDEX(CHOOSE($J$3,'فحص-حاسب-بكالوريوس'!$A$5:$A$208,'فحص-بيانات-بكالوريوس'!$A$5:$A$208,'فحص-بيانات-ماجستير'!$A$5:$A$230),$I68)&amp;"")</f>
        <v/>
      </c>
      <c r="C68" s="2" t="str">
        <f>IF($I68="","",INDEX(CHOOSE($J$3,'فحص-حاسب-بكالوريوس'!$F$5:$F$208,'فحص-بيانات-بكالوريوس'!$F$5:$F$208,'فحص-بيانات-ماجستير'!$F$5:$F$230),$I68)&amp;"")</f>
        <v/>
      </c>
      <c r="D68" s="2" t="str">
        <f>IF($I68="","",INDEX(CHOOSE($J$3,'فحص-حاسب-بكالوريوس'!$H$5:$H$208,'فحص-بيانات-بكالوريوس'!$H$5:$H$208,'فحص-بيانات-ماجستير'!$H$5:$H$230),$I68)&amp;"")</f>
        <v/>
      </c>
      <c r="E68" s="2" t="str">
        <f>IF($I68="","",INDEX(CHOOSE($J$3,'فحص-حاسب-بكالوريوس'!$J$5:$J$208,'فحص-بيانات-بكالوريوس'!$J$5:$J$208,'فحص-بيانات-ماجستير'!$J$5:$J$230),$I68)&amp;"")</f>
        <v/>
      </c>
      <c r="F68" s="2" t="str">
        <f>IF($I68="","",INDEX(CHOOSE($J$3,'فحص-حاسب-بكالوريوس'!$L$5:$L$208,'فحص-بيانات-بكالوريوس'!$L$5:$L$208,'فحص-بيانات-ماجستير'!$L$5:$L$230),$I68)&amp;"")</f>
        <v/>
      </c>
      <c r="G68" s="2" t="str">
        <f>IF($I68="","",INDEX(CHOOSE($J$3,'فحص-حاسب-بكالوريوس'!$M$5:$M$208,'فحص-بيانات-بكالوريوس'!$M$5:$M$208,'فحص-بيانات-ماجستير'!$M$5:$M$230),$I68)&amp;"")</f>
        <v/>
      </c>
      <c r="H68" s="2" t="str">
        <f>IF($I68="","",INDEX(CHOOSE($J$3,'فحص-حاسب-بكالوريوس'!$G$5:$G$208,'فحص-بيانات-بكالوريوس'!$G$5:$G$208,'فحص-بيانات-ماجستير'!$G$5:$G$230),$I68)&amp;"")</f>
        <v/>
      </c>
      <c r="I68" s="2" t="str">
        <f>IFERROR(MATCH($E$3&amp;"#"&amp;63,CHOOSE($J$3,'فحص-حاسب-بكالوريوس'!$R$5:$R$208,'فحص-بيانات-بكالوريوس'!$R$5:$R$208,'فحص-بيانات-ماجستير'!$R$5:$R$230),0),"")</f>
        <v/>
      </c>
    </row>
    <row r="69" spans="1:9" x14ac:dyDescent="0.2">
      <c r="A69" s="1" t="str">
        <f>IF($I69="","",64)</f>
        <v/>
      </c>
      <c r="B69" s="2" t="str">
        <f>IF($I69="","",INDEX(CHOOSE($J$3,'فحص-حاسب-بكالوريوس'!$A$5:$A$208,'فحص-بيانات-بكالوريوس'!$A$5:$A$208,'فحص-بيانات-ماجستير'!$A$5:$A$230),$I69)&amp;"")</f>
        <v/>
      </c>
      <c r="C69" s="2" t="str">
        <f>IF($I69="","",INDEX(CHOOSE($J$3,'فحص-حاسب-بكالوريوس'!$F$5:$F$208,'فحص-بيانات-بكالوريوس'!$F$5:$F$208,'فحص-بيانات-ماجستير'!$F$5:$F$230),$I69)&amp;"")</f>
        <v/>
      </c>
      <c r="D69" s="2" t="str">
        <f>IF($I69="","",INDEX(CHOOSE($J$3,'فحص-حاسب-بكالوريوس'!$H$5:$H$208,'فحص-بيانات-بكالوريوس'!$H$5:$H$208,'فحص-بيانات-ماجستير'!$H$5:$H$230),$I69)&amp;"")</f>
        <v/>
      </c>
      <c r="E69" s="2" t="str">
        <f>IF($I69="","",INDEX(CHOOSE($J$3,'فحص-حاسب-بكالوريوس'!$J$5:$J$208,'فحص-بيانات-بكالوريوس'!$J$5:$J$208,'فحص-بيانات-ماجستير'!$J$5:$J$230),$I69)&amp;"")</f>
        <v/>
      </c>
      <c r="F69" s="2" t="str">
        <f>IF($I69="","",INDEX(CHOOSE($J$3,'فحص-حاسب-بكالوريوس'!$L$5:$L$208,'فحص-بيانات-بكالوريوس'!$L$5:$L$208,'فحص-بيانات-ماجستير'!$L$5:$L$230),$I69)&amp;"")</f>
        <v/>
      </c>
      <c r="G69" s="2" t="str">
        <f>IF($I69="","",INDEX(CHOOSE($J$3,'فحص-حاسب-بكالوريوس'!$M$5:$M$208,'فحص-بيانات-بكالوريوس'!$M$5:$M$208,'فحص-بيانات-ماجستير'!$M$5:$M$230),$I69)&amp;"")</f>
        <v/>
      </c>
      <c r="H69" s="2" t="str">
        <f>IF($I69="","",INDEX(CHOOSE($J$3,'فحص-حاسب-بكالوريوس'!$G$5:$G$208,'فحص-بيانات-بكالوريوس'!$G$5:$G$208,'فحص-بيانات-ماجستير'!$G$5:$G$230),$I69)&amp;"")</f>
        <v/>
      </c>
      <c r="I69" s="2" t="str">
        <f>IFERROR(MATCH($E$3&amp;"#"&amp;64,CHOOSE($J$3,'فحص-حاسب-بكالوريوس'!$R$5:$R$208,'فحص-بيانات-بكالوريوس'!$R$5:$R$208,'فحص-بيانات-ماجستير'!$R$5:$R$230),0),"")</f>
        <v/>
      </c>
    </row>
    <row r="70" spans="1:9" x14ac:dyDescent="0.2">
      <c r="A70" s="1" t="str">
        <f>IF($I70="","",65)</f>
        <v/>
      </c>
      <c r="B70" s="2" t="str">
        <f>IF($I70="","",INDEX(CHOOSE($J$3,'فحص-حاسب-بكالوريوس'!$A$5:$A$208,'فحص-بيانات-بكالوريوس'!$A$5:$A$208,'فحص-بيانات-ماجستير'!$A$5:$A$230),$I70)&amp;"")</f>
        <v/>
      </c>
      <c r="C70" s="2" t="str">
        <f>IF($I70="","",INDEX(CHOOSE($J$3,'فحص-حاسب-بكالوريوس'!$F$5:$F$208,'فحص-بيانات-بكالوريوس'!$F$5:$F$208,'فحص-بيانات-ماجستير'!$F$5:$F$230),$I70)&amp;"")</f>
        <v/>
      </c>
      <c r="D70" s="2" t="str">
        <f>IF($I70="","",INDEX(CHOOSE($J$3,'فحص-حاسب-بكالوريوس'!$H$5:$H$208,'فحص-بيانات-بكالوريوس'!$H$5:$H$208,'فحص-بيانات-ماجستير'!$H$5:$H$230),$I70)&amp;"")</f>
        <v/>
      </c>
      <c r="E70" s="2" t="str">
        <f>IF($I70="","",INDEX(CHOOSE($J$3,'فحص-حاسب-بكالوريوس'!$J$5:$J$208,'فحص-بيانات-بكالوريوس'!$J$5:$J$208,'فحص-بيانات-ماجستير'!$J$5:$J$230),$I70)&amp;"")</f>
        <v/>
      </c>
      <c r="F70" s="2" t="str">
        <f>IF($I70="","",INDEX(CHOOSE($J$3,'فحص-حاسب-بكالوريوس'!$L$5:$L$208,'فحص-بيانات-بكالوريوس'!$L$5:$L$208,'فحص-بيانات-ماجستير'!$L$5:$L$230),$I70)&amp;"")</f>
        <v/>
      </c>
      <c r="G70" s="2" t="str">
        <f>IF($I70="","",INDEX(CHOOSE($J$3,'فحص-حاسب-بكالوريوس'!$M$5:$M$208,'فحص-بيانات-بكالوريوس'!$M$5:$M$208,'فحص-بيانات-ماجستير'!$M$5:$M$230),$I70)&amp;"")</f>
        <v/>
      </c>
      <c r="H70" s="2" t="str">
        <f>IF($I70="","",INDEX(CHOOSE($J$3,'فحص-حاسب-بكالوريوس'!$G$5:$G$208,'فحص-بيانات-بكالوريوس'!$G$5:$G$208,'فحص-بيانات-ماجستير'!$G$5:$G$230),$I70)&amp;"")</f>
        <v/>
      </c>
      <c r="I70" s="2" t="str">
        <f>IFERROR(MATCH($E$3&amp;"#"&amp;65,CHOOSE($J$3,'فحص-حاسب-بكالوريوس'!$R$5:$R$208,'فحص-بيانات-بكالوريوس'!$R$5:$R$208,'فحص-بيانات-ماجستير'!$R$5:$R$230),0),"")</f>
        <v/>
      </c>
    </row>
    <row r="71" spans="1:9" x14ac:dyDescent="0.2">
      <c r="A71" s="1" t="str">
        <f>IF($I71="","",66)</f>
        <v/>
      </c>
      <c r="B71" s="2" t="str">
        <f>IF($I71="","",INDEX(CHOOSE($J$3,'فحص-حاسب-بكالوريوس'!$A$5:$A$208,'فحص-بيانات-بكالوريوس'!$A$5:$A$208,'فحص-بيانات-ماجستير'!$A$5:$A$230),$I71)&amp;"")</f>
        <v/>
      </c>
      <c r="C71" s="2" t="str">
        <f>IF($I71="","",INDEX(CHOOSE($J$3,'فحص-حاسب-بكالوريوس'!$F$5:$F$208,'فحص-بيانات-بكالوريوس'!$F$5:$F$208,'فحص-بيانات-ماجستير'!$F$5:$F$230),$I71)&amp;"")</f>
        <v/>
      </c>
      <c r="D71" s="2" t="str">
        <f>IF($I71="","",INDEX(CHOOSE($J$3,'فحص-حاسب-بكالوريوس'!$H$5:$H$208,'فحص-بيانات-بكالوريوس'!$H$5:$H$208,'فحص-بيانات-ماجستير'!$H$5:$H$230),$I71)&amp;"")</f>
        <v/>
      </c>
      <c r="E71" s="2" t="str">
        <f>IF($I71="","",INDEX(CHOOSE($J$3,'فحص-حاسب-بكالوريوس'!$J$5:$J$208,'فحص-بيانات-بكالوريوس'!$J$5:$J$208,'فحص-بيانات-ماجستير'!$J$5:$J$230),$I71)&amp;"")</f>
        <v/>
      </c>
      <c r="F71" s="2" t="str">
        <f>IF($I71="","",INDEX(CHOOSE($J$3,'فحص-حاسب-بكالوريوس'!$L$5:$L$208,'فحص-بيانات-بكالوريوس'!$L$5:$L$208,'فحص-بيانات-ماجستير'!$L$5:$L$230),$I71)&amp;"")</f>
        <v/>
      </c>
      <c r="G71" s="2" t="str">
        <f>IF($I71="","",INDEX(CHOOSE($J$3,'فحص-حاسب-بكالوريوس'!$M$5:$M$208,'فحص-بيانات-بكالوريوس'!$M$5:$M$208,'فحص-بيانات-ماجستير'!$M$5:$M$230),$I71)&amp;"")</f>
        <v/>
      </c>
      <c r="H71" s="2" t="str">
        <f>IF($I71="","",INDEX(CHOOSE($J$3,'فحص-حاسب-بكالوريوس'!$G$5:$G$208,'فحص-بيانات-بكالوريوس'!$G$5:$G$208,'فحص-بيانات-ماجستير'!$G$5:$G$230),$I71)&amp;"")</f>
        <v/>
      </c>
      <c r="I71" s="2" t="str">
        <f>IFERROR(MATCH($E$3&amp;"#"&amp;66,CHOOSE($J$3,'فحص-حاسب-بكالوريوس'!$R$5:$R$208,'فحص-بيانات-بكالوريوس'!$R$5:$R$208,'فحص-بيانات-ماجستير'!$R$5:$R$230),0),"")</f>
        <v/>
      </c>
    </row>
    <row r="72" spans="1:9" x14ac:dyDescent="0.2">
      <c r="A72" s="1" t="str">
        <f>IF($I72="","",67)</f>
        <v/>
      </c>
      <c r="B72" s="2" t="str">
        <f>IF($I72="","",INDEX(CHOOSE($J$3,'فحص-حاسب-بكالوريوس'!$A$5:$A$208,'فحص-بيانات-بكالوريوس'!$A$5:$A$208,'فحص-بيانات-ماجستير'!$A$5:$A$230),$I72)&amp;"")</f>
        <v/>
      </c>
      <c r="C72" s="2" t="str">
        <f>IF($I72="","",INDEX(CHOOSE($J$3,'فحص-حاسب-بكالوريوس'!$F$5:$F$208,'فحص-بيانات-بكالوريوس'!$F$5:$F$208,'فحص-بيانات-ماجستير'!$F$5:$F$230),$I72)&amp;"")</f>
        <v/>
      </c>
      <c r="D72" s="2" t="str">
        <f>IF($I72="","",INDEX(CHOOSE($J$3,'فحص-حاسب-بكالوريوس'!$H$5:$H$208,'فحص-بيانات-بكالوريوس'!$H$5:$H$208,'فحص-بيانات-ماجستير'!$H$5:$H$230),$I72)&amp;"")</f>
        <v/>
      </c>
      <c r="E72" s="2" t="str">
        <f>IF($I72="","",INDEX(CHOOSE($J$3,'فحص-حاسب-بكالوريوس'!$J$5:$J$208,'فحص-بيانات-بكالوريوس'!$J$5:$J$208,'فحص-بيانات-ماجستير'!$J$5:$J$230),$I72)&amp;"")</f>
        <v/>
      </c>
      <c r="F72" s="2" t="str">
        <f>IF($I72="","",INDEX(CHOOSE($J$3,'فحص-حاسب-بكالوريوس'!$L$5:$L$208,'فحص-بيانات-بكالوريوس'!$L$5:$L$208,'فحص-بيانات-ماجستير'!$L$5:$L$230),$I72)&amp;"")</f>
        <v/>
      </c>
      <c r="G72" s="2" t="str">
        <f>IF($I72="","",INDEX(CHOOSE($J$3,'فحص-حاسب-بكالوريوس'!$M$5:$M$208,'فحص-بيانات-بكالوريوس'!$M$5:$M$208,'فحص-بيانات-ماجستير'!$M$5:$M$230),$I72)&amp;"")</f>
        <v/>
      </c>
      <c r="H72" s="2" t="str">
        <f>IF($I72="","",INDEX(CHOOSE($J$3,'فحص-حاسب-بكالوريوس'!$G$5:$G$208,'فحص-بيانات-بكالوريوس'!$G$5:$G$208,'فحص-بيانات-ماجستير'!$G$5:$G$230),$I72)&amp;"")</f>
        <v/>
      </c>
      <c r="I72" s="2" t="str">
        <f>IFERROR(MATCH($E$3&amp;"#"&amp;67,CHOOSE($J$3,'فحص-حاسب-بكالوريوس'!$R$5:$R$208,'فحص-بيانات-بكالوريوس'!$R$5:$R$208,'فحص-بيانات-ماجستير'!$R$5:$R$230),0),"")</f>
        <v/>
      </c>
    </row>
    <row r="73" spans="1:9" x14ac:dyDescent="0.2">
      <c r="A73" s="1" t="str">
        <f>IF($I73="","",68)</f>
        <v/>
      </c>
      <c r="B73" s="2" t="str">
        <f>IF($I73="","",INDEX(CHOOSE($J$3,'فحص-حاسب-بكالوريوس'!$A$5:$A$208,'فحص-بيانات-بكالوريوس'!$A$5:$A$208,'فحص-بيانات-ماجستير'!$A$5:$A$230),$I73)&amp;"")</f>
        <v/>
      </c>
      <c r="C73" s="2" t="str">
        <f>IF($I73="","",INDEX(CHOOSE($J$3,'فحص-حاسب-بكالوريوس'!$F$5:$F$208,'فحص-بيانات-بكالوريوس'!$F$5:$F$208,'فحص-بيانات-ماجستير'!$F$5:$F$230),$I73)&amp;"")</f>
        <v/>
      </c>
      <c r="D73" s="2" t="str">
        <f>IF($I73="","",INDEX(CHOOSE($J$3,'فحص-حاسب-بكالوريوس'!$H$5:$H$208,'فحص-بيانات-بكالوريوس'!$H$5:$H$208,'فحص-بيانات-ماجستير'!$H$5:$H$230),$I73)&amp;"")</f>
        <v/>
      </c>
      <c r="E73" s="2" t="str">
        <f>IF($I73="","",INDEX(CHOOSE($J$3,'فحص-حاسب-بكالوريوس'!$J$5:$J$208,'فحص-بيانات-بكالوريوس'!$J$5:$J$208,'فحص-بيانات-ماجستير'!$J$5:$J$230),$I73)&amp;"")</f>
        <v/>
      </c>
      <c r="F73" s="2" t="str">
        <f>IF($I73="","",INDEX(CHOOSE($J$3,'فحص-حاسب-بكالوريوس'!$L$5:$L$208,'فحص-بيانات-بكالوريوس'!$L$5:$L$208,'فحص-بيانات-ماجستير'!$L$5:$L$230),$I73)&amp;"")</f>
        <v/>
      </c>
      <c r="G73" s="2" t="str">
        <f>IF($I73="","",INDEX(CHOOSE($J$3,'فحص-حاسب-بكالوريوس'!$M$5:$M$208,'فحص-بيانات-بكالوريوس'!$M$5:$M$208,'فحص-بيانات-ماجستير'!$M$5:$M$230),$I73)&amp;"")</f>
        <v/>
      </c>
      <c r="H73" s="2" t="str">
        <f>IF($I73="","",INDEX(CHOOSE($J$3,'فحص-حاسب-بكالوريوس'!$G$5:$G$208,'فحص-بيانات-بكالوريوس'!$G$5:$G$208,'فحص-بيانات-ماجستير'!$G$5:$G$230),$I73)&amp;"")</f>
        <v/>
      </c>
      <c r="I73" s="2" t="str">
        <f>IFERROR(MATCH($E$3&amp;"#"&amp;68,CHOOSE($J$3,'فحص-حاسب-بكالوريوس'!$R$5:$R$208,'فحص-بيانات-بكالوريوس'!$R$5:$R$208,'فحص-بيانات-ماجستير'!$R$5:$R$230),0),"")</f>
        <v/>
      </c>
    </row>
    <row r="74" spans="1:9" x14ac:dyDescent="0.2">
      <c r="A74" s="1" t="str">
        <f>IF($I74="","",69)</f>
        <v/>
      </c>
      <c r="B74" s="2" t="str">
        <f>IF($I74="","",INDEX(CHOOSE($J$3,'فحص-حاسب-بكالوريوس'!$A$5:$A$208,'فحص-بيانات-بكالوريوس'!$A$5:$A$208,'فحص-بيانات-ماجستير'!$A$5:$A$230),$I74)&amp;"")</f>
        <v/>
      </c>
      <c r="C74" s="2" t="str">
        <f>IF($I74="","",INDEX(CHOOSE($J$3,'فحص-حاسب-بكالوريوس'!$F$5:$F$208,'فحص-بيانات-بكالوريوس'!$F$5:$F$208,'فحص-بيانات-ماجستير'!$F$5:$F$230),$I74)&amp;"")</f>
        <v/>
      </c>
      <c r="D74" s="2" t="str">
        <f>IF($I74="","",INDEX(CHOOSE($J$3,'فحص-حاسب-بكالوريوس'!$H$5:$H$208,'فحص-بيانات-بكالوريوس'!$H$5:$H$208,'فحص-بيانات-ماجستير'!$H$5:$H$230),$I74)&amp;"")</f>
        <v/>
      </c>
      <c r="E74" s="2" t="str">
        <f>IF($I74="","",INDEX(CHOOSE($J$3,'فحص-حاسب-بكالوريوس'!$J$5:$J$208,'فحص-بيانات-بكالوريوس'!$J$5:$J$208,'فحص-بيانات-ماجستير'!$J$5:$J$230),$I74)&amp;"")</f>
        <v/>
      </c>
      <c r="F74" s="2" t="str">
        <f>IF($I74="","",INDEX(CHOOSE($J$3,'فحص-حاسب-بكالوريوس'!$L$5:$L$208,'فحص-بيانات-بكالوريوس'!$L$5:$L$208,'فحص-بيانات-ماجستير'!$L$5:$L$230),$I74)&amp;"")</f>
        <v/>
      </c>
      <c r="G74" s="2" t="str">
        <f>IF($I74="","",INDEX(CHOOSE($J$3,'فحص-حاسب-بكالوريوس'!$M$5:$M$208,'فحص-بيانات-بكالوريوس'!$M$5:$M$208,'فحص-بيانات-ماجستير'!$M$5:$M$230),$I74)&amp;"")</f>
        <v/>
      </c>
      <c r="H74" s="2" t="str">
        <f>IF($I74="","",INDEX(CHOOSE($J$3,'فحص-حاسب-بكالوريوس'!$G$5:$G$208,'فحص-بيانات-بكالوريوس'!$G$5:$G$208,'فحص-بيانات-ماجستير'!$G$5:$G$230),$I74)&amp;"")</f>
        <v/>
      </c>
      <c r="I74" s="2" t="str">
        <f>IFERROR(MATCH($E$3&amp;"#"&amp;69,CHOOSE($J$3,'فحص-حاسب-بكالوريوس'!$R$5:$R$208,'فحص-بيانات-بكالوريوس'!$R$5:$R$208,'فحص-بيانات-ماجستير'!$R$5:$R$230),0),"")</f>
        <v/>
      </c>
    </row>
    <row r="75" spans="1:9" x14ac:dyDescent="0.2">
      <c r="A75" s="1" t="str">
        <f>IF($I75="","",70)</f>
        <v/>
      </c>
      <c r="B75" s="2" t="str">
        <f>IF($I75="","",INDEX(CHOOSE($J$3,'فحص-حاسب-بكالوريوس'!$A$5:$A$208,'فحص-بيانات-بكالوريوس'!$A$5:$A$208,'فحص-بيانات-ماجستير'!$A$5:$A$230),$I75)&amp;"")</f>
        <v/>
      </c>
      <c r="C75" s="2" t="str">
        <f>IF($I75="","",INDEX(CHOOSE($J$3,'فحص-حاسب-بكالوريوس'!$F$5:$F$208,'فحص-بيانات-بكالوريوس'!$F$5:$F$208,'فحص-بيانات-ماجستير'!$F$5:$F$230),$I75)&amp;"")</f>
        <v/>
      </c>
      <c r="D75" s="2" t="str">
        <f>IF($I75="","",INDEX(CHOOSE($J$3,'فحص-حاسب-بكالوريوس'!$H$5:$H$208,'فحص-بيانات-بكالوريوس'!$H$5:$H$208,'فحص-بيانات-ماجستير'!$H$5:$H$230),$I75)&amp;"")</f>
        <v/>
      </c>
      <c r="E75" s="2" t="str">
        <f>IF($I75="","",INDEX(CHOOSE($J$3,'فحص-حاسب-بكالوريوس'!$J$5:$J$208,'فحص-بيانات-بكالوريوس'!$J$5:$J$208,'فحص-بيانات-ماجستير'!$J$5:$J$230),$I75)&amp;"")</f>
        <v/>
      </c>
      <c r="F75" s="2" t="str">
        <f>IF($I75="","",INDEX(CHOOSE($J$3,'فحص-حاسب-بكالوريوس'!$L$5:$L$208,'فحص-بيانات-بكالوريوس'!$L$5:$L$208,'فحص-بيانات-ماجستير'!$L$5:$L$230),$I75)&amp;"")</f>
        <v/>
      </c>
      <c r="G75" s="2" t="str">
        <f>IF($I75="","",INDEX(CHOOSE($J$3,'فحص-حاسب-بكالوريوس'!$M$5:$M$208,'فحص-بيانات-بكالوريوس'!$M$5:$M$208,'فحص-بيانات-ماجستير'!$M$5:$M$230),$I75)&amp;"")</f>
        <v/>
      </c>
      <c r="H75" s="2" t="str">
        <f>IF($I75="","",INDEX(CHOOSE($J$3,'فحص-حاسب-بكالوريوس'!$G$5:$G$208,'فحص-بيانات-بكالوريوس'!$G$5:$G$208,'فحص-بيانات-ماجستير'!$G$5:$G$230),$I75)&amp;"")</f>
        <v/>
      </c>
      <c r="I75" s="2" t="str">
        <f>IFERROR(MATCH($E$3&amp;"#"&amp;70,CHOOSE($J$3,'فحص-حاسب-بكالوريوس'!$R$5:$R$208,'فحص-بيانات-بكالوريوس'!$R$5:$R$208,'فحص-بيانات-ماجستير'!$R$5:$R$230),0),"")</f>
        <v/>
      </c>
    </row>
    <row r="76" spans="1:9" x14ac:dyDescent="0.2">
      <c r="A76" s="1" t="str">
        <f>IF($I76="","",71)</f>
        <v/>
      </c>
      <c r="B76" s="2" t="str">
        <f>IF($I76="","",INDEX(CHOOSE($J$3,'فحص-حاسب-بكالوريوس'!$A$5:$A$208,'فحص-بيانات-بكالوريوس'!$A$5:$A$208,'فحص-بيانات-ماجستير'!$A$5:$A$230),$I76)&amp;"")</f>
        <v/>
      </c>
      <c r="C76" s="2" t="str">
        <f>IF($I76="","",INDEX(CHOOSE($J$3,'فحص-حاسب-بكالوريوس'!$F$5:$F$208,'فحص-بيانات-بكالوريوس'!$F$5:$F$208,'فحص-بيانات-ماجستير'!$F$5:$F$230),$I76)&amp;"")</f>
        <v/>
      </c>
      <c r="D76" s="2" t="str">
        <f>IF($I76="","",INDEX(CHOOSE($J$3,'فحص-حاسب-بكالوريوس'!$H$5:$H$208,'فحص-بيانات-بكالوريوس'!$H$5:$H$208,'فحص-بيانات-ماجستير'!$H$5:$H$230),$I76)&amp;"")</f>
        <v/>
      </c>
      <c r="E76" s="2" t="str">
        <f>IF($I76="","",INDEX(CHOOSE($J$3,'فحص-حاسب-بكالوريوس'!$J$5:$J$208,'فحص-بيانات-بكالوريوس'!$J$5:$J$208,'فحص-بيانات-ماجستير'!$J$5:$J$230),$I76)&amp;"")</f>
        <v/>
      </c>
      <c r="F76" s="2" t="str">
        <f>IF($I76="","",INDEX(CHOOSE($J$3,'فحص-حاسب-بكالوريوس'!$L$5:$L$208,'فحص-بيانات-بكالوريوس'!$L$5:$L$208,'فحص-بيانات-ماجستير'!$L$5:$L$230),$I76)&amp;"")</f>
        <v/>
      </c>
      <c r="G76" s="2" t="str">
        <f>IF($I76="","",INDEX(CHOOSE($J$3,'فحص-حاسب-بكالوريوس'!$M$5:$M$208,'فحص-بيانات-بكالوريوس'!$M$5:$M$208,'فحص-بيانات-ماجستير'!$M$5:$M$230),$I76)&amp;"")</f>
        <v/>
      </c>
      <c r="H76" s="2" t="str">
        <f>IF($I76="","",INDEX(CHOOSE($J$3,'فحص-حاسب-بكالوريوس'!$G$5:$G$208,'فحص-بيانات-بكالوريوس'!$G$5:$G$208,'فحص-بيانات-ماجستير'!$G$5:$G$230),$I76)&amp;"")</f>
        <v/>
      </c>
      <c r="I76" s="2" t="str">
        <f>IFERROR(MATCH($E$3&amp;"#"&amp;71,CHOOSE($J$3,'فحص-حاسب-بكالوريوس'!$R$5:$R$208,'فحص-بيانات-بكالوريوس'!$R$5:$R$208,'فحص-بيانات-ماجستير'!$R$5:$R$230),0),"")</f>
        <v/>
      </c>
    </row>
    <row r="77" spans="1:9" x14ac:dyDescent="0.2">
      <c r="A77" s="1" t="str">
        <f>IF($I77="","",72)</f>
        <v/>
      </c>
      <c r="B77" s="2" t="str">
        <f>IF($I77="","",INDEX(CHOOSE($J$3,'فحص-حاسب-بكالوريوس'!$A$5:$A$208,'فحص-بيانات-بكالوريوس'!$A$5:$A$208,'فحص-بيانات-ماجستير'!$A$5:$A$230),$I77)&amp;"")</f>
        <v/>
      </c>
      <c r="C77" s="2" t="str">
        <f>IF($I77="","",INDEX(CHOOSE($J$3,'فحص-حاسب-بكالوريوس'!$F$5:$F$208,'فحص-بيانات-بكالوريوس'!$F$5:$F$208,'فحص-بيانات-ماجستير'!$F$5:$F$230),$I77)&amp;"")</f>
        <v/>
      </c>
      <c r="D77" s="2" t="str">
        <f>IF($I77="","",INDEX(CHOOSE($J$3,'فحص-حاسب-بكالوريوس'!$H$5:$H$208,'فحص-بيانات-بكالوريوس'!$H$5:$H$208,'فحص-بيانات-ماجستير'!$H$5:$H$230),$I77)&amp;"")</f>
        <v/>
      </c>
      <c r="E77" s="2" t="str">
        <f>IF($I77="","",INDEX(CHOOSE($J$3,'فحص-حاسب-بكالوريوس'!$J$5:$J$208,'فحص-بيانات-بكالوريوس'!$J$5:$J$208,'فحص-بيانات-ماجستير'!$J$5:$J$230),$I77)&amp;"")</f>
        <v/>
      </c>
      <c r="F77" s="2" t="str">
        <f>IF($I77="","",INDEX(CHOOSE($J$3,'فحص-حاسب-بكالوريوس'!$L$5:$L$208,'فحص-بيانات-بكالوريوس'!$L$5:$L$208,'فحص-بيانات-ماجستير'!$L$5:$L$230),$I77)&amp;"")</f>
        <v/>
      </c>
      <c r="G77" s="2" t="str">
        <f>IF($I77="","",INDEX(CHOOSE($J$3,'فحص-حاسب-بكالوريوس'!$M$5:$M$208,'فحص-بيانات-بكالوريوس'!$M$5:$M$208,'فحص-بيانات-ماجستير'!$M$5:$M$230),$I77)&amp;"")</f>
        <v/>
      </c>
      <c r="H77" s="2" t="str">
        <f>IF($I77="","",INDEX(CHOOSE($J$3,'فحص-حاسب-بكالوريوس'!$G$5:$G$208,'فحص-بيانات-بكالوريوس'!$G$5:$G$208,'فحص-بيانات-ماجستير'!$G$5:$G$230),$I77)&amp;"")</f>
        <v/>
      </c>
      <c r="I77" s="2" t="str">
        <f>IFERROR(MATCH($E$3&amp;"#"&amp;72,CHOOSE($J$3,'فحص-حاسب-بكالوريوس'!$R$5:$R$208,'فحص-بيانات-بكالوريوس'!$R$5:$R$208,'فحص-بيانات-ماجستير'!$R$5:$R$230),0),"")</f>
        <v/>
      </c>
    </row>
    <row r="78" spans="1:9" x14ac:dyDescent="0.2">
      <c r="A78" s="1" t="str">
        <f>IF($I78="","",73)</f>
        <v/>
      </c>
      <c r="B78" s="2" t="str">
        <f>IF($I78="","",INDEX(CHOOSE($J$3,'فحص-حاسب-بكالوريوس'!$A$5:$A$208,'فحص-بيانات-بكالوريوس'!$A$5:$A$208,'فحص-بيانات-ماجستير'!$A$5:$A$230),$I78)&amp;"")</f>
        <v/>
      </c>
      <c r="C78" s="2" t="str">
        <f>IF($I78="","",INDEX(CHOOSE($J$3,'فحص-حاسب-بكالوريوس'!$F$5:$F$208,'فحص-بيانات-بكالوريوس'!$F$5:$F$208,'فحص-بيانات-ماجستير'!$F$5:$F$230),$I78)&amp;"")</f>
        <v/>
      </c>
      <c r="D78" s="2" t="str">
        <f>IF($I78="","",INDEX(CHOOSE($J$3,'فحص-حاسب-بكالوريوس'!$H$5:$H$208,'فحص-بيانات-بكالوريوس'!$H$5:$H$208,'فحص-بيانات-ماجستير'!$H$5:$H$230),$I78)&amp;"")</f>
        <v/>
      </c>
      <c r="E78" s="2" t="str">
        <f>IF($I78="","",INDEX(CHOOSE($J$3,'فحص-حاسب-بكالوريوس'!$J$5:$J$208,'فحص-بيانات-بكالوريوس'!$J$5:$J$208,'فحص-بيانات-ماجستير'!$J$5:$J$230),$I78)&amp;"")</f>
        <v/>
      </c>
      <c r="F78" s="2" t="str">
        <f>IF($I78="","",INDEX(CHOOSE($J$3,'فحص-حاسب-بكالوريوس'!$L$5:$L$208,'فحص-بيانات-بكالوريوس'!$L$5:$L$208,'فحص-بيانات-ماجستير'!$L$5:$L$230),$I78)&amp;"")</f>
        <v/>
      </c>
      <c r="G78" s="2" t="str">
        <f>IF($I78="","",INDEX(CHOOSE($J$3,'فحص-حاسب-بكالوريوس'!$M$5:$M$208,'فحص-بيانات-بكالوريوس'!$M$5:$M$208,'فحص-بيانات-ماجستير'!$M$5:$M$230),$I78)&amp;"")</f>
        <v/>
      </c>
      <c r="H78" s="2" t="str">
        <f>IF($I78="","",INDEX(CHOOSE($J$3,'فحص-حاسب-بكالوريوس'!$G$5:$G$208,'فحص-بيانات-بكالوريوس'!$G$5:$G$208,'فحص-بيانات-ماجستير'!$G$5:$G$230),$I78)&amp;"")</f>
        <v/>
      </c>
      <c r="I78" s="2" t="str">
        <f>IFERROR(MATCH($E$3&amp;"#"&amp;73,CHOOSE($J$3,'فحص-حاسب-بكالوريوس'!$R$5:$R$208,'فحص-بيانات-بكالوريوس'!$R$5:$R$208,'فحص-بيانات-ماجستير'!$R$5:$R$230),0),"")</f>
        <v/>
      </c>
    </row>
    <row r="79" spans="1:9" x14ac:dyDescent="0.2">
      <c r="A79" s="1" t="str">
        <f>IF($I79="","",74)</f>
        <v/>
      </c>
      <c r="B79" s="2" t="str">
        <f>IF($I79="","",INDEX(CHOOSE($J$3,'فحص-حاسب-بكالوريوس'!$A$5:$A$208,'فحص-بيانات-بكالوريوس'!$A$5:$A$208,'فحص-بيانات-ماجستير'!$A$5:$A$230),$I79)&amp;"")</f>
        <v/>
      </c>
      <c r="C79" s="2" t="str">
        <f>IF($I79="","",INDEX(CHOOSE($J$3,'فحص-حاسب-بكالوريوس'!$F$5:$F$208,'فحص-بيانات-بكالوريوس'!$F$5:$F$208,'فحص-بيانات-ماجستير'!$F$5:$F$230),$I79)&amp;"")</f>
        <v/>
      </c>
      <c r="D79" s="2" t="str">
        <f>IF($I79="","",INDEX(CHOOSE($J$3,'فحص-حاسب-بكالوريوس'!$H$5:$H$208,'فحص-بيانات-بكالوريوس'!$H$5:$H$208,'فحص-بيانات-ماجستير'!$H$5:$H$230),$I79)&amp;"")</f>
        <v/>
      </c>
      <c r="E79" s="2" t="str">
        <f>IF($I79="","",INDEX(CHOOSE($J$3,'فحص-حاسب-بكالوريوس'!$J$5:$J$208,'فحص-بيانات-بكالوريوس'!$J$5:$J$208,'فحص-بيانات-ماجستير'!$J$5:$J$230),$I79)&amp;"")</f>
        <v/>
      </c>
      <c r="F79" s="2" t="str">
        <f>IF($I79="","",INDEX(CHOOSE($J$3,'فحص-حاسب-بكالوريوس'!$L$5:$L$208,'فحص-بيانات-بكالوريوس'!$L$5:$L$208,'فحص-بيانات-ماجستير'!$L$5:$L$230),$I79)&amp;"")</f>
        <v/>
      </c>
      <c r="G79" s="2" t="str">
        <f>IF($I79="","",INDEX(CHOOSE($J$3,'فحص-حاسب-بكالوريوس'!$M$5:$M$208,'فحص-بيانات-بكالوريوس'!$M$5:$M$208,'فحص-بيانات-ماجستير'!$M$5:$M$230),$I79)&amp;"")</f>
        <v/>
      </c>
      <c r="H79" s="2" t="str">
        <f>IF($I79="","",INDEX(CHOOSE($J$3,'فحص-حاسب-بكالوريوس'!$G$5:$G$208,'فحص-بيانات-بكالوريوس'!$G$5:$G$208,'فحص-بيانات-ماجستير'!$G$5:$G$230),$I79)&amp;"")</f>
        <v/>
      </c>
      <c r="I79" s="2" t="str">
        <f>IFERROR(MATCH($E$3&amp;"#"&amp;74,CHOOSE($J$3,'فحص-حاسب-بكالوريوس'!$R$5:$R$208,'فحص-بيانات-بكالوريوس'!$R$5:$R$208,'فحص-بيانات-ماجستير'!$R$5:$R$230),0),"")</f>
        <v/>
      </c>
    </row>
    <row r="80" spans="1:9" x14ac:dyDescent="0.2">
      <c r="A80" s="1" t="str">
        <f>IF($I80="","",75)</f>
        <v/>
      </c>
      <c r="B80" s="2" t="str">
        <f>IF($I80="","",INDEX(CHOOSE($J$3,'فحص-حاسب-بكالوريوس'!$A$5:$A$208,'فحص-بيانات-بكالوريوس'!$A$5:$A$208,'فحص-بيانات-ماجستير'!$A$5:$A$230),$I80)&amp;"")</f>
        <v/>
      </c>
      <c r="C80" s="2" t="str">
        <f>IF($I80="","",INDEX(CHOOSE($J$3,'فحص-حاسب-بكالوريوس'!$F$5:$F$208,'فحص-بيانات-بكالوريوس'!$F$5:$F$208,'فحص-بيانات-ماجستير'!$F$5:$F$230),$I80)&amp;"")</f>
        <v/>
      </c>
      <c r="D80" s="2" t="str">
        <f>IF($I80="","",INDEX(CHOOSE($J$3,'فحص-حاسب-بكالوريوس'!$H$5:$H$208,'فحص-بيانات-بكالوريوس'!$H$5:$H$208,'فحص-بيانات-ماجستير'!$H$5:$H$230),$I80)&amp;"")</f>
        <v/>
      </c>
      <c r="E80" s="2" t="str">
        <f>IF($I80="","",INDEX(CHOOSE($J$3,'فحص-حاسب-بكالوريوس'!$J$5:$J$208,'فحص-بيانات-بكالوريوس'!$J$5:$J$208,'فحص-بيانات-ماجستير'!$J$5:$J$230),$I80)&amp;"")</f>
        <v/>
      </c>
      <c r="F80" s="2" t="str">
        <f>IF($I80="","",INDEX(CHOOSE($J$3,'فحص-حاسب-بكالوريوس'!$L$5:$L$208,'فحص-بيانات-بكالوريوس'!$L$5:$L$208,'فحص-بيانات-ماجستير'!$L$5:$L$230),$I80)&amp;"")</f>
        <v/>
      </c>
      <c r="G80" s="2" t="str">
        <f>IF($I80="","",INDEX(CHOOSE($J$3,'فحص-حاسب-بكالوريوس'!$M$5:$M$208,'فحص-بيانات-بكالوريوس'!$M$5:$M$208,'فحص-بيانات-ماجستير'!$M$5:$M$230),$I80)&amp;"")</f>
        <v/>
      </c>
      <c r="H80" s="2" t="str">
        <f>IF($I80="","",INDEX(CHOOSE($J$3,'فحص-حاسب-بكالوريوس'!$G$5:$G$208,'فحص-بيانات-بكالوريوس'!$G$5:$G$208,'فحص-بيانات-ماجستير'!$G$5:$G$230),$I80)&amp;"")</f>
        <v/>
      </c>
      <c r="I80" s="2" t="str">
        <f>IFERROR(MATCH($E$3&amp;"#"&amp;75,CHOOSE($J$3,'فحص-حاسب-بكالوريوس'!$R$5:$R$208,'فحص-بيانات-بكالوريوس'!$R$5:$R$208,'فحص-بيانات-ماجستير'!$R$5:$R$230),0),"")</f>
        <v/>
      </c>
    </row>
    <row r="81" spans="1:9" x14ac:dyDescent="0.2">
      <c r="A81" s="1" t="str">
        <f>IF($I81="","",76)</f>
        <v/>
      </c>
      <c r="B81" s="2" t="str">
        <f>IF($I81="","",INDEX(CHOOSE($J$3,'فحص-حاسب-بكالوريوس'!$A$5:$A$208,'فحص-بيانات-بكالوريوس'!$A$5:$A$208,'فحص-بيانات-ماجستير'!$A$5:$A$230),$I81)&amp;"")</f>
        <v/>
      </c>
      <c r="C81" s="2" t="str">
        <f>IF($I81="","",INDEX(CHOOSE($J$3,'فحص-حاسب-بكالوريوس'!$F$5:$F$208,'فحص-بيانات-بكالوريوس'!$F$5:$F$208,'فحص-بيانات-ماجستير'!$F$5:$F$230),$I81)&amp;"")</f>
        <v/>
      </c>
      <c r="D81" s="2" t="str">
        <f>IF($I81="","",INDEX(CHOOSE($J$3,'فحص-حاسب-بكالوريوس'!$H$5:$H$208,'فحص-بيانات-بكالوريوس'!$H$5:$H$208,'فحص-بيانات-ماجستير'!$H$5:$H$230),$I81)&amp;"")</f>
        <v/>
      </c>
      <c r="E81" s="2" t="str">
        <f>IF($I81="","",INDEX(CHOOSE($J$3,'فحص-حاسب-بكالوريوس'!$J$5:$J$208,'فحص-بيانات-بكالوريوس'!$J$5:$J$208,'فحص-بيانات-ماجستير'!$J$5:$J$230),$I81)&amp;"")</f>
        <v/>
      </c>
      <c r="F81" s="2" t="str">
        <f>IF($I81="","",INDEX(CHOOSE($J$3,'فحص-حاسب-بكالوريوس'!$L$5:$L$208,'فحص-بيانات-بكالوريوس'!$L$5:$L$208,'فحص-بيانات-ماجستير'!$L$5:$L$230),$I81)&amp;"")</f>
        <v/>
      </c>
      <c r="G81" s="2" t="str">
        <f>IF($I81="","",INDEX(CHOOSE($J$3,'فحص-حاسب-بكالوريوس'!$M$5:$M$208,'فحص-بيانات-بكالوريوس'!$M$5:$M$208,'فحص-بيانات-ماجستير'!$M$5:$M$230),$I81)&amp;"")</f>
        <v/>
      </c>
      <c r="H81" s="2" t="str">
        <f>IF($I81="","",INDEX(CHOOSE($J$3,'فحص-حاسب-بكالوريوس'!$G$5:$G$208,'فحص-بيانات-بكالوريوس'!$G$5:$G$208,'فحص-بيانات-ماجستير'!$G$5:$G$230),$I81)&amp;"")</f>
        <v/>
      </c>
      <c r="I81" s="2" t="str">
        <f>IFERROR(MATCH($E$3&amp;"#"&amp;76,CHOOSE($J$3,'فحص-حاسب-بكالوريوس'!$R$5:$R$208,'فحص-بيانات-بكالوريوس'!$R$5:$R$208,'فحص-بيانات-ماجستير'!$R$5:$R$230),0),"")</f>
        <v/>
      </c>
    </row>
    <row r="82" spans="1:9" x14ac:dyDescent="0.2">
      <c r="A82" s="1" t="str">
        <f>IF($I82="","",77)</f>
        <v/>
      </c>
      <c r="B82" s="2" t="str">
        <f>IF($I82="","",INDEX(CHOOSE($J$3,'فحص-حاسب-بكالوريوس'!$A$5:$A$208,'فحص-بيانات-بكالوريوس'!$A$5:$A$208,'فحص-بيانات-ماجستير'!$A$5:$A$230),$I82)&amp;"")</f>
        <v/>
      </c>
      <c r="C82" s="2" t="str">
        <f>IF($I82="","",INDEX(CHOOSE($J$3,'فحص-حاسب-بكالوريوس'!$F$5:$F$208,'فحص-بيانات-بكالوريوس'!$F$5:$F$208,'فحص-بيانات-ماجستير'!$F$5:$F$230),$I82)&amp;"")</f>
        <v/>
      </c>
      <c r="D82" s="2" t="str">
        <f>IF($I82="","",INDEX(CHOOSE($J$3,'فحص-حاسب-بكالوريوس'!$H$5:$H$208,'فحص-بيانات-بكالوريوس'!$H$5:$H$208,'فحص-بيانات-ماجستير'!$H$5:$H$230),$I82)&amp;"")</f>
        <v/>
      </c>
      <c r="E82" s="2" t="str">
        <f>IF($I82="","",INDEX(CHOOSE($J$3,'فحص-حاسب-بكالوريوس'!$J$5:$J$208,'فحص-بيانات-بكالوريوس'!$J$5:$J$208,'فحص-بيانات-ماجستير'!$J$5:$J$230),$I82)&amp;"")</f>
        <v/>
      </c>
      <c r="F82" s="2" t="str">
        <f>IF($I82="","",INDEX(CHOOSE($J$3,'فحص-حاسب-بكالوريوس'!$L$5:$L$208,'فحص-بيانات-بكالوريوس'!$L$5:$L$208,'فحص-بيانات-ماجستير'!$L$5:$L$230),$I82)&amp;"")</f>
        <v/>
      </c>
      <c r="G82" s="2" t="str">
        <f>IF($I82="","",INDEX(CHOOSE($J$3,'فحص-حاسب-بكالوريوس'!$M$5:$M$208,'فحص-بيانات-بكالوريوس'!$M$5:$M$208,'فحص-بيانات-ماجستير'!$M$5:$M$230),$I82)&amp;"")</f>
        <v/>
      </c>
      <c r="H82" s="2" t="str">
        <f>IF($I82="","",INDEX(CHOOSE($J$3,'فحص-حاسب-بكالوريوس'!$G$5:$G$208,'فحص-بيانات-بكالوريوس'!$G$5:$G$208,'فحص-بيانات-ماجستير'!$G$5:$G$230),$I82)&amp;"")</f>
        <v/>
      </c>
      <c r="I82" s="2" t="str">
        <f>IFERROR(MATCH($E$3&amp;"#"&amp;77,CHOOSE($J$3,'فحص-حاسب-بكالوريوس'!$R$5:$R$208,'فحص-بيانات-بكالوريوس'!$R$5:$R$208,'فحص-بيانات-ماجستير'!$R$5:$R$230),0),"")</f>
        <v/>
      </c>
    </row>
    <row r="83" spans="1:9" x14ac:dyDescent="0.2">
      <c r="A83" s="1" t="str">
        <f>IF($I83="","",78)</f>
        <v/>
      </c>
      <c r="B83" s="2" t="str">
        <f>IF($I83="","",INDEX(CHOOSE($J$3,'فحص-حاسب-بكالوريوس'!$A$5:$A$208,'فحص-بيانات-بكالوريوس'!$A$5:$A$208,'فحص-بيانات-ماجستير'!$A$5:$A$230),$I83)&amp;"")</f>
        <v/>
      </c>
      <c r="C83" s="2" t="str">
        <f>IF($I83="","",INDEX(CHOOSE($J$3,'فحص-حاسب-بكالوريوس'!$F$5:$F$208,'فحص-بيانات-بكالوريوس'!$F$5:$F$208,'فحص-بيانات-ماجستير'!$F$5:$F$230),$I83)&amp;"")</f>
        <v/>
      </c>
      <c r="D83" s="2" t="str">
        <f>IF($I83="","",INDEX(CHOOSE($J$3,'فحص-حاسب-بكالوريوس'!$H$5:$H$208,'فحص-بيانات-بكالوريوس'!$H$5:$H$208,'فحص-بيانات-ماجستير'!$H$5:$H$230),$I83)&amp;"")</f>
        <v/>
      </c>
      <c r="E83" s="2" t="str">
        <f>IF($I83="","",INDEX(CHOOSE($J$3,'فحص-حاسب-بكالوريوس'!$J$5:$J$208,'فحص-بيانات-بكالوريوس'!$J$5:$J$208,'فحص-بيانات-ماجستير'!$J$5:$J$230),$I83)&amp;"")</f>
        <v/>
      </c>
      <c r="F83" s="2" t="str">
        <f>IF($I83="","",INDEX(CHOOSE($J$3,'فحص-حاسب-بكالوريوس'!$L$5:$L$208,'فحص-بيانات-بكالوريوس'!$L$5:$L$208,'فحص-بيانات-ماجستير'!$L$5:$L$230),$I83)&amp;"")</f>
        <v/>
      </c>
      <c r="G83" s="2" t="str">
        <f>IF($I83="","",INDEX(CHOOSE($J$3,'فحص-حاسب-بكالوريوس'!$M$5:$M$208,'فحص-بيانات-بكالوريوس'!$M$5:$M$208,'فحص-بيانات-ماجستير'!$M$5:$M$230),$I83)&amp;"")</f>
        <v/>
      </c>
      <c r="H83" s="2" t="str">
        <f>IF($I83="","",INDEX(CHOOSE($J$3,'فحص-حاسب-بكالوريوس'!$G$5:$G$208,'فحص-بيانات-بكالوريوس'!$G$5:$G$208,'فحص-بيانات-ماجستير'!$G$5:$G$230),$I83)&amp;"")</f>
        <v/>
      </c>
      <c r="I83" s="2" t="str">
        <f>IFERROR(MATCH($E$3&amp;"#"&amp;78,CHOOSE($J$3,'فحص-حاسب-بكالوريوس'!$R$5:$R$208,'فحص-بيانات-بكالوريوس'!$R$5:$R$208,'فحص-بيانات-ماجستير'!$R$5:$R$230),0),"")</f>
        <v/>
      </c>
    </row>
    <row r="84" spans="1:9" x14ac:dyDescent="0.2">
      <c r="A84" s="1" t="str">
        <f>IF($I84="","",79)</f>
        <v/>
      </c>
      <c r="B84" s="2" t="str">
        <f>IF($I84="","",INDEX(CHOOSE($J$3,'فحص-حاسب-بكالوريوس'!$A$5:$A$208,'فحص-بيانات-بكالوريوس'!$A$5:$A$208,'فحص-بيانات-ماجستير'!$A$5:$A$230),$I84)&amp;"")</f>
        <v/>
      </c>
      <c r="C84" s="2" t="str">
        <f>IF($I84="","",INDEX(CHOOSE($J$3,'فحص-حاسب-بكالوريوس'!$F$5:$F$208,'فحص-بيانات-بكالوريوس'!$F$5:$F$208,'فحص-بيانات-ماجستير'!$F$5:$F$230),$I84)&amp;"")</f>
        <v/>
      </c>
      <c r="D84" s="2" t="str">
        <f>IF($I84="","",INDEX(CHOOSE($J$3,'فحص-حاسب-بكالوريوس'!$H$5:$H$208,'فحص-بيانات-بكالوريوس'!$H$5:$H$208,'فحص-بيانات-ماجستير'!$H$5:$H$230),$I84)&amp;"")</f>
        <v/>
      </c>
      <c r="E84" s="2" t="str">
        <f>IF($I84="","",INDEX(CHOOSE($J$3,'فحص-حاسب-بكالوريوس'!$J$5:$J$208,'فحص-بيانات-بكالوريوس'!$J$5:$J$208,'فحص-بيانات-ماجستير'!$J$5:$J$230),$I84)&amp;"")</f>
        <v/>
      </c>
      <c r="F84" s="2" t="str">
        <f>IF($I84="","",INDEX(CHOOSE($J$3,'فحص-حاسب-بكالوريوس'!$L$5:$L$208,'فحص-بيانات-بكالوريوس'!$L$5:$L$208,'فحص-بيانات-ماجستير'!$L$5:$L$230),$I84)&amp;"")</f>
        <v/>
      </c>
      <c r="G84" s="2" t="str">
        <f>IF($I84="","",INDEX(CHOOSE($J$3,'فحص-حاسب-بكالوريوس'!$M$5:$M$208,'فحص-بيانات-بكالوريوس'!$M$5:$M$208,'فحص-بيانات-ماجستير'!$M$5:$M$230),$I84)&amp;"")</f>
        <v/>
      </c>
      <c r="H84" s="2" t="str">
        <f>IF($I84="","",INDEX(CHOOSE($J$3,'فحص-حاسب-بكالوريوس'!$G$5:$G$208,'فحص-بيانات-بكالوريوس'!$G$5:$G$208,'فحص-بيانات-ماجستير'!$G$5:$G$230),$I84)&amp;"")</f>
        <v/>
      </c>
      <c r="I84" s="2" t="str">
        <f>IFERROR(MATCH($E$3&amp;"#"&amp;79,CHOOSE($J$3,'فحص-حاسب-بكالوريوس'!$R$5:$R$208,'فحص-بيانات-بكالوريوس'!$R$5:$R$208,'فحص-بيانات-ماجستير'!$R$5:$R$230),0),"")</f>
        <v/>
      </c>
    </row>
    <row r="85" spans="1:9" x14ac:dyDescent="0.2">
      <c r="A85" s="1" t="str">
        <f>IF($I85="","",80)</f>
        <v/>
      </c>
      <c r="B85" s="2" t="str">
        <f>IF($I85="","",INDEX(CHOOSE($J$3,'فحص-حاسب-بكالوريوس'!$A$5:$A$208,'فحص-بيانات-بكالوريوس'!$A$5:$A$208,'فحص-بيانات-ماجستير'!$A$5:$A$230),$I85)&amp;"")</f>
        <v/>
      </c>
      <c r="C85" s="2" t="str">
        <f>IF($I85="","",INDEX(CHOOSE($J$3,'فحص-حاسب-بكالوريوس'!$F$5:$F$208,'فحص-بيانات-بكالوريوس'!$F$5:$F$208,'فحص-بيانات-ماجستير'!$F$5:$F$230),$I85)&amp;"")</f>
        <v/>
      </c>
      <c r="D85" s="2" t="str">
        <f>IF($I85="","",INDEX(CHOOSE($J$3,'فحص-حاسب-بكالوريوس'!$H$5:$H$208,'فحص-بيانات-بكالوريوس'!$H$5:$H$208,'فحص-بيانات-ماجستير'!$H$5:$H$230),$I85)&amp;"")</f>
        <v/>
      </c>
      <c r="E85" s="2" t="str">
        <f>IF($I85="","",INDEX(CHOOSE($J$3,'فحص-حاسب-بكالوريوس'!$J$5:$J$208,'فحص-بيانات-بكالوريوس'!$J$5:$J$208,'فحص-بيانات-ماجستير'!$J$5:$J$230),$I85)&amp;"")</f>
        <v/>
      </c>
      <c r="F85" s="2" t="str">
        <f>IF($I85="","",INDEX(CHOOSE($J$3,'فحص-حاسب-بكالوريوس'!$L$5:$L$208,'فحص-بيانات-بكالوريوس'!$L$5:$L$208,'فحص-بيانات-ماجستير'!$L$5:$L$230),$I85)&amp;"")</f>
        <v/>
      </c>
      <c r="G85" s="2" t="str">
        <f>IF($I85="","",INDEX(CHOOSE($J$3,'فحص-حاسب-بكالوريوس'!$M$5:$M$208,'فحص-بيانات-بكالوريوس'!$M$5:$M$208,'فحص-بيانات-ماجستير'!$M$5:$M$230),$I85)&amp;"")</f>
        <v/>
      </c>
      <c r="H85" s="2" t="str">
        <f>IF($I85="","",INDEX(CHOOSE($J$3,'فحص-حاسب-بكالوريوس'!$G$5:$G$208,'فحص-بيانات-بكالوريوس'!$G$5:$G$208,'فحص-بيانات-ماجستير'!$G$5:$G$230),$I85)&amp;"")</f>
        <v/>
      </c>
      <c r="I85" s="2" t="str">
        <f>IFERROR(MATCH($E$3&amp;"#"&amp;80,CHOOSE($J$3,'فحص-حاسب-بكالوريوس'!$R$5:$R$208,'فحص-بيانات-بكالوريوس'!$R$5:$R$208,'فحص-بيانات-ماجستير'!$R$5:$R$230),0),"")</f>
        <v/>
      </c>
    </row>
    <row r="86" spans="1:9" x14ac:dyDescent="0.2">
      <c r="A86" s="1" t="str">
        <f>IF($I86="","",81)</f>
        <v/>
      </c>
      <c r="B86" s="2" t="str">
        <f>IF($I86="","",INDEX(CHOOSE($J$3,'فحص-حاسب-بكالوريوس'!$A$5:$A$208,'فحص-بيانات-بكالوريوس'!$A$5:$A$208,'فحص-بيانات-ماجستير'!$A$5:$A$230),$I86)&amp;"")</f>
        <v/>
      </c>
      <c r="C86" s="2" t="str">
        <f>IF($I86="","",INDEX(CHOOSE($J$3,'فحص-حاسب-بكالوريوس'!$F$5:$F$208,'فحص-بيانات-بكالوريوس'!$F$5:$F$208,'فحص-بيانات-ماجستير'!$F$5:$F$230),$I86)&amp;"")</f>
        <v/>
      </c>
      <c r="D86" s="2" t="str">
        <f>IF($I86="","",INDEX(CHOOSE($J$3,'فحص-حاسب-بكالوريوس'!$H$5:$H$208,'فحص-بيانات-بكالوريوس'!$H$5:$H$208,'فحص-بيانات-ماجستير'!$H$5:$H$230),$I86)&amp;"")</f>
        <v/>
      </c>
      <c r="E86" s="2" t="str">
        <f>IF($I86="","",INDEX(CHOOSE($J$3,'فحص-حاسب-بكالوريوس'!$J$5:$J$208,'فحص-بيانات-بكالوريوس'!$J$5:$J$208,'فحص-بيانات-ماجستير'!$J$5:$J$230),$I86)&amp;"")</f>
        <v/>
      </c>
      <c r="F86" s="2" t="str">
        <f>IF($I86="","",INDEX(CHOOSE($J$3,'فحص-حاسب-بكالوريوس'!$L$5:$L$208,'فحص-بيانات-بكالوريوس'!$L$5:$L$208,'فحص-بيانات-ماجستير'!$L$5:$L$230),$I86)&amp;"")</f>
        <v/>
      </c>
      <c r="G86" s="2" t="str">
        <f>IF($I86="","",INDEX(CHOOSE($J$3,'فحص-حاسب-بكالوريوس'!$M$5:$M$208,'فحص-بيانات-بكالوريوس'!$M$5:$M$208,'فحص-بيانات-ماجستير'!$M$5:$M$230),$I86)&amp;"")</f>
        <v/>
      </c>
      <c r="H86" s="2" t="str">
        <f>IF($I86="","",INDEX(CHOOSE($J$3,'فحص-حاسب-بكالوريوس'!$G$5:$G$208,'فحص-بيانات-بكالوريوس'!$G$5:$G$208,'فحص-بيانات-ماجستير'!$G$5:$G$230),$I86)&amp;"")</f>
        <v/>
      </c>
      <c r="I86" s="2" t="str">
        <f>IFERROR(MATCH($E$3&amp;"#"&amp;81,CHOOSE($J$3,'فحص-حاسب-بكالوريوس'!$R$5:$R$208,'فحص-بيانات-بكالوريوس'!$R$5:$R$208,'فحص-بيانات-ماجستير'!$R$5:$R$230),0),"")</f>
        <v/>
      </c>
    </row>
    <row r="87" spans="1:9" x14ac:dyDescent="0.2">
      <c r="A87" s="1" t="str">
        <f>IF($I87="","",82)</f>
        <v/>
      </c>
      <c r="B87" s="2" t="str">
        <f>IF($I87="","",INDEX(CHOOSE($J$3,'فحص-حاسب-بكالوريوس'!$A$5:$A$208,'فحص-بيانات-بكالوريوس'!$A$5:$A$208,'فحص-بيانات-ماجستير'!$A$5:$A$230),$I87)&amp;"")</f>
        <v/>
      </c>
      <c r="C87" s="2" t="str">
        <f>IF($I87="","",INDEX(CHOOSE($J$3,'فحص-حاسب-بكالوريوس'!$F$5:$F$208,'فحص-بيانات-بكالوريوس'!$F$5:$F$208,'فحص-بيانات-ماجستير'!$F$5:$F$230),$I87)&amp;"")</f>
        <v/>
      </c>
      <c r="D87" s="2" t="str">
        <f>IF($I87="","",INDEX(CHOOSE($J$3,'فحص-حاسب-بكالوريوس'!$H$5:$H$208,'فحص-بيانات-بكالوريوس'!$H$5:$H$208,'فحص-بيانات-ماجستير'!$H$5:$H$230),$I87)&amp;"")</f>
        <v/>
      </c>
      <c r="E87" s="2" t="str">
        <f>IF($I87="","",INDEX(CHOOSE($J$3,'فحص-حاسب-بكالوريوس'!$J$5:$J$208,'فحص-بيانات-بكالوريوس'!$J$5:$J$208,'فحص-بيانات-ماجستير'!$J$5:$J$230),$I87)&amp;"")</f>
        <v/>
      </c>
      <c r="F87" s="2" t="str">
        <f>IF($I87="","",INDEX(CHOOSE($J$3,'فحص-حاسب-بكالوريوس'!$L$5:$L$208,'فحص-بيانات-بكالوريوس'!$L$5:$L$208,'فحص-بيانات-ماجستير'!$L$5:$L$230),$I87)&amp;"")</f>
        <v/>
      </c>
      <c r="G87" s="2" t="str">
        <f>IF($I87="","",INDEX(CHOOSE($J$3,'فحص-حاسب-بكالوريوس'!$M$5:$M$208,'فحص-بيانات-بكالوريوس'!$M$5:$M$208,'فحص-بيانات-ماجستير'!$M$5:$M$230),$I87)&amp;"")</f>
        <v/>
      </c>
      <c r="H87" s="2" t="str">
        <f>IF($I87="","",INDEX(CHOOSE($J$3,'فحص-حاسب-بكالوريوس'!$G$5:$G$208,'فحص-بيانات-بكالوريوس'!$G$5:$G$208,'فحص-بيانات-ماجستير'!$G$5:$G$230),$I87)&amp;"")</f>
        <v/>
      </c>
      <c r="I87" s="2" t="str">
        <f>IFERROR(MATCH($E$3&amp;"#"&amp;82,CHOOSE($J$3,'فحص-حاسب-بكالوريوس'!$R$5:$R$208,'فحص-بيانات-بكالوريوس'!$R$5:$R$208,'فحص-بيانات-ماجستير'!$R$5:$R$230),0),"")</f>
        <v/>
      </c>
    </row>
    <row r="88" spans="1:9" x14ac:dyDescent="0.2">
      <c r="A88" s="1" t="str">
        <f>IF($I88="","",83)</f>
        <v/>
      </c>
      <c r="B88" s="2" t="str">
        <f>IF($I88="","",INDEX(CHOOSE($J$3,'فحص-حاسب-بكالوريوس'!$A$5:$A$208,'فحص-بيانات-بكالوريوس'!$A$5:$A$208,'فحص-بيانات-ماجستير'!$A$5:$A$230),$I88)&amp;"")</f>
        <v/>
      </c>
      <c r="C88" s="2" t="str">
        <f>IF($I88="","",INDEX(CHOOSE($J$3,'فحص-حاسب-بكالوريوس'!$F$5:$F$208,'فحص-بيانات-بكالوريوس'!$F$5:$F$208,'فحص-بيانات-ماجستير'!$F$5:$F$230),$I88)&amp;"")</f>
        <v/>
      </c>
      <c r="D88" s="2" t="str">
        <f>IF($I88="","",INDEX(CHOOSE($J$3,'فحص-حاسب-بكالوريوس'!$H$5:$H$208,'فحص-بيانات-بكالوريوس'!$H$5:$H$208,'فحص-بيانات-ماجستير'!$H$5:$H$230),$I88)&amp;"")</f>
        <v/>
      </c>
      <c r="E88" s="2" t="str">
        <f>IF($I88="","",INDEX(CHOOSE($J$3,'فحص-حاسب-بكالوريوس'!$J$5:$J$208,'فحص-بيانات-بكالوريوس'!$J$5:$J$208,'فحص-بيانات-ماجستير'!$J$5:$J$230),$I88)&amp;"")</f>
        <v/>
      </c>
      <c r="F88" s="2" t="str">
        <f>IF($I88="","",INDEX(CHOOSE($J$3,'فحص-حاسب-بكالوريوس'!$L$5:$L$208,'فحص-بيانات-بكالوريوس'!$L$5:$L$208,'فحص-بيانات-ماجستير'!$L$5:$L$230),$I88)&amp;"")</f>
        <v/>
      </c>
      <c r="G88" s="2" t="str">
        <f>IF($I88="","",INDEX(CHOOSE($J$3,'فحص-حاسب-بكالوريوس'!$M$5:$M$208,'فحص-بيانات-بكالوريوس'!$M$5:$M$208,'فحص-بيانات-ماجستير'!$M$5:$M$230),$I88)&amp;"")</f>
        <v/>
      </c>
      <c r="H88" s="2" t="str">
        <f>IF($I88="","",INDEX(CHOOSE($J$3,'فحص-حاسب-بكالوريوس'!$G$5:$G$208,'فحص-بيانات-بكالوريوس'!$G$5:$G$208,'فحص-بيانات-ماجستير'!$G$5:$G$230),$I88)&amp;"")</f>
        <v/>
      </c>
      <c r="I88" s="2" t="str">
        <f>IFERROR(MATCH($E$3&amp;"#"&amp;83,CHOOSE($J$3,'فحص-حاسب-بكالوريوس'!$R$5:$R$208,'فحص-بيانات-بكالوريوس'!$R$5:$R$208,'فحص-بيانات-ماجستير'!$R$5:$R$230),0),"")</f>
        <v/>
      </c>
    </row>
    <row r="89" spans="1:9" x14ac:dyDescent="0.2">
      <c r="A89" s="1" t="str">
        <f>IF($I89="","",84)</f>
        <v/>
      </c>
      <c r="B89" s="2" t="str">
        <f>IF($I89="","",INDEX(CHOOSE($J$3,'فحص-حاسب-بكالوريوس'!$A$5:$A$208,'فحص-بيانات-بكالوريوس'!$A$5:$A$208,'فحص-بيانات-ماجستير'!$A$5:$A$230),$I89)&amp;"")</f>
        <v/>
      </c>
      <c r="C89" s="2" t="str">
        <f>IF($I89="","",INDEX(CHOOSE($J$3,'فحص-حاسب-بكالوريوس'!$F$5:$F$208,'فحص-بيانات-بكالوريوس'!$F$5:$F$208,'فحص-بيانات-ماجستير'!$F$5:$F$230),$I89)&amp;"")</f>
        <v/>
      </c>
      <c r="D89" s="2" t="str">
        <f>IF($I89="","",INDEX(CHOOSE($J$3,'فحص-حاسب-بكالوريوس'!$H$5:$H$208,'فحص-بيانات-بكالوريوس'!$H$5:$H$208,'فحص-بيانات-ماجستير'!$H$5:$H$230),$I89)&amp;"")</f>
        <v/>
      </c>
      <c r="E89" s="2" t="str">
        <f>IF($I89="","",INDEX(CHOOSE($J$3,'فحص-حاسب-بكالوريوس'!$J$5:$J$208,'فحص-بيانات-بكالوريوس'!$J$5:$J$208,'فحص-بيانات-ماجستير'!$J$5:$J$230),$I89)&amp;"")</f>
        <v/>
      </c>
      <c r="F89" s="2" t="str">
        <f>IF($I89="","",INDEX(CHOOSE($J$3,'فحص-حاسب-بكالوريوس'!$L$5:$L$208,'فحص-بيانات-بكالوريوس'!$L$5:$L$208,'فحص-بيانات-ماجستير'!$L$5:$L$230),$I89)&amp;"")</f>
        <v/>
      </c>
      <c r="G89" s="2" t="str">
        <f>IF($I89="","",INDEX(CHOOSE($J$3,'فحص-حاسب-بكالوريوس'!$M$5:$M$208,'فحص-بيانات-بكالوريوس'!$M$5:$M$208,'فحص-بيانات-ماجستير'!$M$5:$M$230),$I89)&amp;"")</f>
        <v/>
      </c>
      <c r="H89" s="2" t="str">
        <f>IF($I89="","",INDEX(CHOOSE($J$3,'فحص-حاسب-بكالوريوس'!$G$5:$G$208,'فحص-بيانات-بكالوريوس'!$G$5:$G$208,'فحص-بيانات-ماجستير'!$G$5:$G$230),$I89)&amp;"")</f>
        <v/>
      </c>
      <c r="I89" s="2" t="str">
        <f>IFERROR(MATCH($E$3&amp;"#"&amp;84,CHOOSE($J$3,'فحص-حاسب-بكالوريوس'!$R$5:$R$208,'فحص-بيانات-بكالوريوس'!$R$5:$R$208,'فحص-بيانات-ماجستير'!$R$5:$R$230),0),"")</f>
        <v/>
      </c>
    </row>
    <row r="90" spans="1:9" x14ac:dyDescent="0.2">
      <c r="A90" s="1" t="str">
        <f>IF($I90="","",85)</f>
        <v/>
      </c>
      <c r="B90" s="2" t="str">
        <f>IF($I90="","",INDEX(CHOOSE($J$3,'فحص-حاسب-بكالوريوس'!$A$5:$A$208,'فحص-بيانات-بكالوريوس'!$A$5:$A$208,'فحص-بيانات-ماجستير'!$A$5:$A$230),$I90)&amp;"")</f>
        <v/>
      </c>
      <c r="C90" s="2" t="str">
        <f>IF($I90="","",INDEX(CHOOSE($J$3,'فحص-حاسب-بكالوريوس'!$F$5:$F$208,'فحص-بيانات-بكالوريوس'!$F$5:$F$208,'فحص-بيانات-ماجستير'!$F$5:$F$230),$I90)&amp;"")</f>
        <v/>
      </c>
      <c r="D90" s="2" t="str">
        <f>IF($I90="","",INDEX(CHOOSE($J$3,'فحص-حاسب-بكالوريوس'!$H$5:$H$208,'فحص-بيانات-بكالوريوس'!$H$5:$H$208,'فحص-بيانات-ماجستير'!$H$5:$H$230),$I90)&amp;"")</f>
        <v/>
      </c>
      <c r="E90" s="2" t="str">
        <f>IF($I90="","",INDEX(CHOOSE($J$3,'فحص-حاسب-بكالوريوس'!$J$5:$J$208,'فحص-بيانات-بكالوريوس'!$J$5:$J$208,'فحص-بيانات-ماجستير'!$J$5:$J$230),$I90)&amp;"")</f>
        <v/>
      </c>
      <c r="F90" s="2" t="str">
        <f>IF($I90="","",INDEX(CHOOSE($J$3,'فحص-حاسب-بكالوريوس'!$L$5:$L$208,'فحص-بيانات-بكالوريوس'!$L$5:$L$208,'فحص-بيانات-ماجستير'!$L$5:$L$230),$I90)&amp;"")</f>
        <v/>
      </c>
      <c r="G90" s="2" t="str">
        <f>IF($I90="","",INDEX(CHOOSE($J$3,'فحص-حاسب-بكالوريوس'!$M$5:$M$208,'فحص-بيانات-بكالوريوس'!$M$5:$M$208,'فحص-بيانات-ماجستير'!$M$5:$M$230),$I90)&amp;"")</f>
        <v/>
      </c>
      <c r="H90" s="2" t="str">
        <f>IF($I90="","",INDEX(CHOOSE($J$3,'فحص-حاسب-بكالوريوس'!$G$5:$G$208,'فحص-بيانات-بكالوريوس'!$G$5:$G$208,'فحص-بيانات-ماجستير'!$G$5:$G$230),$I90)&amp;"")</f>
        <v/>
      </c>
      <c r="I90" s="2" t="str">
        <f>IFERROR(MATCH($E$3&amp;"#"&amp;85,CHOOSE($J$3,'فحص-حاسب-بكالوريوس'!$R$5:$R$208,'فحص-بيانات-بكالوريوس'!$R$5:$R$208,'فحص-بيانات-ماجستير'!$R$5:$R$230),0),"")</f>
        <v/>
      </c>
    </row>
    <row r="91" spans="1:9" x14ac:dyDescent="0.2">
      <c r="A91" s="1" t="str">
        <f>IF($I91="","",86)</f>
        <v/>
      </c>
      <c r="B91" s="2" t="str">
        <f>IF($I91="","",INDEX(CHOOSE($J$3,'فحص-حاسب-بكالوريوس'!$A$5:$A$208,'فحص-بيانات-بكالوريوس'!$A$5:$A$208,'فحص-بيانات-ماجستير'!$A$5:$A$230),$I91)&amp;"")</f>
        <v/>
      </c>
      <c r="C91" s="2" t="str">
        <f>IF($I91="","",INDEX(CHOOSE($J$3,'فحص-حاسب-بكالوريوس'!$F$5:$F$208,'فحص-بيانات-بكالوريوس'!$F$5:$F$208,'فحص-بيانات-ماجستير'!$F$5:$F$230),$I91)&amp;"")</f>
        <v/>
      </c>
      <c r="D91" s="2" t="str">
        <f>IF($I91="","",INDEX(CHOOSE($J$3,'فحص-حاسب-بكالوريوس'!$H$5:$H$208,'فحص-بيانات-بكالوريوس'!$H$5:$H$208,'فحص-بيانات-ماجستير'!$H$5:$H$230),$I91)&amp;"")</f>
        <v/>
      </c>
      <c r="E91" s="2" t="str">
        <f>IF($I91="","",INDEX(CHOOSE($J$3,'فحص-حاسب-بكالوريوس'!$J$5:$J$208,'فحص-بيانات-بكالوريوس'!$J$5:$J$208,'فحص-بيانات-ماجستير'!$J$5:$J$230),$I91)&amp;"")</f>
        <v/>
      </c>
      <c r="F91" s="2" t="str">
        <f>IF($I91="","",INDEX(CHOOSE($J$3,'فحص-حاسب-بكالوريوس'!$L$5:$L$208,'فحص-بيانات-بكالوريوس'!$L$5:$L$208,'فحص-بيانات-ماجستير'!$L$5:$L$230),$I91)&amp;"")</f>
        <v/>
      </c>
      <c r="G91" s="2" t="str">
        <f>IF($I91="","",INDEX(CHOOSE($J$3,'فحص-حاسب-بكالوريوس'!$M$5:$M$208,'فحص-بيانات-بكالوريوس'!$M$5:$M$208,'فحص-بيانات-ماجستير'!$M$5:$M$230),$I91)&amp;"")</f>
        <v/>
      </c>
      <c r="H91" s="2" t="str">
        <f>IF($I91="","",INDEX(CHOOSE($J$3,'فحص-حاسب-بكالوريوس'!$G$5:$G$208,'فحص-بيانات-بكالوريوس'!$G$5:$G$208,'فحص-بيانات-ماجستير'!$G$5:$G$230),$I91)&amp;"")</f>
        <v/>
      </c>
      <c r="I91" s="2" t="str">
        <f>IFERROR(MATCH($E$3&amp;"#"&amp;86,CHOOSE($J$3,'فحص-حاسب-بكالوريوس'!$R$5:$R$208,'فحص-بيانات-بكالوريوس'!$R$5:$R$208,'فحص-بيانات-ماجستير'!$R$5:$R$230),0),"")</f>
        <v/>
      </c>
    </row>
    <row r="92" spans="1:9" x14ac:dyDescent="0.2">
      <c r="A92" s="1" t="str">
        <f>IF($I92="","",87)</f>
        <v/>
      </c>
      <c r="B92" s="2" t="str">
        <f>IF($I92="","",INDEX(CHOOSE($J$3,'فحص-حاسب-بكالوريوس'!$A$5:$A$208,'فحص-بيانات-بكالوريوس'!$A$5:$A$208,'فحص-بيانات-ماجستير'!$A$5:$A$230),$I92)&amp;"")</f>
        <v/>
      </c>
      <c r="C92" s="2" t="str">
        <f>IF($I92="","",INDEX(CHOOSE($J$3,'فحص-حاسب-بكالوريوس'!$F$5:$F$208,'فحص-بيانات-بكالوريوس'!$F$5:$F$208,'فحص-بيانات-ماجستير'!$F$5:$F$230),$I92)&amp;"")</f>
        <v/>
      </c>
      <c r="D92" s="2" t="str">
        <f>IF($I92="","",INDEX(CHOOSE($J$3,'فحص-حاسب-بكالوريوس'!$H$5:$H$208,'فحص-بيانات-بكالوريوس'!$H$5:$H$208,'فحص-بيانات-ماجستير'!$H$5:$H$230),$I92)&amp;"")</f>
        <v/>
      </c>
      <c r="E92" s="2" t="str">
        <f>IF($I92="","",INDEX(CHOOSE($J$3,'فحص-حاسب-بكالوريوس'!$J$5:$J$208,'فحص-بيانات-بكالوريوس'!$J$5:$J$208,'فحص-بيانات-ماجستير'!$J$5:$J$230),$I92)&amp;"")</f>
        <v/>
      </c>
      <c r="F92" s="2" t="str">
        <f>IF($I92="","",INDEX(CHOOSE($J$3,'فحص-حاسب-بكالوريوس'!$L$5:$L$208,'فحص-بيانات-بكالوريوس'!$L$5:$L$208,'فحص-بيانات-ماجستير'!$L$5:$L$230),$I92)&amp;"")</f>
        <v/>
      </c>
      <c r="G92" s="2" t="str">
        <f>IF($I92="","",INDEX(CHOOSE($J$3,'فحص-حاسب-بكالوريوس'!$M$5:$M$208,'فحص-بيانات-بكالوريوس'!$M$5:$M$208,'فحص-بيانات-ماجستير'!$M$5:$M$230),$I92)&amp;"")</f>
        <v/>
      </c>
      <c r="H92" s="2" t="str">
        <f>IF($I92="","",INDEX(CHOOSE($J$3,'فحص-حاسب-بكالوريوس'!$G$5:$G$208,'فحص-بيانات-بكالوريوس'!$G$5:$G$208,'فحص-بيانات-ماجستير'!$G$5:$G$230),$I92)&amp;"")</f>
        <v/>
      </c>
      <c r="I92" s="2" t="str">
        <f>IFERROR(MATCH($E$3&amp;"#"&amp;87,CHOOSE($J$3,'فحص-حاسب-بكالوريوس'!$R$5:$R$208,'فحص-بيانات-بكالوريوس'!$R$5:$R$208,'فحص-بيانات-ماجستير'!$R$5:$R$230),0),"")</f>
        <v/>
      </c>
    </row>
    <row r="93" spans="1:9" x14ac:dyDescent="0.2">
      <c r="A93" s="1" t="str">
        <f>IF($I93="","",88)</f>
        <v/>
      </c>
      <c r="B93" s="2" t="str">
        <f>IF($I93="","",INDEX(CHOOSE($J$3,'فحص-حاسب-بكالوريوس'!$A$5:$A$208,'فحص-بيانات-بكالوريوس'!$A$5:$A$208,'فحص-بيانات-ماجستير'!$A$5:$A$230),$I93)&amp;"")</f>
        <v/>
      </c>
      <c r="C93" s="2" t="str">
        <f>IF($I93="","",INDEX(CHOOSE($J$3,'فحص-حاسب-بكالوريوس'!$F$5:$F$208,'فحص-بيانات-بكالوريوس'!$F$5:$F$208,'فحص-بيانات-ماجستير'!$F$5:$F$230),$I93)&amp;"")</f>
        <v/>
      </c>
      <c r="D93" s="2" t="str">
        <f>IF($I93="","",INDEX(CHOOSE($J$3,'فحص-حاسب-بكالوريوس'!$H$5:$H$208,'فحص-بيانات-بكالوريوس'!$H$5:$H$208,'فحص-بيانات-ماجستير'!$H$5:$H$230),$I93)&amp;"")</f>
        <v/>
      </c>
      <c r="E93" s="2" t="str">
        <f>IF($I93="","",INDEX(CHOOSE($J$3,'فحص-حاسب-بكالوريوس'!$J$5:$J$208,'فحص-بيانات-بكالوريوس'!$J$5:$J$208,'فحص-بيانات-ماجستير'!$J$5:$J$230),$I93)&amp;"")</f>
        <v/>
      </c>
      <c r="F93" s="2" t="str">
        <f>IF($I93="","",INDEX(CHOOSE($J$3,'فحص-حاسب-بكالوريوس'!$L$5:$L$208,'فحص-بيانات-بكالوريوس'!$L$5:$L$208,'فحص-بيانات-ماجستير'!$L$5:$L$230),$I93)&amp;"")</f>
        <v/>
      </c>
      <c r="G93" s="2" t="str">
        <f>IF($I93="","",INDEX(CHOOSE($J$3,'فحص-حاسب-بكالوريوس'!$M$5:$M$208,'فحص-بيانات-بكالوريوس'!$M$5:$M$208,'فحص-بيانات-ماجستير'!$M$5:$M$230),$I93)&amp;"")</f>
        <v/>
      </c>
      <c r="H93" s="2" t="str">
        <f>IF($I93="","",INDEX(CHOOSE($J$3,'فحص-حاسب-بكالوريوس'!$G$5:$G$208,'فحص-بيانات-بكالوريوس'!$G$5:$G$208,'فحص-بيانات-ماجستير'!$G$5:$G$230),$I93)&amp;"")</f>
        <v/>
      </c>
      <c r="I93" s="2" t="str">
        <f>IFERROR(MATCH($E$3&amp;"#"&amp;88,CHOOSE($J$3,'فحص-حاسب-بكالوريوس'!$R$5:$R$208,'فحص-بيانات-بكالوريوس'!$R$5:$R$208,'فحص-بيانات-ماجستير'!$R$5:$R$230),0),"")</f>
        <v/>
      </c>
    </row>
    <row r="94" spans="1:9" x14ac:dyDescent="0.2">
      <c r="A94" s="1" t="str">
        <f>IF($I94="","",89)</f>
        <v/>
      </c>
      <c r="B94" s="2" t="str">
        <f>IF($I94="","",INDEX(CHOOSE($J$3,'فحص-حاسب-بكالوريوس'!$A$5:$A$208,'فحص-بيانات-بكالوريوس'!$A$5:$A$208,'فحص-بيانات-ماجستير'!$A$5:$A$230),$I94)&amp;"")</f>
        <v/>
      </c>
      <c r="C94" s="2" t="str">
        <f>IF($I94="","",INDEX(CHOOSE($J$3,'فحص-حاسب-بكالوريوس'!$F$5:$F$208,'فحص-بيانات-بكالوريوس'!$F$5:$F$208,'فحص-بيانات-ماجستير'!$F$5:$F$230),$I94)&amp;"")</f>
        <v/>
      </c>
      <c r="D94" s="2" t="str">
        <f>IF($I94="","",INDEX(CHOOSE($J$3,'فحص-حاسب-بكالوريوس'!$H$5:$H$208,'فحص-بيانات-بكالوريوس'!$H$5:$H$208,'فحص-بيانات-ماجستير'!$H$5:$H$230),$I94)&amp;"")</f>
        <v/>
      </c>
      <c r="E94" s="2" t="str">
        <f>IF($I94="","",INDEX(CHOOSE($J$3,'فحص-حاسب-بكالوريوس'!$J$5:$J$208,'فحص-بيانات-بكالوريوس'!$J$5:$J$208,'فحص-بيانات-ماجستير'!$J$5:$J$230),$I94)&amp;"")</f>
        <v/>
      </c>
      <c r="F94" s="2" t="str">
        <f>IF($I94="","",INDEX(CHOOSE($J$3,'فحص-حاسب-بكالوريوس'!$L$5:$L$208,'فحص-بيانات-بكالوريوس'!$L$5:$L$208,'فحص-بيانات-ماجستير'!$L$5:$L$230),$I94)&amp;"")</f>
        <v/>
      </c>
      <c r="G94" s="2" t="str">
        <f>IF($I94="","",INDEX(CHOOSE($J$3,'فحص-حاسب-بكالوريوس'!$M$5:$M$208,'فحص-بيانات-بكالوريوس'!$M$5:$M$208,'فحص-بيانات-ماجستير'!$M$5:$M$230),$I94)&amp;"")</f>
        <v/>
      </c>
      <c r="H94" s="2" t="str">
        <f>IF($I94="","",INDEX(CHOOSE($J$3,'فحص-حاسب-بكالوريوس'!$G$5:$G$208,'فحص-بيانات-بكالوريوس'!$G$5:$G$208,'فحص-بيانات-ماجستير'!$G$5:$G$230),$I94)&amp;"")</f>
        <v/>
      </c>
      <c r="I94" s="2" t="str">
        <f>IFERROR(MATCH($E$3&amp;"#"&amp;89,CHOOSE($J$3,'فحص-حاسب-بكالوريوس'!$R$5:$R$208,'فحص-بيانات-بكالوريوس'!$R$5:$R$208,'فحص-بيانات-ماجستير'!$R$5:$R$230),0),"")</f>
        <v/>
      </c>
    </row>
    <row r="95" spans="1:9" x14ac:dyDescent="0.2">
      <c r="A95" s="1" t="str">
        <f>IF($I95="","",90)</f>
        <v/>
      </c>
      <c r="B95" s="2" t="str">
        <f>IF($I95="","",INDEX(CHOOSE($J$3,'فحص-حاسب-بكالوريوس'!$A$5:$A$208,'فحص-بيانات-بكالوريوس'!$A$5:$A$208,'فحص-بيانات-ماجستير'!$A$5:$A$230),$I95)&amp;"")</f>
        <v/>
      </c>
      <c r="C95" s="2" t="str">
        <f>IF($I95="","",INDEX(CHOOSE($J$3,'فحص-حاسب-بكالوريوس'!$F$5:$F$208,'فحص-بيانات-بكالوريوس'!$F$5:$F$208,'فحص-بيانات-ماجستير'!$F$5:$F$230),$I95)&amp;"")</f>
        <v/>
      </c>
      <c r="D95" s="2" t="str">
        <f>IF($I95="","",INDEX(CHOOSE($J$3,'فحص-حاسب-بكالوريوس'!$H$5:$H$208,'فحص-بيانات-بكالوريوس'!$H$5:$H$208,'فحص-بيانات-ماجستير'!$H$5:$H$230),$I95)&amp;"")</f>
        <v/>
      </c>
      <c r="E95" s="2" t="str">
        <f>IF($I95="","",INDEX(CHOOSE($J$3,'فحص-حاسب-بكالوريوس'!$J$5:$J$208,'فحص-بيانات-بكالوريوس'!$J$5:$J$208,'فحص-بيانات-ماجستير'!$J$5:$J$230),$I95)&amp;"")</f>
        <v/>
      </c>
      <c r="F95" s="2" t="str">
        <f>IF($I95="","",INDEX(CHOOSE($J$3,'فحص-حاسب-بكالوريوس'!$L$5:$L$208,'فحص-بيانات-بكالوريوس'!$L$5:$L$208,'فحص-بيانات-ماجستير'!$L$5:$L$230),$I95)&amp;"")</f>
        <v/>
      </c>
      <c r="G95" s="2" t="str">
        <f>IF($I95="","",INDEX(CHOOSE($J$3,'فحص-حاسب-بكالوريوس'!$M$5:$M$208,'فحص-بيانات-بكالوريوس'!$M$5:$M$208,'فحص-بيانات-ماجستير'!$M$5:$M$230),$I95)&amp;"")</f>
        <v/>
      </c>
      <c r="H95" s="2" t="str">
        <f>IF($I95="","",INDEX(CHOOSE($J$3,'فحص-حاسب-بكالوريوس'!$G$5:$G$208,'فحص-بيانات-بكالوريوس'!$G$5:$G$208,'فحص-بيانات-ماجستير'!$G$5:$G$230),$I95)&amp;"")</f>
        <v/>
      </c>
      <c r="I95" s="2" t="str">
        <f>IFERROR(MATCH($E$3&amp;"#"&amp;90,CHOOSE($J$3,'فحص-حاسب-بكالوريوس'!$R$5:$R$208,'فحص-بيانات-بكالوريوس'!$R$5:$R$208,'فحص-بيانات-ماجستير'!$R$5:$R$230),0),"")</f>
        <v/>
      </c>
    </row>
    <row r="96" spans="1:9" x14ac:dyDescent="0.2">
      <c r="A96" s="1" t="str">
        <f>IF($I96="","",91)</f>
        <v/>
      </c>
      <c r="B96" s="2" t="str">
        <f>IF($I96="","",INDEX(CHOOSE($J$3,'فحص-حاسب-بكالوريوس'!$A$5:$A$208,'فحص-بيانات-بكالوريوس'!$A$5:$A$208,'فحص-بيانات-ماجستير'!$A$5:$A$230),$I96)&amp;"")</f>
        <v/>
      </c>
      <c r="C96" s="2" t="str">
        <f>IF($I96="","",INDEX(CHOOSE($J$3,'فحص-حاسب-بكالوريوس'!$F$5:$F$208,'فحص-بيانات-بكالوريوس'!$F$5:$F$208,'فحص-بيانات-ماجستير'!$F$5:$F$230),$I96)&amp;"")</f>
        <v/>
      </c>
      <c r="D96" s="2" t="str">
        <f>IF($I96="","",INDEX(CHOOSE($J$3,'فحص-حاسب-بكالوريوس'!$H$5:$H$208,'فحص-بيانات-بكالوريوس'!$H$5:$H$208,'فحص-بيانات-ماجستير'!$H$5:$H$230),$I96)&amp;"")</f>
        <v/>
      </c>
      <c r="E96" s="2" t="str">
        <f>IF($I96="","",INDEX(CHOOSE($J$3,'فحص-حاسب-بكالوريوس'!$J$5:$J$208,'فحص-بيانات-بكالوريوس'!$J$5:$J$208,'فحص-بيانات-ماجستير'!$J$5:$J$230),$I96)&amp;"")</f>
        <v/>
      </c>
      <c r="F96" s="2" t="str">
        <f>IF($I96="","",INDEX(CHOOSE($J$3,'فحص-حاسب-بكالوريوس'!$L$5:$L$208,'فحص-بيانات-بكالوريوس'!$L$5:$L$208,'فحص-بيانات-ماجستير'!$L$5:$L$230),$I96)&amp;"")</f>
        <v/>
      </c>
      <c r="G96" s="2" t="str">
        <f>IF($I96="","",INDEX(CHOOSE($J$3,'فحص-حاسب-بكالوريوس'!$M$5:$M$208,'فحص-بيانات-بكالوريوس'!$M$5:$M$208,'فحص-بيانات-ماجستير'!$M$5:$M$230),$I96)&amp;"")</f>
        <v/>
      </c>
      <c r="H96" s="2" t="str">
        <f>IF($I96="","",INDEX(CHOOSE($J$3,'فحص-حاسب-بكالوريوس'!$G$5:$G$208,'فحص-بيانات-بكالوريوس'!$G$5:$G$208,'فحص-بيانات-ماجستير'!$G$5:$G$230),$I96)&amp;"")</f>
        <v/>
      </c>
      <c r="I96" s="2" t="str">
        <f>IFERROR(MATCH($E$3&amp;"#"&amp;91,CHOOSE($J$3,'فحص-حاسب-بكالوريوس'!$R$5:$R$208,'فحص-بيانات-بكالوريوس'!$R$5:$R$208,'فحص-بيانات-ماجستير'!$R$5:$R$230),0),"")</f>
        <v/>
      </c>
    </row>
    <row r="97" spans="1:9" x14ac:dyDescent="0.2">
      <c r="A97" s="1" t="str">
        <f>IF($I97="","",92)</f>
        <v/>
      </c>
      <c r="B97" s="2" t="str">
        <f>IF($I97="","",INDEX(CHOOSE($J$3,'فحص-حاسب-بكالوريوس'!$A$5:$A$208,'فحص-بيانات-بكالوريوس'!$A$5:$A$208,'فحص-بيانات-ماجستير'!$A$5:$A$230),$I97)&amp;"")</f>
        <v/>
      </c>
      <c r="C97" s="2" t="str">
        <f>IF($I97="","",INDEX(CHOOSE($J$3,'فحص-حاسب-بكالوريوس'!$F$5:$F$208,'فحص-بيانات-بكالوريوس'!$F$5:$F$208,'فحص-بيانات-ماجستير'!$F$5:$F$230),$I97)&amp;"")</f>
        <v/>
      </c>
      <c r="D97" s="2" t="str">
        <f>IF($I97="","",INDEX(CHOOSE($J$3,'فحص-حاسب-بكالوريوس'!$H$5:$H$208,'فحص-بيانات-بكالوريوس'!$H$5:$H$208,'فحص-بيانات-ماجستير'!$H$5:$H$230),$I97)&amp;"")</f>
        <v/>
      </c>
      <c r="E97" s="2" t="str">
        <f>IF($I97="","",INDEX(CHOOSE($J$3,'فحص-حاسب-بكالوريوس'!$J$5:$J$208,'فحص-بيانات-بكالوريوس'!$J$5:$J$208,'فحص-بيانات-ماجستير'!$J$5:$J$230),$I97)&amp;"")</f>
        <v/>
      </c>
      <c r="F97" s="2" t="str">
        <f>IF($I97="","",INDEX(CHOOSE($J$3,'فحص-حاسب-بكالوريوس'!$L$5:$L$208,'فحص-بيانات-بكالوريوس'!$L$5:$L$208,'فحص-بيانات-ماجستير'!$L$5:$L$230),$I97)&amp;"")</f>
        <v/>
      </c>
      <c r="G97" s="2" t="str">
        <f>IF($I97="","",INDEX(CHOOSE($J$3,'فحص-حاسب-بكالوريوس'!$M$5:$M$208,'فحص-بيانات-بكالوريوس'!$M$5:$M$208,'فحص-بيانات-ماجستير'!$M$5:$M$230),$I97)&amp;"")</f>
        <v/>
      </c>
      <c r="H97" s="2" t="str">
        <f>IF($I97="","",INDEX(CHOOSE($J$3,'فحص-حاسب-بكالوريوس'!$G$5:$G$208,'فحص-بيانات-بكالوريوس'!$G$5:$G$208,'فحص-بيانات-ماجستير'!$G$5:$G$230),$I97)&amp;"")</f>
        <v/>
      </c>
      <c r="I97" s="2" t="str">
        <f>IFERROR(MATCH($E$3&amp;"#"&amp;92,CHOOSE($J$3,'فحص-حاسب-بكالوريوس'!$R$5:$R$208,'فحص-بيانات-بكالوريوس'!$R$5:$R$208,'فحص-بيانات-ماجستير'!$R$5:$R$230),0),"")</f>
        <v/>
      </c>
    </row>
    <row r="98" spans="1:9" x14ac:dyDescent="0.2">
      <c r="A98" s="1" t="str">
        <f>IF($I98="","",93)</f>
        <v/>
      </c>
      <c r="B98" s="2" t="str">
        <f>IF($I98="","",INDEX(CHOOSE($J$3,'فحص-حاسب-بكالوريوس'!$A$5:$A$208,'فحص-بيانات-بكالوريوس'!$A$5:$A$208,'فحص-بيانات-ماجستير'!$A$5:$A$230),$I98)&amp;"")</f>
        <v/>
      </c>
      <c r="C98" s="2" t="str">
        <f>IF($I98="","",INDEX(CHOOSE($J$3,'فحص-حاسب-بكالوريوس'!$F$5:$F$208,'فحص-بيانات-بكالوريوس'!$F$5:$F$208,'فحص-بيانات-ماجستير'!$F$5:$F$230),$I98)&amp;"")</f>
        <v/>
      </c>
      <c r="D98" s="2" t="str">
        <f>IF($I98="","",INDEX(CHOOSE($J$3,'فحص-حاسب-بكالوريوس'!$H$5:$H$208,'فحص-بيانات-بكالوريوس'!$H$5:$H$208,'فحص-بيانات-ماجستير'!$H$5:$H$230),$I98)&amp;"")</f>
        <v/>
      </c>
      <c r="E98" s="2" t="str">
        <f>IF($I98="","",INDEX(CHOOSE($J$3,'فحص-حاسب-بكالوريوس'!$J$5:$J$208,'فحص-بيانات-بكالوريوس'!$J$5:$J$208,'فحص-بيانات-ماجستير'!$J$5:$J$230),$I98)&amp;"")</f>
        <v/>
      </c>
      <c r="F98" s="2" t="str">
        <f>IF($I98="","",INDEX(CHOOSE($J$3,'فحص-حاسب-بكالوريوس'!$L$5:$L$208,'فحص-بيانات-بكالوريوس'!$L$5:$L$208,'فحص-بيانات-ماجستير'!$L$5:$L$230),$I98)&amp;"")</f>
        <v/>
      </c>
      <c r="G98" s="2" t="str">
        <f>IF($I98="","",INDEX(CHOOSE($J$3,'فحص-حاسب-بكالوريوس'!$M$5:$M$208,'فحص-بيانات-بكالوريوس'!$M$5:$M$208,'فحص-بيانات-ماجستير'!$M$5:$M$230),$I98)&amp;"")</f>
        <v/>
      </c>
      <c r="H98" s="2" t="str">
        <f>IF($I98="","",INDEX(CHOOSE($J$3,'فحص-حاسب-بكالوريوس'!$G$5:$G$208,'فحص-بيانات-بكالوريوس'!$G$5:$G$208,'فحص-بيانات-ماجستير'!$G$5:$G$230),$I98)&amp;"")</f>
        <v/>
      </c>
      <c r="I98" s="2" t="str">
        <f>IFERROR(MATCH($E$3&amp;"#"&amp;93,CHOOSE($J$3,'فحص-حاسب-بكالوريوس'!$R$5:$R$208,'فحص-بيانات-بكالوريوس'!$R$5:$R$208,'فحص-بيانات-ماجستير'!$R$5:$R$230),0),"")</f>
        <v/>
      </c>
    </row>
    <row r="99" spans="1:9" x14ac:dyDescent="0.2">
      <c r="A99" s="1" t="str">
        <f>IF($I99="","",94)</f>
        <v/>
      </c>
      <c r="B99" s="2" t="str">
        <f>IF($I99="","",INDEX(CHOOSE($J$3,'فحص-حاسب-بكالوريوس'!$A$5:$A$208,'فحص-بيانات-بكالوريوس'!$A$5:$A$208,'فحص-بيانات-ماجستير'!$A$5:$A$230),$I99)&amp;"")</f>
        <v/>
      </c>
      <c r="C99" s="2" t="str">
        <f>IF($I99="","",INDEX(CHOOSE($J$3,'فحص-حاسب-بكالوريوس'!$F$5:$F$208,'فحص-بيانات-بكالوريوس'!$F$5:$F$208,'فحص-بيانات-ماجستير'!$F$5:$F$230),$I99)&amp;"")</f>
        <v/>
      </c>
      <c r="D99" s="2" t="str">
        <f>IF($I99="","",INDEX(CHOOSE($J$3,'فحص-حاسب-بكالوريوس'!$H$5:$H$208,'فحص-بيانات-بكالوريوس'!$H$5:$H$208,'فحص-بيانات-ماجستير'!$H$5:$H$230),$I99)&amp;"")</f>
        <v/>
      </c>
      <c r="E99" s="2" t="str">
        <f>IF($I99="","",INDEX(CHOOSE($J$3,'فحص-حاسب-بكالوريوس'!$J$5:$J$208,'فحص-بيانات-بكالوريوس'!$J$5:$J$208,'فحص-بيانات-ماجستير'!$J$5:$J$230),$I99)&amp;"")</f>
        <v/>
      </c>
      <c r="F99" s="2" t="str">
        <f>IF($I99="","",INDEX(CHOOSE($J$3,'فحص-حاسب-بكالوريوس'!$L$5:$L$208,'فحص-بيانات-بكالوريوس'!$L$5:$L$208,'فحص-بيانات-ماجستير'!$L$5:$L$230),$I99)&amp;"")</f>
        <v/>
      </c>
      <c r="G99" s="2" t="str">
        <f>IF($I99="","",INDEX(CHOOSE($J$3,'فحص-حاسب-بكالوريوس'!$M$5:$M$208,'فحص-بيانات-بكالوريوس'!$M$5:$M$208,'فحص-بيانات-ماجستير'!$M$5:$M$230),$I99)&amp;"")</f>
        <v/>
      </c>
      <c r="H99" s="2" t="str">
        <f>IF($I99="","",INDEX(CHOOSE($J$3,'فحص-حاسب-بكالوريوس'!$G$5:$G$208,'فحص-بيانات-بكالوريوس'!$G$5:$G$208,'فحص-بيانات-ماجستير'!$G$5:$G$230),$I99)&amp;"")</f>
        <v/>
      </c>
      <c r="I99" s="2" t="str">
        <f>IFERROR(MATCH($E$3&amp;"#"&amp;94,CHOOSE($J$3,'فحص-حاسب-بكالوريوس'!$R$5:$R$208,'فحص-بيانات-بكالوريوس'!$R$5:$R$208,'فحص-بيانات-ماجستير'!$R$5:$R$230),0),"")</f>
        <v/>
      </c>
    </row>
    <row r="100" spans="1:9" x14ac:dyDescent="0.2">
      <c r="A100" s="1" t="str">
        <f>IF($I100="","",95)</f>
        <v/>
      </c>
      <c r="B100" s="2" t="str">
        <f>IF($I100="","",INDEX(CHOOSE($J$3,'فحص-حاسب-بكالوريوس'!$A$5:$A$208,'فحص-بيانات-بكالوريوس'!$A$5:$A$208,'فحص-بيانات-ماجستير'!$A$5:$A$230),$I100)&amp;"")</f>
        <v/>
      </c>
      <c r="C100" s="2" t="str">
        <f>IF($I100="","",INDEX(CHOOSE($J$3,'فحص-حاسب-بكالوريوس'!$F$5:$F$208,'فحص-بيانات-بكالوريوس'!$F$5:$F$208,'فحص-بيانات-ماجستير'!$F$5:$F$230),$I100)&amp;"")</f>
        <v/>
      </c>
      <c r="D100" s="2" t="str">
        <f>IF($I100="","",INDEX(CHOOSE($J$3,'فحص-حاسب-بكالوريوس'!$H$5:$H$208,'فحص-بيانات-بكالوريوس'!$H$5:$H$208,'فحص-بيانات-ماجستير'!$H$5:$H$230),$I100)&amp;"")</f>
        <v/>
      </c>
      <c r="E100" s="2" t="str">
        <f>IF($I100="","",INDEX(CHOOSE($J$3,'فحص-حاسب-بكالوريوس'!$J$5:$J$208,'فحص-بيانات-بكالوريوس'!$J$5:$J$208,'فحص-بيانات-ماجستير'!$J$5:$J$230),$I100)&amp;"")</f>
        <v/>
      </c>
      <c r="F100" s="2" t="str">
        <f>IF($I100="","",INDEX(CHOOSE($J$3,'فحص-حاسب-بكالوريوس'!$L$5:$L$208,'فحص-بيانات-بكالوريوس'!$L$5:$L$208,'فحص-بيانات-ماجستير'!$L$5:$L$230),$I100)&amp;"")</f>
        <v/>
      </c>
      <c r="G100" s="2" t="str">
        <f>IF($I100="","",INDEX(CHOOSE($J$3,'فحص-حاسب-بكالوريوس'!$M$5:$M$208,'فحص-بيانات-بكالوريوس'!$M$5:$M$208,'فحص-بيانات-ماجستير'!$M$5:$M$230),$I100)&amp;"")</f>
        <v/>
      </c>
      <c r="H100" s="2" t="str">
        <f>IF($I100="","",INDEX(CHOOSE($J$3,'فحص-حاسب-بكالوريوس'!$G$5:$G$208,'فحص-بيانات-بكالوريوس'!$G$5:$G$208,'فحص-بيانات-ماجستير'!$G$5:$G$230),$I100)&amp;"")</f>
        <v/>
      </c>
      <c r="I100" s="2" t="str">
        <f>IFERROR(MATCH($E$3&amp;"#"&amp;95,CHOOSE($J$3,'فحص-حاسب-بكالوريوس'!$R$5:$R$208,'فحص-بيانات-بكالوريوس'!$R$5:$R$208,'فحص-بيانات-ماجستير'!$R$5:$R$230),0),"")</f>
        <v/>
      </c>
    </row>
    <row r="101" spans="1:9" x14ac:dyDescent="0.2">
      <c r="A101" s="1" t="str">
        <f>IF($I101="","",96)</f>
        <v/>
      </c>
      <c r="B101" s="2" t="str">
        <f>IF($I101="","",INDEX(CHOOSE($J$3,'فحص-حاسب-بكالوريوس'!$A$5:$A$208,'فحص-بيانات-بكالوريوس'!$A$5:$A$208,'فحص-بيانات-ماجستير'!$A$5:$A$230),$I101)&amp;"")</f>
        <v/>
      </c>
      <c r="C101" s="2" t="str">
        <f>IF($I101="","",INDEX(CHOOSE($J$3,'فحص-حاسب-بكالوريوس'!$F$5:$F$208,'فحص-بيانات-بكالوريوس'!$F$5:$F$208,'فحص-بيانات-ماجستير'!$F$5:$F$230),$I101)&amp;"")</f>
        <v/>
      </c>
      <c r="D101" s="2" t="str">
        <f>IF($I101="","",INDEX(CHOOSE($J$3,'فحص-حاسب-بكالوريوس'!$H$5:$H$208,'فحص-بيانات-بكالوريوس'!$H$5:$H$208,'فحص-بيانات-ماجستير'!$H$5:$H$230),$I101)&amp;"")</f>
        <v/>
      </c>
      <c r="E101" s="2" t="str">
        <f>IF($I101="","",INDEX(CHOOSE($J$3,'فحص-حاسب-بكالوريوس'!$J$5:$J$208,'فحص-بيانات-بكالوريوس'!$J$5:$J$208,'فحص-بيانات-ماجستير'!$J$5:$J$230),$I101)&amp;"")</f>
        <v/>
      </c>
      <c r="F101" s="2" t="str">
        <f>IF($I101="","",INDEX(CHOOSE($J$3,'فحص-حاسب-بكالوريوس'!$L$5:$L$208,'فحص-بيانات-بكالوريوس'!$L$5:$L$208,'فحص-بيانات-ماجستير'!$L$5:$L$230),$I101)&amp;"")</f>
        <v/>
      </c>
      <c r="G101" s="2" t="str">
        <f>IF($I101="","",INDEX(CHOOSE($J$3,'فحص-حاسب-بكالوريوس'!$M$5:$M$208,'فحص-بيانات-بكالوريوس'!$M$5:$M$208,'فحص-بيانات-ماجستير'!$M$5:$M$230),$I101)&amp;"")</f>
        <v/>
      </c>
      <c r="H101" s="2" t="str">
        <f>IF($I101="","",INDEX(CHOOSE($J$3,'فحص-حاسب-بكالوريوس'!$G$5:$G$208,'فحص-بيانات-بكالوريوس'!$G$5:$G$208,'فحص-بيانات-ماجستير'!$G$5:$G$230),$I101)&amp;"")</f>
        <v/>
      </c>
      <c r="I101" s="2" t="str">
        <f>IFERROR(MATCH($E$3&amp;"#"&amp;96,CHOOSE($J$3,'فحص-حاسب-بكالوريوس'!$R$5:$R$208,'فحص-بيانات-بكالوريوس'!$R$5:$R$208,'فحص-بيانات-ماجستير'!$R$5:$R$230),0),"")</f>
        <v/>
      </c>
    </row>
    <row r="102" spans="1:9" x14ac:dyDescent="0.2">
      <c r="A102" s="1" t="str">
        <f>IF($I102="","",97)</f>
        <v/>
      </c>
      <c r="B102" s="2" t="str">
        <f>IF($I102="","",INDEX(CHOOSE($J$3,'فحص-حاسب-بكالوريوس'!$A$5:$A$208,'فحص-بيانات-بكالوريوس'!$A$5:$A$208,'فحص-بيانات-ماجستير'!$A$5:$A$230),$I102)&amp;"")</f>
        <v/>
      </c>
      <c r="C102" s="2" t="str">
        <f>IF($I102="","",INDEX(CHOOSE($J$3,'فحص-حاسب-بكالوريوس'!$F$5:$F$208,'فحص-بيانات-بكالوريوس'!$F$5:$F$208,'فحص-بيانات-ماجستير'!$F$5:$F$230),$I102)&amp;"")</f>
        <v/>
      </c>
      <c r="D102" s="2" t="str">
        <f>IF($I102="","",INDEX(CHOOSE($J$3,'فحص-حاسب-بكالوريوس'!$H$5:$H$208,'فحص-بيانات-بكالوريوس'!$H$5:$H$208,'فحص-بيانات-ماجستير'!$H$5:$H$230),$I102)&amp;"")</f>
        <v/>
      </c>
      <c r="E102" s="2" t="str">
        <f>IF($I102="","",INDEX(CHOOSE($J$3,'فحص-حاسب-بكالوريوس'!$J$5:$J$208,'فحص-بيانات-بكالوريوس'!$J$5:$J$208,'فحص-بيانات-ماجستير'!$J$5:$J$230),$I102)&amp;"")</f>
        <v/>
      </c>
      <c r="F102" s="2" t="str">
        <f>IF($I102="","",INDEX(CHOOSE($J$3,'فحص-حاسب-بكالوريوس'!$L$5:$L$208,'فحص-بيانات-بكالوريوس'!$L$5:$L$208,'فحص-بيانات-ماجستير'!$L$5:$L$230),$I102)&amp;"")</f>
        <v/>
      </c>
      <c r="G102" s="2" t="str">
        <f>IF($I102="","",INDEX(CHOOSE($J$3,'فحص-حاسب-بكالوريوس'!$M$5:$M$208,'فحص-بيانات-بكالوريوس'!$M$5:$M$208,'فحص-بيانات-ماجستير'!$M$5:$M$230),$I102)&amp;"")</f>
        <v/>
      </c>
      <c r="H102" s="2" t="str">
        <f>IF($I102="","",INDEX(CHOOSE($J$3,'فحص-حاسب-بكالوريوس'!$G$5:$G$208,'فحص-بيانات-بكالوريوس'!$G$5:$G$208,'فحص-بيانات-ماجستير'!$G$5:$G$230),$I102)&amp;"")</f>
        <v/>
      </c>
      <c r="I102" s="2" t="str">
        <f>IFERROR(MATCH($E$3&amp;"#"&amp;97,CHOOSE($J$3,'فحص-حاسب-بكالوريوس'!$R$5:$R$208,'فحص-بيانات-بكالوريوس'!$R$5:$R$208,'فحص-بيانات-ماجستير'!$R$5:$R$230),0),"")</f>
        <v/>
      </c>
    </row>
    <row r="103" spans="1:9" x14ac:dyDescent="0.2">
      <c r="A103" s="1" t="str">
        <f>IF($I103="","",98)</f>
        <v/>
      </c>
      <c r="B103" s="2" t="str">
        <f>IF($I103="","",INDEX(CHOOSE($J$3,'فحص-حاسب-بكالوريوس'!$A$5:$A$208,'فحص-بيانات-بكالوريوس'!$A$5:$A$208,'فحص-بيانات-ماجستير'!$A$5:$A$230),$I103)&amp;"")</f>
        <v/>
      </c>
      <c r="C103" s="2" t="str">
        <f>IF($I103="","",INDEX(CHOOSE($J$3,'فحص-حاسب-بكالوريوس'!$F$5:$F$208,'فحص-بيانات-بكالوريوس'!$F$5:$F$208,'فحص-بيانات-ماجستير'!$F$5:$F$230),$I103)&amp;"")</f>
        <v/>
      </c>
      <c r="D103" s="2" t="str">
        <f>IF($I103="","",INDEX(CHOOSE($J$3,'فحص-حاسب-بكالوريوس'!$H$5:$H$208,'فحص-بيانات-بكالوريوس'!$H$5:$H$208,'فحص-بيانات-ماجستير'!$H$5:$H$230),$I103)&amp;"")</f>
        <v/>
      </c>
      <c r="E103" s="2" t="str">
        <f>IF($I103="","",INDEX(CHOOSE($J$3,'فحص-حاسب-بكالوريوس'!$J$5:$J$208,'فحص-بيانات-بكالوريوس'!$J$5:$J$208,'فحص-بيانات-ماجستير'!$J$5:$J$230),$I103)&amp;"")</f>
        <v/>
      </c>
      <c r="F103" s="2" t="str">
        <f>IF($I103="","",INDEX(CHOOSE($J$3,'فحص-حاسب-بكالوريوس'!$L$5:$L$208,'فحص-بيانات-بكالوريوس'!$L$5:$L$208,'فحص-بيانات-ماجستير'!$L$5:$L$230),$I103)&amp;"")</f>
        <v/>
      </c>
      <c r="G103" s="2" t="str">
        <f>IF($I103="","",INDEX(CHOOSE($J$3,'فحص-حاسب-بكالوريوس'!$M$5:$M$208,'فحص-بيانات-بكالوريوس'!$M$5:$M$208,'فحص-بيانات-ماجستير'!$M$5:$M$230),$I103)&amp;"")</f>
        <v/>
      </c>
      <c r="H103" s="2" t="str">
        <f>IF($I103="","",INDEX(CHOOSE($J$3,'فحص-حاسب-بكالوريوس'!$G$5:$G$208,'فحص-بيانات-بكالوريوس'!$G$5:$G$208,'فحص-بيانات-ماجستير'!$G$5:$G$230),$I103)&amp;"")</f>
        <v/>
      </c>
      <c r="I103" s="2" t="str">
        <f>IFERROR(MATCH($E$3&amp;"#"&amp;98,CHOOSE($J$3,'فحص-حاسب-بكالوريوس'!$R$5:$R$208,'فحص-بيانات-بكالوريوس'!$R$5:$R$208,'فحص-بيانات-ماجستير'!$R$5:$R$230),0),"")</f>
        <v/>
      </c>
    </row>
    <row r="104" spans="1:9" x14ac:dyDescent="0.2">
      <c r="A104" s="1" t="str">
        <f>IF($I104="","",99)</f>
        <v/>
      </c>
      <c r="B104" s="2" t="str">
        <f>IF($I104="","",INDEX(CHOOSE($J$3,'فحص-حاسب-بكالوريوس'!$A$5:$A$208,'فحص-بيانات-بكالوريوس'!$A$5:$A$208,'فحص-بيانات-ماجستير'!$A$5:$A$230),$I104)&amp;"")</f>
        <v/>
      </c>
      <c r="C104" s="2" t="str">
        <f>IF($I104="","",INDEX(CHOOSE($J$3,'فحص-حاسب-بكالوريوس'!$F$5:$F$208,'فحص-بيانات-بكالوريوس'!$F$5:$F$208,'فحص-بيانات-ماجستير'!$F$5:$F$230),$I104)&amp;"")</f>
        <v/>
      </c>
      <c r="D104" s="2" t="str">
        <f>IF($I104="","",INDEX(CHOOSE($J$3,'فحص-حاسب-بكالوريوس'!$H$5:$H$208,'فحص-بيانات-بكالوريوس'!$H$5:$H$208,'فحص-بيانات-ماجستير'!$H$5:$H$230),$I104)&amp;"")</f>
        <v/>
      </c>
      <c r="E104" s="2" t="str">
        <f>IF($I104="","",INDEX(CHOOSE($J$3,'فحص-حاسب-بكالوريوس'!$J$5:$J$208,'فحص-بيانات-بكالوريوس'!$J$5:$J$208,'فحص-بيانات-ماجستير'!$J$5:$J$230),$I104)&amp;"")</f>
        <v/>
      </c>
      <c r="F104" s="2" t="str">
        <f>IF($I104="","",INDEX(CHOOSE($J$3,'فحص-حاسب-بكالوريوس'!$L$5:$L$208,'فحص-بيانات-بكالوريوس'!$L$5:$L$208,'فحص-بيانات-ماجستير'!$L$5:$L$230),$I104)&amp;"")</f>
        <v/>
      </c>
      <c r="G104" s="2" t="str">
        <f>IF($I104="","",INDEX(CHOOSE($J$3,'فحص-حاسب-بكالوريوس'!$M$5:$M$208,'فحص-بيانات-بكالوريوس'!$M$5:$M$208,'فحص-بيانات-ماجستير'!$M$5:$M$230),$I104)&amp;"")</f>
        <v/>
      </c>
      <c r="H104" s="2" t="str">
        <f>IF($I104="","",INDEX(CHOOSE($J$3,'فحص-حاسب-بكالوريوس'!$G$5:$G$208,'فحص-بيانات-بكالوريوس'!$G$5:$G$208,'فحص-بيانات-ماجستير'!$G$5:$G$230),$I104)&amp;"")</f>
        <v/>
      </c>
      <c r="I104" s="2" t="str">
        <f>IFERROR(MATCH($E$3&amp;"#"&amp;99,CHOOSE($J$3,'فحص-حاسب-بكالوريوس'!$R$5:$R$208,'فحص-بيانات-بكالوريوس'!$R$5:$R$208,'فحص-بيانات-ماجستير'!$R$5:$R$230),0),"")</f>
        <v/>
      </c>
    </row>
    <row r="105" spans="1:9" x14ac:dyDescent="0.2">
      <c r="A105" s="1" t="str">
        <f>IF($I105="","",100)</f>
        <v/>
      </c>
      <c r="B105" s="2" t="str">
        <f>IF($I105="","",INDEX(CHOOSE($J$3,'فحص-حاسب-بكالوريوس'!$A$5:$A$208,'فحص-بيانات-بكالوريوس'!$A$5:$A$208,'فحص-بيانات-ماجستير'!$A$5:$A$230),$I105)&amp;"")</f>
        <v/>
      </c>
      <c r="C105" s="2" t="str">
        <f>IF($I105="","",INDEX(CHOOSE($J$3,'فحص-حاسب-بكالوريوس'!$F$5:$F$208,'فحص-بيانات-بكالوريوس'!$F$5:$F$208,'فحص-بيانات-ماجستير'!$F$5:$F$230),$I105)&amp;"")</f>
        <v/>
      </c>
      <c r="D105" s="2" t="str">
        <f>IF($I105="","",INDEX(CHOOSE($J$3,'فحص-حاسب-بكالوريوس'!$H$5:$H$208,'فحص-بيانات-بكالوريوس'!$H$5:$H$208,'فحص-بيانات-ماجستير'!$H$5:$H$230),$I105)&amp;"")</f>
        <v/>
      </c>
      <c r="E105" s="2" t="str">
        <f>IF($I105="","",INDEX(CHOOSE($J$3,'فحص-حاسب-بكالوريوس'!$J$5:$J$208,'فحص-بيانات-بكالوريوس'!$J$5:$J$208,'فحص-بيانات-ماجستير'!$J$5:$J$230),$I105)&amp;"")</f>
        <v/>
      </c>
      <c r="F105" s="2" t="str">
        <f>IF($I105="","",INDEX(CHOOSE($J$3,'فحص-حاسب-بكالوريوس'!$L$5:$L$208,'فحص-بيانات-بكالوريوس'!$L$5:$L$208,'فحص-بيانات-ماجستير'!$L$5:$L$230),$I105)&amp;"")</f>
        <v/>
      </c>
      <c r="G105" s="2" t="str">
        <f>IF($I105="","",INDEX(CHOOSE($J$3,'فحص-حاسب-بكالوريوس'!$M$5:$M$208,'فحص-بيانات-بكالوريوس'!$M$5:$M$208,'فحص-بيانات-ماجستير'!$M$5:$M$230),$I105)&amp;"")</f>
        <v/>
      </c>
      <c r="H105" s="2" t="str">
        <f>IF($I105="","",INDEX(CHOOSE($J$3,'فحص-حاسب-بكالوريوس'!$G$5:$G$208,'فحص-بيانات-بكالوريوس'!$G$5:$G$208,'فحص-بيانات-ماجستير'!$G$5:$G$230),$I105)&amp;"")</f>
        <v/>
      </c>
      <c r="I105" s="2" t="str">
        <f>IFERROR(MATCH($E$3&amp;"#"&amp;100,CHOOSE($J$3,'فحص-حاسب-بكالوريوس'!$R$5:$R$208,'فحص-بيانات-بكالوريوس'!$R$5:$R$208,'فحص-بيانات-ماجستير'!$R$5:$R$230),0),"")</f>
        <v/>
      </c>
    </row>
    <row r="106" spans="1:9" x14ac:dyDescent="0.2">
      <c r="A106" s="1" t="str">
        <f>IF($I106="","",101)</f>
        <v/>
      </c>
      <c r="B106" s="2" t="str">
        <f>IF($I106="","",INDEX(CHOOSE($J$3,'فحص-حاسب-بكالوريوس'!$A$5:$A$208,'فحص-بيانات-بكالوريوس'!$A$5:$A$208,'فحص-بيانات-ماجستير'!$A$5:$A$230),$I106)&amp;"")</f>
        <v/>
      </c>
      <c r="C106" s="2" t="str">
        <f>IF($I106="","",INDEX(CHOOSE($J$3,'فحص-حاسب-بكالوريوس'!$F$5:$F$208,'فحص-بيانات-بكالوريوس'!$F$5:$F$208,'فحص-بيانات-ماجستير'!$F$5:$F$230),$I106)&amp;"")</f>
        <v/>
      </c>
      <c r="D106" s="2" t="str">
        <f>IF($I106="","",INDEX(CHOOSE($J$3,'فحص-حاسب-بكالوريوس'!$H$5:$H$208,'فحص-بيانات-بكالوريوس'!$H$5:$H$208,'فحص-بيانات-ماجستير'!$H$5:$H$230),$I106)&amp;"")</f>
        <v/>
      </c>
      <c r="E106" s="2" t="str">
        <f>IF($I106="","",INDEX(CHOOSE($J$3,'فحص-حاسب-بكالوريوس'!$J$5:$J$208,'فحص-بيانات-بكالوريوس'!$J$5:$J$208,'فحص-بيانات-ماجستير'!$J$5:$J$230),$I106)&amp;"")</f>
        <v/>
      </c>
      <c r="F106" s="2" t="str">
        <f>IF($I106="","",INDEX(CHOOSE($J$3,'فحص-حاسب-بكالوريوس'!$L$5:$L$208,'فحص-بيانات-بكالوريوس'!$L$5:$L$208,'فحص-بيانات-ماجستير'!$L$5:$L$230),$I106)&amp;"")</f>
        <v/>
      </c>
      <c r="G106" s="2" t="str">
        <f>IF($I106="","",INDEX(CHOOSE($J$3,'فحص-حاسب-بكالوريوس'!$M$5:$M$208,'فحص-بيانات-بكالوريوس'!$M$5:$M$208,'فحص-بيانات-ماجستير'!$M$5:$M$230),$I106)&amp;"")</f>
        <v/>
      </c>
      <c r="H106" s="2" t="str">
        <f>IF($I106="","",INDEX(CHOOSE($J$3,'فحص-حاسب-بكالوريوس'!$G$5:$G$208,'فحص-بيانات-بكالوريوس'!$G$5:$G$208,'فحص-بيانات-ماجستير'!$G$5:$G$230),$I106)&amp;"")</f>
        <v/>
      </c>
      <c r="I106" s="2" t="str">
        <f>IFERROR(MATCH($E$3&amp;"#"&amp;101,CHOOSE($J$3,'فحص-حاسب-بكالوريوس'!$R$5:$R$208,'فحص-بيانات-بكالوريوس'!$R$5:$R$208,'فحص-بيانات-ماجستير'!$R$5:$R$230),0),"")</f>
        <v/>
      </c>
    </row>
    <row r="107" spans="1:9" x14ac:dyDescent="0.2">
      <c r="A107" s="1" t="str">
        <f>IF($I107="","",102)</f>
        <v/>
      </c>
      <c r="B107" s="2" t="str">
        <f>IF($I107="","",INDEX(CHOOSE($J$3,'فحص-حاسب-بكالوريوس'!$A$5:$A$208,'فحص-بيانات-بكالوريوس'!$A$5:$A$208,'فحص-بيانات-ماجستير'!$A$5:$A$230),$I107)&amp;"")</f>
        <v/>
      </c>
      <c r="C107" s="2" t="str">
        <f>IF($I107="","",INDEX(CHOOSE($J$3,'فحص-حاسب-بكالوريوس'!$F$5:$F$208,'فحص-بيانات-بكالوريوس'!$F$5:$F$208,'فحص-بيانات-ماجستير'!$F$5:$F$230),$I107)&amp;"")</f>
        <v/>
      </c>
      <c r="D107" s="2" t="str">
        <f>IF($I107="","",INDEX(CHOOSE($J$3,'فحص-حاسب-بكالوريوس'!$H$5:$H$208,'فحص-بيانات-بكالوريوس'!$H$5:$H$208,'فحص-بيانات-ماجستير'!$H$5:$H$230),$I107)&amp;"")</f>
        <v/>
      </c>
      <c r="E107" s="2" t="str">
        <f>IF($I107="","",INDEX(CHOOSE($J$3,'فحص-حاسب-بكالوريوس'!$J$5:$J$208,'فحص-بيانات-بكالوريوس'!$J$5:$J$208,'فحص-بيانات-ماجستير'!$J$5:$J$230),$I107)&amp;"")</f>
        <v/>
      </c>
      <c r="F107" s="2" t="str">
        <f>IF($I107="","",INDEX(CHOOSE($J$3,'فحص-حاسب-بكالوريوس'!$L$5:$L$208,'فحص-بيانات-بكالوريوس'!$L$5:$L$208,'فحص-بيانات-ماجستير'!$L$5:$L$230),$I107)&amp;"")</f>
        <v/>
      </c>
      <c r="G107" s="2" t="str">
        <f>IF($I107="","",INDEX(CHOOSE($J$3,'فحص-حاسب-بكالوريوس'!$M$5:$M$208,'فحص-بيانات-بكالوريوس'!$M$5:$M$208,'فحص-بيانات-ماجستير'!$M$5:$M$230),$I107)&amp;"")</f>
        <v/>
      </c>
      <c r="H107" s="2" t="str">
        <f>IF($I107="","",INDEX(CHOOSE($J$3,'فحص-حاسب-بكالوريوس'!$G$5:$G$208,'فحص-بيانات-بكالوريوس'!$G$5:$G$208,'فحص-بيانات-ماجستير'!$G$5:$G$230),$I107)&amp;"")</f>
        <v/>
      </c>
      <c r="I107" s="2" t="str">
        <f>IFERROR(MATCH($E$3&amp;"#"&amp;102,CHOOSE($J$3,'فحص-حاسب-بكالوريوس'!$R$5:$R$208,'فحص-بيانات-بكالوريوس'!$R$5:$R$208,'فحص-بيانات-ماجستير'!$R$5:$R$230),0),"")</f>
        <v/>
      </c>
    </row>
    <row r="108" spans="1:9" x14ac:dyDescent="0.2">
      <c r="A108" s="1" t="str">
        <f>IF($I108="","",103)</f>
        <v/>
      </c>
      <c r="B108" s="2" t="str">
        <f>IF($I108="","",INDEX(CHOOSE($J$3,'فحص-حاسب-بكالوريوس'!$A$5:$A$208,'فحص-بيانات-بكالوريوس'!$A$5:$A$208,'فحص-بيانات-ماجستير'!$A$5:$A$230),$I108)&amp;"")</f>
        <v/>
      </c>
      <c r="C108" s="2" t="str">
        <f>IF($I108="","",INDEX(CHOOSE($J$3,'فحص-حاسب-بكالوريوس'!$F$5:$F$208,'فحص-بيانات-بكالوريوس'!$F$5:$F$208,'فحص-بيانات-ماجستير'!$F$5:$F$230),$I108)&amp;"")</f>
        <v/>
      </c>
      <c r="D108" s="2" t="str">
        <f>IF($I108="","",INDEX(CHOOSE($J$3,'فحص-حاسب-بكالوريوس'!$H$5:$H$208,'فحص-بيانات-بكالوريوس'!$H$5:$H$208,'فحص-بيانات-ماجستير'!$H$5:$H$230),$I108)&amp;"")</f>
        <v/>
      </c>
      <c r="E108" s="2" t="str">
        <f>IF($I108="","",INDEX(CHOOSE($J$3,'فحص-حاسب-بكالوريوس'!$J$5:$J$208,'فحص-بيانات-بكالوريوس'!$J$5:$J$208,'فحص-بيانات-ماجستير'!$J$5:$J$230),$I108)&amp;"")</f>
        <v/>
      </c>
      <c r="F108" s="2" t="str">
        <f>IF($I108="","",INDEX(CHOOSE($J$3,'فحص-حاسب-بكالوريوس'!$L$5:$L$208,'فحص-بيانات-بكالوريوس'!$L$5:$L$208,'فحص-بيانات-ماجستير'!$L$5:$L$230),$I108)&amp;"")</f>
        <v/>
      </c>
      <c r="G108" s="2" t="str">
        <f>IF($I108="","",INDEX(CHOOSE($J$3,'فحص-حاسب-بكالوريوس'!$M$5:$M$208,'فحص-بيانات-بكالوريوس'!$M$5:$M$208,'فحص-بيانات-ماجستير'!$M$5:$M$230),$I108)&amp;"")</f>
        <v/>
      </c>
      <c r="H108" s="2" t="str">
        <f>IF($I108="","",INDEX(CHOOSE($J$3,'فحص-حاسب-بكالوريوس'!$G$5:$G$208,'فحص-بيانات-بكالوريوس'!$G$5:$G$208,'فحص-بيانات-ماجستير'!$G$5:$G$230),$I108)&amp;"")</f>
        <v/>
      </c>
      <c r="I108" s="2" t="str">
        <f>IFERROR(MATCH($E$3&amp;"#"&amp;103,CHOOSE($J$3,'فحص-حاسب-بكالوريوس'!$R$5:$R$208,'فحص-بيانات-بكالوريوس'!$R$5:$R$208,'فحص-بيانات-ماجستير'!$R$5:$R$230),0),"")</f>
        <v/>
      </c>
    </row>
    <row r="109" spans="1:9" x14ac:dyDescent="0.2">
      <c r="A109" s="1" t="str">
        <f>IF($I109="","",104)</f>
        <v/>
      </c>
      <c r="B109" s="2" t="str">
        <f>IF($I109="","",INDEX(CHOOSE($J$3,'فحص-حاسب-بكالوريوس'!$A$5:$A$208,'فحص-بيانات-بكالوريوس'!$A$5:$A$208,'فحص-بيانات-ماجستير'!$A$5:$A$230),$I109)&amp;"")</f>
        <v/>
      </c>
      <c r="C109" s="2" t="str">
        <f>IF($I109="","",INDEX(CHOOSE($J$3,'فحص-حاسب-بكالوريوس'!$F$5:$F$208,'فحص-بيانات-بكالوريوس'!$F$5:$F$208,'فحص-بيانات-ماجستير'!$F$5:$F$230),$I109)&amp;"")</f>
        <v/>
      </c>
      <c r="D109" s="2" t="str">
        <f>IF($I109="","",INDEX(CHOOSE($J$3,'فحص-حاسب-بكالوريوس'!$H$5:$H$208,'فحص-بيانات-بكالوريوس'!$H$5:$H$208,'فحص-بيانات-ماجستير'!$H$5:$H$230),$I109)&amp;"")</f>
        <v/>
      </c>
      <c r="E109" s="2" t="str">
        <f>IF($I109="","",INDEX(CHOOSE($J$3,'فحص-حاسب-بكالوريوس'!$J$5:$J$208,'فحص-بيانات-بكالوريوس'!$J$5:$J$208,'فحص-بيانات-ماجستير'!$J$5:$J$230),$I109)&amp;"")</f>
        <v/>
      </c>
      <c r="F109" s="2" t="str">
        <f>IF($I109="","",INDEX(CHOOSE($J$3,'فحص-حاسب-بكالوريوس'!$L$5:$L$208,'فحص-بيانات-بكالوريوس'!$L$5:$L$208,'فحص-بيانات-ماجستير'!$L$5:$L$230),$I109)&amp;"")</f>
        <v/>
      </c>
      <c r="G109" s="2" t="str">
        <f>IF($I109="","",INDEX(CHOOSE($J$3,'فحص-حاسب-بكالوريوس'!$M$5:$M$208,'فحص-بيانات-بكالوريوس'!$M$5:$M$208,'فحص-بيانات-ماجستير'!$M$5:$M$230),$I109)&amp;"")</f>
        <v/>
      </c>
      <c r="H109" s="2" t="str">
        <f>IF($I109="","",INDEX(CHOOSE($J$3,'فحص-حاسب-بكالوريوس'!$G$5:$G$208,'فحص-بيانات-بكالوريوس'!$G$5:$G$208,'فحص-بيانات-ماجستير'!$G$5:$G$230),$I109)&amp;"")</f>
        <v/>
      </c>
      <c r="I109" s="2" t="str">
        <f>IFERROR(MATCH($E$3&amp;"#"&amp;104,CHOOSE($J$3,'فحص-حاسب-بكالوريوس'!$R$5:$R$208,'فحص-بيانات-بكالوريوس'!$R$5:$R$208,'فحص-بيانات-ماجستير'!$R$5:$R$230),0),"")</f>
        <v/>
      </c>
    </row>
    <row r="110" spans="1:9" x14ac:dyDescent="0.2">
      <c r="A110" s="1" t="str">
        <f>IF($I110="","",105)</f>
        <v/>
      </c>
      <c r="B110" s="2" t="str">
        <f>IF($I110="","",INDEX(CHOOSE($J$3,'فحص-حاسب-بكالوريوس'!$A$5:$A$208,'فحص-بيانات-بكالوريوس'!$A$5:$A$208,'فحص-بيانات-ماجستير'!$A$5:$A$230),$I110)&amp;"")</f>
        <v/>
      </c>
      <c r="C110" s="2" t="str">
        <f>IF($I110="","",INDEX(CHOOSE($J$3,'فحص-حاسب-بكالوريوس'!$F$5:$F$208,'فحص-بيانات-بكالوريوس'!$F$5:$F$208,'فحص-بيانات-ماجستير'!$F$5:$F$230),$I110)&amp;"")</f>
        <v/>
      </c>
      <c r="D110" s="2" t="str">
        <f>IF($I110="","",INDEX(CHOOSE($J$3,'فحص-حاسب-بكالوريوس'!$H$5:$H$208,'فحص-بيانات-بكالوريوس'!$H$5:$H$208,'فحص-بيانات-ماجستير'!$H$5:$H$230),$I110)&amp;"")</f>
        <v/>
      </c>
      <c r="E110" s="2" t="str">
        <f>IF($I110="","",INDEX(CHOOSE($J$3,'فحص-حاسب-بكالوريوس'!$J$5:$J$208,'فحص-بيانات-بكالوريوس'!$J$5:$J$208,'فحص-بيانات-ماجستير'!$J$5:$J$230),$I110)&amp;"")</f>
        <v/>
      </c>
      <c r="F110" s="2" t="str">
        <f>IF($I110="","",INDEX(CHOOSE($J$3,'فحص-حاسب-بكالوريوس'!$L$5:$L$208,'فحص-بيانات-بكالوريوس'!$L$5:$L$208,'فحص-بيانات-ماجستير'!$L$5:$L$230),$I110)&amp;"")</f>
        <v/>
      </c>
      <c r="G110" s="2" t="str">
        <f>IF($I110="","",INDEX(CHOOSE($J$3,'فحص-حاسب-بكالوريوس'!$M$5:$M$208,'فحص-بيانات-بكالوريوس'!$M$5:$M$208,'فحص-بيانات-ماجستير'!$M$5:$M$230),$I110)&amp;"")</f>
        <v/>
      </c>
      <c r="H110" s="2" t="str">
        <f>IF($I110="","",INDEX(CHOOSE($J$3,'فحص-حاسب-بكالوريوس'!$G$5:$G$208,'فحص-بيانات-بكالوريوس'!$G$5:$G$208,'فحص-بيانات-ماجستير'!$G$5:$G$230),$I110)&amp;"")</f>
        <v/>
      </c>
      <c r="I110" s="2" t="str">
        <f>IFERROR(MATCH($E$3&amp;"#"&amp;105,CHOOSE($J$3,'فحص-حاسب-بكالوريوس'!$R$5:$R$208,'فحص-بيانات-بكالوريوس'!$R$5:$R$208,'فحص-بيانات-ماجستير'!$R$5:$R$230),0),"")</f>
        <v/>
      </c>
    </row>
    <row r="111" spans="1:9" x14ac:dyDescent="0.2">
      <c r="A111" s="1" t="str">
        <f>IF($I111="","",106)</f>
        <v/>
      </c>
      <c r="B111" s="2" t="str">
        <f>IF($I111="","",INDEX(CHOOSE($J$3,'فحص-حاسب-بكالوريوس'!$A$5:$A$208,'فحص-بيانات-بكالوريوس'!$A$5:$A$208,'فحص-بيانات-ماجستير'!$A$5:$A$230),$I111)&amp;"")</f>
        <v/>
      </c>
      <c r="C111" s="2" t="str">
        <f>IF($I111="","",INDEX(CHOOSE($J$3,'فحص-حاسب-بكالوريوس'!$F$5:$F$208,'فحص-بيانات-بكالوريوس'!$F$5:$F$208,'فحص-بيانات-ماجستير'!$F$5:$F$230),$I111)&amp;"")</f>
        <v/>
      </c>
      <c r="D111" s="2" t="str">
        <f>IF($I111="","",INDEX(CHOOSE($J$3,'فحص-حاسب-بكالوريوس'!$H$5:$H$208,'فحص-بيانات-بكالوريوس'!$H$5:$H$208,'فحص-بيانات-ماجستير'!$H$5:$H$230),$I111)&amp;"")</f>
        <v/>
      </c>
      <c r="E111" s="2" t="str">
        <f>IF($I111="","",INDEX(CHOOSE($J$3,'فحص-حاسب-بكالوريوس'!$J$5:$J$208,'فحص-بيانات-بكالوريوس'!$J$5:$J$208,'فحص-بيانات-ماجستير'!$J$5:$J$230),$I111)&amp;"")</f>
        <v/>
      </c>
      <c r="F111" s="2" t="str">
        <f>IF($I111="","",INDEX(CHOOSE($J$3,'فحص-حاسب-بكالوريوس'!$L$5:$L$208,'فحص-بيانات-بكالوريوس'!$L$5:$L$208,'فحص-بيانات-ماجستير'!$L$5:$L$230),$I111)&amp;"")</f>
        <v/>
      </c>
      <c r="G111" s="2" t="str">
        <f>IF($I111="","",INDEX(CHOOSE($J$3,'فحص-حاسب-بكالوريوس'!$M$5:$M$208,'فحص-بيانات-بكالوريوس'!$M$5:$M$208,'فحص-بيانات-ماجستير'!$M$5:$M$230),$I111)&amp;"")</f>
        <v/>
      </c>
      <c r="H111" s="2" t="str">
        <f>IF($I111="","",INDEX(CHOOSE($J$3,'فحص-حاسب-بكالوريوس'!$G$5:$G$208,'فحص-بيانات-بكالوريوس'!$G$5:$G$208,'فحص-بيانات-ماجستير'!$G$5:$G$230),$I111)&amp;"")</f>
        <v/>
      </c>
      <c r="I111" s="2" t="str">
        <f>IFERROR(MATCH($E$3&amp;"#"&amp;106,CHOOSE($J$3,'فحص-حاسب-بكالوريوس'!$R$5:$R$208,'فحص-بيانات-بكالوريوس'!$R$5:$R$208,'فحص-بيانات-ماجستير'!$R$5:$R$230),0),"")</f>
        <v/>
      </c>
    </row>
    <row r="112" spans="1:9" x14ac:dyDescent="0.2">
      <c r="A112" s="1" t="str">
        <f>IF($I112="","",107)</f>
        <v/>
      </c>
      <c r="B112" s="2" t="str">
        <f>IF($I112="","",INDEX(CHOOSE($J$3,'فحص-حاسب-بكالوريوس'!$A$5:$A$208,'فحص-بيانات-بكالوريوس'!$A$5:$A$208,'فحص-بيانات-ماجستير'!$A$5:$A$230),$I112)&amp;"")</f>
        <v/>
      </c>
      <c r="C112" s="2" t="str">
        <f>IF($I112="","",INDEX(CHOOSE($J$3,'فحص-حاسب-بكالوريوس'!$F$5:$F$208,'فحص-بيانات-بكالوريوس'!$F$5:$F$208,'فحص-بيانات-ماجستير'!$F$5:$F$230),$I112)&amp;"")</f>
        <v/>
      </c>
      <c r="D112" s="2" t="str">
        <f>IF($I112="","",INDEX(CHOOSE($J$3,'فحص-حاسب-بكالوريوس'!$H$5:$H$208,'فحص-بيانات-بكالوريوس'!$H$5:$H$208,'فحص-بيانات-ماجستير'!$H$5:$H$230),$I112)&amp;"")</f>
        <v/>
      </c>
      <c r="E112" s="2" t="str">
        <f>IF($I112="","",INDEX(CHOOSE($J$3,'فحص-حاسب-بكالوريوس'!$J$5:$J$208,'فحص-بيانات-بكالوريوس'!$J$5:$J$208,'فحص-بيانات-ماجستير'!$J$5:$J$230),$I112)&amp;"")</f>
        <v/>
      </c>
      <c r="F112" s="2" t="str">
        <f>IF($I112="","",INDEX(CHOOSE($J$3,'فحص-حاسب-بكالوريوس'!$L$5:$L$208,'فحص-بيانات-بكالوريوس'!$L$5:$L$208,'فحص-بيانات-ماجستير'!$L$5:$L$230),$I112)&amp;"")</f>
        <v/>
      </c>
      <c r="G112" s="2" t="str">
        <f>IF($I112="","",INDEX(CHOOSE($J$3,'فحص-حاسب-بكالوريوس'!$M$5:$M$208,'فحص-بيانات-بكالوريوس'!$M$5:$M$208,'فحص-بيانات-ماجستير'!$M$5:$M$230),$I112)&amp;"")</f>
        <v/>
      </c>
      <c r="H112" s="2" t="str">
        <f>IF($I112="","",INDEX(CHOOSE($J$3,'فحص-حاسب-بكالوريوس'!$G$5:$G$208,'فحص-بيانات-بكالوريوس'!$G$5:$G$208,'فحص-بيانات-ماجستير'!$G$5:$G$230),$I112)&amp;"")</f>
        <v/>
      </c>
      <c r="I112" s="2" t="str">
        <f>IFERROR(MATCH($E$3&amp;"#"&amp;107,CHOOSE($J$3,'فحص-حاسب-بكالوريوس'!$R$5:$R$208,'فحص-بيانات-بكالوريوس'!$R$5:$R$208,'فحص-بيانات-ماجستير'!$R$5:$R$230),0),"")</f>
        <v/>
      </c>
    </row>
    <row r="113" spans="1:9" x14ac:dyDescent="0.2">
      <c r="A113" s="1" t="str">
        <f>IF($I113="","",108)</f>
        <v/>
      </c>
      <c r="B113" s="2" t="str">
        <f>IF($I113="","",INDEX(CHOOSE($J$3,'فحص-حاسب-بكالوريوس'!$A$5:$A$208,'فحص-بيانات-بكالوريوس'!$A$5:$A$208,'فحص-بيانات-ماجستير'!$A$5:$A$230),$I113)&amp;"")</f>
        <v/>
      </c>
      <c r="C113" s="2" t="str">
        <f>IF($I113="","",INDEX(CHOOSE($J$3,'فحص-حاسب-بكالوريوس'!$F$5:$F$208,'فحص-بيانات-بكالوريوس'!$F$5:$F$208,'فحص-بيانات-ماجستير'!$F$5:$F$230),$I113)&amp;"")</f>
        <v/>
      </c>
      <c r="D113" s="2" t="str">
        <f>IF($I113="","",INDEX(CHOOSE($J$3,'فحص-حاسب-بكالوريوس'!$H$5:$H$208,'فحص-بيانات-بكالوريوس'!$H$5:$H$208,'فحص-بيانات-ماجستير'!$H$5:$H$230),$I113)&amp;"")</f>
        <v/>
      </c>
      <c r="E113" s="2" t="str">
        <f>IF($I113="","",INDEX(CHOOSE($J$3,'فحص-حاسب-بكالوريوس'!$J$5:$J$208,'فحص-بيانات-بكالوريوس'!$J$5:$J$208,'فحص-بيانات-ماجستير'!$J$5:$J$230),$I113)&amp;"")</f>
        <v/>
      </c>
      <c r="F113" s="2" t="str">
        <f>IF($I113="","",INDEX(CHOOSE($J$3,'فحص-حاسب-بكالوريوس'!$L$5:$L$208,'فحص-بيانات-بكالوريوس'!$L$5:$L$208,'فحص-بيانات-ماجستير'!$L$5:$L$230),$I113)&amp;"")</f>
        <v/>
      </c>
      <c r="G113" s="2" t="str">
        <f>IF($I113="","",INDEX(CHOOSE($J$3,'فحص-حاسب-بكالوريوس'!$M$5:$M$208,'فحص-بيانات-بكالوريوس'!$M$5:$M$208,'فحص-بيانات-ماجستير'!$M$5:$M$230),$I113)&amp;"")</f>
        <v/>
      </c>
      <c r="H113" s="2" t="str">
        <f>IF($I113="","",INDEX(CHOOSE($J$3,'فحص-حاسب-بكالوريوس'!$G$5:$G$208,'فحص-بيانات-بكالوريوس'!$G$5:$G$208,'فحص-بيانات-ماجستير'!$G$5:$G$230),$I113)&amp;"")</f>
        <v/>
      </c>
      <c r="I113" s="2" t="str">
        <f>IFERROR(MATCH($E$3&amp;"#"&amp;108,CHOOSE($J$3,'فحص-حاسب-بكالوريوس'!$R$5:$R$208,'فحص-بيانات-بكالوريوس'!$R$5:$R$208,'فحص-بيانات-ماجستير'!$R$5:$R$230),0),"")</f>
        <v/>
      </c>
    </row>
    <row r="114" spans="1:9" x14ac:dyDescent="0.2">
      <c r="A114" s="1" t="str">
        <f>IF($I114="","",109)</f>
        <v/>
      </c>
      <c r="B114" s="2" t="str">
        <f>IF($I114="","",INDEX(CHOOSE($J$3,'فحص-حاسب-بكالوريوس'!$A$5:$A$208,'فحص-بيانات-بكالوريوس'!$A$5:$A$208,'فحص-بيانات-ماجستير'!$A$5:$A$230),$I114)&amp;"")</f>
        <v/>
      </c>
      <c r="C114" s="2" t="str">
        <f>IF($I114="","",INDEX(CHOOSE($J$3,'فحص-حاسب-بكالوريوس'!$F$5:$F$208,'فحص-بيانات-بكالوريوس'!$F$5:$F$208,'فحص-بيانات-ماجستير'!$F$5:$F$230),$I114)&amp;"")</f>
        <v/>
      </c>
      <c r="D114" s="2" t="str">
        <f>IF($I114="","",INDEX(CHOOSE($J$3,'فحص-حاسب-بكالوريوس'!$H$5:$H$208,'فحص-بيانات-بكالوريوس'!$H$5:$H$208,'فحص-بيانات-ماجستير'!$H$5:$H$230),$I114)&amp;"")</f>
        <v/>
      </c>
      <c r="E114" s="2" t="str">
        <f>IF($I114="","",INDEX(CHOOSE($J$3,'فحص-حاسب-بكالوريوس'!$J$5:$J$208,'فحص-بيانات-بكالوريوس'!$J$5:$J$208,'فحص-بيانات-ماجستير'!$J$5:$J$230),$I114)&amp;"")</f>
        <v/>
      </c>
      <c r="F114" s="2" t="str">
        <f>IF($I114="","",INDEX(CHOOSE($J$3,'فحص-حاسب-بكالوريوس'!$L$5:$L$208,'فحص-بيانات-بكالوريوس'!$L$5:$L$208,'فحص-بيانات-ماجستير'!$L$5:$L$230),$I114)&amp;"")</f>
        <v/>
      </c>
      <c r="G114" s="2" t="str">
        <f>IF($I114="","",INDEX(CHOOSE($J$3,'فحص-حاسب-بكالوريوس'!$M$5:$M$208,'فحص-بيانات-بكالوريوس'!$M$5:$M$208,'فحص-بيانات-ماجستير'!$M$5:$M$230),$I114)&amp;"")</f>
        <v/>
      </c>
      <c r="H114" s="2" t="str">
        <f>IF($I114="","",INDEX(CHOOSE($J$3,'فحص-حاسب-بكالوريوس'!$G$5:$G$208,'فحص-بيانات-بكالوريوس'!$G$5:$G$208,'فحص-بيانات-ماجستير'!$G$5:$G$230),$I114)&amp;"")</f>
        <v/>
      </c>
      <c r="I114" s="2" t="str">
        <f>IFERROR(MATCH($E$3&amp;"#"&amp;109,CHOOSE($J$3,'فحص-حاسب-بكالوريوس'!$R$5:$R$208,'فحص-بيانات-بكالوريوس'!$R$5:$R$208,'فحص-بيانات-ماجستير'!$R$5:$R$230),0),"")</f>
        <v/>
      </c>
    </row>
    <row r="115" spans="1:9" x14ac:dyDescent="0.2">
      <c r="A115" s="1" t="str">
        <f>IF($I115="","",110)</f>
        <v/>
      </c>
      <c r="B115" s="2" t="str">
        <f>IF($I115="","",INDEX(CHOOSE($J$3,'فحص-حاسب-بكالوريوس'!$A$5:$A$208,'فحص-بيانات-بكالوريوس'!$A$5:$A$208,'فحص-بيانات-ماجستير'!$A$5:$A$230),$I115)&amp;"")</f>
        <v/>
      </c>
      <c r="C115" s="2" t="str">
        <f>IF($I115="","",INDEX(CHOOSE($J$3,'فحص-حاسب-بكالوريوس'!$F$5:$F$208,'فحص-بيانات-بكالوريوس'!$F$5:$F$208,'فحص-بيانات-ماجستير'!$F$5:$F$230),$I115)&amp;"")</f>
        <v/>
      </c>
      <c r="D115" s="2" t="str">
        <f>IF($I115="","",INDEX(CHOOSE($J$3,'فحص-حاسب-بكالوريوس'!$H$5:$H$208,'فحص-بيانات-بكالوريوس'!$H$5:$H$208,'فحص-بيانات-ماجستير'!$H$5:$H$230),$I115)&amp;"")</f>
        <v/>
      </c>
      <c r="E115" s="2" t="str">
        <f>IF($I115="","",INDEX(CHOOSE($J$3,'فحص-حاسب-بكالوريوس'!$J$5:$J$208,'فحص-بيانات-بكالوريوس'!$J$5:$J$208,'فحص-بيانات-ماجستير'!$J$5:$J$230),$I115)&amp;"")</f>
        <v/>
      </c>
      <c r="F115" s="2" t="str">
        <f>IF($I115="","",INDEX(CHOOSE($J$3,'فحص-حاسب-بكالوريوس'!$L$5:$L$208,'فحص-بيانات-بكالوريوس'!$L$5:$L$208,'فحص-بيانات-ماجستير'!$L$5:$L$230),$I115)&amp;"")</f>
        <v/>
      </c>
      <c r="G115" s="2" t="str">
        <f>IF($I115="","",INDEX(CHOOSE($J$3,'فحص-حاسب-بكالوريوس'!$M$5:$M$208,'فحص-بيانات-بكالوريوس'!$M$5:$M$208,'فحص-بيانات-ماجستير'!$M$5:$M$230),$I115)&amp;"")</f>
        <v/>
      </c>
      <c r="H115" s="2" t="str">
        <f>IF($I115="","",INDEX(CHOOSE($J$3,'فحص-حاسب-بكالوريوس'!$G$5:$G$208,'فحص-بيانات-بكالوريوس'!$G$5:$G$208,'فحص-بيانات-ماجستير'!$G$5:$G$230),$I115)&amp;"")</f>
        <v/>
      </c>
      <c r="I115" s="2" t="str">
        <f>IFERROR(MATCH($E$3&amp;"#"&amp;110,CHOOSE($J$3,'فحص-حاسب-بكالوريوس'!$R$5:$R$208,'فحص-بيانات-بكالوريوس'!$R$5:$R$208,'فحص-بيانات-ماجستير'!$R$5:$R$230),0),"")</f>
        <v/>
      </c>
    </row>
    <row r="116" spans="1:9" x14ac:dyDescent="0.2">
      <c r="A116" s="1" t="str">
        <f>IF($I116="","",111)</f>
        <v/>
      </c>
      <c r="B116" s="2" t="str">
        <f>IF($I116="","",INDEX(CHOOSE($J$3,'فحص-حاسب-بكالوريوس'!$A$5:$A$208,'فحص-بيانات-بكالوريوس'!$A$5:$A$208,'فحص-بيانات-ماجستير'!$A$5:$A$230),$I116)&amp;"")</f>
        <v/>
      </c>
      <c r="C116" s="2" t="str">
        <f>IF($I116="","",INDEX(CHOOSE($J$3,'فحص-حاسب-بكالوريوس'!$F$5:$F$208,'فحص-بيانات-بكالوريوس'!$F$5:$F$208,'فحص-بيانات-ماجستير'!$F$5:$F$230),$I116)&amp;"")</f>
        <v/>
      </c>
      <c r="D116" s="2" t="str">
        <f>IF($I116="","",INDEX(CHOOSE($J$3,'فحص-حاسب-بكالوريوس'!$H$5:$H$208,'فحص-بيانات-بكالوريوس'!$H$5:$H$208,'فحص-بيانات-ماجستير'!$H$5:$H$230),$I116)&amp;"")</f>
        <v/>
      </c>
      <c r="E116" s="2" t="str">
        <f>IF($I116="","",INDEX(CHOOSE($J$3,'فحص-حاسب-بكالوريوس'!$J$5:$J$208,'فحص-بيانات-بكالوريوس'!$J$5:$J$208,'فحص-بيانات-ماجستير'!$J$5:$J$230),$I116)&amp;"")</f>
        <v/>
      </c>
      <c r="F116" s="2" t="str">
        <f>IF($I116="","",INDEX(CHOOSE($J$3,'فحص-حاسب-بكالوريوس'!$L$5:$L$208,'فحص-بيانات-بكالوريوس'!$L$5:$L$208,'فحص-بيانات-ماجستير'!$L$5:$L$230),$I116)&amp;"")</f>
        <v/>
      </c>
      <c r="G116" s="2" t="str">
        <f>IF($I116="","",INDEX(CHOOSE($J$3,'فحص-حاسب-بكالوريوس'!$M$5:$M$208,'فحص-بيانات-بكالوريوس'!$M$5:$M$208,'فحص-بيانات-ماجستير'!$M$5:$M$230),$I116)&amp;"")</f>
        <v/>
      </c>
      <c r="H116" s="2" t="str">
        <f>IF($I116="","",INDEX(CHOOSE($J$3,'فحص-حاسب-بكالوريوس'!$G$5:$G$208,'فحص-بيانات-بكالوريوس'!$G$5:$G$208,'فحص-بيانات-ماجستير'!$G$5:$G$230),$I116)&amp;"")</f>
        <v/>
      </c>
      <c r="I116" s="2" t="str">
        <f>IFERROR(MATCH($E$3&amp;"#"&amp;111,CHOOSE($J$3,'فحص-حاسب-بكالوريوس'!$R$5:$R$208,'فحص-بيانات-بكالوريوس'!$R$5:$R$208,'فحص-بيانات-ماجستير'!$R$5:$R$230),0),"")</f>
        <v/>
      </c>
    </row>
    <row r="117" spans="1:9" x14ac:dyDescent="0.2">
      <c r="A117" s="1" t="str">
        <f>IF($I117="","",112)</f>
        <v/>
      </c>
      <c r="B117" s="2" t="str">
        <f>IF($I117="","",INDEX(CHOOSE($J$3,'فحص-حاسب-بكالوريوس'!$A$5:$A$208,'فحص-بيانات-بكالوريوس'!$A$5:$A$208,'فحص-بيانات-ماجستير'!$A$5:$A$230),$I117)&amp;"")</f>
        <v/>
      </c>
      <c r="C117" s="2" t="str">
        <f>IF($I117="","",INDEX(CHOOSE($J$3,'فحص-حاسب-بكالوريوس'!$F$5:$F$208,'فحص-بيانات-بكالوريوس'!$F$5:$F$208,'فحص-بيانات-ماجستير'!$F$5:$F$230),$I117)&amp;"")</f>
        <v/>
      </c>
      <c r="D117" s="2" t="str">
        <f>IF($I117="","",INDEX(CHOOSE($J$3,'فحص-حاسب-بكالوريوس'!$H$5:$H$208,'فحص-بيانات-بكالوريوس'!$H$5:$H$208,'فحص-بيانات-ماجستير'!$H$5:$H$230),$I117)&amp;"")</f>
        <v/>
      </c>
      <c r="E117" s="2" t="str">
        <f>IF($I117="","",INDEX(CHOOSE($J$3,'فحص-حاسب-بكالوريوس'!$J$5:$J$208,'فحص-بيانات-بكالوريوس'!$J$5:$J$208,'فحص-بيانات-ماجستير'!$J$5:$J$230),$I117)&amp;"")</f>
        <v/>
      </c>
      <c r="F117" s="2" t="str">
        <f>IF($I117="","",INDEX(CHOOSE($J$3,'فحص-حاسب-بكالوريوس'!$L$5:$L$208,'فحص-بيانات-بكالوريوس'!$L$5:$L$208,'فحص-بيانات-ماجستير'!$L$5:$L$230),$I117)&amp;"")</f>
        <v/>
      </c>
      <c r="G117" s="2" t="str">
        <f>IF($I117="","",INDEX(CHOOSE($J$3,'فحص-حاسب-بكالوريوس'!$M$5:$M$208,'فحص-بيانات-بكالوريوس'!$M$5:$M$208,'فحص-بيانات-ماجستير'!$M$5:$M$230),$I117)&amp;"")</f>
        <v/>
      </c>
      <c r="H117" s="2" t="str">
        <f>IF($I117="","",INDEX(CHOOSE($J$3,'فحص-حاسب-بكالوريوس'!$G$5:$G$208,'فحص-بيانات-بكالوريوس'!$G$5:$G$208,'فحص-بيانات-ماجستير'!$G$5:$G$230),$I117)&amp;"")</f>
        <v/>
      </c>
      <c r="I117" s="2" t="str">
        <f>IFERROR(MATCH($E$3&amp;"#"&amp;112,CHOOSE($J$3,'فحص-حاسب-بكالوريوس'!$R$5:$R$208,'فحص-بيانات-بكالوريوس'!$R$5:$R$208,'فحص-بيانات-ماجستير'!$R$5:$R$230),0),"")</f>
        <v/>
      </c>
    </row>
    <row r="118" spans="1:9" x14ac:dyDescent="0.2">
      <c r="A118" s="1" t="str">
        <f>IF($I118="","",113)</f>
        <v/>
      </c>
      <c r="B118" s="2" t="str">
        <f>IF($I118="","",INDEX(CHOOSE($J$3,'فحص-حاسب-بكالوريوس'!$A$5:$A$208,'فحص-بيانات-بكالوريوس'!$A$5:$A$208,'فحص-بيانات-ماجستير'!$A$5:$A$230),$I118)&amp;"")</f>
        <v/>
      </c>
      <c r="C118" s="2" t="str">
        <f>IF($I118="","",INDEX(CHOOSE($J$3,'فحص-حاسب-بكالوريوس'!$F$5:$F$208,'فحص-بيانات-بكالوريوس'!$F$5:$F$208,'فحص-بيانات-ماجستير'!$F$5:$F$230),$I118)&amp;"")</f>
        <v/>
      </c>
      <c r="D118" s="2" t="str">
        <f>IF($I118="","",INDEX(CHOOSE($J$3,'فحص-حاسب-بكالوريوس'!$H$5:$H$208,'فحص-بيانات-بكالوريوس'!$H$5:$H$208,'فحص-بيانات-ماجستير'!$H$5:$H$230),$I118)&amp;"")</f>
        <v/>
      </c>
      <c r="E118" s="2" t="str">
        <f>IF($I118="","",INDEX(CHOOSE($J$3,'فحص-حاسب-بكالوريوس'!$J$5:$J$208,'فحص-بيانات-بكالوريوس'!$J$5:$J$208,'فحص-بيانات-ماجستير'!$J$5:$J$230),$I118)&amp;"")</f>
        <v/>
      </c>
      <c r="F118" s="2" t="str">
        <f>IF($I118="","",INDEX(CHOOSE($J$3,'فحص-حاسب-بكالوريوس'!$L$5:$L$208,'فحص-بيانات-بكالوريوس'!$L$5:$L$208,'فحص-بيانات-ماجستير'!$L$5:$L$230),$I118)&amp;"")</f>
        <v/>
      </c>
      <c r="G118" s="2" t="str">
        <f>IF($I118="","",INDEX(CHOOSE($J$3,'فحص-حاسب-بكالوريوس'!$M$5:$M$208,'فحص-بيانات-بكالوريوس'!$M$5:$M$208,'فحص-بيانات-ماجستير'!$M$5:$M$230),$I118)&amp;"")</f>
        <v/>
      </c>
      <c r="H118" s="2" t="str">
        <f>IF($I118="","",INDEX(CHOOSE($J$3,'فحص-حاسب-بكالوريوس'!$G$5:$G$208,'فحص-بيانات-بكالوريوس'!$G$5:$G$208,'فحص-بيانات-ماجستير'!$G$5:$G$230),$I118)&amp;"")</f>
        <v/>
      </c>
      <c r="I118" s="2" t="str">
        <f>IFERROR(MATCH($E$3&amp;"#"&amp;113,CHOOSE($J$3,'فحص-حاسب-بكالوريوس'!$R$5:$R$208,'فحص-بيانات-بكالوريوس'!$R$5:$R$208,'فحص-بيانات-ماجستير'!$R$5:$R$230),0),"")</f>
        <v/>
      </c>
    </row>
    <row r="119" spans="1:9" x14ac:dyDescent="0.2">
      <c r="A119" s="1" t="str">
        <f>IF($I119="","",114)</f>
        <v/>
      </c>
      <c r="B119" s="2" t="str">
        <f>IF($I119="","",INDEX(CHOOSE($J$3,'فحص-حاسب-بكالوريوس'!$A$5:$A$208,'فحص-بيانات-بكالوريوس'!$A$5:$A$208,'فحص-بيانات-ماجستير'!$A$5:$A$230),$I119)&amp;"")</f>
        <v/>
      </c>
      <c r="C119" s="2" t="str">
        <f>IF($I119="","",INDEX(CHOOSE($J$3,'فحص-حاسب-بكالوريوس'!$F$5:$F$208,'فحص-بيانات-بكالوريوس'!$F$5:$F$208,'فحص-بيانات-ماجستير'!$F$5:$F$230),$I119)&amp;"")</f>
        <v/>
      </c>
      <c r="D119" s="2" t="str">
        <f>IF($I119="","",INDEX(CHOOSE($J$3,'فحص-حاسب-بكالوريوس'!$H$5:$H$208,'فحص-بيانات-بكالوريوس'!$H$5:$H$208,'فحص-بيانات-ماجستير'!$H$5:$H$230),$I119)&amp;"")</f>
        <v/>
      </c>
      <c r="E119" s="2" t="str">
        <f>IF($I119="","",INDEX(CHOOSE($J$3,'فحص-حاسب-بكالوريوس'!$J$5:$J$208,'فحص-بيانات-بكالوريوس'!$J$5:$J$208,'فحص-بيانات-ماجستير'!$J$5:$J$230),$I119)&amp;"")</f>
        <v/>
      </c>
      <c r="F119" s="2" t="str">
        <f>IF($I119="","",INDEX(CHOOSE($J$3,'فحص-حاسب-بكالوريوس'!$L$5:$L$208,'فحص-بيانات-بكالوريوس'!$L$5:$L$208,'فحص-بيانات-ماجستير'!$L$5:$L$230),$I119)&amp;"")</f>
        <v/>
      </c>
      <c r="G119" s="2" t="str">
        <f>IF($I119="","",INDEX(CHOOSE($J$3,'فحص-حاسب-بكالوريوس'!$M$5:$M$208,'فحص-بيانات-بكالوريوس'!$M$5:$M$208,'فحص-بيانات-ماجستير'!$M$5:$M$230),$I119)&amp;"")</f>
        <v/>
      </c>
      <c r="H119" s="2" t="str">
        <f>IF($I119="","",INDEX(CHOOSE($J$3,'فحص-حاسب-بكالوريوس'!$G$5:$G$208,'فحص-بيانات-بكالوريوس'!$G$5:$G$208,'فحص-بيانات-ماجستير'!$G$5:$G$230),$I119)&amp;"")</f>
        <v/>
      </c>
      <c r="I119" s="2" t="str">
        <f>IFERROR(MATCH($E$3&amp;"#"&amp;114,CHOOSE($J$3,'فحص-حاسب-بكالوريوس'!$R$5:$R$208,'فحص-بيانات-بكالوريوس'!$R$5:$R$208,'فحص-بيانات-ماجستير'!$R$5:$R$230),0),"")</f>
        <v/>
      </c>
    </row>
    <row r="120" spans="1:9" x14ac:dyDescent="0.2">
      <c r="A120" s="1" t="str">
        <f>IF($I120="","",115)</f>
        <v/>
      </c>
      <c r="B120" s="2" t="str">
        <f>IF($I120="","",INDEX(CHOOSE($J$3,'فحص-حاسب-بكالوريوس'!$A$5:$A$208,'فحص-بيانات-بكالوريوس'!$A$5:$A$208,'فحص-بيانات-ماجستير'!$A$5:$A$230),$I120)&amp;"")</f>
        <v/>
      </c>
      <c r="C120" s="2" t="str">
        <f>IF($I120="","",INDEX(CHOOSE($J$3,'فحص-حاسب-بكالوريوس'!$F$5:$F$208,'فحص-بيانات-بكالوريوس'!$F$5:$F$208,'فحص-بيانات-ماجستير'!$F$5:$F$230),$I120)&amp;"")</f>
        <v/>
      </c>
      <c r="D120" s="2" t="str">
        <f>IF($I120="","",INDEX(CHOOSE($J$3,'فحص-حاسب-بكالوريوس'!$H$5:$H$208,'فحص-بيانات-بكالوريوس'!$H$5:$H$208,'فحص-بيانات-ماجستير'!$H$5:$H$230),$I120)&amp;"")</f>
        <v/>
      </c>
      <c r="E120" s="2" t="str">
        <f>IF($I120="","",INDEX(CHOOSE($J$3,'فحص-حاسب-بكالوريوس'!$J$5:$J$208,'فحص-بيانات-بكالوريوس'!$J$5:$J$208,'فحص-بيانات-ماجستير'!$J$5:$J$230),$I120)&amp;"")</f>
        <v/>
      </c>
      <c r="F120" s="2" t="str">
        <f>IF($I120="","",INDEX(CHOOSE($J$3,'فحص-حاسب-بكالوريوس'!$L$5:$L$208,'فحص-بيانات-بكالوريوس'!$L$5:$L$208,'فحص-بيانات-ماجستير'!$L$5:$L$230),$I120)&amp;"")</f>
        <v/>
      </c>
      <c r="G120" s="2" t="str">
        <f>IF($I120="","",INDEX(CHOOSE($J$3,'فحص-حاسب-بكالوريوس'!$M$5:$M$208,'فحص-بيانات-بكالوريوس'!$M$5:$M$208,'فحص-بيانات-ماجستير'!$M$5:$M$230),$I120)&amp;"")</f>
        <v/>
      </c>
      <c r="H120" s="2" t="str">
        <f>IF($I120="","",INDEX(CHOOSE($J$3,'فحص-حاسب-بكالوريوس'!$G$5:$G$208,'فحص-بيانات-بكالوريوس'!$G$5:$G$208,'فحص-بيانات-ماجستير'!$G$5:$G$230),$I120)&amp;"")</f>
        <v/>
      </c>
      <c r="I120" s="2" t="str">
        <f>IFERROR(MATCH($E$3&amp;"#"&amp;115,CHOOSE($J$3,'فحص-حاسب-بكالوريوس'!$R$5:$R$208,'فحص-بيانات-بكالوريوس'!$R$5:$R$208,'فحص-بيانات-ماجستير'!$R$5:$R$230),0),"")</f>
        <v/>
      </c>
    </row>
    <row r="121" spans="1:9" x14ac:dyDescent="0.2">
      <c r="A121" s="1" t="str">
        <f>IF($I121="","",116)</f>
        <v/>
      </c>
      <c r="B121" s="2" t="str">
        <f>IF($I121="","",INDEX(CHOOSE($J$3,'فحص-حاسب-بكالوريوس'!$A$5:$A$208,'فحص-بيانات-بكالوريوس'!$A$5:$A$208,'فحص-بيانات-ماجستير'!$A$5:$A$230),$I121)&amp;"")</f>
        <v/>
      </c>
      <c r="C121" s="2" t="str">
        <f>IF($I121="","",INDEX(CHOOSE($J$3,'فحص-حاسب-بكالوريوس'!$F$5:$F$208,'فحص-بيانات-بكالوريوس'!$F$5:$F$208,'فحص-بيانات-ماجستير'!$F$5:$F$230),$I121)&amp;"")</f>
        <v/>
      </c>
      <c r="D121" s="2" t="str">
        <f>IF($I121="","",INDEX(CHOOSE($J$3,'فحص-حاسب-بكالوريوس'!$H$5:$H$208,'فحص-بيانات-بكالوريوس'!$H$5:$H$208,'فحص-بيانات-ماجستير'!$H$5:$H$230),$I121)&amp;"")</f>
        <v/>
      </c>
      <c r="E121" s="2" t="str">
        <f>IF($I121="","",INDEX(CHOOSE($J$3,'فحص-حاسب-بكالوريوس'!$J$5:$J$208,'فحص-بيانات-بكالوريوس'!$J$5:$J$208,'فحص-بيانات-ماجستير'!$J$5:$J$230),$I121)&amp;"")</f>
        <v/>
      </c>
      <c r="F121" s="2" t="str">
        <f>IF($I121="","",INDEX(CHOOSE($J$3,'فحص-حاسب-بكالوريوس'!$L$5:$L$208,'فحص-بيانات-بكالوريوس'!$L$5:$L$208,'فحص-بيانات-ماجستير'!$L$5:$L$230),$I121)&amp;"")</f>
        <v/>
      </c>
      <c r="G121" s="2" t="str">
        <f>IF($I121="","",INDEX(CHOOSE($J$3,'فحص-حاسب-بكالوريوس'!$M$5:$M$208,'فحص-بيانات-بكالوريوس'!$M$5:$M$208,'فحص-بيانات-ماجستير'!$M$5:$M$230),$I121)&amp;"")</f>
        <v/>
      </c>
      <c r="H121" s="2" t="str">
        <f>IF($I121="","",INDEX(CHOOSE($J$3,'فحص-حاسب-بكالوريوس'!$G$5:$G$208,'فحص-بيانات-بكالوريوس'!$G$5:$G$208,'فحص-بيانات-ماجستير'!$G$5:$G$230),$I121)&amp;"")</f>
        <v/>
      </c>
      <c r="I121" s="2" t="str">
        <f>IFERROR(MATCH($E$3&amp;"#"&amp;116,CHOOSE($J$3,'فحص-حاسب-بكالوريوس'!$R$5:$R$208,'فحص-بيانات-بكالوريوس'!$R$5:$R$208,'فحص-بيانات-ماجستير'!$R$5:$R$230),0),"")</f>
        <v/>
      </c>
    </row>
    <row r="122" spans="1:9" x14ac:dyDescent="0.2">
      <c r="A122" s="1" t="str">
        <f>IF($I122="","",117)</f>
        <v/>
      </c>
      <c r="B122" s="2" t="str">
        <f>IF($I122="","",INDEX(CHOOSE($J$3,'فحص-حاسب-بكالوريوس'!$A$5:$A$208,'فحص-بيانات-بكالوريوس'!$A$5:$A$208,'فحص-بيانات-ماجستير'!$A$5:$A$230),$I122)&amp;"")</f>
        <v/>
      </c>
      <c r="C122" s="2" t="str">
        <f>IF($I122="","",INDEX(CHOOSE($J$3,'فحص-حاسب-بكالوريوس'!$F$5:$F$208,'فحص-بيانات-بكالوريوس'!$F$5:$F$208,'فحص-بيانات-ماجستير'!$F$5:$F$230),$I122)&amp;"")</f>
        <v/>
      </c>
      <c r="D122" s="2" t="str">
        <f>IF($I122="","",INDEX(CHOOSE($J$3,'فحص-حاسب-بكالوريوس'!$H$5:$H$208,'فحص-بيانات-بكالوريوس'!$H$5:$H$208,'فحص-بيانات-ماجستير'!$H$5:$H$230),$I122)&amp;"")</f>
        <v/>
      </c>
      <c r="E122" s="2" t="str">
        <f>IF($I122="","",INDEX(CHOOSE($J$3,'فحص-حاسب-بكالوريوس'!$J$5:$J$208,'فحص-بيانات-بكالوريوس'!$J$5:$J$208,'فحص-بيانات-ماجستير'!$J$5:$J$230),$I122)&amp;"")</f>
        <v/>
      </c>
      <c r="F122" s="2" t="str">
        <f>IF($I122="","",INDEX(CHOOSE($J$3,'فحص-حاسب-بكالوريوس'!$L$5:$L$208,'فحص-بيانات-بكالوريوس'!$L$5:$L$208,'فحص-بيانات-ماجستير'!$L$5:$L$230),$I122)&amp;"")</f>
        <v/>
      </c>
      <c r="G122" s="2" t="str">
        <f>IF($I122="","",INDEX(CHOOSE($J$3,'فحص-حاسب-بكالوريوس'!$M$5:$M$208,'فحص-بيانات-بكالوريوس'!$M$5:$M$208,'فحص-بيانات-ماجستير'!$M$5:$M$230),$I122)&amp;"")</f>
        <v/>
      </c>
      <c r="H122" s="2" t="str">
        <f>IF($I122="","",INDEX(CHOOSE($J$3,'فحص-حاسب-بكالوريوس'!$G$5:$G$208,'فحص-بيانات-بكالوريوس'!$G$5:$G$208,'فحص-بيانات-ماجستير'!$G$5:$G$230),$I122)&amp;"")</f>
        <v/>
      </c>
      <c r="I122" s="2" t="str">
        <f>IFERROR(MATCH($E$3&amp;"#"&amp;117,CHOOSE($J$3,'فحص-حاسب-بكالوريوس'!$R$5:$R$208,'فحص-بيانات-بكالوريوس'!$R$5:$R$208,'فحص-بيانات-ماجستير'!$R$5:$R$230),0),"")</f>
        <v/>
      </c>
    </row>
    <row r="123" spans="1:9" x14ac:dyDescent="0.2">
      <c r="A123" s="1" t="str">
        <f>IF($I123="","",118)</f>
        <v/>
      </c>
      <c r="B123" s="2" t="str">
        <f>IF($I123="","",INDEX(CHOOSE($J$3,'فحص-حاسب-بكالوريوس'!$A$5:$A$208,'فحص-بيانات-بكالوريوس'!$A$5:$A$208,'فحص-بيانات-ماجستير'!$A$5:$A$230),$I123)&amp;"")</f>
        <v/>
      </c>
      <c r="C123" s="2" t="str">
        <f>IF($I123="","",INDEX(CHOOSE($J$3,'فحص-حاسب-بكالوريوس'!$F$5:$F$208,'فحص-بيانات-بكالوريوس'!$F$5:$F$208,'فحص-بيانات-ماجستير'!$F$5:$F$230),$I123)&amp;"")</f>
        <v/>
      </c>
      <c r="D123" s="2" t="str">
        <f>IF($I123="","",INDEX(CHOOSE($J$3,'فحص-حاسب-بكالوريوس'!$H$5:$H$208,'فحص-بيانات-بكالوريوس'!$H$5:$H$208,'فحص-بيانات-ماجستير'!$H$5:$H$230),$I123)&amp;"")</f>
        <v/>
      </c>
      <c r="E123" s="2" t="str">
        <f>IF($I123="","",INDEX(CHOOSE($J$3,'فحص-حاسب-بكالوريوس'!$J$5:$J$208,'فحص-بيانات-بكالوريوس'!$J$5:$J$208,'فحص-بيانات-ماجستير'!$J$5:$J$230),$I123)&amp;"")</f>
        <v/>
      </c>
      <c r="F123" s="2" t="str">
        <f>IF($I123="","",INDEX(CHOOSE($J$3,'فحص-حاسب-بكالوريوس'!$L$5:$L$208,'فحص-بيانات-بكالوريوس'!$L$5:$L$208,'فحص-بيانات-ماجستير'!$L$5:$L$230),$I123)&amp;"")</f>
        <v/>
      </c>
      <c r="G123" s="2" t="str">
        <f>IF($I123="","",INDEX(CHOOSE($J$3,'فحص-حاسب-بكالوريوس'!$M$5:$M$208,'فحص-بيانات-بكالوريوس'!$M$5:$M$208,'فحص-بيانات-ماجستير'!$M$5:$M$230),$I123)&amp;"")</f>
        <v/>
      </c>
      <c r="H123" s="2" t="str">
        <f>IF($I123="","",INDEX(CHOOSE($J$3,'فحص-حاسب-بكالوريوس'!$G$5:$G$208,'فحص-بيانات-بكالوريوس'!$G$5:$G$208,'فحص-بيانات-ماجستير'!$G$5:$G$230),$I123)&amp;"")</f>
        <v/>
      </c>
      <c r="I123" s="2" t="str">
        <f>IFERROR(MATCH($E$3&amp;"#"&amp;118,CHOOSE($J$3,'فحص-حاسب-بكالوريوس'!$R$5:$R$208,'فحص-بيانات-بكالوريوس'!$R$5:$R$208,'فحص-بيانات-ماجستير'!$R$5:$R$230),0),"")</f>
        <v/>
      </c>
    </row>
    <row r="124" spans="1:9" x14ac:dyDescent="0.2">
      <c r="A124" s="1" t="str">
        <f>IF($I124="","",119)</f>
        <v/>
      </c>
      <c r="B124" s="2" t="str">
        <f>IF($I124="","",INDEX(CHOOSE($J$3,'فحص-حاسب-بكالوريوس'!$A$5:$A$208,'فحص-بيانات-بكالوريوس'!$A$5:$A$208,'فحص-بيانات-ماجستير'!$A$5:$A$230),$I124)&amp;"")</f>
        <v/>
      </c>
      <c r="C124" s="2" t="str">
        <f>IF($I124="","",INDEX(CHOOSE($J$3,'فحص-حاسب-بكالوريوس'!$F$5:$F$208,'فحص-بيانات-بكالوريوس'!$F$5:$F$208,'فحص-بيانات-ماجستير'!$F$5:$F$230),$I124)&amp;"")</f>
        <v/>
      </c>
      <c r="D124" s="2" t="str">
        <f>IF($I124="","",INDEX(CHOOSE($J$3,'فحص-حاسب-بكالوريوس'!$H$5:$H$208,'فحص-بيانات-بكالوريوس'!$H$5:$H$208,'فحص-بيانات-ماجستير'!$H$5:$H$230),$I124)&amp;"")</f>
        <v/>
      </c>
      <c r="E124" s="2" t="str">
        <f>IF($I124="","",INDEX(CHOOSE($J$3,'فحص-حاسب-بكالوريوس'!$J$5:$J$208,'فحص-بيانات-بكالوريوس'!$J$5:$J$208,'فحص-بيانات-ماجستير'!$J$5:$J$230),$I124)&amp;"")</f>
        <v/>
      </c>
      <c r="F124" s="2" t="str">
        <f>IF($I124="","",INDEX(CHOOSE($J$3,'فحص-حاسب-بكالوريوس'!$L$5:$L$208,'فحص-بيانات-بكالوريوس'!$L$5:$L$208,'فحص-بيانات-ماجستير'!$L$5:$L$230),$I124)&amp;"")</f>
        <v/>
      </c>
      <c r="G124" s="2" t="str">
        <f>IF($I124="","",INDEX(CHOOSE($J$3,'فحص-حاسب-بكالوريوس'!$M$5:$M$208,'فحص-بيانات-بكالوريوس'!$M$5:$M$208,'فحص-بيانات-ماجستير'!$M$5:$M$230),$I124)&amp;"")</f>
        <v/>
      </c>
      <c r="H124" s="2" t="str">
        <f>IF($I124="","",INDEX(CHOOSE($J$3,'فحص-حاسب-بكالوريوس'!$G$5:$G$208,'فحص-بيانات-بكالوريوس'!$G$5:$G$208,'فحص-بيانات-ماجستير'!$G$5:$G$230),$I124)&amp;"")</f>
        <v/>
      </c>
      <c r="I124" s="2" t="str">
        <f>IFERROR(MATCH($E$3&amp;"#"&amp;119,CHOOSE($J$3,'فحص-حاسب-بكالوريوس'!$R$5:$R$208,'فحص-بيانات-بكالوريوس'!$R$5:$R$208,'فحص-بيانات-ماجستير'!$R$5:$R$230),0),"")</f>
        <v/>
      </c>
    </row>
    <row r="125" spans="1:9" x14ac:dyDescent="0.2">
      <c r="A125" s="1" t="str">
        <f>IF($I125="","",120)</f>
        <v/>
      </c>
      <c r="B125" s="2" t="str">
        <f>IF($I125="","",INDEX(CHOOSE($J$3,'فحص-حاسب-بكالوريوس'!$A$5:$A$208,'فحص-بيانات-بكالوريوس'!$A$5:$A$208,'فحص-بيانات-ماجستير'!$A$5:$A$230),$I125)&amp;"")</f>
        <v/>
      </c>
      <c r="C125" s="2" t="str">
        <f>IF($I125="","",INDEX(CHOOSE($J$3,'فحص-حاسب-بكالوريوس'!$F$5:$F$208,'فحص-بيانات-بكالوريوس'!$F$5:$F$208,'فحص-بيانات-ماجستير'!$F$5:$F$230),$I125)&amp;"")</f>
        <v/>
      </c>
      <c r="D125" s="2" t="str">
        <f>IF($I125="","",INDEX(CHOOSE($J$3,'فحص-حاسب-بكالوريوس'!$H$5:$H$208,'فحص-بيانات-بكالوريوس'!$H$5:$H$208,'فحص-بيانات-ماجستير'!$H$5:$H$230),$I125)&amp;"")</f>
        <v/>
      </c>
      <c r="E125" s="2" t="str">
        <f>IF($I125="","",INDEX(CHOOSE($J$3,'فحص-حاسب-بكالوريوس'!$J$5:$J$208,'فحص-بيانات-بكالوريوس'!$J$5:$J$208,'فحص-بيانات-ماجستير'!$J$5:$J$230),$I125)&amp;"")</f>
        <v/>
      </c>
      <c r="F125" s="2" t="str">
        <f>IF($I125="","",INDEX(CHOOSE($J$3,'فحص-حاسب-بكالوريوس'!$L$5:$L$208,'فحص-بيانات-بكالوريوس'!$L$5:$L$208,'فحص-بيانات-ماجستير'!$L$5:$L$230),$I125)&amp;"")</f>
        <v/>
      </c>
      <c r="G125" s="2" t="str">
        <f>IF($I125="","",INDEX(CHOOSE($J$3,'فحص-حاسب-بكالوريوس'!$M$5:$M$208,'فحص-بيانات-بكالوريوس'!$M$5:$M$208,'فحص-بيانات-ماجستير'!$M$5:$M$230),$I125)&amp;"")</f>
        <v/>
      </c>
      <c r="H125" s="2" t="str">
        <f>IF($I125="","",INDEX(CHOOSE($J$3,'فحص-حاسب-بكالوريوس'!$G$5:$G$208,'فحص-بيانات-بكالوريوس'!$G$5:$G$208,'فحص-بيانات-ماجستير'!$G$5:$G$230),$I125)&amp;"")</f>
        <v/>
      </c>
      <c r="I125" s="2" t="str">
        <f>IFERROR(MATCH($E$3&amp;"#"&amp;120,CHOOSE($J$3,'فحص-حاسب-بكالوريوس'!$R$5:$R$208,'فحص-بيانات-بكالوريوس'!$R$5:$R$208,'فحص-بيانات-ماجستير'!$R$5:$R$230),0),"")</f>
        <v/>
      </c>
    </row>
    <row r="126" spans="1:9" x14ac:dyDescent="0.2">
      <c r="A126" s="1" t="str">
        <f>IF($I126="","",121)</f>
        <v/>
      </c>
      <c r="B126" s="2" t="str">
        <f>IF($I126="","",INDEX(CHOOSE($J$3,'فحص-حاسب-بكالوريوس'!$A$5:$A$208,'فحص-بيانات-بكالوريوس'!$A$5:$A$208,'فحص-بيانات-ماجستير'!$A$5:$A$230),$I126)&amp;"")</f>
        <v/>
      </c>
      <c r="C126" s="2" t="str">
        <f>IF($I126="","",INDEX(CHOOSE($J$3,'فحص-حاسب-بكالوريوس'!$F$5:$F$208,'فحص-بيانات-بكالوريوس'!$F$5:$F$208,'فحص-بيانات-ماجستير'!$F$5:$F$230),$I126)&amp;"")</f>
        <v/>
      </c>
      <c r="D126" s="2" t="str">
        <f>IF($I126="","",INDEX(CHOOSE($J$3,'فحص-حاسب-بكالوريوس'!$H$5:$H$208,'فحص-بيانات-بكالوريوس'!$H$5:$H$208,'فحص-بيانات-ماجستير'!$H$5:$H$230),$I126)&amp;"")</f>
        <v/>
      </c>
      <c r="E126" s="2" t="str">
        <f>IF($I126="","",INDEX(CHOOSE($J$3,'فحص-حاسب-بكالوريوس'!$J$5:$J$208,'فحص-بيانات-بكالوريوس'!$J$5:$J$208,'فحص-بيانات-ماجستير'!$J$5:$J$230),$I126)&amp;"")</f>
        <v/>
      </c>
      <c r="F126" s="2" t="str">
        <f>IF($I126="","",INDEX(CHOOSE($J$3,'فحص-حاسب-بكالوريوس'!$L$5:$L$208,'فحص-بيانات-بكالوريوس'!$L$5:$L$208,'فحص-بيانات-ماجستير'!$L$5:$L$230),$I126)&amp;"")</f>
        <v/>
      </c>
      <c r="G126" s="2" t="str">
        <f>IF($I126="","",INDEX(CHOOSE($J$3,'فحص-حاسب-بكالوريوس'!$M$5:$M$208,'فحص-بيانات-بكالوريوس'!$M$5:$M$208,'فحص-بيانات-ماجستير'!$M$5:$M$230),$I126)&amp;"")</f>
        <v/>
      </c>
      <c r="H126" s="2" t="str">
        <f>IF($I126="","",INDEX(CHOOSE($J$3,'فحص-حاسب-بكالوريوس'!$G$5:$G$208,'فحص-بيانات-بكالوريوس'!$G$5:$G$208,'فحص-بيانات-ماجستير'!$G$5:$G$230),$I126)&amp;"")</f>
        <v/>
      </c>
      <c r="I126" s="2" t="str">
        <f>IFERROR(MATCH($E$3&amp;"#"&amp;121,CHOOSE($J$3,'فحص-حاسب-بكالوريوس'!$R$5:$R$208,'فحص-بيانات-بكالوريوس'!$R$5:$R$208,'فحص-بيانات-ماجستير'!$R$5:$R$230),0),"")</f>
        <v/>
      </c>
    </row>
    <row r="127" spans="1:9" x14ac:dyDescent="0.2">
      <c r="A127" s="1" t="str">
        <f>IF($I127="","",122)</f>
        <v/>
      </c>
      <c r="B127" s="2" t="str">
        <f>IF($I127="","",INDEX(CHOOSE($J$3,'فحص-حاسب-بكالوريوس'!$A$5:$A$208,'فحص-بيانات-بكالوريوس'!$A$5:$A$208,'فحص-بيانات-ماجستير'!$A$5:$A$230),$I127)&amp;"")</f>
        <v/>
      </c>
      <c r="C127" s="2" t="str">
        <f>IF($I127="","",INDEX(CHOOSE($J$3,'فحص-حاسب-بكالوريوس'!$F$5:$F$208,'فحص-بيانات-بكالوريوس'!$F$5:$F$208,'فحص-بيانات-ماجستير'!$F$5:$F$230),$I127)&amp;"")</f>
        <v/>
      </c>
      <c r="D127" s="2" t="str">
        <f>IF($I127="","",INDEX(CHOOSE($J$3,'فحص-حاسب-بكالوريوس'!$H$5:$H$208,'فحص-بيانات-بكالوريوس'!$H$5:$H$208,'فحص-بيانات-ماجستير'!$H$5:$H$230),$I127)&amp;"")</f>
        <v/>
      </c>
      <c r="E127" s="2" t="str">
        <f>IF($I127="","",INDEX(CHOOSE($J$3,'فحص-حاسب-بكالوريوس'!$J$5:$J$208,'فحص-بيانات-بكالوريوس'!$J$5:$J$208,'فحص-بيانات-ماجستير'!$J$5:$J$230),$I127)&amp;"")</f>
        <v/>
      </c>
      <c r="F127" s="2" t="str">
        <f>IF($I127="","",INDEX(CHOOSE($J$3,'فحص-حاسب-بكالوريوس'!$L$5:$L$208,'فحص-بيانات-بكالوريوس'!$L$5:$L$208,'فحص-بيانات-ماجستير'!$L$5:$L$230),$I127)&amp;"")</f>
        <v/>
      </c>
      <c r="G127" s="2" t="str">
        <f>IF($I127="","",INDEX(CHOOSE($J$3,'فحص-حاسب-بكالوريوس'!$M$5:$M$208,'فحص-بيانات-بكالوريوس'!$M$5:$M$208,'فحص-بيانات-ماجستير'!$M$5:$M$230),$I127)&amp;"")</f>
        <v/>
      </c>
      <c r="H127" s="2" t="str">
        <f>IF($I127="","",INDEX(CHOOSE($J$3,'فحص-حاسب-بكالوريوس'!$G$5:$G$208,'فحص-بيانات-بكالوريوس'!$G$5:$G$208,'فحص-بيانات-ماجستير'!$G$5:$G$230),$I127)&amp;"")</f>
        <v/>
      </c>
      <c r="I127" s="2" t="str">
        <f>IFERROR(MATCH($E$3&amp;"#"&amp;122,CHOOSE($J$3,'فحص-حاسب-بكالوريوس'!$R$5:$R$208,'فحص-بيانات-بكالوريوس'!$R$5:$R$208,'فحص-بيانات-ماجستير'!$R$5:$R$230),0),"")</f>
        <v/>
      </c>
    </row>
    <row r="128" spans="1:9" x14ac:dyDescent="0.2">
      <c r="A128" s="1" t="str">
        <f>IF($I128="","",123)</f>
        <v/>
      </c>
      <c r="B128" s="2" t="str">
        <f>IF($I128="","",INDEX(CHOOSE($J$3,'فحص-حاسب-بكالوريوس'!$A$5:$A$208,'فحص-بيانات-بكالوريوس'!$A$5:$A$208,'فحص-بيانات-ماجستير'!$A$5:$A$230),$I128)&amp;"")</f>
        <v/>
      </c>
      <c r="C128" s="2" t="str">
        <f>IF($I128="","",INDEX(CHOOSE($J$3,'فحص-حاسب-بكالوريوس'!$F$5:$F$208,'فحص-بيانات-بكالوريوس'!$F$5:$F$208,'فحص-بيانات-ماجستير'!$F$5:$F$230),$I128)&amp;"")</f>
        <v/>
      </c>
      <c r="D128" s="2" t="str">
        <f>IF($I128="","",INDEX(CHOOSE($J$3,'فحص-حاسب-بكالوريوس'!$H$5:$H$208,'فحص-بيانات-بكالوريوس'!$H$5:$H$208,'فحص-بيانات-ماجستير'!$H$5:$H$230),$I128)&amp;"")</f>
        <v/>
      </c>
      <c r="E128" s="2" t="str">
        <f>IF($I128="","",INDEX(CHOOSE($J$3,'فحص-حاسب-بكالوريوس'!$J$5:$J$208,'فحص-بيانات-بكالوريوس'!$J$5:$J$208,'فحص-بيانات-ماجستير'!$J$5:$J$230),$I128)&amp;"")</f>
        <v/>
      </c>
      <c r="F128" s="2" t="str">
        <f>IF($I128="","",INDEX(CHOOSE($J$3,'فحص-حاسب-بكالوريوس'!$L$5:$L$208,'فحص-بيانات-بكالوريوس'!$L$5:$L$208,'فحص-بيانات-ماجستير'!$L$5:$L$230),$I128)&amp;"")</f>
        <v/>
      </c>
      <c r="G128" s="2" t="str">
        <f>IF($I128="","",INDEX(CHOOSE($J$3,'فحص-حاسب-بكالوريوس'!$M$5:$M$208,'فحص-بيانات-بكالوريوس'!$M$5:$M$208,'فحص-بيانات-ماجستير'!$M$5:$M$230),$I128)&amp;"")</f>
        <v/>
      </c>
      <c r="H128" s="2" t="str">
        <f>IF($I128="","",INDEX(CHOOSE($J$3,'فحص-حاسب-بكالوريوس'!$G$5:$G$208,'فحص-بيانات-بكالوريوس'!$G$5:$G$208,'فحص-بيانات-ماجستير'!$G$5:$G$230),$I128)&amp;"")</f>
        <v/>
      </c>
      <c r="I128" s="2" t="str">
        <f>IFERROR(MATCH($E$3&amp;"#"&amp;123,CHOOSE($J$3,'فحص-حاسب-بكالوريوس'!$R$5:$R$208,'فحص-بيانات-بكالوريوس'!$R$5:$R$208,'فحص-بيانات-ماجستير'!$R$5:$R$230),0),"")</f>
        <v/>
      </c>
    </row>
    <row r="129" spans="1:9" x14ac:dyDescent="0.2">
      <c r="A129" s="1" t="str">
        <f>IF($I129="","",124)</f>
        <v/>
      </c>
      <c r="B129" s="2" t="str">
        <f>IF($I129="","",INDEX(CHOOSE($J$3,'فحص-حاسب-بكالوريوس'!$A$5:$A$208,'فحص-بيانات-بكالوريوس'!$A$5:$A$208,'فحص-بيانات-ماجستير'!$A$5:$A$230),$I129)&amp;"")</f>
        <v/>
      </c>
      <c r="C129" s="2" t="str">
        <f>IF($I129="","",INDEX(CHOOSE($J$3,'فحص-حاسب-بكالوريوس'!$F$5:$F$208,'فحص-بيانات-بكالوريوس'!$F$5:$F$208,'فحص-بيانات-ماجستير'!$F$5:$F$230),$I129)&amp;"")</f>
        <v/>
      </c>
      <c r="D129" s="2" t="str">
        <f>IF($I129="","",INDEX(CHOOSE($J$3,'فحص-حاسب-بكالوريوس'!$H$5:$H$208,'فحص-بيانات-بكالوريوس'!$H$5:$H$208,'فحص-بيانات-ماجستير'!$H$5:$H$230),$I129)&amp;"")</f>
        <v/>
      </c>
      <c r="E129" s="2" t="str">
        <f>IF($I129="","",INDEX(CHOOSE($J$3,'فحص-حاسب-بكالوريوس'!$J$5:$J$208,'فحص-بيانات-بكالوريوس'!$J$5:$J$208,'فحص-بيانات-ماجستير'!$J$5:$J$230),$I129)&amp;"")</f>
        <v/>
      </c>
      <c r="F129" s="2" t="str">
        <f>IF($I129="","",INDEX(CHOOSE($J$3,'فحص-حاسب-بكالوريوس'!$L$5:$L$208,'فحص-بيانات-بكالوريوس'!$L$5:$L$208,'فحص-بيانات-ماجستير'!$L$5:$L$230),$I129)&amp;"")</f>
        <v/>
      </c>
      <c r="G129" s="2" t="str">
        <f>IF($I129="","",INDEX(CHOOSE($J$3,'فحص-حاسب-بكالوريوس'!$M$5:$M$208,'فحص-بيانات-بكالوريوس'!$M$5:$M$208,'فحص-بيانات-ماجستير'!$M$5:$M$230),$I129)&amp;"")</f>
        <v/>
      </c>
      <c r="H129" s="2" t="str">
        <f>IF($I129="","",INDEX(CHOOSE($J$3,'فحص-حاسب-بكالوريوس'!$G$5:$G$208,'فحص-بيانات-بكالوريوس'!$G$5:$G$208,'فحص-بيانات-ماجستير'!$G$5:$G$230),$I129)&amp;"")</f>
        <v/>
      </c>
      <c r="I129" s="2" t="str">
        <f>IFERROR(MATCH($E$3&amp;"#"&amp;124,CHOOSE($J$3,'فحص-حاسب-بكالوريوس'!$R$5:$R$208,'فحص-بيانات-بكالوريوس'!$R$5:$R$208,'فحص-بيانات-ماجستير'!$R$5:$R$230),0),"")</f>
        <v/>
      </c>
    </row>
    <row r="130" spans="1:9" x14ac:dyDescent="0.2">
      <c r="A130" s="1" t="str">
        <f>IF($I130="","",125)</f>
        <v/>
      </c>
      <c r="B130" s="2" t="str">
        <f>IF($I130="","",INDEX(CHOOSE($J$3,'فحص-حاسب-بكالوريوس'!$A$5:$A$208,'فحص-بيانات-بكالوريوس'!$A$5:$A$208,'فحص-بيانات-ماجستير'!$A$5:$A$230),$I130)&amp;"")</f>
        <v/>
      </c>
      <c r="C130" s="2" t="str">
        <f>IF($I130="","",INDEX(CHOOSE($J$3,'فحص-حاسب-بكالوريوس'!$F$5:$F$208,'فحص-بيانات-بكالوريوس'!$F$5:$F$208,'فحص-بيانات-ماجستير'!$F$5:$F$230),$I130)&amp;"")</f>
        <v/>
      </c>
      <c r="D130" s="2" t="str">
        <f>IF($I130="","",INDEX(CHOOSE($J$3,'فحص-حاسب-بكالوريوس'!$H$5:$H$208,'فحص-بيانات-بكالوريوس'!$H$5:$H$208,'فحص-بيانات-ماجستير'!$H$5:$H$230),$I130)&amp;"")</f>
        <v/>
      </c>
      <c r="E130" s="2" t="str">
        <f>IF($I130="","",INDEX(CHOOSE($J$3,'فحص-حاسب-بكالوريوس'!$J$5:$J$208,'فحص-بيانات-بكالوريوس'!$J$5:$J$208,'فحص-بيانات-ماجستير'!$J$5:$J$230),$I130)&amp;"")</f>
        <v/>
      </c>
      <c r="F130" s="2" t="str">
        <f>IF($I130="","",INDEX(CHOOSE($J$3,'فحص-حاسب-بكالوريوس'!$L$5:$L$208,'فحص-بيانات-بكالوريوس'!$L$5:$L$208,'فحص-بيانات-ماجستير'!$L$5:$L$230),$I130)&amp;"")</f>
        <v/>
      </c>
      <c r="G130" s="2" t="str">
        <f>IF($I130="","",INDEX(CHOOSE($J$3,'فحص-حاسب-بكالوريوس'!$M$5:$M$208,'فحص-بيانات-بكالوريوس'!$M$5:$M$208,'فحص-بيانات-ماجستير'!$M$5:$M$230),$I130)&amp;"")</f>
        <v/>
      </c>
      <c r="H130" s="2" t="str">
        <f>IF($I130="","",INDEX(CHOOSE($J$3,'فحص-حاسب-بكالوريوس'!$G$5:$G$208,'فحص-بيانات-بكالوريوس'!$G$5:$G$208,'فحص-بيانات-ماجستير'!$G$5:$G$230),$I130)&amp;"")</f>
        <v/>
      </c>
      <c r="I130" s="2" t="str">
        <f>IFERROR(MATCH($E$3&amp;"#"&amp;125,CHOOSE($J$3,'فحص-حاسب-بكالوريوس'!$R$5:$R$208,'فحص-بيانات-بكالوريوس'!$R$5:$R$208,'فحص-بيانات-ماجستير'!$R$5:$R$230),0),"")</f>
        <v/>
      </c>
    </row>
    <row r="131" spans="1:9" x14ac:dyDescent="0.2">
      <c r="A131" s="1" t="str">
        <f>IF($I131="","",126)</f>
        <v/>
      </c>
      <c r="B131" s="2" t="str">
        <f>IF($I131="","",INDEX(CHOOSE($J$3,'فحص-حاسب-بكالوريوس'!$A$5:$A$208,'فحص-بيانات-بكالوريوس'!$A$5:$A$208,'فحص-بيانات-ماجستير'!$A$5:$A$230),$I131)&amp;"")</f>
        <v/>
      </c>
      <c r="C131" s="2" t="str">
        <f>IF($I131="","",INDEX(CHOOSE($J$3,'فحص-حاسب-بكالوريوس'!$F$5:$F$208,'فحص-بيانات-بكالوريوس'!$F$5:$F$208,'فحص-بيانات-ماجستير'!$F$5:$F$230),$I131)&amp;"")</f>
        <v/>
      </c>
      <c r="D131" s="2" t="str">
        <f>IF($I131="","",INDEX(CHOOSE($J$3,'فحص-حاسب-بكالوريوس'!$H$5:$H$208,'فحص-بيانات-بكالوريوس'!$H$5:$H$208,'فحص-بيانات-ماجستير'!$H$5:$H$230),$I131)&amp;"")</f>
        <v/>
      </c>
      <c r="E131" s="2" t="str">
        <f>IF($I131="","",INDEX(CHOOSE($J$3,'فحص-حاسب-بكالوريوس'!$J$5:$J$208,'فحص-بيانات-بكالوريوس'!$J$5:$J$208,'فحص-بيانات-ماجستير'!$J$5:$J$230),$I131)&amp;"")</f>
        <v/>
      </c>
      <c r="F131" s="2" t="str">
        <f>IF($I131="","",INDEX(CHOOSE($J$3,'فحص-حاسب-بكالوريوس'!$L$5:$L$208,'فحص-بيانات-بكالوريوس'!$L$5:$L$208,'فحص-بيانات-ماجستير'!$L$5:$L$230),$I131)&amp;"")</f>
        <v/>
      </c>
      <c r="G131" s="2" t="str">
        <f>IF($I131="","",INDEX(CHOOSE($J$3,'فحص-حاسب-بكالوريوس'!$M$5:$M$208,'فحص-بيانات-بكالوريوس'!$M$5:$M$208,'فحص-بيانات-ماجستير'!$M$5:$M$230),$I131)&amp;"")</f>
        <v/>
      </c>
      <c r="H131" s="2" t="str">
        <f>IF($I131="","",INDEX(CHOOSE($J$3,'فحص-حاسب-بكالوريوس'!$G$5:$G$208,'فحص-بيانات-بكالوريوس'!$G$5:$G$208,'فحص-بيانات-ماجستير'!$G$5:$G$230),$I131)&amp;"")</f>
        <v/>
      </c>
      <c r="I131" s="2" t="str">
        <f>IFERROR(MATCH($E$3&amp;"#"&amp;126,CHOOSE($J$3,'فحص-حاسب-بكالوريوس'!$R$5:$R$208,'فحص-بيانات-بكالوريوس'!$R$5:$R$208,'فحص-بيانات-ماجستير'!$R$5:$R$230),0),"")</f>
        <v/>
      </c>
    </row>
    <row r="132" spans="1:9" x14ac:dyDescent="0.2">
      <c r="A132" s="1" t="str">
        <f>IF($I132="","",127)</f>
        <v/>
      </c>
      <c r="B132" s="2" t="str">
        <f>IF($I132="","",INDEX(CHOOSE($J$3,'فحص-حاسب-بكالوريوس'!$A$5:$A$208,'فحص-بيانات-بكالوريوس'!$A$5:$A$208,'فحص-بيانات-ماجستير'!$A$5:$A$230),$I132)&amp;"")</f>
        <v/>
      </c>
      <c r="C132" s="2" t="str">
        <f>IF($I132="","",INDEX(CHOOSE($J$3,'فحص-حاسب-بكالوريوس'!$F$5:$F$208,'فحص-بيانات-بكالوريوس'!$F$5:$F$208,'فحص-بيانات-ماجستير'!$F$5:$F$230),$I132)&amp;"")</f>
        <v/>
      </c>
      <c r="D132" s="2" t="str">
        <f>IF($I132="","",INDEX(CHOOSE($J$3,'فحص-حاسب-بكالوريوس'!$H$5:$H$208,'فحص-بيانات-بكالوريوس'!$H$5:$H$208,'فحص-بيانات-ماجستير'!$H$5:$H$230),$I132)&amp;"")</f>
        <v/>
      </c>
      <c r="E132" s="2" t="str">
        <f>IF($I132="","",INDEX(CHOOSE($J$3,'فحص-حاسب-بكالوريوس'!$J$5:$J$208,'فحص-بيانات-بكالوريوس'!$J$5:$J$208,'فحص-بيانات-ماجستير'!$J$5:$J$230),$I132)&amp;"")</f>
        <v/>
      </c>
      <c r="F132" s="2" t="str">
        <f>IF($I132="","",INDEX(CHOOSE($J$3,'فحص-حاسب-بكالوريوس'!$L$5:$L$208,'فحص-بيانات-بكالوريوس'!$L$5:$L$208,'فحص-بيانات-ماجستير'!$L$5:$L$230),$I132)&amp;"")</f>
        <v/>
      </c>
      <c r="G132" s="2" t="str">
        <f>IF($I132="","",INDEX(CHOOSE($J$3,'فحص-حاسب-بكالوريوس'!$M$5:$M$208,'فحص-بيانات-بكالوريوس'!$M$5:$M$208,'فحص-بيانات-ماجستير'!$M$5:$M$230),$I132)&amp;"")</f>
        <v/>
      </c>
      <c r="H132" s="2" t="str">
        <f>IF($I132="","",INDEX(CHOOSE($J$3,'فحص-حاسب-بكالوريوس'!$G$5:$G$208,'فحص-بيانات-بكالوريوس'!$G$5:$G$208,'فحص-بيانات-ماجستير'!$G$5:$G$230),$I132)&amp;"")</f>
        <v/>
      </c>
      <c r="I132" s="2" t="str">
        <f>IFERROR(MATCH($E$3&amp;"#"&amp;127,CHOOSE($J$3,'فحص-حاسب-بكالوريوس'!$R$5:$R$208,'فحص-بيانات-بكالوريوس'!$R$5:$R$208,'فحص-بيانات-ماجستير'!$R$5:$R$230),0),"")</f>
        <v/>
      </c>
    </row>
    <row r="133" spans="1:9" x14ac:dyDescent="0.2">
      <c r="A133" s="1" t="str">
        <f>IF($I133="","",128)</f>
        <v/>
      </c>
      <c r="B133" s="2" t="str">
        <f>IF($I133="","",INDEX(CHOOSE($J$3,'فحص-حاسب-بكالوريوس'!$A$5:$A$208,'فحص-بيانات-بكالوريوس'!$A$5:$A$208,'فحص-بيانات-ماجستير'!$A$5:$A$230),$I133)&amp;"")</f>
        <v/>
      </c>
      <c r="C133" s="2" t="str">
        <f>IF($I133="","",INDEX(CHOOSE($J$3,'فحص-حاسب-بكالوريوس'!$F$5:$F$208,'فحص-بيانات-بكالوريوس'!$F$5:$F$208,'فحص-بيانات-ماجستير'!$F$5:$F$230),$I133)&amp;"")</f>
        <v/>
      </c>
      <c r="D133" s="2" t="str">
        <f>IF($I133="","",INDEX(CHOOSE($J$3,'فحص-حاسب-بكالوريوس'!$H$5:$H$208,'فحص-بيانات-بكالوريوس'!$H$5:$H$208,'فحص-بيانات-ماجستير'!$H$5:$H$230),$I133)&amp;"")</f>
        <v/>
      </c>
      <c r="E133" s="2" t="str">
        <f>IF($I133="","",INDEX(CHOOSE($J$3,'فحص-حاسب-بكالوريوس'!$J$5:$J$208,'فحص-بيانات-بكالوريوس'!$J$5:$J$208,'فحص-بيانات-ماجستير'!$J$5:$J$230),$I133)&amp;"")</f>
        <v/>
      </c>
      <c r="F133" s="2" t="str">
        <f>IF($I133="","",INDEX(CHOOSE($J$3,'فحص-حاسب-بكالوريوس'!$L$5:$L$208,'فحص-بيانات-بكالوريوس'!$L$5:$L$208,'فحص-بيانات-ماجستير'!$L$5:$L$230),$I133)&amp;"")</f>
        <v/>
      </c>
      <c r="G133" s="2" t="str">
        <f>IF($I133="","",INDEX(CHOOSE($J$3,'فحص-حاسب-بكالوريوس'!$M$5:$M$208,'فحص-بيانات-بكالوريوس'!$M$5:$M$208,'فحص-بيانات-ماجستير'!$M$5:$M$230),$I133)&amp;"")</f>
        <v/>
      </c>
      <c r="H133" s="2" t="str">
        <f>IF($I133="","",INDEX(CHOOSE($J$3,'فحص-حاسب-بكالوريوس'!$G$5:$G$208,'فحص-بيانات-بكالوريوس'!$G$5:$G$208,'فحص-بيانات-ماجستير'!$G$5:$G$230),$I133)&amp;"")</f>
        <v/>
      </c>
      <c r="I133" s="2" t="str">
        <f>IFERROR(MATCH($E$3&amp;"#"&amp;128,CHOOSE($J$3,'فحص-حاسب-بكالوريوس'!$R$5:$R$208,'فحص-بيانات-بكالوريوس'!$R$5:$R$208,'فحص-بيانات-ماجستير'!$R$5:$R$230),0),"")</f>
        <v/>
      </c>
    </row>
    <row r="134" spans="1:9" x14ac:dyDescent="0.2">
      <c r="A134" s="1" t="str">
        <f>IF($I134="","",129)</f>
        <v/>
      </c>
      <c r="B134" s="2" t="str">
        <f>IF($I134="","",INDEX(CHOOSE($J$3,'فحص-حاسب-بكالوريوس'!$A$5:$A$208,'فحص-بيانات-بكالوريوس'!$A$5:$A$208,'فحص-بيانات-ماجستير'!$A$5:$A$230),$I134)&amp;"")</f>
        <v/>
      </c>
      <c r="C134" s="2" t="str">
        <f>IF($I134="","",INDEX(CHOOSE($J$3,'فحص-حاسب-بكالوريوس'!$F$5:$F$208,'فحص-بيانات-بكالوريوس'!$F$5:$F$208,'فحص-بيانات-ماجستير'!$F$5:$F$230),$I134)&amp;"")</f>
        <v/>
      </c>
      <c r="D134" s="2" t="str">
        <f>IF($I134="","",INDEX(CHOOSE($J$3,'فحص-حاسب-بكالوريوس'!$H$5:$H$208,'فحص-بيانات-بكالوريوس'!$H$5:$H$208,'فحص-بيانات-ماجستير'!$H$5:$H$230),$I134)&amp;"")</f>
        <v/>
      </c>
      <c r="E134" s="2" t="str">
        <f>IF($I134="","",INDEX(CHOOSE($J$3,'فحص-حاسب-بكالوريوس'!$J$5:$J$208,'فحص-بيانات-بكالوريوس'!$J$5:$J$208,'فحص-بيانات-ماجستير'!$J$5:$J$230),$I134)&amp;"")</f>
        <v/>
      </c>
      <c r="F134" s="2" t="str">
        <f>IF($I134="","",INDEX(CHOOSE($J$3,'فحص-حاسب-بكالوريوس'!$L$5:$L$208,'فحص-بيانات-بكالوريوس'!$L$5:$L$208,'فحص-بيانات-ماجستير'!$L$5:$L$230),$I134)&amp;"")</f>
        <v/>
      </c>
      <c r="G134" s="2" t="str">
        <f>IF($I134="","",INDEX(CHOOSE($J$3,'فحص-حاسب-بكالوريوس'!$M$5:$M$208,'فحص-بيانات-بكالوريوس'!$M$5:$M$208,'فحص-بيانات-ماجستير'!$M$5:$M$230),$I134)&amp;"")</f>
        <v/>
      </c>
      <c r="H134" s="2" t="str">
        <f>IF($I134="","",INDEX(CHOOSE($J$3,'فحص-حاسب-بكالوريوس'!$G$5:$G$208,'فحص-بيانات-بكالوريوس'!$G$5:$G$208,'فحص-بيانات-ماجستير'!$G$5:$G$230),$I134)&amp;"")</f>
        <v/>
      </c>
      <c r="I134" s="2" t="str">
        <f>IFERROR(MATCH($E$3&amp;"#"&amp;129,CHOOSE($J$3,'فحص-حاسب-بكالوريوس'!$R$5:$R$208,'فحص-بيانات-بكالوريوس'!$R$5:$R$208,'فحص-بيانات-ماجستير'!$R$5:$R$230),0),"")</f>
        <v/>
      </c>
    </row>
    <row r="135" spans="1:9" x14ac:dyDescent="0.2">
      <c r="A135" s="1" t="str">
        <f>IF($I135="","",130)</f>
        <v/>
      </c>
      <c r="B135" s="2" t="str">
        <f>IF($I135="","",INDEX(CHOOSE($J$3,'فحص-حاسب-بكالوريوس'!$A$5:$A$208,'فحص-بيانات-بكالوريوس'!$A$5:$A$208,'فحص-بيانات-ماجستير'!$A$5:$A$230),$I135)&amp;"")</f>
        <v/>
      </c>
      <c r="C135" s="2" t="str">
        <f>IF($I135="","",INDEX(CHOOSE($J$3,'فحص-حاسب-بكالوريوس'!$F$5:$F$208,'فحص-بيانات-بكالوريوس'!$F$5:$F$208,'فحص-بيانات-ماجستير'!$F$5:$F$230),$I135)&amp;"")</f>
        <v/>
      </c>
      <c r="D135" s="2" t="str">
        <f>IF($I135="","",INDEX(CHOOSE($J$3,'فحص-حاسب-بكالوريوس'!$H$5:$H$208,'فحص-بيانات-بكالوريوس'!$H$5:$H$208,'فحص-بيانات-ماجستير'!$H$5:$H$230),$I135)&amp;"")</f>
        <v/>
      </c>
      <c r="E135" s="2" t="str">
        <f>IF($I135="","",INDEX(CHOOSE($J$3,'فحص-حاسب-بكالوريوس'!$J$5:$J$208,'فحص-بيانات-بكالوريوس'!$J$5:$J$208,'فحص-بيانات-ماجستير'!$J$5:$J$230),$I135)&amp;"")</f>
        <v/>
      </c>
      <c r="F135" s="2" t="str">
        <f>IF($I135="","",INDEX(CHOOSE($J$3,'فحص-حاسب-بكالوريوس'!$L$5:$L$208,'فحص-بيانات-بكالوريوس'!$L$5:$L$208,'فحص-بيانات-ماجستير'!$L$5:$L$230),$I135)&amp;"")</f>
        <v/>
      </c>
      <c r="G135" s="2" t="str">
        <f>IF($I135="","",INDEX(CHOOSE($J$3,'فحص-حاسب-بكالوريوس'!$M$5:$M$208,'فحص-بيانات-بكالوريوس'!$M$5:$M$208,'فحص-بيانات-ماجستير'!$M$5:$M$230),$I135)&amp;"")</f>
        <v/>
      </c>
      <c r="H135" s="2" t="str">
        <f>IF($I135="","",INDEX(CHOOSE($J$3,'فحص-حاسب-بكالوريوس'!$G$5:$G$208,'فحص-بيانات-بكالوريوس'!$G$5:$G$208,'فحص-بيانات-ماجستير'!$G$5:$G$230),$I135)&amp;"")</f>
        <v/>
      </c>
      <c r="I135" s="2" t="str">
        <f>IFERROR(MATCH($E$3&amp;"#"&amp;130,CHOOSE($J$3,'فحص-حاسب-بكالوريوس'!$R$5:$R$208,'فحص-بيانات-بكالوريوس'!$R$5:$R$208,'فحص-بيانات-ماجستير'!$R$5:$R$230),0),"")</f>
        <v/>
      </c>
    </row>
    <row r="136" spans="1:9" x14ac:dyDescent="0.2">
      <c r="A136" s="1" t="str">
        <f>IF($I136="","",131)</f>
        <v/>
      </c>
      <c r="B136" s="2" t="str">
        <f>IF($I136="","",INDEX(CHOOSE($J$3,'فحص-حاسب-بكالوريوس'!$A$5:$A$208,'فحص-بيانات-بكالوريوس'!$A$5:$A$208,'فحص-بيانات-ماجستير'!$A$5:$A$230),$I136)&amp;"")</f>
        <v/>
      </c>
      <c r="C136" s="2" t="str">
        <f>IF($I136="","",INDEX(CHOOSE($J$3,'فحص-حاسب-بكالوريوس'!$F$5:$F$208,'فحص-بيانات-بكالوريوس'!$F$5:$F$208,'فحص-بيانات-ماجستير'!$F$5:$F$230),$I136)&amp;"")</f>
        <v/>
      </c>
      <c r="D136" s="2" t="str">
        <f>IF($I136="","",INDEX(CHOOSE($J$3,'فحص-حاسب-بكالوريوس'!$H$5:$H$208,'فحص-بيانات-بكالوريوس'!$H$5:$H$208,'فحص-بيانات-ماجستير'!$H$5:$H$230),$I136)&amp;"")</f>
        <v/>
      </c>
      <c r="E136" s="2" t="str">
        <f>IF($I136="","",INDEX(CHOOSE($J$3,'فحص-حاسب-بكالوريوس'!$J$5:$J$208,'فحص-بيانات-بكالوريوس'!$J$5:$J$208,'فحص-بيانات-ماجستير'!$J$5:$J$230),$I136)&amp;"")</f>
        <v/>
      </c>
      <c r="F136" s="2" t="str">
        <f>IF($I136="","",INDEX(CHOOSE($J$3,'فحص-حاسب-بكالوريوس'!$L$5:$L$208,'فحص-بيانات-بكالوريوس'!$L$5:$L$208,'فحص-بيانات-ماجستير'!$L$5:$L$230),$I136)&amp;"")</f>
        <v/>
      </c>
      <c r="G136" s="2" t="str">
        <f>IF($I136="","",INDEX(CHOOSE($J$3,'فحص-حاسب-بكالوريوس'!$M$5:$M$208,'فحص-بيانات-بكالوريوس'!$M$5:$M$208,'فحص-بيانات-ماجستير'!$M$5:$M$230),$I136)&amp;"")</f>
        <v/>
      </c>
      <c r="H136" s="2" t="str">
        <f>IF($I136="","",INDEX(CHOOSE($J$3,'فحص-حاسب-بكالوريوس'!$G$5:$G$208,'فحص-بيانات-بكالوريوس'!$G$5:$G$208,'فحص-بيانات-ماجستير'!$G$5:$G$230),$I136)&amp;"")</f>
        <v/>
      </c>
      <c r="I136" s="2" t="str">
        <f>IFERROR(MATCH($E$3&amp;"#"&amp;131,CHOOSE($J$3,'فحص-حاسب-بكالوريوس'!$R$5:$R$208,'فحص-بيانات-بكالوريوس'!$R$5:$R$208,'فحص-بيانات-ماجستير'!$R$5:$R$230),0),"")</f>
        <v/>
      </c>
    </row>
    <row r="137" spans="1:9" x14ac:dyDescent="0.2">
      <c r="A137" s="1" t="str">
        <f>IF($I137="","",132)</f>
        <v/>
      </c>
      <c r="B137" s="2" t="str">
        <f>IF($I137="","",INDEX(CHOOSE($J$3,'فحص-حاسب-بكالوريوس'!$A$5:$A$208,'فحص-بيانات-بكالوريوس'!$A$5:$A$208,'فحص-بيانات-ماجستير'!$A$5:$A$230),$I137)&amp;"")</f>
        <v/>
      </c>
      <c r="C137" s="2" t="str">
        <f>IF($I137="","",INDEX(CHOOSE($J$3,'فحص-حاسب-بكالوريوس'!$F$5:$F$208,'فحص-بيانات-بكالوريوس'!$F$5:$F$208,'فحص-بيانات-ماجستير'!$F$5:$F$230),$I137)&amp;"")</f>
        <v/>
      </c>
      <c r="D137" s="2" t="str">
        <f>IF($I137="","",INDEX(CHOOSE($J$3,'فحص-حاسب-بكالوريوس'!$H$5:$H$208,'فحص-بيانات-بكالوريوس'!$H$5:$H$208,'فحص-بيانات-ماجستير'!$H$5:$H$230),$I137)&amp;"")</f>
        <v/>
      </c>
      <c r="E137" s="2" t="str">
        <f>IF($I137="","",INDEX(CHOOSE($J$3,'فحص-حاسب-بكالوريوس'!$J$5:$J$208,'فحص-بيانات-بكالوريوس'!$J$5:$J$208,'فحص-بيانات-ماجستير'!$J$5:$J$230),$I137)&amp;"")</f>
        <v/>
      </c>
      <c r="F137" s="2" t="str">
        <f>IF($I137="","",INDEX(CHOOSE($J$3,'فحص-حاسب-بكالوريوس'!$L$5:$L$208,'فحص-بيانات-بكالوريوس'!$L$5:$L$208,'فحص-بيانات-ماجستير'!$L$5:$L$230),$I137)&amp;"")</f>
        <v/>
      </c>
      <c r="G137" s="2" t="str">
        <f>IF($I137="","",INDEX(CHOOSE($J$3,'فحص-حاسب-بكالوريوس'!$M$5:$M$208,'فحص-بيانات-بكالوريوس'!$M$5:$M$208,'فحص-بيانات-ماجستير'!$M$5:$M$230),$I137)&amp;"")</f>
        <v/>
      </c>
      <c r="H137" s="2" t="str">
        <f>IF($I137="","",INDEX(CHOOSE($J$3,'فحص-حاسب-بكالوريوس'!$G$5:$G$208,'فحص-بيانات-بكالوريوس'!$G$5:$G$208,'فحص-بيانات-ماجستير'!$G$5:$G$230),$I137)&amp;"")</f>
        <v/>
      </c>
      <c r="I137" s="2" t="str">
        <f>IFERROR(MATCH($E$3&amp;"#"&amp;132,CHOOSE($J$3,'فحص-حاسب-بكالوريوس'!$R$5:$R$208,'فحص-بيانات-بكالوريوس'!$R$5:$R$208,'فحص-بيانات-ماجستير'!$R$5:$R$230),0),"")</f>
        <v/>
      </c>
    </row>
    <row r="138" spans="1:9" x14ac:dyDescent="0.2">
      <c r="A138" s="1" t="str">
        <f>IF($I138="","",133)</f>
        <v/>
      </c>
      <c r="B138" s="2" t="str">
        <f>IF($I138="","",INDEX(CHOOSE($J$3,'فحص-حاسب-بكالوريوس'!$A$5:$A$208,'فحص-بيانات-بكالوريوس'!$A$5:$A$208,'فحص-بيانات-ماجستير'!$A$5:$A$230),$I138)&amp;"")</f>
        <v/>
      </c>
      <c r="C138" s="2" t="str">
        <f>IF($I138="","",INDEX(CHOOSE($J$3,'فحص-حاسب-بكالوريوس'!$F$5:$F$208,'فحص-بيانات-بكالوريوس'!$F$5:$F$208,'فحص-بيانات-ماجستير'!$F$5:$F$230),$I138)&amp;"")</f>
        <v/>
      </c>
      <c r="D138" s="2" t="str">
        <f>IF($I138="","",INDEX(CHOOSE($J$3,'فحص-حاسب-بكالوريوس'!$H$5:$H$208,'فحص-بيانات-بكالوريوس'!$H$5:$H$208,'فحص-بيانات-ماجستير'!$H$5:$H$230),$I138)&amp;"")</f>
        <v/>
      </c>
      <c r="E138" s="2" t="str">
        <f>IF($I138="","",INDEX(CHOOSE($J$3,'فحص-حاسب-بكالوريوس'!$J$5:$J$208,'فحص-بيانات-بكالوريوس'!$J$5:$J$208,'فحص-بيانات-ماجستير'!$J$5:$J$230),$I138)&amp;"")</f>
        <v/>
      </c>
      <c r="F138" s="2" t="str">
        <f>IF($I138="","",INDEX(CHOOSE($J$3,'فحص-حاسب-بكالوريوس'!$L$5:$L$208,'فحص-بيانات-بكالوريوس'!$L$5:$L$208,'فحص-بيانات-ماجستير'!$L$5:$L$230),$I138)&amp;"")</f>
        <v/>
      </c>
      <c r="G138" s="2" t="str">
        <f>IF($I138="","",INDEX(CHOOSE($J$3,'فحص-حاسب-بكالوريوس'!$M$5:$M$208,'فحص-بيانات-بكالوريوس'!$M$5:$M$208,'فحص-بيانات-ماجستير'!$M$5:$M$230),$I138)&amp;"")</f>
        <v/>
      </c>
      <c r="H138" s="2" t="str">
        <f>IF($I138="","",INDEX(CHOOSE($J$3,'فحص-حاسب-بكالوريوس'!$G$5:$G$208,'فحص-بيانات-بكالوريوس'!$G$5:$G$208,'فحص-بيانات-ماجستير'!$G$5:$G$230),$I138)&amp;"")</f>
        <v/>
      </c>
      <c r="I138" s="2" t="str">
        <f>IFERROR(MATCH($E$3&amp;"#"&amp;133,CHOOSE($J$3,'فحص-حاسب-بكالوريوس'!$R$5:$R$208,'فحص-بيانات-بكالوريوس'!$R$5:$R$208,'فحص-بيانات-ماجستير'!$R$5:$R$230),0),"")</f>
        <v/>
      </c>
    </row>
    <row r="139" spans="1:9" x14ac:dyDescent="0.2">
      <c r="A139" s="1" t="str">
        <f>IF($I139="","",134)</f>
        <v/>
      </c>
      <c r="B139" s="2" t="str">
        <f>IF($I139="","",INDEX(CHOOSE($J$3,'فحص-حاسب-بكالوريوس'!$A$5:$A$208,'فحص-بيانات-بكالوريوس'!$A$5:$A$208,'فحص-بيانات-ماجستير'!$A$5:$A$230),$I139)&amp;"")</f>
        <v/>
      </c>
      <c r="C139" s="2" t="str">
        <f>IF($I139="","",INDEX(CHOOSE($J$3,'فحص-حاسب-بكالوريوس'!$F$5:$F$208,'فحص-بيانات-بكالوريوس'!$F$5:$F$208,'فحص-بيانات-ماجستير'!$F$5:$F$230),$I139)&amp;"")</f>
        <v/>
      </c>
      <c r="D139" s="2" t="str">
        <f>IF($I139="","",INDEX(CHOOSE($J$3,'فحص-حاسب-بكالوريوس'!$H$5:$H$208,'فحص-بيانات-بكالوريوس'!$H$5:$H$208,'فحص-بيانات-ماجستير'!$H$5:$H$230),$I139)&amp;"")</f>
        <v/>
      </c>
      <c r="E139" s="2" t="str">
        <f>IF($I139="","",INDEX(CHOOSE($J$3,'فحص-حاسب-بكالوريوس'!$J$5:$J$208,'فحص-بيانات-بكالوريوس'!$J$5:$J$208,'فحص-بيانات-ماجستير'!$J$5:$J$230),$I139)&amp;"")</f>
        <v/>
      </c>
      <c r="F139" s="2" t="str">
        <f>IF($I139="","",INDEX(CHOOSE($J$3,'فحص-حاسب-بكالوريوس'!$L$5:$L$208,'فحص-بيانات-بكالوريوس'!$L$5:$L$208,'فحص-بيانات-ماجستير'!$L$5:$L$230),$I139)&amp;"")</f>
        <v/>
      </c>
      <c r="G139" s="2" t="str">
        <f>IF($I139="","",INDEX(CHOOSE($J$3,'فحص-حاسب-بكالوريوس'!$M$5:$M$208,'فحص-بيانات-بكالوريوس'!$M$5:$M$208,'فحص-بيانات-ماجستير'!$M$5:$M$230),$I139)&amp;"")</f>
        <v/>
      </c>
      <c r="H139" s="2" t="str">
        <f>IF($I139="","",INDEX(CHOOSE($J$3,'فحص-حاسب-بكالوريوس'!$G$5:$G$208,'فحص-بيانات-بكالوريوس'!$G$5:$G$208,'فحص-بيانات-ماجستير'!$G$5:$G$230),$I139)&amp;"")</f>
        <v/>
      </c>
      <c r="I139" s="2" t="str">
        <f>IFERROR(MATCH($E$3&amp;"#"&amp;134,CHOOSE($J$3,'فحص-حاسب-بكالوريوس'!$R$5:$R$208,'فحص-بيانات-بكالوريوس'!$R$5:$R$208,'فحص-بيانات-ماجستير'!$R$5:$R$230),0),"")</f>
        <v/>
      </c>
    </row>
    <row r="140" spans="1:9" x14ac:dyDescent="0.2">
      <c r="A140" s="1" t="str">
        <f>IF($I140="","",135)</f>
        <v/>
      </c>
      <c r="B140" s="2" t="str">
        <f>IF($I140="","",INDEX(CHOOSE($J$3,'فحص-حاسب-بكالوريوس'!$A$5:$A$208,'فحص-بيانات-بكالوريوس'!$A$5:$A$208,'فحص-بيانات-ماجستير'!$A$5:$A$230),$I140)&amp;"")</f>
        <v/>
      </c>
      <c r="C140" s="2" t="str">
        <f>IF($I140="","",INDEX(CHOOSE($J$3,'فحص-حاسب-بكالوريوس'!$F$5:$F$208,'فحص-بيانات-بكالوريوس'!$F$5:$F$208,'فحص-بيانات-ماجستير'!$F$5:$F$230),$I140)&amp;"")</f>
        <v/>
      </c>
      <c r="D140" s="2" t="str">
        <f>IF($I140="","",INDEX(CHOOSE($J$3,'فحص-حاسب-بكالوريوس'!$H$5:$H$208,'فحص-بيانات-بكالوريوس'!$H$5:$H$208,'فحص-بيانات-ماجستير'!$H$5:$H$230),$I140)&amp;"")</f>
        <v/>
      </c>
      <c r="E140" s="2" t="str">
        <f>IF($I140="","",INDEX(CHOOSE($J$3,'فحص-حاسب-بكالوريوس'!$J$5:$J$208,'فحص-بيانات-بكالوريوس'!$J$5:$J$208,'فحص-بيانات-ماجستير'!$J$5:$J$230),$I140)&amp;"")</f>
        <v/>
      </c>
      <c r="F140" s="2" t="str">
        <f>IF($I140="","",INDEX(CHOOSE($J$3,'فحص-حاسب-بكالوريوس'!$L$5:$L$208,'فحص-بيانات-بكالوريوس'!$L$5:$L$208,'فحص-بيانات-ماجستير'!$L$5:$L$230),$I140)&amp;"")</f>
        <v/>
      </c>
      <c r="G140" s="2" t="str">
        <f>IF($I140="","",INDEX(CHOOSE($J$3,'فحص-حاسب-بكالوريوس'!$M$5:$M$208,'فحص-بيانات-بكالوريوس'!$M$5:$M$208,'فحص-بيانات-ماجستير'!$M$5:$M$230),$I140)&amp;"")</f>
        <v/>
      </c>
      <c r="H140" s="2" t="str">
        <f>IF($I140="","",INDEX(CHOOSE($J$3,'فحص-حاسب-بكالوريوس'!$G$5:$G$208,'فحص-بيانات-بكالوريوس'!$G$5:$G$208,'فحص-بيانات-ماجستير'!$G$5:$G$230),$I140)&amp;"")</f>
        <v/>
      </c>
      <c r="I140" s="2" t="str">
        <f>IFERROR(MATCH($E$3&amp;"#"&amp;135,CHOOSE($J$3,'فحص-حاسب-بكالوريوس'!$R$5:$R$208,'فحص-بيانات-بكالوريوس'!$R$5:$R$208,'فحص-بيانات-ماجستير'!$R$5:$R$230),0),"")</f>
        <v/>
      </c>
    </row>
    <row r="141" spans="1:9" x14ac:dyDescent="0.2">
      <c r="A141" s="1" t="str">
        <f>IF($I141="","",136)</f>
        <v/>
      </c>
      <c r="B141" s="2" t="str">
        <f>IF($I141="","",INDEX(CHOOSE($J$3,'فحص-حاسب-بكالوريوس'!$A$5:$A$208,'فحص-بيانات-بكالوريوس'!$A$5:$A$208,'فحص-بيانات-ماجستير'!$A$5:$A$230),$I141)&amp;"")</f>
        <v/>
      </c>
      <c r="C141" s="2" t="str">
        <f>IF($I141="","",INDEX(CHOOSE($J$3,'فحص-حاسب-بكالوريوس'!$F$5:$F$208,'فحص-بيانات-بكالوريوس'!$F$5:$F$208,'فحص-بيانات-ماجستير'!$F$5:$F$230),$I141)&amp;"")</f>
        <v/>
      </c>
      <c r="D141" s="2" t="str">
        <f>IF($I141="","",INDEX(CHOOSE($J$3,'فحص-حاسب-بكالوريوس'!$H$5:$H$208,'فحص-بيانات-بكالوريوس'!$H$5:$H$208,'فحص-بيانات-ماجستير'!$H$5:$H$230),$I141)&amp;"")</f>
        <v/>
      </c>
      <c r="E141" s="2" t="str">
        <f>IF($I141="","",INDEX(CHOOSE($J$3,'فحص-حاسب-بكالوريوس'!$J$5:$J$208,'فحص-بيانات-بكالوريوس'!$J$5:$J$208,'فحص-بيانات-ماجستير'!$J$5:$J$230),$I141)&amp;"")</f>
        <v/>
      </c>
      <c r="F141" s="2" t="str">
        <f>IF($I141="","",INDEX(CHOOSE($J$3,'فحص-حاسب-بكالوريوس'!$L$5:$L$208,'فحص-بيانات-بكالوريوس'!$L$5:$L$208,'فحص-بيانات-ماجستير'!$L$5:$L$230),$I141)&amp;"")</f>
        <v/>
      </c>
      <c r="G141" s="2" t="str">
        <f>IF($I141="","",INDEX(CHOOSE($J$3,'فحص-حاسب-بكالوريوس'!$M$5:$M$208,'فحص-بيانات-بكالوريوس'!$M$5:$M$208,'فحص-بيانات-ماجستير'!$M$5:$M$230),$I141)&amp;"")</f>
        <v/>
      </c>
      <c r="H141" s="2" t="str">
        <f>IF($I141="","",INDEX(CHOOSE($J$3,'فحص-حاسب-بكالوريوس'!$G$5:$G$208,'فحص-بيانات-بكالوريوس'!$G$5:$G$208,'فحص-بيانات-ماجستير'!$G$5:$G$230),$I141)&amp;"")</f>
        <v/>
      </c>
      <c r="I141" s="2" t="str">
        <f>IFERROR(MATCH($E$3&amp;"#"&amp;136,CHOOSE($J$3,'فحص-حاسب-بكالوريوس'!$R$5:$R$208,'فحص-بيانات-بكالوريوس'!$R$5:$R$208,'فحص-بيانات-ماجستير'!$R$5:$R$230),0),"")</f>
        <v/>
      </c>
    </row>
    <row r="142" spans="1:9" x14ac:dyDescent="0.2">
      <c r="A142" s="1" t="str">
        <f>IF($I142="","",137)</f>
        <v/>
      </c>
      <c r="B142" s="2" t="str">
        <f>IF($I142="","",INDEX(CHOOSE($J$3,'فحص-حاسب-بكالوريوس'!$A$5:$A$208,'فحص-بيانات-بكالوريوس'!$A$5:$A$208,'فحص-بيانات-ماجستير'!$A$5:$A$230),$I142)&amp;"")</f>
        <v/>
      </c>
      <c r="C142" s="2" t="str">
        <f>IF($I142="","",INDEX(CHOOSE($J$3,'فحص-حاسب-بكالوريوس'!$F$5:$F$208,'فحص-بيانات-بكالوريوس'!$F$5:$F$208,'فحص-بيانات-ماجستير'!$F$5:$F$230),$I142)&amp;"")</f>
        <v/>
      </c>
      <c r="D142" s="2" t="str">
        <f>IF($I142="","",INDEX(CHOOSE($J$3,'فحص-حاسب-بكالوريوس'!$H$5:$H$208,'فحص-بيانات-بكالوريوس'!$H$5:$H$208,'فحص-بيانات-ماجستير'!$H$5:$H$230),$I142)&amp;"")</f>
        <v/>
      </c>
      <c r="E142" s="2" t="str">
        <f>IF($I142="","",INDEX(CHOOSE($J$3,'فحص-حاسب-بكالوريوس'!$J$5:$J$208,'فحص-بيانات-بكالوريوس'!$J$5:$J$208,'فحص-بيانات-ماجستير'!$J$5:$J$230),$I142)&amp;"")</f>
        <v/>
      </c>
      <c r="F142" s="2" t="str">
        <f>IF($I142="","",INDEX(CHOOSE($J$3,'فحص-حاسب-بكالوريوس'!$L$5:$L$208,'فحص-بيانات-بكالوريوس'!$L$5:$L$208,'فحص-بيانات-ماجستير'!$L$5:$L$230),$I142)&amp;"")</f>
        <v/>
      </c>
      <c r="G142" s="2" t="str">
        <f>IF($I142="","",INDEX(CHOOSE($J$3,'فحص-حاسب-بكالوريوس'!$M$5:$M$208,'فحص-بيانات-بكالوريوس'!$M$5:$M$208,'فحص-بيانات-ماجستير'!$M$5:$M$230),$I142)&amp;"")</f>
        <v/>
      </c>
      <c r="H142" s="2" t="str">
        <f>IF($I142="","",INDEX(CHOOSE($J$3,'فحص-حاسب-بكالوريوس'!$G$5:$G$208,'فحص-بيانات-بكالوريوس'!$G$5:$G$208,'فحص-بيانات-ماجستير'!$G$5:$G$230),$I142)&amp;"")</f>
        <v/>
      </c>
      <c r="I142" s="2" t="str">
        <f>IFERROR(MATCH($E$3&amp;"#"&amp;137,CHOOSE($J$3,'فحص-حاسب-بكالوريوس'!$R$5:$R$208,'فحص-بيانات-بكالوريوس'!$R$5:$R$208,'فحص-بيانات-ماجستير'!$R$5:$R$230),0),"")</f>
        <v/>
      </c>
    </row>
    <row r="143" spans="1:9" x14ac:dyDescent="0.2">
      <c r="A143" s="1" t="str">
        <f>IF($I143="","",138)</f>
        <v/>
      </c>
      <c r="B143" s="2" t="str">
        <f>IF($I143="","",INDEX(CHOOSE($J$3,'فحص-حاسب-بكالوريوس'!$A$5:$A$208,'فحص-بيانات-بكالوريوس'!$A$5:$A$208,'فحص-بيانات-ماجستير'!$A$5:$A$230),$I143)&amp;"")</f>
        <v/>
      </c>
      <c r="C143" s="2" t="str">
        <f>IF($I143="","",INDEX(CHOOSE($J$3,'فحص-حاسب-بكالوريوس'!$F$5:$F$208,'فحص-بيانات-بكالوريوس'!$F$5:$F$208,'فحص-بيانات-ماجستير'!$F$5:$F$230),$I143)&amp;"")</f>
        <v/>
      </c>
      <c r="D143" s="2" t="str">
        <f>IF($I143="","",INDEX(CHOOSE($J$3,'فحص-حاسب-بكالوريوس'!$H$5:$H$208,'فحص-بيانات-بكالوريوس'!$H$5:$H$208,'فحص-بيانات-ماجستير'!$H$5:$H$230),$I143)&amp;"")</f>
        <v/>
      </c>
      <c r="E143" s="2" t="str">
        <f>IF($I143="","",INDEX(CHOOSE($J$3,'فحص-حاسب-بكالوريوس'!$J$5:$J$208,'فحص-بيانات-بكالوريوس'!$J$5:$J$208,'فحص-بيانات-ماجستير'!$J$5:$J$230),$I143)&amp;"")</f>
        <v/>
      </c>
      <c r="F143" s="2" t="str">
        <f>IF($I143="","",INDEX(CHOOSE($J$3,'فحص-حاسب-بكالوريوس'!$L$5:$L$208,'فحص-بيانات-بكالوريوس'!$L$5:$L$208,'فحص-بيانات-ماجستير'!$L$5:$L$230),$I143)&amp;"")</f>
        <v/>
      </c>
      <c r="G143" s="2" t="str">
        <f>IF($I143="","",INDEX(CHOOSE($J$3,'فحص-حاسب-بكالوريوس'!$M$5:$M$208,'فحص-بيانات-بكالوريوس'!$M$5:$M$208,'فحص-بيانات-ماجستير'!$M$5:$M$230),$I143)&amp;"")</f>
        <v/>
      </c>
      <c r="H143" s="2" t="str">
        <f>IF($I143="","",INDEX(CHOOSE($J$3,'فحص-حاسب-بكالوريوس'!$G$5:$G$208,'فحص-بيانات-بكالوريوس'!$G$5:$G$208,'فحص-بيانات-ماجستير'!$G$5:$G$230),$I143)&amp;"")</f>
        <v/>
      </c>
      <c r="I143" s="2" t="str">
        <f>IFERROR(MATCH($E$3&amp;"#"&amp;138,CHOOSE($J$3,'فحص-حاسب-بكالوريوس'!$R$5:$R$208,'فحص-بيانات-بكالوريوس'!$R$5:$R$208,'فحص-بيانات-ماجستير'!$R$5:$R$230),0),"")</f>
        <v/>
      </c>
    </row>
    <row r="144" spans="1:9" x14ac:dyDescent="0.2">
      <c r="A144" s="1" t="str">
        <f>IF($I144="","",139)</f>
        <v/>
      </c>
      <c r="B144" s="2" t="str">
        <f>IF($I144="","",INDEX(CHOOSE($J$3,'فحص-حاسب-بكالوريوس'!$A$5:$A$208,'فحص-بيانات-بكالوريوس'!$A$5:$A$208,'فحص-بيانات-ماجستير'!$A$5:$A$230),$I144)&amp;"")</f>
        <v/>
      </c>
      <c r="C144" s="2" t="str">
        <f>IF($I144="","",INDEX(CHOOSE($J$3,'فحص-حاسب-بكالوريوس'!$F$5:$F$208,'فحص-بيانات-بكالوريوس'!$F$5:$F$208,'فحص-بيانات-ماجستير'!$F$5:$F$230),$I144)&amp;"")</f>
        <v/>
      </c>
      <c r="D144" s="2" t="str">
        <f>IF($I144="","",INDEX(CHOOSE($J$3,'فحص-حاسب-بكالوريوس'!$H$5:$H$208,'فحص-بيانات-بكالوريوس'!$H$5:$H$208,'فحص-بيانات-ماجستير'!$H$5:$H$230),$I144)&amp;"")</f>
        <v/>
      </c>
      <c r="E144" s="2" t="str">
        <f>IF($I144="","",INDEX(CHOOSE($J$3,'فحص-حاسب-بكالوريوس'!$J$5:$J$208,'فحص-بيانات-بكالوريوس'!$J$5:$J$208,'فحص-بيانات-ماجستير'!$J$5:$J$230),$I144)&amp;"")</f>
        <v/>
      </c>
      <c r="F144" s="2" t="str">
        <f>IF($I144="","",INDEX(CHOOSE($J$3,'فحص-حاسب-بكالوريوس'!$L$5:$L$208,'فحص-بيانات-بكالوريوس'!$L$5:$L$208,'فحص-بيانات-ماجستير'!$L$5:$L$230),$I144)&amp;"")</f>
        <v/>
      </c>
      <c r="G144" s="2" t="str">
        <f>IF($I144="","",INDEX(CHOOSE($J$3,'فحص-حاسب-بكالوريوس'!$M$5:$M$208,'فحص-بيانات-بكالوريوس'!$M$5:$M$208,'فحص-بيانات-ماجستير'!$M$5:$M$230),$I144)&amp;"")</f>
        <v/>
      </c>
      <c r="H144" s="2" t="str">
        <f>IF($I144="","",INDEX(CHOOSE($J$3,'فحص-حاسب-بكالوريوس'!$G$5:$G$208,'فحص-بيانات-بكالوريوس'!$G$5:$G$208,'فحص-بيانات-ماجستير'!$G$5:$G$230),$I144)&amp;"")</f>
        <v/>
      </c>
      <c r="I144" s="2" t="str">
        <f>IFERROR(MATCH($E$3&amp;"#"&amp;139,CHOOSE($J$3,'فحص-حاسب-بكالوريوس'!$R$5:$R$208,'فحص-بيانات-بكالوريوس'!$R$5:$R$208,'فحص-بيانات-ماجستير'!$R$5:$R$230),0),"")</f>
        <v/>
      </c>
    </row>
    <row r="145" spans="1:9" x14ac:dyDescent="0.2">
      <c r="A145" s="1" t="str">
        <f>IF($I145="","",140)</f>
        <v/>
      </c>
      <c r="B145" s="2" t="str">
        <f>IF($I145="","",INDEX(CHOOSE($J$3,'فحص-حاسب-بكالوريوس'!$A$5:$A$208,'فحص-بيانات-بكالوريوس'!$A$5:$A$208,'فحص-بيانات-ماجستير'!$A$5:$A$230),$I145)&amp;"")</f>
        <v/>
      </c>
      <c r="C145" s="2" t="str">
        <f>IF($I145="","",INDEX(CHOOSE($J$3,'فحص-حاسب-بكالوريوس'!$F$5:$F$208,'فحص-بيانات-بكالوريوس'!$F$5:$F$208,'فحص-بيانات-ماجستير'!$F$5:$F$230),$I145)&amp;"")</f>
        <v/>
      </c>
      <c r="D145" s="2" t="str">
        <f>IF($I145="","",INDEX(CHOOSE($J$3,'فحص-حاسب-بكالوريوس'!$H$5:$H$208,'فحص-بيانات-بكالوريوس'!$H$5:$H$208,'فحص-بيانات-ماجستير'!$H$5:$H$230),$I145)&amp;"")</f>
        <v/>
      </c>
      <c r="E145" s="2" t="str">
        <f>IF($I145="","",INDEX(CHOOSE($J$3,'فحص-حاسب-بكالوريوس'!$J$5:$J$208,'فحص-بيانات-بكالوريوس'!$J$5:$J$208,'فحص-بيانات-ماجستير'!$J$5:$J$230),$I145)&amp;"")</f>
        <v/>
      </c>
      <c r="F145" s="2" t="str">
        <f>IF($I145="","",INDEX(CHOOSE($J$3,'فحص-حاسب-بكالوريوس'!$L$5:$L$208,'فحص-بيانات-بكالوريوس'!$L$5:$L$208,'فحص-بيانات-ماجستير'!$L$5:$L$230),$I145)&amp;"")</f>
        <v/>
      </c>
      <c r="G145" s="2" t="str">
        <f>IF($I145="","",INDEX(CHOOSE($J$3,'فحص-حاسب-بكالوريوس'!$M$5:$M$208,'فحص-بيانات-بكالوريوس'!$M$5:$M$208,'فحص-بيانات-ماجستير'!$M$5:$M$230),$I145)&amp;"")</f>
        <v/>
      </c>
      <c r="H145" s="2" t="str">
        <f>IF($I145="","",INDEX(CHOOSE($J$3,'فحص-حاسب-بكالوريوس'!$G$5:$G$208,'فحص-بيانات-بكالوريوس'!$G$5:$G$208,'فحص-بيانات-ماجستير'!$G$5:$G$230),$I145)&amp;"")</f>
        <v/>
      </c>
      <c r="I145" s="2" t="str">
        <f>IFERROR(MATCH($E$3&amp;"#"&amp;140,CHOOSE($J$3,'فحص-حاسب-بكالوريوس'!$R$5:$R$208,'فحص-بيانات-بكالوريوس'!$R$5:$R$208,'فحص-بيانات-ماجستير'!$R$5:$R$230),0),"")</f>
        <v/>
      </c>
    </row>
    <row r="146" spans="1:9" x14ac:dyDescent="0.2">
      <c r="A146" s="1" t="str">
        <f>IF($I146="","",141)</f>
        <v/>
      </c>
      <c r="B146" s="2" t="str">
        <f>IF($I146="","",INDEX(CHOOSE($J$3,'فحص-حاسب-بكالوريوس'!$A$5:$A$208,'فحص-بيانات-بكالوريوس'!$A$5:$A$208,'فحص-بيانات-ماجستير'!$A$5:$A$230),$I146)&amp;"")</f>
        <v/>
      </c>
      <c r="C146" s="2" t="str">
        <f>IF($I146="","",INDEX(CHOOSE($J$3,'فحص-حاسب-بكالوريوس'!$F$5:$F$208,'فحص-بيانات-بكالوريوس'!$F$5:$F$208,'فحص-بيانات-ماجستير'!$F$5:$F$230),$I146)&amp;"")</f>
        <v/>
      </c>
      <c r="D146" s="2" t="str">
        <f>IF($I146="","",INDEX(CHOOSE($J$3,'فحص-حاسب-بكالوريوس'!$H$5:$H$208,'فحص-بيانات-بكالوريوس'!$H$5:$H$208,'فحص-بيانات-ماجستير'!$H$5:$H$230),$I146)&amp;"")</f>
        <v/>
      </c>
      <c r="E146" s="2" t="str">
        <f>IF($I146="","",INDEX(CHOOSE($J$3,'فحص-حاسب-بكالوريوس'!$J$5:$J$208,'فحص-بيانات-بكالوريوس'!$J$5:$J$208,'فحص-بيانات-ماجستير'!$J$5:$J$230),$I146)&amp;"")</f>
        <v/>
      </c>
      <c r="F146" s="2" t="str">
        <f>IF($I146="","",INDEX(CHOOSE($J$3,'فحص-حاسب-بكالوريوس'!$L$5:$L$208,'فحص-بيانات-بكالوريوس'!$L$5:$L$208,'فحص-بيانات-ماجستير'!$L$5:$L$230),$I146)&amp;"")</f>
        <v/>
      </c>
      <c r="G146" s="2" t="str">
        <f>IF($I146="","",INDEX(CHOOSE($J$3,'فحص-حاسب-بكالوريوس'!$M$5:$M$208,'فحص-بيانات-بكالوريوس'!$M$5:$M$208,'فحص-بيانات-ماجستير'!$M$5:$M$230),$I146)&amp;"")</f>
        <v/>
      </c>
      <c r="H146" s="2" t="str">
        <f>IF($I146="","",INDEX(CHOOSE($J$3,'فحص-حاسب-بكالوريوس'!$G$5:$G$208,'فحص-بيانات-بكالوريوس'!$G$5:$G$208,'فحص-بيانات-ماجستير'!$G$5:$G$230),$I146)&amp;"")</f>
        <v/>
      </c>
      <c r="I146" s="2" t="str">
        <f>IFERROR(MATCH($E$3&amp;"#"&amp;141,CHOOSE($J$3,'فحص-حاسب-بكالوريوس'!$R$5:$R$208,'فحص-بيانات-بكالوريوس'!$R$5:$R$208,'فحص-بيانات-ماجستير'!$R$5:$R$230),0),"")</f>
        <v/>
      </c>
    </row>
    <row r="147" spans="1:9" x14ac:dyDescent="0.2">
      <c r="A147" s="1" t="str">
        <f>IF($I147="","",142)</f>
        <v/>
      </c>
      <c r="B147" s="2" t="str">
        <f>IF($I147="","",INDEX(CHOOSE($J$3,'فحص-حاسب-بكالوريوس'!$A$5:$A$208,'فحص-بيانات-بكالوريوس'!$A$5:$A$208,'فحص-بيانات-ماجستير'!$A$5:$A$230),$I147)&amp;"")</f>
        <v/>
      </c>
      <c r="C147" s="2" t="str">
        <f>IF($I147="","",INDEX(CHOOSE($J$3,'فحص-حاسب-بكالوريوس'!$F$5:$F$208,'فحص-بيانات-بكالوريوس'!$F$5:$F$208,'فحص-بيانات-ماجستير'!$F$5:$F$230),$I147)&amp;"")</f>
        <v/>
      </c>
      <c r="D147" s="2" t="str">
        <f>IF($I147="","",INDEX(CHOOSE($J$3,'فحص-حاسب-بكالوريوس'!$H$5:$H$208,'فحص-بيانات-بكالوريوس'!$H$5:$H$208,'فحص-بيانات-ماجستير'!$H$5:$H$230),$I147)&amp;"")</f>
        <v/>
      </c>
      <c r="E147" s="2" t="str">
        <f>IF($I147="","",INDEX(CHOOSE($J$3,'فحص-حاسب-بكالوريوس'!$J$5:$J$208,'فحص-بيانات-بكالوريوس'!$J$5:$J$208,'فحص-بيانات-ماجستير'!$J$5:$J$230),$I147)&amp;"")</f>
        <v/>
      </c>
      <c r="F147" s="2" t="str">
        <f>IF($I147="","",INDEX(CHOOSE($J$3,'فحص-حاسب-بكالوريوس'!$L$5:$L$208,'فحص-بيانات-بكالوريوس'!$L$5:$L$208,'فحص-بيانات-ماجستير'!$L$5:$L$230),$I147)&amp;"")</f>
        <v/>
      </c>
      <c r="G147" s="2" t="str">
        <f>IF($I147="","",INDEX(CHOOSE($J$3,'فحص-حاسب-بكالوريوس'!$M$5:$M$208,'فحص-بيانات-بكالوريوس'!$M$5:$M$208,'فحص-بيانات-ماجستير'!$M$5:$M$230),$I147)&amp;"")</f>
        <v/>
      </c>
      <c r="H147" s="2" t="str">
        <f>IF($I147="","",INDEX(CHOOSE($J$3,'فحص-حاسب-بكالوريوس'!$G$5:$G$208,'فحص-بيانات-بكالوريوس'!$G$5:$G$208,'فحص-بيانات-ماجستير'!$G$5:$G$230),$I147)&amp;"")</f>
        <v/>
      </c>
      <c r="I147" s="2" t="str">
        <f>IFERROR(MATCH($E$3&amp;"#"&amp;142,CHOOSE($J$3,'فحص-حاسب-بكالوريوس'!$R$5:$R$208,'فحص-بيانات-بكالوريوس'!$R$5:$R$208,'فحص-بيانات-ماجستير'!$R$5:$R$230),0),"")</f>
        <v/>
      </c>
    </row>
    <row r="148" spans="1:9" x14ac:dyDescent="0.2">
      <c r="A148" s="1" t="str">
        <f>IF($I148="","",143)</f>
        <v/>
      </c>
      <c r="B148" s="2" t="str">
        <f>IF($I148="","",INDEX(CHOOSE($J$3,'فحص-حاسب-بكالوريوس'!$A$5:$A$208,'فحص-بيانات-بكالوريوس'!$A$5:$A$208,'فحص-بيانات-ماجستير'!$A$5:$A$230),$I148)&amp;"")</f>
        <v/>
      </c>
      <c r="C148" s="2" t="str">
        <f>IF($I148="","",INDEX(CHOOSE($J$3,'فحص-حاسب-بكالوريوس'!$F$5:$F$208,'فحص-بيانات-بكالوريوس'!$F$5:$F$208,'فحص-بيانات-ماجستير'!$F$5:$F$230),$I148)&amp;"")</f>
        <v/>
      </c>
      <c r="D148" s="2" t="str">
        <f>IF($I148="","",INDEX(CHOOSE($J$3,'فحص-حاسب-بكالوريوس'!$H$5:$H$208,'فحص-بيانات-بكالوريوس'!$H$5:$H$208,'فحص-بيانات-ماجستير'!$H$5:$H$230),$I148)&amp;"")</f>
        <v/>
      </c>
      <c r="E148" s="2" t="str">
        <f>IF($I148="","",INDEX(CHOOSE($J$3,'فحص-حاسب-بكالوريوس'!$J$5:$J$208,'فحص-بيانات-بكالوريوس'!$J$5:$J$208,'فحص-بيانات-ماجستير'!$J$5:$J$230),$I148)&amp;"")</f>
        <v/>
      </c>
      <c r="F148" s="2" t="str">
        <f>IF($I148="","",INDEX(CHOOSE($J$3,'فحص-حاسب-بكالوريوس'!$L$5:$L$208,'فحص-بيانات-بكالوريوس'!$L$5:$L$208,'فحص-بيانات-ماجستير'!$L$5:$L$230),$I148)&amp;"")</f>
        <v/>
      </c>
      <c r="G148" s="2" t="str">
        <f>IF($I148="","",INDEX(CHOOSE($J$3,'فحص-حاسب-بكالوريوس'!$M$5:$M$208,'فحص-بيانات-بكالوريوس'!$M$5:$M$208,'فحص-بيانات-ماجستير'!$M$5:$M$230),$I148)&amp;"")</f>
        <v/>
      </c>
      <c r="H148" s="2" t="str">
        <f>IF($I148="","",INDEX(CHOOSE($J$3,'فحص-حاسب-بكالوريوس'!$G$5:$G$208,'فحص-بيانات-بكالوريوس'!$G$5:$G$208,'فحص-بيانات-ماجستير'!$G$5:$G$230),$I148)&amp;"")</f>
        <v/>
      </c>
      <c r="I148" s="2" t="str">
        <f>IFERROR(MATCH($E$3&amp;"#"&amp;143,CHOOSE($J$3,'فحص-حاسب-بكالوريوس'!$R$5:$R$208,'فحص-بيانات-بكالوريوس'!$R$5:$R$208,'فحص-بيانات-ماجستير'!$R$5:$R$230),0),"")</f>
        <v/>
      </c>
    </row>
    <row r="149" spans="1:9" x14ac:dyDescent="0.2">
      <c r="A149" s="1" t="str">
        <f>IF($I149="","",144)</f>
        <v/>
      </c>
      <c r="B149" s="2" t="str">
        <f>IF($I149="","",INDEX(CHOOSE($J$3,'فحص-حاسب-بكالوريوس'!$A$5:$A$208,'فحص-بيانات-بكالوريوس'!$A$5:$A$208,'فحص-بيانات-ماجستير'!$A$5:$A$230),$I149)&amp;"")</f>
        <v/>
      </c>
      <c r="C149" s="2" t="str">
        <f>IF($I149="","",INDEX(CHOOSE($J$3,'فحص-حاسب-بكالوريوس'!$F$5:$F$208,'فحص-بيانات-بكالوريوس'!$F$5:$F$208,'فحص-بيانات-ماجستير'!$F$5:$F$230),$I149)&amp;"")</f>
        <v/>
      </c>
      <c r="D149" s="2" t="str">
        <f>IF($I149="","",INDEX(CHOOSE($J$3,'فحص-حاسب-بكالوريوس'!$H$5:$H$208,'فحص-بيانات-بكالوريوس'!$H$5:$H$208,'فحص-بيانات-ماجستير'!$H$5:$H$230),$I149)&amp;"")</f>
        <v/>
      </c>
      <c r="E149" s="2" t="str">
        <f>IF($I149="","",INDEX(CHOOSE($J$3,'فحص-حاسب-بكالوريوس'!$J$5:$J$208,'فحص-بيانات-بكالوريوس'!$J$5:$J$208,'فحص-بيانات-ماجستير'!$J$5:$J$230),$I149)&amp;"")</f>
        <v/>
      </c>
      <c r="F149" s="2" t="str">
        <f>IF($I149="","",INDEX(CHOOSE($J$3,'فحص-حاسب-بكالوريوس'!$L$5:$L$208,'فحص-بيانات-بكالوريوس'!$L$5:$L$208,'فحص-بيانات-ماجستير'!$L$5:$L$230),$I149)&amp;"")</f>
        <v/>
      </c>
      <c r="G149" s="2" t="str">
        <f>IF($I149="","",INDEX(CHOOSE($J$3,'فحص-حاسب-بكالوريوس'!$M$5:$M$208,'فحص-بيانات-بكالوريوس'!$M$5:$M$208,'فحص-بيانات-ماجستير'!$M$5:$M$230),$I149)&amp;"")</f>
        <v/>
      </c>
      <c r="H149" s="2" t="str">
        <f>IF($I149="","",INDEX(CHOOSE($J$3,'فحص-حاسب-بكالوريوس'!$G$5:$G$208,'فحص-بيانات-بكالوريوس'!$G$5:$G$208,'فحص-بيانات-ماجستير'!$G$5:$G$230),$I149)&amp;"")</f>
        <v/>
      </c>
      <c r="I149" s="2" t="str">
        <f>IFERROR(MATCH($E$3&amp;"#"&amp;144,CHOOSE($J$3,'فحص-حاسب-بكالوريوس'!$R$5:$R$208,'فحص-بيانات-بكالوريوس'!$R$5:$R$208,'فحص-بيانات-ماجستير'!$R$5:$R$230),0),"")</f>
        <v/>
      </c>
    </row>
    <row r="150" spans="1:9" x14ac:dyDescent="0.2">
      <c r="A150" s="1" t="str">
        <f>IF($I150="","",145)</f>
        <v/>
      </c>
      <c r="B150" s="2" t="str">
        <f>IF($I150="","",INDEX(CHOOSE($J$3,'فحص-حاسب-بكالوريوس'!$A$5:$A$208,'فحص-بيانات-بكالوريوس'!$A$5:$A$208,'فحص-بيانات-ماجستير'!$A$5:$A$230),$I150)&amp;"")</f>
        <v/>
      </c>
      <c r="C150" s="2" t="str">
        <f>IF($I150="","",INDEX(CHOOSE($J$3,'فحص-حاسب-بكالوريوس'!$F$5:$F$208,'فحص-بيانات-بكالوريوس'!$F$5:$F$208,'فحص-بيانات-ماجستير'!$F$5:$F$230),$I150)&amp;"")</f>
        <v/>
      </c>
      <c r="D150" s="2" t="str">
        <f>IF($I150="","",INDEX(CHOOSE($J$3,'فحص-حاسب-بكالوريوس'!$H$5:$H$208,'فحص-بيانات-بكالوريوس'!$H$5:$H$208,'فحص-بيانات-ماجستير'!$H$5:$H$230),$I150)&amp;"")</f>
        <v/>
      </c>
      <c r="E150" s="2" t="str">
        <f>IF($I150="","",INDEX(CHOOSE($J$3,'فحص-حاسب-بكالوريوس'!$J$5:$J$208,'فحص-بيانات-بكالوريوس'!$J$5:$J$208,'فحص-بيانات-ماجستير'!$J$5:$J$230),$I150)&amp;"")</f>
        <v/>
      </c>
      <c r="F150" s="2" t="str">
        <f>IF($I150="","",INDEX(CHOOSE($J$3,'فحص-حاسب-بكالوريوس'!$L$5:$L$208,'فحص-بيانات-بكالوريوس'!$L$5:$L$208,'فحص-بيانات-ماجستير'!$L$5:$L$230),$I150)&amp;"")</f>
        <v/>
      </c>
      <c r="G150" s="2" t="str">
        <f>IF($I150="","",INDEX(CHOOSE($J$3,'فحص-حاسب-بكالوريوس'!$M$5:$M$208,'فحص-بيانات-بكالوريوس'!$M$5:$M$208,'فحص-بيانات-ماجستير'!$M$5:$M$230),$I150)&amp;"")</f>
        <v/>
      </c>
      <c r="H150" s="2" t="str">
        <f>IF($I150="","",INDEX(CHOOSE($J$3,'فحص-حاسب-بكالوريوس'!$G$5:$G$208,'فحص-بيانات-بكالوريوس'!$G$5:$G$208,'فحص-بيانات-ماجستير'!$G$5:$G$230),$I150)&amp;"")</f>
        <v/>
      </c>
      <c r="I150" s="2" t="str">
        <f>IFERROR(MATCH($E$3&amp;"#"&amp;145,CHOOSE($J$3,'فحص-حاسب-بكالوريوس'!$R$5:$R$208,'فحص-بيانات-بكالوريوس'!$R$5:$R$208,'فحص-بيانات-ماجستير'!$R$5:$R$230),0),"")</f>
        <v/>
      </c>
    </row>
    <row r="151" spans="1:9" x14ac:dyDescent="0.2">
      <c r="A151" s="1" t="str">
        <f>IF($I151="","",146)</f>
        <v/>
      </c>
      <c r="B151" s="2" t="str">
        <f>IF($I151="","",INDEX(CHOOSE($J$3,'فحص-حاسب-بكالوريوس'!$A$5:$A$208,'فحص-بيانات-بكالوريوس'!$A$5:$A$208,'فحص-بيانات-ماجستير'!$A$5:$A$230),$I151)&amp;"")</f>
        <v/>
      </c>
      <c r="C151" s="2" t="str">
        <f>IF($I151="","",INDEX(CHOOSE($J$3,'فحص-حاسب-بكالوريوس'!$F$5:$F$208,'فحص-بيانات-بكالوريوس'!$F$5:$F$208,'فحص-بيانات-ماجستير'!$F$5:$F$230),$I151)&amp;"")</f>
        <v/>
      </c>
      <c r="D151" s="2" t="str">
        <f>IF($I151="","",INDEX(CHOOSE($J$3,'فحص-حاسب-بكالوريوس'!$H$5:$H$208,'فحص-بيانات-بكالوريوس'!$H$5:$H$208,'فحص-بيانات-ماجستير'!$H$5:$H$230),$I151)&amp;"")</f>
        <v/>
      </c>
      <c r="E151" s="2" t="str">
        <f>IF($I151="","",INDEX(CHOOSE($J$3,'فحص-حاسب-بكالوريوس'!$J$5:$J$208,'فحص-بيانات-بكالوريوس'!$J$5:$J$208,'فحص-بيانات-ماجستير'!$J$5:$J$230),$I151)&amp;"")</f>
        <v/>
      </c>
      <c r="F151" s="2" t="str">
        <f>IF($I151="","",INDEX(CHOOSE($J$3,'فحص-حاسب-بكالوريوس'!$L$5:$L$208,'فحص-بيانات-بكالوريوس'!$L$5:$L$208,'فحص-بيانات-ماجستير'!$L$5:$L$230),$I151)&amp;"")</f>
        <v/>
      </c>
      <c r="G151" s="2" t="str">
        <f>IF($I151="","",INDEX(CHOOSE($J$3,'فحص-حاسب-بكالوريوس'!$M$5:$M$208,'فحص-بيانات-بكالوريوس'!$M$5:$M$208,'فحص-بيانات-ماجستير'!$M$5:$M$230),$I151)&amp;"")</f>
        <v/>
      </c>
      <c r="H151" s="2" t="str">
        <f>IF($I151="","",INDEX(CHOOSE($J$3,'فحص-حاسب-بكالوريوس'!$G$5:$G$208,'فحص-بيانات-بكالوريوس'!$G$5:$G$208,'فحص-بيانات-ماجستير'!$G$5:$G$230),$I151)&amp;"")</f>
        <v/>
      </c>
      <c r="I151" s="2" t="str">
        <f>IFERROR(MATCH($E$3&amp;"#"&amp;146,CHOOSE($J$3,'فحص-حاسب-بكالوريوس'!$R$5:$R$208,'فحص-بيانات-بكالوريوس'!$R$5:$R$208,'فحص-بيانات-ماجستير'!$R$5:$R$230),0),"")</f>
        <v/>
      </c>
    </row>
    <row r="152" spans="1:9" x14ac:dyDescent="0.2">
      <c r="A152" s="1" t="str">
        <f>IF($I152="","",147)</f>
        <v/>
      </c>
      <c r="B152" s="2" t="str">
        <f>IF($I152="","",INDEX(CHOOSE($J$3,'فحص-حاسب-بكالوريوس'!$A$5:$A$208,'فحص-بيانات-بكالوريوس'!$A$5:$A$208,'فحص-بيانات-ماجستير'!$A$5:$A$230),$I152)&amp;"")</f>
        <v/>
      </c>
      <c r="C152" s="2" t="str">
        <f>IF($I152="","",INDEX(CHOOSE($J$3,'فحص-حاسب-بكالوريوس'!$F$5:$F$208,'فحص-بيانات-بكالوريوس'!$F$5:$F$208,'فحص-بيانات-ماجستير'!$F$5:$F$230),$I152)&amp;"")</f>
        <v/>
      </c>
      <c r="D152" s="2" t="str">
        <f>IF($I152="","",INDEX(CHOOSE($J$3,'فحص-حاسب-بكالوريوس'!$H$5:$H$208,'فحص-بيانات-بكالوريوس'!$H$5:$H$208,'فحص-بيانات-ماجستير'!$H$5:$H$230),$I152)&amp;"")</f>
        <v/>
      </c>
      <c r="E152" s="2" t="str">
        <f>IF($I152="","",INDEX(CHOOSE($J$3,'فحص-حاسب-بكالوريوس'!$J$5:$J$208,'فحص-بيانات-بكالوريوس'!$J$5:$J$208,'فحص-بيانات-ماجستير'!$J$5:$J$230),$I152)&amp;"")</f>
        <v/>
      </c>
      <c r="F152" s="2" t="str">
        <f>IF($I152="","",INDEX(CHOOSE($J$3,'فحص-حاسب-بكالوريوس'!$L$5:$L$208,'فحص-بيانات-بكالوريوس'!$L$5:$L$208,'فحص-بيانات-ماجستير'!$L$5:$L$230),$I152)&amp;"")</f>
        <v/>
      </c>
      <c r="G152" s="2" t="str">
        <f>IF($I152="","",INDEX(CHOOSE($J$3,'فحص-حاسب-بكالوريوس'!$M$5:$M$208,'فحص-بيانات-بكالوريوس'!$M$5:$M$208,'فحص-بيانات-ماجستير'!$M$5:$M$230),$I152)&amp;"")</f>
        <v/>
      </c>
      <c r="H152" s="2" t="str">
        <f>IF($I152="","",INDEX(CHOOSE($J$3,'فحص-حاسب-بكالوريوس'!$G$5:$G$208,'فحص-بيانات-بكالوريوس'!$G$5:$G$208,'فحص-بيانات-ماجستير'!$G$5:$G$230),$I152)&amp;"")</f>
        <v/>
      </c>
      <c r="I152" s="2" t="str">
        <f>IFERROR(MATCH($E$3&amp;"#"&amp;147,CHOOSE($J$3,'فحص-حاسب-بكالوريوس'!$R$5:$R$208,'فحص-بيانات-بكالوريوس'!$R$5:$R$208,'فحص-بيانات-ماجستير'!$R$5:$R$230),0),"")</f>
        <v/>
      </c>
    </row>
    <row r="153" spans="1:9" x14ac:dyDescent="0.2">
      <c r="A153" s="1" t="str">
        <f>IF($I153="","",148)</f>
        <v/>
      </c>
      <c r="B153" s="2" t="str">
        <f>IF($I153="","",INDEX(CHOOSE($J$3,'فحص-حاسب-بكالوريوس'!$A$5:$A$208,'فحص-بيانات-بكالوريوس'!$A$5:$A$208,'فحص-بيانات-ماجستير'!$A$5:$A$230),$I153)&amp;"")</f>
        <v/>
      </c>
      <c r="C153" s="2" t="str">
        <f>IF($I153="","",INDEX(CHOOSE($J$3,'فحص-حاسب-بكالوريوس'!$F$5:$F$208,'فحص-بيانات-بكالوريوس'!$F$5:$F$208,'فحص-بيانات-ماجستير'!$F$5:$F$230),$I153)&amp;"")</f>
        <v/>
      </c>
      <c r="D153" s="2" t="str">
        <f>IF($I153="","",INDEX(CHOOSE($J$3,'فحص-حاسب-بكالوريوس'!$H$5:$H$208,'فحص-بيانات-بكالوريوس'!$H$5:$H$208,'فحص-بيانات-ماجستير'!$H$5:$H$230),$I153)&amp;"")</f>
        <v/>
      </c>
      <c r="E153" s="2" t="str">
        <f>IF($I153="","",INDEX(CHOOSE($J$3,'فحص-حاسب-بكالوريوس'!$J$5:$J$208,'فحص-بيانات-بكالوريوس'!$J$5:$J$208,'فحص-بيانات-ماجستير'!$J$5:$J$230),$I153)&amp;"")</f>
        <v/>
      </c>
      <c r="F153" s="2" t="str">
        <f>IF($I153="","",INDEX(CHOOSE($J$3,'فحص-حاسب-بكالوريوس'!$L$5:$L$208,'فحص-بيانات-بكالوريوس'!$L$5:$L$208,'فحص-بيانات-ماجستير'!$L$5:$L$230),$I153)&amp;"")</f>
        <v/>
      </c>
      <c r="G153" s="2" t="str">
        <f>IF($I153="","",INDEX(CHOOSE($J$3,'فحص-حاسب-بكالوريوس'!$M$5:$M$208,'فحص-بيانات-بكالوريوس'!$M$5:$M$208,'فحص-بيانات-ماجستير'!$M$5:$M$230),$I153)&amp;"")</f>
        <v/>
      </c>
      <c r="H153" s="2" t="str">
        <f>IF($I153="","",INDEX(CHOOSE($J$3,'فحص-حاسب-بكالوريوس'!$G$5:$G$208,'فحص-بيانات-بكالوريوس'!$G$5:$G$208,'فحص-بيانات-ماجستير'!$G$5:$G$230),$I153)&amp;"")</f>
        <v/>
      </c>
      <c r="I153" s="2" t="str">
        <f>IFERROR(MATCH($E$3&amp;"#"&amp;148,CHOOSE($J$3,'فحص-حاسب-بكالوريوس'!$R$5:$R$208,'فحص-بيانات-بكالوريوس'!$R$5:$R$208,'فحص-بيانات-ماجستير'!$R$5:$R$230),0),"")</f>
        <v/>
      </c>
    </row>
    <row r="154" spans="1:9" x14ac:dyDescent="0.2">
      <c r="A154" s="1" t="str">
        <f>IF($I154="","",149)</f>
        <v/>
      </c>
      <c r="B154" s="2" t="str">
        <f>IF($I154="","",INDEX(CHOOSE($J$3,'فحص-حاسب-بكالوريوس'!$A$5:$A$208,'فحص-بيانات-بكالوريوس'!$A$5:$A$208,'فحص-بيانات-ماجستير'!$A$5:$A$230),$I154)&amp;"")</f>
        <v/>
      </c>
      <c r="C154" s="2" t="str">
        <f>IF($I154="","",INDEX(CHOOSE($J$3,'فحص-حاسب-بكالوريوس'!$F$5:$F$208,'فحص-بيانات-بكالوريوس'!$F$5:$F$208,'فحص-بيانات-ماجستير'!$F$5:$F$230),$I154)&amp;"")</f>
        <v/>
      </c>
      <c r="D154" s="2" t="str">
        <f>IF($I154="","",INDEX(CHOOSE($J$3,'فحص-حاسب-بكالوريوس'!$H$5:$H$208,'فحص-بيانات-بكالوريوس'!$H$5:$H$208,'فحص-بيانات-ماجستير'!$H$5:$H$230),$I154)&amp;"")</f>
        <v/>
      </c>
      <c r="E154" s="2" t="str">
        <f>IF($I154="","",INDEX(CHOOSE($J$3,'فحص-حاسب-بكالوريوس'!$J$5:$J$208,'فحص-بيانات-بكالوريوس'!$J$5:$J$208,'فحص-بيانات-ماجستير'!$J$5:$J$230),$I154)&amp;"")</f>
        <v/>
      </c>
      <c r="F154" s="2" t="str">
        <f>IF($I154="","",INDEX(CHOOSE($J$3,'فحص-حاسب-بكالوريوس'!$L$5:$L$208,'فحص-بيانات-بكالوريوس'!$L$5:$L$208,'فحص-بيانات-ماجستير'!$L$5:$L$230),$I154)&amp;"")</f>
        <v/>
      </c>
      <c r="G154" s="2" t="str">
        <f>IF($I154="","",INDEX(CHOOSE($J$3,'فحص-حاسب-بكالوريوس'!$M$5:$M$208,'فحص-بيانات-بكالوريوس'!$M$5:$M$208,'فحص-بيانات-ماجستير'!$M$5:$M$230),$I154)&amp;"")</f>
        <v/>
      </c>
      <c r="H154" s="2" t="str">
        <f>IF($I154="","",INDEX(CHOOSE($J$3,'فحص-حاسب-بكالوريوس'!$G$5:$G$208,'فحص-بيانات-بكالوريوس'!$G$5:$G$208,'فحص-بيانات-ماجستير'!$G$5:$G$230),$I154)&amp;"")</f>
        <v/>
      </c>
      <c r="I154" s="2" t="str">
        <f>IFERROR(MATCH($E$3&amp;"#"&amp;149,CHOOSE($J$3,'فحص-حاسب-بكالوريوس'!$R$5:$R$208,'فحص-بيانات-بكالوريوس'!$R$5:$R$208,'فحص-بيانات-ماجستير'!$R$5:$R$230),0),"")</f>
        <v/>
      </c>
    </row>
    <row r="155" spans="1:9" x14ac:dyDescent="0.2">
      <c r="A155" s="1" t="str">
        <f>IF($I155="","",150)</f>
        <v/>
      </c>
      <c r="B155" s="2" t="str">
        <f>IF($I155="","",INDEX(CHOOSE($J$3,'فحص-حاسب-بكالوريوس'!$A$5:$A$208,'فحص-بيانات-بكالوريوس'!$A$5:$A$208,'فحص-بيانات-ماجستير'!$A$5:$A$230),$I155)&amp;"")</f>
        <v/>
      </c>
      <c r="C155" s="2" t="str">
        <f>IF($I155="","",INDEX(CHOOSE($J$3,'فحص-حاسب-بكالوريوس'!$F$5:$F$208,'فحص-بيانات-بكالوريوس'!$F$5:$F$208,'فحص-بيانات-ماجستير'!$F$5:$F$230),$I155)&amp;"")</f>
        <v/>
      </c>
      <c r="D155" s="2" t="str">
        <f>IF($I155="","",INDEX(CHOOSE($J$3,'فحص-حاسب-بكالوريوس'!$H$5:$H$208,'فحص-بيانات-بكالوريوس'!$H$5:$H$208,'فحص-بيانات-ماجستير'!$H$5:$H$230),$I155)&amp;"")</f>
        <v/>
      </c>
      <c r="E155" s="2" t="str">
        <f>IF($I155="","",INDEX(CHOOSE($J$3,'فحص-حاسب-بكالوريوس'!$J$5:$J$208,'فحص-بيانات-بكالوريوس'!$J$5:$J$208,'فحص-بيانات-ماجستير'!$J$5:$J$230),$I155)&amp;"")</f>
        <v/>
      </c>
      <c r="F155" s="2" t="str">
        <f>IF($I155="","",INDEX(CHOOSE($J$3,'فحص-حاسب-بكالوريوس'!$L$5:$L$208,'فحص-بيانات-بكالوريوس'!$L$5:$L$208,'فحص-بيانات-ماجستير'!$L$5:$L$230),$I155)&amp;"")</f>
        <v/>
      </c>
      <c r="G155" s="2" t="str">
        <f>IF($I155="","",INDEX(CHOOSE($J$3,'فحص-حاسب-بكالوريوس'!$M$5:$M$208,'فحص-بيانات-بكالوريوس'!$M$5:$M$208,'فحص-بيانات-ماجستير'!$M$5:$M$230),$I155)&amp;"")</f>
        <v/>
      </c>
      <c r="H155" s="2" t="str">
        <f>IF($I155="","",INDEX(CHOOSE($J$3,'فحص-حاسب-بكالوريوس'!$G$5:$G$208,'فحص-بيانات-بكالوريوس'!$G$5:$G$208,'فحص-بيانات-ماجستير'!$G$5:$G$230),$I155)&amp;"")</f>
        <v/>
      </c>
      <c r="I155" s="2" t="str">
        <f>IFERROR(MATCH($E$3&amp;"#"&amp;150,CHOOSE($J$3,'فحص-حاسب-بكالوريوس'!$R$5:$R$208,'فحص-بيانات-بكالوريوس'!$R$5:$R$208,'فحص-بيانات-ماجستير'!$R$5:$R$230),0),"")</f>
        <v/>
      </c>
    </row>
    <row r="156" spans="1:9" x14ac:dyDescent="0.2">
      <c r="A156" s="1" t="str">
        <f>IF($I156="","",151)</f>
        <v/>
      </c>
      <c r="B156" s="2" t="str">
        <f>IF($I156="","",INDEX(CHOOSE($J$3,'فحص-حاسب-بكالوريوس'!$A$5:$A$208,'فحص-بيانات-بكالوريوس'!$A$5:$A$208,'فحص-بيانات-ماجستير'!$A$5:$A$230),$I156)&amp;"")</f>
        <v/>
      </c>
      <c r="C156" s="2" t="str">
        <f>IF($I156="","",INDEX(CHOOSE($J$3,'فحص-حاسب-بكالوريوس'!$F$5:$F$208,'فحص-بيانات-بكالوريوس'!$F$5:$F$208,'فحص-بيانات-ماجستير'!$F$5:$F$230),$I156)&amp;"")</f>
        <v/>
      </c>
      <c r="D156" s="2" t="str">
        <f>IF($I156="","",INDEX(CHOOSE($J$3,'فحص-حاسب-بكالوريوس'!$H$5:$H$208,'فحص-بيانات-بكالوريوس'!$H$5:$H$208,'فحص-بيانات-ماجستير'!$H$5:$H$230),$I156)&amp;"")</f>
        <v/>
      </c>
      <c r="E156" s="2" t="str">
        <f>IF($I156="","",INDEX(CHOOSE($J$3,'فحص-حاسب-بكالوريوس'!$J$5:$J$208,'فحص-بيانات-بكالوريوس'!$J$5:$J$208,'فحص-بيانات-ماجستير'!$J$5:$J$230),$I156)&amp;"")</f>
        <v/>
      </c>
      <c r="F156" s="2" t="str">
        <f>IF($I156="","",INDEX(CHOOSE($J$3,'فحص-حاسب-بكالوريوس'!$L$5:$L$208,'فحص-بيانات-بكالوريوس'!$L$5:$L$208,'فحص-بيانات-ماجستير'!$L$5:$L$230),$I156)&amp;"")</f>
        <v/>
      </c>
      <c r="G156" s="2" t="str">
        <f>IF($I156="","",INDEX(CHOOSE($J$3,'فحص-حاسب-بكالوريوس'!$M$5:$M$208,'فحص-بيانات-بكالوريوس'!$M$5:$M$208,'فحص-بيانات-ماجستير'!$M$5:$M$230),$I156)&amp;"")</f>
        <v/>
      </c>
      <c r="H156" s="2" t="str">
        <f>IF($I156="","",INDEX(CHOOSE($J$3,'فحص-حاسب-بكالوريوس'!$G$5:$G$208,'فحص-بيانات-بكالوريوس'!$G$5:$G$208,'فحص-بيانات-ماجستير'!$G$5:$G$230),$I156)&amp;"")</f>
        <v/>
      </c>
      <c r="I156" s="2" t="str">
        <f>IFERROR(MATCH($E$3&amp;"#"&amp;151,CHOOSE($J$3,'فحص-حاسب-بكالوريوس'!$R$5:$R$208,'فحص-بيانات-بكالوريوس'!$R$5:$R$208,'فحص-بيانات-ماجستير'!$R$5:$R$230),0),"")</f>
        <v/>
      </c>
    </row>
    <row r="157" spans="1:9" x14ac:dyDescent="0.2">
      <c r="A157" s="1" t="str">
        <f>IF($I157="","",152)</f>
        <v/>
      </c>
      <c r="B157" s="2" t="str">
        <f>IF($I157="","",INDEX(CHOOSE($J$3,'فحص-حاسب-بكالوريوس'!$A$5:$A$208,'فحص-بيانات-بكالوريوس'!$A$5:$A$208,'فحص-بيانات-ماجستير'!$A$5:$A$230),$I157)&amp;"")</f>
        <v/>
      </c>
      <c r="C157" s="2" t="str">
        <f>IF($I157="","",INDEX(CHOOSE($J$3,'فحص-حاسب-بكالوريوس'!$F$5:$F$208,'فحص-بيانات-بكالوريوس'!$F$5:$F$208,'فحص-بيانات-ماجستير'!$F$5:$F$230),$I157)&amp;"")</f>
        <v/>
      </c>
      <c r="D157" s="2" t="str">
        <f>IF($I157="","",INDEX(CHOOSE($J$3,'فحص-حاسب-بكالوريوس'!$H$5:$H$208,'فحص-بيانات-بكالوريوس'!$H$5:$H$208,'فحص-بيانات-ماجستير'!$H$5:$H$230),$I157)&amp;"")</f>
        <v/>
      </c>
      <c r="E157" s="2" t="str">
        <f>IF($I157="","",INDEX(CHOOSE($J$3,'فحص-حاسب-بكالوريوس'!$J$5:$J$208,'فحص-بيانات-بكالوريوس'!$J$5:$J$208,'فحص-بيانات-ماجستير'!$J$5:$J$230),$I157)&amp;"")</f>
        <v/>
      </c>
      <c r="F157" s="2" t="str">
        <f>IF($I157="","",INDEX(CHOOSE($J$3,'فحص-حاسب-بكالوريوس'!$L$5:$L$208,'فحص-بيانات-بكالوريوس'!$L$5:$L$208,'فحص-بيانات-ماجستير'!$L$5:$L$230),$I157)&amp;"")</f>
        <v/>
      </c>
      <c r="G157" s="2" t="str">
        <f>IF($I157="","",INDEX(CHOOSE($J$3,'فحص-حاسب-بكالوريوس'!$M$5:$M$208,'فحص-بيانات-بكالوريوس'!$M$5:$M$208,'فحص-بيانات-ماجستير'!$M$5:$M$230),$I157)&amp;"")</f>
        <v/>
      </c>
      <c r="H157" s="2" t="str">
        <f>IF($I157="","",INDEX(CHOOSE($J$3,'فحص-حاسب-بكالوريوس'!$G$5:$G$208,'فحص-بيانات-بكالوريوس'!$G$5:$G$208,'فحص-بيانات-ماجستير'!$G$5:$G$230),$I157)&amp;"")</f>
        <v/>
      </c>
      <c r="I157" s="2" t="str">
        <f>IFERROR(MATCH($E$3&amp;"#"&amp;152,CHOOSE($J$3,'فحص-حاسب-بكالوريوس'!$R$5:$R$208,'فحص-بيانات-بكالوريوس'!$R$5:$R$208,'فحص-بيانات-ماجستير'!$R$5:$R$230),0),"")</f>
        <v/>
      </c>
    </row>
    <row r="158" spans="1:9" x14ac:dyDescent="0.2">
      <c r="A158" s="1" t="str">
        <f>IF($I158="","",153)</f>
        <v/>
      </c>
      <c r="B158" s="2" t="str">
        <f>IF($I158="","",INDEX(CHOOSE($J$3,'فحص-حاسب-بكالوريوس'!$A$5:$A$208,'فحص-بيانات-بكالوريوس'!$A$5:$A$208,'فحص-بيانات-ماجستير'!$A$5:$A$230),$I158)&amp;"")</f>
        <v/>
      </c>
      <c r="C158" s="2" t="str">
        <f>IF($I158="","",INDEX(CHOOSE($J$3,'فحص-حاسب-بكالوريوس'!$F$5:$F$208,'فحص-بيانات-بكالوريوس'!$F$5:$F$208,'فحص-بيانات-ماجستير'!$F$5:$F$230),$I158)&amp;"")</f>
        <v/>
      </c>
      <c r="D158" s="2" t="str">
        <f>IF($I158="","",INDEX(CHOOSE($J$3,'فحص-حاسب-بكالوريوس'!$H$5:$H$208,'فحص-بيانات-بكالوريوس'!$H$5:$H$208,'فحص-بيانات-ماجستير'!$H$5:$H$230),$I158)&amp;"")</f>
        <v/>
      </c>
      <c r="E158" s="2" t="str">
        <f>IF($I158="","",INDEX(CHOOSE($J$3,'فحص-حاسب-بكالوريوس'!$J$5:$J$208,'فحص-بيانات-بكالوريوس'!$J$5:$J$208,'فحص-بيانات-ماجستير'!$J$5:$J$230),$I158)&amp;"")</f>
        <v/>
      </c>
      <c r="F158" s="2" t="str">
        <f>IF($I158="","",INDEX(CHOOSE($J$3,'فحص-حاسب-بكالوريوس'!$L$5:$L$208,'فحص-بيانات-بكالوريوس'!$L$5:$L$208,'فحص-بيانات-ماجستير'!$L$5:$L$230),$I158)&amp;"")</f>
        <v/>
      </c>
      <c r="G158" s="2" t="str">
        <f>IF($I158="","",INDEX(CHOOSE($J$3,'فحص-حاسب-بكالوريوس'!$M$5:$M$208,'فحص-بيانات-بكالوريوس'!$M$5:$M$208,'فحص-بيانات-ماجستير'!$M$5:$M$230),$I158)&amp;"")</f>
        <v/>
      </c>
      <c r="H158" s="2" t="str">
        <f>IF($I158="","",INDEX(CHOOSE($J$3,'فحص-حاسب-بكالوريوس'!$G$5:$G$208,'فحص-بيانات-بكالوريوس'!$G$5:$G$208,'فحص-بيانات-ماجستير'!$G$5:$G$230),$I158)&amp;"")</f>
        <v/>
      </c>
      <c r="I158" s="2" t="str">
        <f>IFERROR(MATCH($E$3&amp;"#"&amp;153,CHOOSE($J$3,'فحص-حاسب-بكالوريوس'!$R$5:$R$208,'فحص-بيانات-بكالوريوس'!$R$5:$R$208,'فحص-بيانات-ماجستير'!$R$5:$R$230),0),"")</f>
        <v/>
      </c>
    </row>
    <row r="159" spans="1:9" x14ac:dyDescent="0.2">
      <c r="A159" s="1" t="str">
        <f>IF($I159="","",154)</f>
        <v/>
      </c>
      <c r="B159" s="2" t="str">
        <f>IF($I159="","",INDEX(CHOOSE($J$3,'فحص-حاسب-بكالوريوس'!$A$5:$A$208,'فحص-بيانات-بكالوريوس'!$A$5:$A$208,'فحص-بيانات-ماجستير'!$A$5:$A$230),$I159)&amp;"")</f>
        <v/>
      </c>
      <c r="C159" s="2" t="str">
        <f>IF($I159="","",INDEX(CHOOSE($J$3,'فحص-حاسب-بكالوريوس'!$F$5:$F$208,'فحص-بيانات-بكالوريوس'!$F$5:$F$208,'فحص-بيانات-ماجستير'!$F$5:$F$230),$I159)&amp;"")</f>
        <v/>
      </c>
      <c r="D159" s="2" t="str">
        <f>IF($I159="","",INDEX(CHOOSE($J$3,'فحص-حاسب-بكالوريوس'!$H$5:$H$208,'فحص-بيانات-بكالوريوس'!$H$5:$H$208,'فحص-بيانات-ماجستير'!$H$5:$H$230),$I159)&amp;"")</f>
        <v/>
      </c>
      <c r="E159" s="2" t="str">
        <f>IF($I159="","",INDEX(CHOOSE($J$3,'فحص-حاسب-بكالوريوس'!$J$5:$J$208,'فحص-بيانات-بكالوريوس'!$J$5:$J$208,'فحص-بيانات-ماجستير'!$J$5:$J$230),$I159)&amp;"")</f>
        <v/>
      </c>
      <c r="F159" s="2" t="str">
        <f>IF($I159="","",INDEX(CHOOSE($J$3,'فحص-حاسب-بكالوريوس'!$L$5:$L$208,'فحص-بيانات-بكالوريوس'!$L$5:$L$208,'فحص-بيانات-ماجستير'!$L$5:$L$230),$I159)&amp;"")</f>
        <v/>
      </c>
      <c r="G159" s="2" t="str">
        <f>IF($I159="","",INDEX(CHOOSE($J$3,'فحص-حاسب-بكالوريوس'!$M$5:$M$208,'فحص-بيانات-بكالوريوس'!$M$5:$M$208,'فحص-بيانات-ماجستير'!$M$5:$M$230),$I159)&amp;"")</f>
        <v/>
      </c>
      <c r="H159" s="2" t="str">
        <f>IF($I159="","",INDEX(CHOOSE($J$3,'فحص-حاسب-بكالوريوس'!$G$5:$G$208,'فحص-بيانات-بكالوريوس'!$G$5:$G$208,'فحص-بيانات-ماجستير'!$G$5:$G$230),$I159)&amp;"")</f>
        <v/>
      </c>
      <c r="I159" s="2" t="str">
        <f>IFERROR(MATCH($E$3&amp;"#"&amp;154,CHOOSE($J$3,'فحص-حاسب-بكالوريوس'!$R$5:$R$208,'فحص-بيانات-بكالوريوس'!$R$5:$R$208,'فحص-بيانات-ماجستير'!$R$5:$R$230),0),"")</f>
        <v/>
      </c>
    </row>
    <row r="160" spans="1:9" x14ac:dyDescent="0.2">
      <c r="A160" s="1" t="str">
        <f>IF($I160="","",155)</f>
        <v/>
      </c>
      <c r="B160" s="2" t="str">
        <f>IF($I160="","",INDEX(CHOOSE($J$3,'فحص-حاسب-بكالوريوس'!$A$5:$A$208,'فحص-بيانات-بكالوريوس'!$A$5:$A$208,'فحص-بيانات-ماجستير'!$A$5:$A$230),$I160)&amp;"")</f>
        <v/>
      </c>
      <c r="C160" s="2" t="str">
        <f>IF($I160="","",INDEX(CHOOSE($J$3,'فحص-حاسب-بكالوريوس'!$F$5:$F$208,'فحص-بيانات-بكالوريوس'!$F$5:$F$208,'فحص-بيانات-ماجستير'!$F$5:$F$230),$I160)&amp;"")</f>
        <v/>
      </c>
      <c r="D160" s="2" t="str">
        <f>IF($I160="","",INDEX(CHOOSE($J$3,'فحص-حاسب-بكالوريوس'!$H$5:$H$208,'فحص-بيانات-بكالوريوس'!$H$5:$H$208,'فحص-بيانات-ماجستير'!$H$5:$H$230),$I160)&amp;"")</f>
        <v/>
      </c>
      <c r="E160" s="2" t="str">
        <f>IF($I160="","",INDEX(CHOOSE($J$3,'فحص-حاسب-بكالوريوس'!$J$5:$J$208,'فحص-بيانات-بكالوريوس'!$J$5:$J$208,'فحص-بيانات-ماجستير'!$J$5:$J$230),$I160)&amp;"")</f>
        <v/>
      </c>
      <c r="F160" s="2" t="str">
        <f>IF($I160="","",INDEX(CHOOSE($J$3,'فحص-حاسب-بكالوريوس'!$L$5:$L$208,'فحص-بيانات-بكالوريوس'!$L$5:$L$208,'فحص-بيانات-ماجستير'!$L$5:$L$230),$I160)&amp;"")</f>
        <v/>
      </c>
      <c r="G160" s="2" t="str">
        <f>IF($I160="","",INDEX(CHOOSE($J$3,'فحص-حاسب-بكالوريوس'!$M$5:$M$208,'فحص-بيانات-بكالوريوس'!$M$5:$M$208,'فحص-بيانات-ماجستير'!$M$5:$M$230),$I160)&amp;"")</f>
        <v/>
      </c>
      <c r="H160" s="2" t="str">
        <f>IF($I160="","",INDEX(CHOOSE($J$3,'فحص-حاسب-بكالوريوس'!$G$5:$G$208,'فحص-بيانات-بكالوريوس'!$G$5:$G$208,'فحص-بيانات-ماجستير'!$G$5:$G$230),$I160)&amp;"")</f>
        <v/>
      </c>
      <c r="I160" s="2" t="str">
        <f>IFERROR(MATCH($E$3&amp;"#"&amp;155,CHOOSE($J$3,'فحص-حاسب-بكالوريوس'!$R$5:$R$208,'فحص-بيانات-بكالوريوس'!$R$5:$R$208,'فحص-بيانات-ماجستير'!$R$5:$R$230),0),"")</f>
        <v/>
      </c>
    </row>
    <row r="161" spans="1:9" x14ac:dyDescent="0.2">
      <c r="A161" s="1" t="str">
        <f>IF($I161="","",156)</f>
        <v/>
      </c>
      <c r="B161" s="2" t="str">
        <f>IF($I161="","",INDEX(CHOOSE($J$3,'فحص-حاسب-بكالوريوس'!$A$5:$A$208,'فحص-بيانات-بكالوريوس'!$A$5:$A$208,'فحص-بيانات-ماجستير'!$A$5:$A$230),$I161)&amp;"")</f>
        <v/>
      </c>
      <c r="C161" s="2" t="str">
        <f>IF($I161="","",INDEX(CHOOSE($J$3,'فحص-حاسب-بكالوريوس'!$F$5:$F$208,'فحص-بيانات-بكالوريوس'!$F$5:$F$208,'فحص-بيانات-ماجستير'!$F$5:$F$230),$I161)&amp;"")</f>
        <v/>
      </c>
      <c r="D161" s="2" t="str">
        <f>IF($I161="","",INDEX(CHOOSE($J$3,'فحص-حاسب-بكالوريوس'!$H$5:$H$208,'فحص-بيانات-بكالوريوس'!$H$5:$H$208,'فحص-بيانات-ماجستير'!$H$5:$H$230),$I161)&amp;"")</f>
        <v/>
      </c>
      <c r="E161" s="2" t="str">
        <f>IF($I161="","",INDEX(CHOOSE($J$3,'فحص-حاسب-بكالوريوس'!$J$5:$J$208,'فحص-بيانات-بكالوريوس'!$J$5:$J$208,'فحص-بيانات-ماجستير'!$J$5:$J$230),$I161)&amp;"")</f>
        <v/>
      </c>
      <c r="F161" s="2" t="str">
        <f>IF($I161="","",INDEX(CHOOSE($J$3,'فحص-حاسب-بكالوريوس'!$L$5:$L$208,'فحص-بيانات-بكالوريوس'!$L$5:$L$208,'فحص-بيانات-ماجستير'!$L$5:$L$230),$I161)&amp;"")</f>
        <v/>
      </c>
      <c r="G161" s="2" t="str">
        <f>IF($I161="","",INDEX(CHOOSE($J$3,'فحص-حاسب-بكالوريوس'!$M$5:$M$208,'فحص-بيانات-بكالوريوس'!$M$5:$M$208,'فحص-بيانات-ماجستير'!$M$5:$M$230),$I161)&amp;"")</f>
        <v/>
      </c>
      <c r="H161" s="2" t="str">
        <f>IF($I161="","",INDEX(CHOOSE($J$3,'فحص-حاسب-بكالوريوس'!$G$5:$G$208,'فحص-بيانات-بكالوريوس'!$G$5:$G$208,'فحص-بيانات-ماجستير'!$G$5:$G$230),$I161)&amp;"")</f>
        <v/>
      </c>
      <c r="I161" s="2" t="str">
        <f>IFERROR(MATCH($E$3&amp;"#"&amp;156,CHOOSE($J$3,'فحص-حاسب-بكالوريوس'!$R$5:$R$208,'فحص-بيانات-بكالوريوس'!$R$5:$R$208,'فحص-بيانات-ماجستير'!$R$5:$R$230),0),"")</f>
        <v/>
      </c>
    </row>
    <row r="162" spans="1:9" x14ac:dyDescent="0.2">
      <c r="A162" s="1" t="str">
        <f>IF($I162="","",157)</f>
        <v/>
      </c>
      <c r="B162" s="2" t="str">
        <f>IF($I162="","",INDEX(CHOOSE($J$3,'فحص-حاسب-بكالوريوس'!$A$5:$A$208,'فحص-بيانات-بكالوريوس'!$A$5:$A$208,'فحص-بيانات-ماجستير'!$A$5:$A$230),$I162)&amp;"")</f>
        <v/>
      </c>
      <c r="C162" s="2" t="str">
        <f>IF($I162="","",INDEX(CHOOSE($J$3,'فحص-حاسب-بكالوريوس'!$F$5:$F$208,'فحص-بيانات-بكالوريوس'!$F$5:$F$208,'فحص-بيانات-ماجستير'!$F$5:$F$230),$I162)&amp;"")</f>
        <v/>
      </c>
      <c r="D162" s="2" t="str">
        <f>IF($I162="","",INDEX(CHOOSE($J$3,'فحص-حاسب-بكالوريوس'!$H$5:$H$208,'فحص-بيانات-بكالوريوس'!$H$5:$H$208,'فحص-بيانات-ماجستير'!$H$5:$H$230),$I162)&amp;"")</f>
        <v/>
      </c>
      <c r="E162" s="2" t="str">
        <f>IF($I162="","",INDEX(CHOOSE($J$3,'فحص-حاسب-بكالوريوس'!$J$5:$J$208,'فحص-بيانات-بكالوريوس'!$J$5:$J$208,'فحص-بيانات-ماجستير'!$J$5:$J$230),$I162)&amp;"")</f>
        <v/>
      </c>
      <c r="F162" s="2" t="str">
        <f>IF($I162="","",INDEX(CHOOSE($J$3,'فحص-حاسب-بكالوريوس'!$L$5:$L$208,'فحص-بيانات-بكالوريوس'!$L$5:$L$208,'فحص-بيانات-ماجستير'!$L$5:$L$230),$I162)&amp;"")</f>
        <v/>
      </c>
      <c r="G162" s="2" t="str">
        <f>IF($I162="","",INDEX(CHOOSE($J$3,'فحص-حاسب-بكالوريوس'!$M$5:$M$208,'فحص-بيانات-بكالوريوس'!$M$5:$M$208,'فحص-بيانات-ماجستير'!$M$5:$M$230),$I162)&amp;"")</f>
        <v/>
      </c>
      <c r="H162" s="2" t="str">
        <f>IF($I162="","",INDEX(CHOOSE($J$3,'فحص-حاسب-بكالوريوس'!$G$5:$G$208,'فحص-بيانات-بكالوريوس'!$G$5:$G$208,'فحص-بيانات-ماجستير'!$G$5:$G$230),$I162)&amp;"")</f>
        <v/>
      </c>
      <c r="I162" s="2" t="str">
        <f>IFERROR(MATCH($E$3&amp;"#"&amp;157,CHOOSE($J$3,'فحص-حاسب-بكالوريوس'!$R$5:$R$208,'فحص-بيانات-بكالوريوس'!$R$5:$R$208,'فحص-بيانات-ماجستير'!$R$5:$R$230),0),"")</f>
        <v/>
      </c>
    </row>
    <row r="163" spans="1:9" x14ac:dyDescent="0.2">
      <c r="A163" s="1" t="str">
        <f>IF($I163="","",158)</f>
        <v/>
      </c>
      <c r="B163" s="2" t="str">
        <f>IF($I163="","",INDEX(CHOOSE($J$3,'فحص-حاسب-بكالوريوس'!$A$5:$A$208,'فحص-بيانات-بكالوريوس'!$A$5:$A$208,'فحص-بيانات-ماجستير'!$A$5:$A$230),$I163)&amp;"")</f>
        <v/>
      </c>
      <c r="C163" s="2" t="str">
        <f>IF($I163="","",INDEX(CHOOSE($J$3,'فحص-حاسب-بكالوريوس'!$F$5:$F$208,'فحص-بيانات-بكالوريوس'!$F$5:$F$208,'فحص-بيانات-ماجستير'!$F$5:$F$230),$I163)&amp;"")</f>
        <v/>
      </c>
      <c r="D163" s="2" t="str">
        <f>IF($I163="","",INDEX(CHOOSE($J$3,'فحص-حاسب-بكالوريوس'!$H$5:$H$208,'فحص-بيانات-بكالوريوس'!$H$5:$H$208,'فحص-بيانات-ماجستير'!$H$5:$H$230),$I163)&amp;"")</f>
        <v/>
      </c>
      <c r="E163" s="2" t="str">
        <f>IF($I163="","",INDEX(CHOOSE($J$3,'فحص-حاسب-بكالوريوس'!$J$5:$J$208,'فحص-بيانات-بكالوريوس'!$J$5:$J$208,'فحص-بيانات-ماجستير'!$J$5:$J$230),$I163)&amp;"")</f>
        <v/>
      </c>
      <c r="F163" s="2" t="str">
        <f>IF($I163="","",INDEX(CHOOSE($J$3,'فحص-حاسب-بكالوريوس'!$L$5:$L$208,'فحص-بيانات-بكالوريوس'!$L$5:$L$208,'فحص-بيانات-ماجستير'!$L$5:$L$230),$I163)&amp;"")</f>
        <v/>
      </c>
      <c r="G163" s="2" t="str">
        <f>IF($I163="","",INDEX(CHOOSE($J$3,'فحص-حاسب-بكالوريوس'!$M$5:$M$208,'فحص-بيانات-بكالوريوس'!$M$5:$M$208,'فحص-بيانات-ماجستير'!$M$5:$M$230),$I163)&amp;"")</f>
        <v/>
      </c>
      <c r="H163" s="2" t="str">
        <f>IF($I163="","",INDEX(CHOOSE($J$3,'فحص-حاسب-بكالوريوس'!$G$5:$G$208,'فحص-بيانات-بكالوريوس'!$G$5:$G$208,'فحص-بيانات-ماجستير'!$G$5:$G$230),$I163)&amp;"")</f>
        <v/>
      </c>
      <c r="I163" s="2" t="str">
        <f>IFERROR(MATCH($E$3&amp;"#"&amp;158,CHOOSE($J$3,'فحص-حاسب-بكالوريوس'!$R$5:$R$208,'فحص-بيانات-بكالوريوس'!$R$5:$R$208,'فحص-بيانات-ماجستير'!$R$5:$R$230),0),"")</f>
        <v/>
      </c>
    </row>
    <row r="164" spans="1:9" x14ac:dyDescent="0.2">
      <c r="A164" s="1" t="str">
        <f>IF($I164="","",159)</f>
        <v/>
      </c>
      <c r="B164" s="2" t="str">
        <f>IF($I164="","",INDEX(CHOOSE($J$3,'فحص-حاسب-بكالوريوس'!$A$5:$A$208,'فحص-بيانات-بكالوريوس'!$A$5:$A$208,'فحص-بيانات-ماجستير'!$A$5:$A$230),$I164)&amp;"")</f>
        <v/>
      </c>
      <c r="C164" s="2" t="str">
        <f>IF($I164="","",INDEX(CHOOSE($J$3,'فحص-حاسب-بكالوريوس'!$F$5:$F$208,'فحص-بيانات-بكالوريوس'!$F$5:$F$208,'فحص-بيانات-ماجستير'!$F$5:$F$230),$I164)&amp;"")</f>
        <v/>
      </c>
      <c r="D164" s="2" t="str">
        <f>IF($I164="","",INDEX(CHOOSE($J$3,'فحص-حاسب-بكالوريوس'!$H$5:$H$208,'فحص-بيانات-بكالوريوس'!$H$5:$H$208,'فحص-بيانات-ماجستير'!$H$5:$H$230),$I164)&amp;"")</f>
        <v/>
      </c>
      <c r="E164" s="2" t="str">
        <f>IF($I164="","",INDEX(CHOOSE($J$3,'فحص-حاسب-بكالوريوس'!$J$5:$J$208,'فحص-بيانات-بكالوريوس'!$J$5:$J$208,'فحص-بيانات-ماجستير'!$J$5:$J$230),$I164)&amp;"")</f>
        <v/>
      </c>
      <c r="F164" s="2" t="str">
        <f>IF($I164="","",INDEX(CHOOSE($J$3,'فحص-حاسب-بكالوريوس'!$L$5:$L$208,'فحص-بيانات-بكالوريوس'!$L$5:$L$208,'فحص-بيانات-ماجستير'!$L$5:$L$230),$I164)&amp;"")</f>
        <v/>
      </c>
      <c r="G164" s="2" t="str">
        <f>IF($I164="","",INDEX(CHOOSE($J$3,'فحص-حاسب-بكالوريوس'!$M$5:$M$208,'فحص-بيانات-بكالوريوس'!$M$5:$M$208,'فحص-بيانات-ماجستير'!$M$5:$M$230),$I164)&amp;"")</f>
        <v/>
      </c>
      <c r="H164" s="2" t="str">
        <f>IF($I164="","",INDEX(CHOOSE($J$3,'فحص-حاسب-بكالوريوس'!$G$5:$G$208,'فحص-بيانات-بكالوريوس'!$G$5:$G$208,'فحص-بيانات-ماجستير'!$G$5:$G$230),$I164)&amp;"")</f>
        <v/>
      </c>
      <c r="I164" s="2" t="str">
        <f>IFERROR(MATCH($E$3&amp;"#"&amp;159,CHOOSE($J$3,'فحص-حاسب-بكالوريوس'!$R$5:$R$208,'فحص-بيانات-بكالوريوس'!$R$5:$R$208,'فحص-بيانات-ماجستير'!$R$5:$R$230),0),"")</f>
        <v/>
      </c>
    </row>
    <row r="165" spans="1:9" x14ac:dyDescent="0.2">
      <c r="A165" s="1" t="str">
        <f>IF($I165="","",160)</f>
        <v/>
      </c>
      <c r="B165" s="2" t="str">
        <f>IF($I165="","",INDEX(CHOOSE($J$3,'فحص-حاسب-بكالوريوس'!$A$5:$A$208,'فحص-بيانات-بكالوريوس'!$A$5:$A$208,'فحص-بيانات-ماجستير'!$A$5:$A$230),$I165)&amp;"")</f>
        <v/>
      </c>
      <c r="C165" s="2" t="str">
        <f>IF($I165="","",INDEX(CHOOSE($J$3,'فحص-حاسب-بكالوريوس'!$F$5:$F$208,'فحص-بيانات-بكالوريوس'!$F$5:$F$208,'فحص-بيانات-ماجستير'!$F$5:$F$230),$I165)&amp;"")</f>
        <v/>
      </c>
      <c r="D165" s="2" t="str">
        <f>IF($I165="","",INDEX(CHOOSE($J$3,'فحص-حاسب-بكالوريوس'!$H$5:$H$208,'فحص-بيانات-بكالوريوس'!$H$5:$H$208,'فحص-بيانات-ماجستير'!$H$5:$H$230),$I165)&amp;"")</f>
        <v/>
      </c>
      <c r="E165" s="2" t="str">
        <f>IF($I165="","",INDEX(CHOOSE($J$3,'فحص-حاسب-بكالوريوس'!$J$5:$J$208,'فحص-بيانات-بكالوريوس'!$J$5:$J$208,'فحص-بيانات-ماجستير'!$J$5:$J$230),$I165)&amp;"")</f>
        <v/>
      </c>
      <c r="F165" s="2" t="str">
        <f>IF($I165="","",INDEX(CHOOSE($J$3,'فحص-حاسب-بكالوريوس'!$L$5:$L$208,'فحص-بيانات-بكالوريوس'!$L$5:$L$208,'فحص-بيانات-ماجستير'!$L$5:$L$230),$I165)&amp;"")</f>
        <v/>
      </c>
      <c r="G165" s="2" t="str">
        <f>IF($I165="","",INDEX(CHOOSE($J$3,'فحص-حاسب-بكالوريوس'!$M$5:$M$208,'فحص-بيانات-بكالوريوس'!$M$5:$M$208,'فحص-بيانات-ماجستير'!$M$5:$M$230),$I165)&amp;"")</f>
        <v/>
      </c>
      <c r="H165" s="2" t="str">
        <f>IF($I165="","",INDEX(CHOOSE($J$3,'فحص-حاسب-بكالوريوس'!$G$5:$G$208,'فحص-بيانات-بكالوريوس'!$G$5:$G$208,'فحص-بيانات-ماجستير'!$G$5:$G$230),$I165)&amp;"")</f>
        <v/>
      </c>
      <c r="I165" s="2" t="str">
        <f>IFERROR(MATCH($E$3&amp;"#"&amp;160,CHOOSE($J$3,'فحص-حاسب-بكالوريوس'!$R$5:$R$208,'فحص-بيانات-بكالوريوس'!$R$5:$R$208,'فحص-بيانات-ماجستير'!$R$5:$R$230),0),"")</f>
        <v/>
      </c>
    </row>
    <row r="166" spans="1:9" x14ac:dyDescent="0.2">
      <c r="A166" s="1" t="str">
        <f>IF($I166="","",161)</f>
        <v/>
      </c>
      <c r="B166" s="2" t="str">
        <f>IF($I166="","",INDEX(CHOOSE($J$3,'فحص-حاسب-بكالوريوس'!$A$5:$A$208,'فحص-بيانات-بكالوريوس'!$A$5:$A$208,'فحص-بيانات-ماجستير'!$A$5:$A$230),$I166)&amp;"")</f>
        <v/>
      </c>
      <c r="C166" s="2" t="str">
        <f>IF($I166="","",INDEX(CHOOSE($J$3,'فحص-حاسب-بكالوريوس'!$F$5:$F$208,'فحص-بيانات-بكالوريوس'!$F$5:$F$208,'فحص-بيانات-ماجستير'!$F$5:$F$230),$I166)&amp;"")</f>
        <v/>
      </c>
      <c r="D166" s="2" t="str">
        <f>IF($I166="","",INDEX(CHOOSE($J$3,'فحص-حاسب-بكالوريوس'!$H$5:$H$208,'فحص-بيانات-بكالوريوس'!$H$5:$H$208,'فحص-بيانات-ماجستير'!$H$5:$H$230),$I166)&amp;"")</f>
        <v/>
      </c>
      <c r="E166" s="2" t="str">
        <f>IF($I166="","",INDEX(CHOOSE($J$3,'فحص-حاسب-بكالوريوس'!$J$5:$J$208,'فحص-بيانات-بكالوريوس'!$J$5:$J$208,'فحص-بيانات-ماجستير'!$J$5:$J$230),$I166)&amp;"")</f>
        <v/>
      </c>
      <c r="F166" s="2" t="str">
        <f>IF($I166="","",INDEX(CHOOSE($J$3,'فحص-حاسب-بكالوريوس'!$L$5:$L$208,'فحص-بيانات-بكالوريوس'!$L$5:$L$208,'فحص-بيانات-ماجستير'!$L$5:$L$230),$I166)&amp;"")</f>
        <v/>
      </c>
      <c r="G166" s="2" t="str">
        <f>IF($I166="","",INDEX(CHOOSE($J$3,'فحص-حاسب-بكالوريوس'!$M$5:$M$208,'فحص-بيانات-بكالوريوس'!$M$5:$M$208,'فحص-بيانات-ماجستير'!$M$5:$M$230),$I166)&amp;"")</f>
        <v/>
      </c>
      <c r="H166" s="2" t="str">
        <f>IF($I166="","",INDEX(CHOOSE($J$3,'فحص-حاسب-بكالوريوس'!$G$5:$G$208,'فحص-بيانات-بكالوريوس'!$G$5:$G$208,'فحص-بيانات-ماجستير'!$G$5:$G$230),$I166)&amp;"")</f>
        <v/>
      </c>
      <c r="I166" s="2" t="str">
        <f>IFERROR(MATCH($E$3&amp;"#"&amp;161,CHOOSE($J$3,'فحص-حاسب-بكالوريوس'!$R$5:$R$208,'فحص-بيانات-بكالوريوس'!$R$5:$R$208,'فحص-بيانات-ماجستير'!$R$5:$R$230),0),"")</f>
        <v/>
      </c>
    </row>
    <row r="167" spans="1:9" x14ac:dyDescent="0.2">
      <c r="A167" s="1" t="str">
        <f>IF($I167="","",162)</f>
        <v/>
      </c>
      <c r="B167" s="2" t="str">
        <f>IF($I167="","",INDEX(CHOOSE($J$3,'فحص-حاسب-بكالوريوس'!$A$5:$A$208,'فحص-بيانات-بكالوريوس'!$A$5:$A$208,'فحص-بيانات-ماجستير'!$A$5:$A$230),$I167)&amp;"")</f>
        <v/>
      </c>
      <c r="C167" s="2" t="str">
        <f>IF($I167="","",INDEX(CHOOSE($J$3,'فحص-حاسب-بكالوريوس'!$F$5:$F$208,'فحص-بيانات-بكالوريوس'!$F$5:$F$208,'فحص-بيانات-ماجستير'!$F$5:$F$230),$I167)&amp;"")</f>
        <v/>
      </c>
      <c r="D167" s="2" t="str">
        <f>IF($I167="","",INDEX(CHOOSE($J$3,'فحص-حاسب-بكالوريوس'!$H$5:$H$208,'فحص-بيانات-بكالوريوس'!$H$5:$H$208,'فحص-بيانات-ماجستير'!$H$5:$H$230),$I167)&amp;"")</f>
        <v/>
      </c>
      <c r="E167" s="2" t="str">
        <f>IF($I167="","",INDEX(CHOOSE($J$3,'فحص-حاسب-بكالوريوس'!$J$5:$J$208,'فحص-بيانات-بكالوريوس'!$J$5:$J$208,'فحص-بيانات-ماجستير'!$J$5:$J$230),$I167)&amp;"")</f>
        <v/>
      </c>
      <c r="F167" s="2" t="str">
        <f>IF($I167="","",INDEX(CHOOSE($J$3,'فحص-حاسب-بكالوريوس'!$L$5:$L$208,'فحص-بيانات-بكالوريوس'!$L$5:$L$208,'فحص-بيانات-ماجستير'!$L$5:$L$230),$I167)&amp;"")</f>
        <v/>
      </c>
      <c r="G167" s="2" t="str">
        <f>IF($I167="","",INDEX(CHOOSE($J$3,'فحص-حاسب-بكالوريوس'!$M$5:$M$208,'فحص-بيانات-بكالوريوس'!$M$5:$M$208,'فحص-بيانات-ماجستير'!$M$5:$M$230),$I167)&amp;"")</f>
        <v/>
      </c>
      <c r="H167" s="2" t="str">
        <f>IF($I167="","",INDEX(CHOOSE($J$3,'فحص-حاسب-بكالوريوس'!$G$5:$G$208,'فحص-بيانات-بكالوريوس'!$G$5:$G$208,'فحص-بيانات-ماجستير'!$G$5:$G$230),$I167)&amp;"")</f>
        <v/>
      </c>
      <c r="I167" s="2" t="str">
        <f>IFERROR(MATCH($E$3&amp;"#"&amp;162,CHOOSE($J$3,'فحص-حاسب-بكالوريوس'!$R$5:$R$208,'فحص-بيانات-بكالوريوس'!$R$5:$R$208,'فحص-بيانات-ماجستير'!$R$5:$R$230),0),"")</f>
        <v/>
      </c>
    </row>
    <row r="168" spans="1:9" x14ac:dyDescent="0.2">
      <c r="A168" s="1" t="str">
        <f>IF($I168="","",163)</f>
        <v/>
      </c>
      <c r="B168" s="2" t="str">
        <f>IF($I168="","",INDEX(CHOOSE($J$3,'فحص-حاسب-بكالوريوس'!$A$5:$A$208,'فحص-بيانات-بكالوريوس'!$A$5:$A$208,'فحص-بيانات-ماجستير'!$A$5:$A$230),$I168)&amp;"")</f>
        <v/>
      </c>
      <c r="C168" s="2" t="str">
        <f>IF($I168="","",INDEX(CHOOSE($J$3,'فحص-حاسب-بكالوريوس'!$F$5:$F$208,'فحص-بيانات-بكالوريوس'!$F$5:$F$208,'فحص-بيانات-ماجستير'!$F$5:$F$230),$I168)&amp;"")</f>
        <v/>
      </c>
      <c r="D168" s="2" t="str">
        <f>IF($I168="","",INDEX(CHOOSE($J$3,'فحص-حاسب-بكالوريوس'!$H$5:$H$208,'فحص-بيانات-بكالوريوس'!$H$5:$H$208,'فحص-بيانات-ماجستير'!$H$5:$H$230),$I168)&amp;"")</f>
        <v/>
      </c>
      <c r="E168" s="2" t="str">
        <f>IF($I168="","",INDEX(CHOOSE($J$3,'فحص-حاسب-بكالوريوس'!$J$5:$J$208,'فحص-بيانات-بكالوريوس'!$J$5:$J$208,'فحص-بيانات-ماجستير'!$J$5:$J$230),$I168)&amp;"")</f>
        <v/>
      </c>
      <c r="F168" s="2" t="str">
        <f>IF($I168="","",INDEX(CHOOSE($J$3,'فحص-حاسب-بكالوريوس'!$L$5:$L$208,'فحص-بيانات-بكالوريوس'!$L$5:$L$208,'فحص-بيانات-ماجستير'!$L$5:$L$230),$I168)&amp;"")</f>
        <v/>
      </c>
      <c r="G168" s="2" t="str">
        <f>IF($I168="","",INDEX(CHOOSE($J$3,'فحص-حاسب-بكالوريوس'!$M$5:$M$208,'فحص-بيانات-بكالوريوس'!$M$5:$M$208,'فحص-بيانات-ماجستير'!$M$5:$M$230),$I168)&amp;"")</f>
        <v/>
      </c>
      <c r="H168" s="2" t="str">
        <f>IF($I168="","",INDEX(CHOOSE($J$3,'فحص-حاسب-بكالوريوس'!$G$5:$G$208,'فحص-بيانات-بكالوريوس'!$G$5:$G$208,'فحص-بيانات-ماجستير'!$G$5:$G$230),$I168)&amp;"")</f>
        <v/>
      </c>
      <c r="I168" s="2" t="str">
        <f>IFERROR(MATCH($E$3&amp;"#"&amp;163,CHOOSE($J$3,'فحص-حاسب-بكالوريوس'!$R$5:$R$208,'فحص-بيانات-بكالوريوس'!$R$5:$R$208,'فحص-بيانات-ماجستير'!$R$5:$R$230),0),"")</f>
        <v/>
      </c>
    </row>
    <row r="169" spans="1:9" x14ac:dyDescent="0.2">
      <c r="A169" s="1" t="str">
        <f>IF($I169="","",164)</f>
        <v/>
      </c>
      <c r="B169" s="2" t="str">
        <f>IF($I169="","",INDEX(CHOOSE($J$3,'فحص-حاسب-بكالوريوس'!$A$5:$A$208,'فحص-بيانات-بكالوريوس'!$A$5:$A$208,'فحص-بيانات-ماجستير'!$A$5:$A$230),$I169)&amp;"")</f>
        <v/>
      </c>
      <c r="C169" s="2" t="str">
        <f>IF($I169="","",INDEX(CHOOSE($J$3,'فحص-حاسب-بكالوريوس'!$F$5:$F$208,'فحص-بيانات-بكالوريوس'!$F$5:$F$208,'فحص-بيانات-ماجستير'!$F$5:$F$230),$I169)&amp;"")</f>
        <v/>
      </c>
      <c r="D169" s="2" t="str">
        <f>IF($I169="","",INDEX(CHOOSE($J$3,'فحص-حاسب-بكالوريوس'!$H$5:$H$208,'فحص-بيانات-بكالوريوس'!$H$5:$H$208,'فحص-بيانات-ماجستير'!$H$5:$H$230),$I169)&amp;"")</f>
        <v/>
      </c>
      <c r="E169" s="2" t="str">
        <f>IF($I169="","",INDEX(CHOOSE($J$3,'فحص-حاسب-بكالوريوس'!$J$5:$J$208,'فحص-بيانات-بكالوريوس'!$J$5:$J$208,'فحص-بيانات-ماجستير'!$J$5:$J$230),$I169)&amp;"")</f>
        <v/>
      </c>
      <c r="F169" s="2" t="str">
        <f>IF($I169="","",INDEX(CHOOSE($J$3,'فحص-حاسب-بكالوريوس'!$L$5:$L$208,'فحص-بيانات-بكالوريوس'!$L$5:$L$208,'فحص-بيانات-ماجستير'!$L$5:$L$230),$I169)&amp;"")</f>
        <v/>
      </c>
      <c r="G169" s="2" t="str">
        <f>IF($I169="","",INDEX(CHOOSE($J$3,'فحص-حاسب-بكالوريوس'!$M$5:$M$208,'فحص-بيانات-بكالوريوس'!$M$5:$M$208,'فحص-بيانات-ماجستير'!$M$5:$M$230),$I169)&amp;"")</f>
        <v/>
      </c>
      <c r="H169" s="2" t="str">
        <f>IF($I169="","",INDEX(CHOOSE($J$3,'فحص-حاسب-بكالوريوس'!$G$5:$G$208,'فحص-بيانات-بكالوريوس'!$G$5:$G$208,'فحص-بيانات-ماجستير'!$G$5:$G$230),$I169)&amp;"")</f>
        <v/>
      </c>
      <c r="I169" s="2" t="str">
        <f>IFERROR(MATCH($E$3&amp;"#"&amp;164,CHOOSE($J$3,'فحص-حاسب-بكالوريوس'!$R$5:$R$208,'فحص-بيانات-بكالوريوس'!$R$5:$R$208,'فحص-بيانات-ماجستير'!$R$5:$R$230),0),"")</f>
        <v/>
      </c>
    </row>
    <row r="170" spans="1:9" x14ac:dyDescent="0.2">
      <c r="A170" s="1" t="str">
        <f>IF($I170="","",165)</f>
        <v/>
      </c>
      <c r="B170" s="2" t="str">
        <f>IF($I170="","",INDEX(CHOOSE($J$3,'فحص-حاسب-بكالوريوس'!$A$5:$A$208,'فحص-بيانات-بكالوريوس'!$A$5:$A$208,'فحص-بيانات-ماجستير'!$A$5:$A$230),$I170)&amp;"")</f>
        <v/>
      </c>
      <c r="C170" s="2" t="str">
        <f>IF($I170="","",INDEX(CHOOSE($J$3,'فحص-حاسب-بكالوريوس'!$F$5:$F$208,'فحص-بيانات-بكالوريوس'!$F$5:$F$208,'فحص-بيانات-ماجستير'!$F$5:$F$230),$I170)&amp;"")</f>
        <v/>
      </c>
      <c r="D170" s="2" t="str">
        <f>IF($I170="","",INDEX(CHOOSE($J$3,'فحص-حاسب-بكالوريوس'!$H$5:$H$208,'فحص-بيانات-بكالوريوس'!$H$5:$H$208,'فحص-بيانات-ماجستير'!$H$5:$H$230),$I170)&amp;"")</f>
        <v/>
      </c>
      <c r="E170" s="2" t="str">
        <f>IF($I170="","",INDEX(CHOOSE($J$3,'فحص-حاسب-بكالوريوس'!$J$5:$J$208,'فحص-بيانات-بكالوريوس'!$J$5:$J$208,'فحص-بيانات-ماجستير'!$J$5:$J$230),$I170)&amp;"")</f>
        <v/>
      </c>
      <c r="F170" s="2" t="str">
        <f>IF($I170="","",INDEX(CHOOSE($J$3,'فحص-حاسب-بكالوريوس'!$L$5:$L$208,'فحص-بيانات-بكالوريوس'!$L$5:$L$208,'فحص-بيانات-ماجستير'!$L$5:$L$230),$I170)&amp;"")</f>
        <v/>
      </c>
      <c r="G170" s="2" t="str">
        <f>IF($I170="","",INDEX(CHOOSE($J$3,'فحص-حاسب-بكالوريوس'!$M$5:$M$208,'فحص-بيانات-بكالوريوس'!$M$5:$M$208,'فحص-بيانات-ماجستير'!$M$5:$M$230),$I170)&amp;"")</f>
        <v/>
      </c>
      <c r="H170" s="2" t="str">
        <f>IF($I170="","",INDEX(CHOOSE($J$3,'فحص-حاسب-بكالوريوس'!$G$5:$G$208,'فحص-بيانات-بكالوريوس'!$G$5:$G$208,'فحص-بيانات-ماجستير'!$G$5:$G$230),$I170)&amp;"")</f>
        <v/>
      </c>
      <c r="I170" s="2" t="str">
        <f>IFERROR(MATCH($E$3&amp;"#"&amp;165,CHOOSE($J$3,'فحص-حاسب-بكالوريوس'!$R$5:$R$208,'فحص-بيانات-بكالوريوس'!$R$5:$R$208,'فحص-بيانات-ماجستير'!$R$5:$R$230),0),"")</f>
        <v/>
      </c>
    </row>
    <row r="171" spans="1:9" x14ac:dyDescent="0.2">
      <c r="A171" s="1" t="str">
        <f>IF($I171="","",166)</f>
        <v/>
      </c>
      <c r="B171" s="2" t="str">
        <f>IF($I171="","",INDEX(CHOOSE($J$3,'فحص-حاسب-بكالوريوس'!$A$5:$A$208,'فحص-بيانات-بكالوريوس'!$A$5:$A$208,'فحص-بيانات-ماجستير'!$A$5:$A$230),$I171)&amp;"")</f>
        <v/>
      </c>
      <c r="C171" s="2" t="str">
        <f>IF($I171="","",INDEX(CHOOSE($J$3,'فحص-حاسب-بكالوريوس'!$F$5:$F$208,'فحص-بيانات-بكالوريوس'!$F$5:$F$208,'فحص-بيانات-ماجستير'!$F$5:$F$230),$I171)&amp;"")</f>
        <v/>
      </c>
      <c r="D171" s="2" t="str">
        <f>IF($I171="","",INDEX(CHOOSE($J$3,'فحص-حاسب-بكالوريوس'!$H$5:$H$208,'فحص-بيانات-بكالوريوس'!$H$5:$H$208,'فحص-بيانات-ماجستير'!$H$5:$H$230),$I171)&amp;"")</f>
        <v/>
      </c>
      <c r="E171" s="2" t="str">
        <f>IF($I171="","",INDEX(CHOOSE($J$3,'فحص-حاسب-بكالوريوس'!$J$5:$J$208,'فحص-بيانات-بكالوريوس'!$J$5:$J$208,'فحص-بيانات-ماجستير'!$J$5:$J$230),$I171)&amp;"")</f>
        <v/>
      </c>
      <c r="F171" s="2" t="str">
        <f>IF($I171="","",INDEX(CHOOSE($J$3,'فحص-حاسب-بكالوريوس'!$L$5:$L$208,'فحص-بيانات-بكالوريوس'!$L$5:$L$208,'فحص-بيانات-ماجستير'!$L$5:$L$230),$I171)&amp;"")</f>
        <v/>
      </c>
      <c r="G171" s="2" t="str">
        <f>IF($I171="","",INDEX(CHOOSE($J$3,'فحص-حاسب-بكالوريوس'!$M$5:$M$208,'فحص-بيانات-بكالوريوس'!$M$5:$M$208,'فحص-بيانات-ماجستير'!$M$5:$M$230),$I171)&amp;"")</f>
        <v/>
      </c>
      <c r="H171" s="2" t="str">
        <f>IF($I171="","",INDEX(CHOOSE($J$3,'فحص-حاسب-بكالوريوس'!$G$5:$G$208,'فحص-بيانات-بكالوريوس'!$G$5:$G$208,'فحص-بيانات-ماجستير'!$G$5:$G$230),$I171)&amp;"")</f>
        <v/>
      </c>
      <c r="I171" s="2" t="str">
        <f>IFERROR(MATCH($E$3&amp;"#"&amp;166,CHOOSE($J$3,'فحص-حاسب-بكالوريوس'!$R$5:$R$208,'فحص-بيانات-بكالوريوس'!$R$5:$R$208,'فحص-بيانات-ماجستير'!$R$5:$R$230),0),"")</f>
        <v/>
      </c>
    </row>
    <row r="172" spans="1:9" x14ac:dyDescent="0.2">
      <c r="A172" s="1" t="str">
        <f>IF($I172="","",167)</f>
        <v/>
      </c>
      <c r="B172" s="2" t="str">
        <f>IF($I172="","",INDEX(CHOOSE($J$3,'فحص-حاسب-بكالوريوس'!$A$5:$A$208,'فحص-بيانات-بكالوريوس'!$A$5:$A$208,'فحص-بيانات-ماجستير'!$A$5:$A$230),$I172)&amp;"")</f>
        <v/>
      </c>
      <c r="C172" s="2" t="str">
        <f>IF($I172="","",INDEX(CHOOSE($J$3,'فحص-حاسب-بكالوريوس'!$F$5:$F$208,'فحص-بيانات-بكالوريوس'!$F$5:$F$208,'فحص-بيانات-ماجستير'!$F$5:$F$230),$I172)&amp;"")</f>
        <v/>
      </c>
      <c r="D172" s="2" t="str">
        <f>IF($I172="","",INDEX(CHOOSE($J$3,'فحص-حاسب-بكالوريوس'!$H$5:$H$208,'فحص-بيانات-بكالوريوس'!$H$5:$H$208,'فحص-بيانات-ماجستير'!$H$5:$H$230),$I172)&amp;"")</f>
        <v/>
      </c>
      <c r="E172" s="2" t="str">
        <f>IF($I172="","",INDEX(CHOOSE($J$3,'فحص-حاسب-بكالوريوس'!$J$5:$J$208,'فحص-بيانات-بكالوريوس'!$J$5:$J$208,'فحص-بيانات-ماجستير'!$J$5:$J$230),$I172)&amp;"")</f>
        <v/>
      </c>
      <c r="F172" s="2" t="str">
        <f>IF($I172="","",INDEX(CHOOSE($J$3,'فحص-حاسب-بكالوريوس'!$L$5:$L$208,'فحص-بيانات-بكالوريوس'!$L$5:$L$208,'فحص-بيانات-ماجستير'!$L$5:$L$230),$I172)&amp;"")</f>
        <v/>
      </c>
      <c r="G172" s="2" t="str">
        <f>IF($I172="","",INDEX(CHOOSE($J$3,'فحص-حاسب-بكالوريوس'!$M$5:$M$208,'فحص-بيانات-بكالوريوس'!$M$5:$M$208,'فحص-بيانات-ماجستير'!$M$5:$M$230),$I172)&amp;"")</f>
        <v/>
      </c>
      <c r="H172" s="2" t="str">
        <f>IF($I172="","",INDEX(CHOOSE($J$3,'فحص-حاسب-بكالوريوس'!$G$5:$G$208,'فحص-بيانات-بكالوريوس'!$G$5:$G$208,'فحص-بيانات-ماجستير'!$G$5:$G$230),$I172)&amp;"")</f>
        <v/>
      </c>
      <c r="I172" s="2" t="str">
        <f>IFERROR(MATCH($E$3&amp;"#"&amp;167,CHOOSE($J$3,'فحص-حاسب-بكالوريوس'!$R$5:$R$208,'فحص-بيانات-بكالوريوس'!$R$5:$R$208,'فحص-بيانات-ماجستير'!$R$5:$R$230),0),"")</f>
        <v/>
      </c>
    </row>
    <row r="173" spans="1:9" x14ac:dyDescent="0.2">
      <c r="A173" s="1" t="str">
        <f>IF($I173="","",168)</f>
        <v/>
      </c>
      <c r="B173" s="2" t="str">
        <f>IF($I173="","",INDEX(CHOOSE($J$3,'فحص-حاسب-بكالوريوس'!$A$5:$A$208,'فحص-بيانات-بكالوريوس'!$A$5:$A$208,'فحص-بيانات-ماجستير'!$A$5:$A$230),$I173)&amp;"")</f>
        <v/>
      </c>
      <c r="C173" s="2" t="str">
        <f>IF($I173="","",INDEX(CHOOSE($J$3,'فحص-حاسب-بكالوريوس'!$F$5:$F$208,'فحص-بيانات-بكالوريوس'!$F$5:$F$208,'فحص-بيانات-ماجستير'!$F$5:$F$230),$I173)&amp;"")</f>
        <v/>
      </c>
      <c r="D173" s="2" t="str">
        <f>IF($I173="","",INDEX(CHOOSE($J$3,'فحص-حاسب-بكالوريوس'!$H$5:$H$208,'فحص-بيانات-بكالوريوس'!$H$5:$H$208,'فحص-بيانات-ماجستير'!$H$5:$H$230),$I173)&amp;"")</f>
        <v/>
      </c>
      <c r="E173" s="2" t="str">
        <f>IF($I173="","",INDEX(CHOOSE($J$3,'فحص-حاسب-بكالوريوس'!$J$5:$J$208,'فحص-بيانات-بكالوريوس'!$J$5:$J$208,'فحص-بيانات-ماجستير'!$J$5:$J$230),$I173)&amp;"")</f>
        <v/>
      </c>
      <c r="F173" s="2" t="str">
        <f>IF($I173="","",INDEX(CHOOSE($J$3,'فحص-حاسب-بكالوريوس'!$L$5:$L$208,'فحص-بيانات-بكالوريوس'!$L$5:$L$208,'فحص-بيانات-ماجستير'!$L$5:$L$230),$I173)&amp;"")</f>
        <v/>
      </c>
      <c r="G173" s="2" t="str">
        <f>IF($I173="","",INDEX(CHOOSE($J$3,'فحص-حاسب-بكالوريوس'!$M$5:$M$208,'فحص-بيانات-بكالوريوس'!$M$5:$M$208,'فحص-بيانات-ماجستير'!$M$5:$M$230),$I173)&amp;"")</f>
        <v/>
      </c>
      <c r="H173" s="2" t="str">
        <f>IF($I173="","",INDEX(CHOOSE($J$3,'فحص-حاسب-بكالوريوس'!$G$5:$G$208,'فحص-بيانات-بكالوريوس'!$G$5:$G$208,'فحص-بيانات-ماجستير'!$G$5:$G$230),$I173)&amp;"")</f>
        <v/>
      </c>
      <c r="I173" s="2" t="str">
        <f>IFERROR(MATCH($E$3&amp;"#"&amp;168,CHOOSE($J$3,'فحص-حاسب-بكالوريوس'!$R$5:$R$208,'فحص-بيانات-بكالوريوس'!$R$5:$R$208,'فحص-بيانات-ماجستير'!$R$5:$R$230),0),"")</f>
        <v/>
      </c>
    </row>
    <row r="174" spans="1:9" x14ac:dyDescent="0.2">
      <c r="A174" s="1" t="str">
        <f>IF($I174="","",169)</f>
        <v/>
      </c>
      <c r="B174" s="2" t="str">
        <f>IF($I174="","",INDEX(CHOOSE($J$3,'فحص-حاسب-بكالوريوس'!$A$5:$A$208,'فحص-بيانات-بكالوريوس'!$A$5:$A$208,'فحص-بيانات-ماجستير'!$A$5:$A$230),$I174)&amp;"")</f>
        <v/>
      </c>
      <c r="C174" s="2" t="str">
        <f>IF($I174="","",INDEX(CHOOSE($J$3,'فحص-حاسب-بكالوريوس'!$F$5:$F$208,'فحص-بيانات-بكالوريوس'!$F$5:$F$208,'فحص-بيانات-ماجستير'!$F$5:$F$230),$I174)&amp;"")</f>
        <v/>
      </c>
      <c r="D174" s="2" t="str">
        <f>IF($I174="","",INDEX(CHOOSE($J$3,'فحص-حاسب-بكالوريوس'!$H$5:$H$208,'فحص-بيانات-بكالوريوس'!$H$5:$H$208,'فحص-بيانات-ماجستير'!$H$5:$H$230),$I174)&amp;"")</f>
        <v/>
      </c>
      <c r="E174" s="2" t="str">
        <f>IF($I174="","",INDEX(CHOOSE($J$3,'فحص-حاسب-بكالوريوس'!$J$5:$J$208,'فحص-بيانات-بكالوريوس'!$J$5:$J$208,'فحص-بيانات-ماجستير'!$J$5:$J$230),$I174)&amp;"")</f>
        <v/>
      </c>
      <c r="F174" s="2" t="str">
        <f>IF($I174="","",INDEX(CHOOSE($J$3,'فحص-حاسب-بكالوريوس'!$L$5:$L$208,'فحص-بيانات-بكالوريوس'!$L$5:$L$208,'فحص-بيانات-ماجستير'!$L$5:$L$230),$I174)&amp;"")</f>
        <v/>
      </c>
      <c r="G174" s="2" t="str">
        <f>IF($I174="","",INDEX(CHOOSE($J$3,'فحص-حاسب-بكالوريوس'!$M$5:$M$208,'فحص-بيانات-بكالوريوس'!$M$5:$M$208,'فحص-بيانات-ماجستير'!$M$5:$M$230),$I174)&amp;"")</f>
        <v/>
      </c>
      <c r="H174" s="2" t="str">
        <f>IF($I174="","",INDEX(CHOOSE($J$3,'فحص-حاسب-بكالوريوس'!$G$5:$G$208,'فحص-بيانات-بكالوريوس'!$G$5:$G$208,'فحص-بيانات-ماجستير'!$G$5:$G$230),$I174)&amp;"")</f>
        <v/>
      </c>
      <c r="I174" s="2" t="str">
        <f>IFERROR(MATCH($E$3&amp;"#"&amp;169,CHOOSE($J$3,'فحص-حاسب-بكالوريوس'!$R$5:$R$208,'فحص-بيانات-بكالوريوس'!$R$5:$R$208,'فحص-بيانات-ماجستير'!$R$5:$R$230),0),"")</f>
        <v/>
      </c>
    </row>
    <row r="175" spans="1:9" x14ac:dyDescent="0.2">
      <c r="A175" s="1" t="str">
        <f>IF($I175="","",170)</f>
        <v/>
      </c>
      <c r="B175" s="2" t="str">
        <f>IF($I175="","",INDEX(CHOOSE($J$3,'فحص-حاسب-بكالوريوس'!$A$5:$A$208,'فحص-بيانات-بكالوريوس'!$A$5:$A$208,'فحص-بيانات-ماجستير'!$A$5:$A$230),$I175)&amp;"")</f>
        <v/>
      </c>
      <c r="C175" s="2" t="str">
        <f>IF($I175="","",INDEX(CHOOSE($J$3,'فحص-حاسب-بكالوريوس'!$F$5:$F$208,'فحص-بيانات-بكالوريوس'!$F$5:$F$208,'فحص-بيانات-ماجستير'!$F$5:$F$230),$I175)&amp;"")</f>
        <v/>
      </c>
      <c r="D175" s="2" t="str">
        <f>IF($I175="","",INDEX(CHOOSE($J$3,'فحص-حاسب-بكالوريوس'!$H$5:$H$208,'فحص-بيانات-بكالوريوس'!$H$5:$H$208,'فحص-بيانات-ماجستير'!$H$5:$H$230),$I175)&amp;"")</f>
        <v/>
      </c>
      <c r="E175" s="2" t="str">
        <f>IF($I175="","",INDEX(CHOOSE($J$3,'فحص-حاسب-بكالوريوس'!$J$5:$J$208,'فحص-بيانات-بكالوريوس'!$J$5:$J$208,'فحص-بيانات-ماجستير'!$J$5:$J$230),$I175)&amp;"")</f>
        <v/>
      </c>
      <c r="F175" s="2" t="str">
        <f>IF($I175="","",INDEX(CHOOSE($J$3,'فحص-حاسب-بكالوريوس'!$L$5:$L$208,'فحص-بيانات-بكالوريوس'!$L$5:$L$208,'فحص-بيانات-ماجستير'!$L$5:$L$230),$I175)&amp;"")</f>
        <v/>
      </c>
      <c r="G175" s="2" t="str">
        <f>IF($I175="","",INDEX(CHOOSE($J$3,'فحص-حاسب-بكالوريوس'!$M$5:$M$208,'فحص-بيانات-بكالوريوس'!$M$5:$M$208,'فحص-بيانات-ماجستير'!$M$5:$M$230),$I175)&amp;"")</f>
        <v/>
      </c>
      <c r="H175" s="2" t="str">
        <f>IF($I175="","",INDEX(CHOOSE($J$3,'فحص-حاسب-بكالوريوس'!$G$5:$G$208,'فحص-بيانات-بكالوريوس'!$G$5:$G$208,'فحص-بيانات-ماجستير'!$G$5:$G$230),$I175)&amp;"")</f>
        <v/>
      </c>
      <c r="I175" s="2" t="str">
        <f>IFERROR(MATCH($E$3&amp;"#"&amp;170,CHOOSE($J$3,'فحص-حاسب-بكالوريوس'!$R$5:$R$208,'فحص-بيانات-بكالوريوس'!$R$5:$R$208,'فحص-بيانات-ماجستير'!$R$5:$R$230),0),"")</f>
        <v/>
      </c>
    </row>
    <row r="176" spans="1:9" x14ac:dyDescent="0.2">
      <c r="A176" s="1" t="str">
        <f>IF($I176="","",171)</f>
        <v/>
      </c>
      <c r="B176" s="2" t="str">
        <f>IF($I176="","",INDEX(CHOOSE($J$3,'فحص-حاسب-بكالوريوس'!$A$5:$A$208,'فحص-بيانات-بكالوريوس'!$A$5:$A$208,'فحص-بيانات-ماجستير'!$A$5:$A$230),$I176)&amp;"")</f>
        <v/>
      </c>
      <c r="C176" s="2" t="str">
        <f>IF($I176="","",INDEX(CHOOSE($J$3,'فحص-حاسب-بكالوريوس'!$F$5:$F$208,'فحص-بيانات-بكالوريوس'!$F$5:$F$208,'فحص-بيانات-ماجستير'!$F$5:$F$230),$I176)&amp;"")</f>
        <v/>
      </c>
      <c r="D176" s="2" t="str">
        <f>IF($I176="","",INDEX(CHOOSE($J$3,'فحص-حاسب-بكالوريوس'!$H$5:$H$208,'فحص-بيانات-بكالوريوس'!$H$5:$H$208,'فحص-بيانات-ماجستير'!$H$5:$H$230),$I176)&amp;"")</f>
        <v/>
      </c>
      <c r="E176" s="2" t="str">
        <f>IF($I176="","",INDEX(CHOOSE($J$3,'فحص-حاسب-بكالوريوس'!$J$5:$J$208,'فحص-بيانات-بكالوريوس'!$J$5:$J$208,'فحص-بيانات-ماجستير'!$J$5:$J$230),$I176)&amp;"")</f>
        <v/>
      </c>
      <c r="F176" s="2" t="str">
        <f>IF($I176="","",INDEX(CHOOSE($J$3,'فحص-حاسب-بكالوريوس'!$L$5:$L$208,'فحص-بيانات-بكالوريوس'!$L$5:$L$208,'فحص-بيانات-ماجستير'!$L$5:$L$230),$I176)&amp;"")</f>
        <v/>
      </c>
      <c r="G176" s="2" t="str">
        <f>IF($I176="","",INDEX(CHOOSE($J$3,'فحص-حاسب-بكالوريوس'!$M$5:$M$208,'فحص-بيانات-بكالوريوس'!$M$5:$M$208,'فحص-بيانات-ماجستير'!$M$5:$M$230),$I176)&amp;"")</f>
        <v/>
      </c>
      <c r="H176" s="2" t="str">
        <f>IF($I176="","",INDEX(CHOOSE($J$3,'فحص-حاسب-بكالوريوس'!$G$5:$G$208,'فحص-بيانات-بكالوريوس'!$G$5:$G$208,'فحص-بيانات-ماجستير'!$G$5:$G$230),$I176)&amp;"")</f>
        <v/>
      </c>
      <c r="I176" s="2" t="str">
        <f>IFERROR(MATCH($E$3&amp;"#"&amp;171,CHOOSE($J$3,'فحص-حاسب-بكالوريوس'!$R$5:$R$208,'فحص-بيانات-بكالوريوس'!$R$5:$R$208,'فحص-بيانات-ماجستير'!$R$5:$R$230),0),"")</f>
        <v/>
      </c>
    </row>
    <row r="177" spans="1:9" x14ac:dyDescent="0.2">
      <c r="A177" s="1" t="str">
        <f>IF($I177="","",172)</f>
        <v/>
      </c>
      <c r="B177" s="2" t="str">
        <f>IF($I177="","",INDEX(CHOOSE($J$3,'فحص-حاسب-بكالوريوس'!$A$5:$A$208,'فحص-بيانات-بكالوريوس'!$A$5:$A$208,'فحص-بيانات-ماجستير'!$A$5:$A$230),$I177)&amp;"")</f>
        <v/>
      </c>
      <c r="C177" s="2" t="str">
        <f>IF($I177="","",INDEX(CHOOSE($J$3,'فحص-حاسب-بكالوريوس'!$F$5:$F$208,'فحص-بيانات-بكالوريوس'!$F$5:$F$208,'فحص-بيانات-ماجستير'!$F$5:$F$230),$I177)&amp;"")</f>
        <v/>
      </c>
      <c r="D177" s="2" t="str">
        <f>IF($I177="","",INDEX(CHOOSE($J$3,'فحص-حاسب-بكالوريوس'!$H$5:$H$208,'فحص-بيانات-بكالوريوس'!$H$5:$H$208,'فحص-بيانات-ماجستير'!$H$5:$H$230),$I177)&amp;"")</f>
        <v/>
      </c>
      <c r="E177" s="2" t="str">
        <f>IF($I177="","",INDEX(CHOOSE($J$3,'فحص-حاسب-بكالوريوس'!$J$5:$J$208,'فحص-بيانات-بكالوريوس'!$J$5:$J$208,'فحص-بيانات-ماجستير'!$J$5:$J$230),$I177)&amp;"")</f>
        <v/>
      </c>
      <c r="F177" s="2" t="str">
        <f>IF($I177="","",INDEX(CHOOSE($J$3,'فحص-حاسب-بكالوريوس'!$L$5:$L$208,'فحص-بيانات-بكالوريوس'!$L$5:$L$208,'فحص-بيانات-ماجستير'!$L$5:$L$230),$I177)&amp;"")</f>
        <v/>
      </c>
      <c r="G177" s="2" t="str">
        <f>IF($I177="","",INDEX(CHOOSE($J$3,'فحص-حاسب-بكالوريوس'!$M$5:$M$208,'فحص-بيانات-بكالوريوس'!$M$5:$M$208,'فحص-بيانات-ماجستير'!$M$5:$M$230),$I177)&amp;"")</f>
        <v/>
      </c>
      <c r="H177" s="2" t="str">
        <f>IF($I177="","",INDEX(CHOOSE($J$3,'فحص-حاسب-بكالوريوس'!$G$5:$G$208,'فحص-بيانات-بكالوريوس'!$G$5:$G$208,'فحص-بيانات-ماجستير'!$G$5:$G$230),$I177)&amp;"")</f>
        <v/>
      </c>
      <c r="I177" s="2" t="str">
        <f>IFERROR(MATCH($E$3&amp;"#"&amp;172,CHOOSE($J$3,'فحص-حاسب-بكالوريوس'!$R$5:$R$208,'فحص-بيانات-بكالوريوس'!$R$5:$R$208,'فحص-بيانات-ماجستير'!$R$5:$R$230),0),"")</f>
        <v/>
      </c>
    </row>
    <row r="178" spans="1:9" x14ac:dyDescent="0.2">
      <c r="A178" s="1" t="str">
        <f>IF($I178="","",173)</f>
        <v/>
      </c>
      <c r="B178" s="2" t="str">
        <f>IF($I178="","",INDEX(CHOOSE($J$3,'فحص-حاسب-بكالوريوس'!$A$5:$A$208,'فحص-بيانات-بكالوريوس'!$A$5:$A$208,'فحص-بيانات-ماجستير'!$A$5:$A$230),$I178)&amp;"")</f>
        <v/>
      </c>
      <c r="C178" s="2" t="str">
        <f>IF($I178="","",INDEX(CHOOSE($J$3,'فحص-حاسب-بكالوريوس'!$F$5:$F$208,'فحص-بيانات-بكالوريوس'!$F$5:$F$208,'فحص-بيانات-ماجستير'!$F$5:$F$230),$I178)&amp;"")</f>
        <v/>
      </c>
      <c r="D178" s="2" t="str">
        <f>IF($I178="","",INDEX(CHOOSE($J$3,'فحص-حاسب-بكالوريوس'!$H$5:$H$208,'فحص-بيانات-بكالوريوس'!$H$5:$H$208,'فحص-بيانات-ماجستير'!$H$5:$H$230),$I178)&amp;"")</f>
        <v/>
      </c>
      <c r="E178" s="2" t="str">
        <f>IF($I178="","",INDEX(CHOOSE($J$3,'فحص-حاسب-بكالوريوس'!$J$5:$J$208,'فحص-بيانات-بكالوريوس'!$J$5:$J$208,'فحص-بيانات-ماجستير'!$J$5:$J$230),$I178)&amp;"")</f>
        <v/>
      </c>
      <c r="F178" s="2" t="str">
        <f>IF($I178="","",INDEX(CHOOSE($J$3,'فحص-حاسب-بكالوريوس'!$L$5:$L$208,'فحص-بيانات-بكالوريوس'!$L$5:$L$208,'فحص-بيانات-ماجستير'!$L$5:$L$230),$I178)&amp;"")</f>
        <v/>
      </c>
      <c r="G178" s="2" t="str">
        <f>IF($I178="","",INDEX(CHOOSE($J$3,'فحص-حاسب-بكالوريوس'!$M$5:$M$208,'فحص-بيانات-بكالوريوس'!$M$5:$M$208,'فحص-بيانات-ماجستير'!$M$5:$M$230),$I178)&amp;"")</f>
        <v/>
      </c>
      <c r="H178" s="2" t="str">
        <f>IF($I178="","",INDEX(CHOOSE($J$3,'فحص-حاسب-بكالوريوس'!$G$5:$G$208,'فحص-بيانات-بكالوريوس'!$G$5:$G$208,'فحص-بيانات-ماجستير'!$G$5:$G$230),$I178)&amp;"")</f>
        <v/>
      </c>
      <c r="I178" s="2" t="str">
        <f>IFERROR(MATCH($E$3&amp;"#"&amp;173,CHOOSE($J$3,'فحص-حاسب-بكالوريوس'!$R$5:$R$208,'فحص-بيانات-بكالوريوس'!$R$5:$R$208,'فحص-بيانات-ماجستير'!$R$5:$R$230),0),"")</f>
        <v/>
      </c>
    </row>
    <row r="179" spans="1:9" x14ac:dyDescent="0.2">
      <c r="A179" s="1" t="str">
        <f>IF($I179="","",174)</f>
        <v/>
      </c>
      <c r="B179" s="2" t="str">
        <f>IF($I179="","",INDEX(CHOOSE($J$3,'فحص-حاسب-بكالوريوس'!$A$5:$A$208,'فحص-بيانات-بكالوريوس'!$A$5:$A$208,'فحص-بيانات-ماجستير'!$A$5:$A$230),$I179)&amp;"")</f>
        <v/>
      </c>
      <c r="C179" s="2" t="str">
        <f>IF($I179="","",INDEX(CHOOSE($J$3,'فحص-حاسب-بكالوريوس'!$F$5:$F$208,'فحص-بيانات-بكالوريوس'!$F$5:$F$208,'فحص-بيانات-ماجستير'!$F$5:$F$230),$I179)&amp;"")</f>
        <v/>
      </c>
      <c r="D179" s="2" t="str">
        <f>IF($I179="","",INDEX(CHOOSE($J$3,'فحص-حاسب-بكالوريوس'!$H$5:$H$208,'فحص-بيانات-بكالوريوس'!$H$5:$H$208,'فحص-بيانات-ماجستير'!$H$5:$H$230),$I179)&amp;"")</f>
        <v/>
      </c>
      <c r="E179" s="2" t="str">
        <f>IF($I179="","",INDEX(CHOOSE($J$3,'فحص-حاسب-بكالوريوس'!$J$5:$J$208,'فحص-بيانات-بكالوريوس'!$J$5:$J$208,'فحص-بيانات-ماجستير'!$J$5:$J$230),$I179)&amp;"")</f>
        <v/>
      </c>
      <c r="F179" s="2" t="str">
        <f>IF($I179="","",INDEX(CHOOSE($J$3,'فحص-حاسب-بكالوريوس'!$L$5:$L$208,'فحص-بيانات-بكالوريوس'!$L$5:$L$208,'فحص-بيانات-ماجستير'!$L$5:$L$230),$I179)&amp;"")</f>
        <v/>
      </c>
      <c r="G179" s="2" t="str">
        <f>IF($I179="","",INDEX(CHOOSE($J$3,'فحص-حاسب-بكالوريوس'!$M$5:$M$208,'فحص-بيانات-بكالوريوس'!$M$5:$M$208,'فحص-بيانات-ماجستير'!$M$5:$M$230),$I179)&amp;"")</f>
        <v/>
      </c>
      <c r="H179" s="2" t="str">
        <f>IF($I179="","",INDEX(CHOOSE($J$3,'فحص-حاسب-بكالوريوس'!$G$5:$G$208,'فحص-بيانات-بكالوريوس'!$G$5:$G$208,'فحص-بيانات-ماجستير'!$G$5:$G$230),$I179)&amp;"")</f>
        <v/>
      </c>
      <c r="I179" s="2" t="str">
        <f>IFERROR(MATCH($E$3&amp;"#"&amp;174,CHOOSE($J$3,'فحص-حاسب-بكالوريوس'!$R$5:$R$208,'فحص-بيانات-بكالوريوس'!$R$5:$R$208,'فحص-بيانات-ماجستير'!$R$5:$R$230),0),"")</f>
        <v/>
      </c>
    </row>
    <row r="180" spans="1:9" x14ac:dyDescent="0.2">
      <c r="A180" s="1" t="str">
        <f>IF($I180="","",175)</f>
        <v/>
      </c>
      <c r="B180" s="2" t="str">
        <f>IF($I180="","",INDEX(CHOOSE($J$3,'فحص-حاسب-بكالوريوس'!$A$5:$A$208,'فحص-بيانات-بكالوريوس'!$A$5:$A$208,'فحص-بيانات-ماجستير'!$A$5:$A$230),$I180)&amp;"")</f>
        <v/>
      </c>
      <c r="C180" s="2" t="str">
        <f>IF($I180="","",INDEX(CHOOSE($J$3,'فحص-حاسب-بكالوريوس'!$F$5:$F$208,'فحص-بيانات-بكالوريوس'!$F$5:$F$208,'فحص-بيانات-ماجستير'!$F$5:$F$230),$I180)&amp;"")</f>
        <v/>
      </c>
      <c r="D180" s="2" t="str">
        <f>IF($I180="","",INDEX(CHOOSE($J$3,'فحص-حاسب-بكالوريوس'!$H$5:$H$208,'فحص-بيانات-بكالوريوس'!$H$5:$H$208,'فحص-بيانات-ماجستير'!$H$5:$H$230),$I180)&amp;"")</f>
        <v/>
      </c>
      <c r="E180" s="2" t="str">
        <f>IF($I180="","",INDEX(CHOOSE($J$3,'فحص-حاسب-بكالوريوس'!$J$5:$J$208,'فحص-بيانات-بكالوريوس'!$J$5:$J$208,'فحص-بيانات-ماجستير'!$J$5:$J$230),$I180)&amp;"")</f>
        <v/>
      </c>
      <c r="F180" s="2" t="str">
        <f>IF($I180="","",INDEX(CHOOSE($J$3,'فحص-حاسب-بكالوريوس'!$L$5:$L$208,'فحص-بيانات-بكالوريوس'!$L$5:$L$208,'فحص-بيانات-ماجستير'!$L$5:$L$230),$I180)&amp;"")</f>
        <v/>
      </c>
      <c r="G180" s="2" t="str">
        <f>IF($I180="","",INDEX(CHOOSE($J$3,'فحص-حاسب-بكالوريوس'!$M$5:$M$208,'فحص-بيانات-بكالوريوس'!$M$5:$M$208,'فحص-بيانات-ماجستير'!$M$5:$M$230),$I180)&amp;"")</f>
        <v/>
      </c>
      <c r="H180" s="2" t="str">
        <f>IF($I180="","",INDEX(CHOOSE($J$3,'فحص-حاسب-بكالوريوس'!$G$5:$G$208,'فحص-بيانات-بكالوريوس'!$G$5:$G$208,'فحص-بيانات-ماجستير'!$G$5:$G$230),$I180)&amp;"")</f>
        <v/>
      </c>
      <c r="I180" s="2" t="str">
        <f>IFERROR(MATCH($E$3&amp;"#"&amp;175,CHOOSE($J$3,'فحص-حاسب-بكالوريوس'!$R$5:$R$208,'فحص-بيانات-بكالوريوس'!$R$5:$R$208,'فحص-بيانات-ماجستير'!$R$5:$R$230),0),"")</f>
        <v/>
      </c>
    </row>
    <row r="181" spans="1:9" x14ac:dyDescent="0.2">
      <c r="A181" s="1" t="str">
        <f>IF($I181="","",176)</f>
        <v/>
      </c>
      <c r="B181" s="2" t="str">
        <f>IF($I181="","",INDEX(CHOOSE($J$3,'فحص-حاسب-بكالوريوس'!$A$5:$A$208,'فحص-بيانات-بكالوريوس'!$A$5:$A$208,'فحص-بيانات-ماجستير'!$A$5:$A$230),$I181)&amp;"")</f>
        <v/>
      </c>
      <c r="C181" s="2" t="str">
        <f>IF($I181="","",INDEX(CHOOSE($J$3,'فحص-حاسب-بكالوريوس'!$F$5:$F$208,'فحص-بيانات-بكالوريوس'!$F$5:$F$208,'فحص-بيانات-ماجستير'!$F$5:$F$230),$I181)&amp;"")</f>
        <v/>
      </c>
      <c r="D181" s="2" t="str">
        <f>IF($I181="","",INDEX(CHOOSE($J$3,'فحص-حاسب-بكالوريوس'!$H$5:$H$208,'فحص-بيانات-بكالوريوس'!$H$5:$H$208,'فحص-بيانات-ماجستير'!$H$5:$H$230),$I181)&amp;"")</f>
        <v/>
      </c>
      <c r="E181" s="2" t="str">
        <f>IF($I181="","",INDEX(CHOOSE($J$3,'فحص-حاسب-بكالوريوس'!$J$5:$J$208,'فحص-بيانات-بكالوريوس'!$J$5:$J$208,'فحص-بيانات-ماجستير'!$J$5:$J$230),$I181)&amp;"")</f>
        <v/>
      </c>
      <c r="F181" s="2" t="str">
        <f>IF($I181="","",INDEX(CHOOSE($J$3,'فحص-حاسب-بكالوريوس'!$L$5:$L$208,'فحص-بيانات-بكالوريوس'!$L$5:$L$208,'فحص-بيانات-ماجستير'!$L$5:$L$230),$I181)&amp;"")</f>
        <v/>
      </c>
      <c r="G181" s="2" t="str">
        <f>IF($I181="","",INDEX(CHOOSE($J$3,'فحص-حاسب-بكالوريوس'!$M$5:$M$208,'فحص-بيانات-بكالوريوس'!$M$5:$M$208,'فحص-بيانات-ماجستير'!$M$5:$M$230),$I181)&amp;"")</f>
        <v/>
      </c>
      <c r="H181" s="2" t="str">
        <f>IF($I181="","",INDEX(CHOOSE($J$3,'فحص-حاسب-بكالوريوس'!$G$5:$G$208,'فحص-بيانات-بكالوريوس'!$G$5:$G$208,'فحص-بيانات-ماجستير'!$G$5:$G$230),$I181)&amp;"")</f>
        <v/>
      </c>
      <c r="I181" s="2" t="str">
        <f>IFERROR(MATCH($E$3&amp;"#"&amp;176,CHOOSE($J$3,'فحص-حاسب-بكالوريوس'!$R$5:$R$208,'فحص-بيانات-بكالوريوس'!$R$5:$R$208,'فحص-بيانات-ماجستير'!$R$5:$R$230),0),"")</f>
        <v/>
      </c>
    </row>
    <row r="182" spans="1:9" x14ac:dyDescent="0.2">
      <c r="A182" s="1" t="str">
        <f>IF($I182="","",177)</f>
        <v/>
      </c>
      <c r="B182" s="2" t="str">
        <f>IF($I182="","",INDEX(CHOOSE($J$3,'فحص-حاسب-بكالوريوس'!$A$5:$A$208,'فحص-بيانات-بكالوريوس'!$A$5:$A$208,'فحص-بيانات-ماجستير'!$A$5:$A$230),$I182)&amp;"")</f>
        <v/>
      </c>
      <c r="C182" s="2" t="str">
        <f>IF($I182="","",INDEX(CHOOSE($J$3,'فحص-حاسب-بكالوريوس'!$F$5:$F$208,'فحص-بيانات-بكالوريوس'!$F$5:$F$208,'فحص-بيانات-ماجستير'!$F$5:$F$230),$I182)&amp;"")</f>
        <v/>
      </c>
      <c r="D182" s="2" t="str">
        <f>IF($I182="","",INDEX(CHOOSE($J$3,'فحص-حاسب-بكالوريوس'!$H$5:$H$208,'فحص-بيانات-بكالوريوس'!$H$5:$H$208,'فحص-بيانات-ماجستير'!$H$5:$H$230),$I182)&amp;"")</f>
        <v/>
      </c>
      <c r="E182" s="2" t="str">
        <f>IF($I182="","",INDEX(CHOOSE($J$3,'فحص-حاسب-بكالوريوس'!$J$5:$J$208,'فحص-بيانات-بكالوريوس'!$J$5:$J$208,'فحص-بيانات-ماجستير'!$J$5:$J$230),$I182)&amp;"")</f>
        <v/>
      </c>
      <c r="F182" s="2" t="str">
        <f>IF($I182="","",INDEX(CHOOSE($J$3,'فحص-حاسب-بكالوريوس'!$L$5:$L$208,'فحص-بيانات-بكالوريوس'!$L$5:$L$208,'فحص-بيانات-ماجستير'!$L$5:$L$230),$I182)&amp;"")</f>
        <v/>
      </c>
      <c r="G182" s="2" t="str">
        <f>IF($I182="","",INDEX(CHOOSE($J$3,'فحص-حاسب-بكالوريوس'!$M$5:$M$208,'فحص-بيانات-بكالوريوس'!$M$5:$M$208,'فحص-بيانات-ماجستير'!$M$5:$M$230),$I182)&amp;"")</f>
        <v/>
      </c>
      <c r="H182" s="2" t="str">
        <f>IF($I182="","",INDEX(CHOOSE($J$3,'فحص-حاسب-بكالوريوس'!$G$5:$G$208,'فحص-بيانات-بكالوريوس'!$G$5:$G$208,'فحص-بيانات-ماجستير'!$G$5:$G$230),$I182)&amp;"")</f>
        <v/>
      </c>
      <c r="I182" s="2" t="str">
        <f>IFERROR(MATCH($E$3&amp;"#"&amp;177,CHOOSE($J$3,'فحص-حاسب-بكالوريوس'!$R$5:$R$208,'فحص-بيانات-بكالوريوس'!$R$5:$R$208,'فحص-بيانات-ماجستير'!$R$5:$R$230),0),"")</f>
        <v/>
      </c>
    </row>
    <row r="183" spans="1:9" x14ac:dyDescent="0.2">
      <c r="A183" s="1" t="str">
        <f>IF($I183="","",178)</f>
        <v/>
      </c>
      <c r="B183" s="2" t="str">
        <f>IF($I183="","",INDEX(CHOOSE($J$3,'فحص-حاسب-بكالوريوس'!$A$5:$A$208,'فحص-بيانات-بكالوريوس'!$A$5:$A$208,'فحص-بيانات-ماجستير'!$A$5:$A$230),$I183)&amp;"")</f>
        <v/>
      </c>
      <c r="C183" s="2" t="str">
        <f>IF($I183="","",INDEX(CHOOSE($J$3,'فحص-حاسب-بكالوريوس'!$F$5:$F$208,'فحص-بيانات-بكالوريوس'!$F$5:$F$208,'فحص-بيانات-ماجستير'!$F$5:$F$230),$I183)&amp;"")</f>
        <v/>
      </c>
      <c r="D183" s="2" t="str">
        <f>IF($I183="","",INDEX(CHOOSE($J$3,'فحص-حاسب-بكالوريوس'!$H$5:$H$208,'فحص-بيانات-بكالوريوس'!$H$5:$H$208,'فحص-بيانات-ماجستير'!$H$5:$H$230),$I183)&amp;"")</f>
        <v/>
      </c>
      <c r="E183" s="2" t="str">
        <f>IF($I183="","",INDEX(CHOOSE($J$3,'فحص-حاسب-بكالوريوس'!$J$5:$J$208,'فحص-بيانات-بكالوريوس'!$J$5:$J$208,'فحص-بيانات-ماجستير'!$J$5:$J$230),$I183)&amp;"")</f>
        <v/>
      </c>
      <c r="F183" s="2" t="str">
        <f>IF($I183="","",INDEX(CHOOSE($J$3,'فحص-حاسب-بكالوريوس'!$L$5:$L$208,'فحص-بيانات-بكالوريوس'!$L$5:$L$208,'فحص-بيانات-ماجستير'!$L$5:$L$230),$I183)&amp;"")</f>
        <v/>
      </c>
      <c r="G183" s="2" t="str">
        <f>IF($I183="","",INDEX(CHOOSE($J$3,'فحص-حاسب-بكالوريوس'!$M$5:$M$208,'فحص-بيانات-بكالوريوس'!$M$5:$M$208,'فحص-بيانات-ماجستير'!$M$5:$M$230),$I183)&amp;"")</f>
        <v/>
      </c>
      <c r="H183" s="2" t="str">
        <f>IF($I183="","",INDEX(CHOOSE($J$3,'فحص-حاسب-بكالوريوس'!$G$5:$G$208,'فحص-بيانات-بكالوريوس'!$G$5:$G$208,'فحص-بيانات-ماجستير'!$G$5:$G$230),$I183)&amp;"")</f>
        <v/>
      </c>
      <c r="I183" s="2" t="str">
        <f>IFERROR(MATCH($E$3&amp;"#"&amp;178,CHOOSE($J$3,'فحص-حاسب-بكالوريوس'!$R$5:$R$208,'فحص-بيانات-بكالوريوس'!$R$5:$R$208,'فحص-بيانات-ماجستير'!$R$5:$R$230),0),"")</f>
        <v/>
      </c>
    </row>
    <row r="184" spans="1:9" x14ac:dyDescent="0.2">
      <c r="A184" s="1" t="str">
        <f>IF($I184="","",179)</f>
        <v/>
      </c>
      <c r="B184" s="2" t="str">
        <f>IF($I184="","",INDEX(CHOOSE($J$3,'فحص-حاسب-بكالوريوس'!$A$5:$A$208,'فحص-بيانات-بكالوريوس'!$A$5:$A$208,'فحص-بيانات-ماجستير'!$A$5:$A$230),$I184)&amp;"")</f>
        <v/>
      </c>
      <c r="C184" s="2" t="str">
        <f>IF($I184="","",INDEX(CHOOSE($J$3,'فحص-حاسب-بكالوريوس'!$F$5:$F$208,'فحص-بيانات-بكالوريوس'!$F$5:$F$208,'فحص-بيانات-ماجستير'!$F$5:$F$230),$I184)&amp;"")</f>
        <v/>
      </c>
      <c r="D184" s="2" t="str">
        <f>IF($I184="","",INDEX(CHOOSE($J$3,'فحص-حاسب-بكالوريوس'!$H$5:$H$208,'فحص-بيانات-بكالوريوس'!$H$5:$H$208,'فحص-بيانات-ماجستير'!$H$5:$H$230),$I184)&amp;"")</f>
        <v/>
      </c>
      <c r="E184" s="2" t="str">
        <f>IF($I184="","",INDEX(CHOOSE($J$3,'فحص-حاسب-بكالوريوس'!$J$5:$J$208,'فحص-بيانات-بكالوريوس'!$J$5:$J$208,'فحص-بيانات-ماجستير'!$J$5:$J$230),$I184)&amp;"")</f>
        <v/>
      </c>
      <c r="F184" s="2" t="str">
        <f>IF($I184="","",INDEX(CHOOSE($J$3,'فحص-حاسب-بكالوريوس'!$L$5:$L$208,'فحص-بيانات-بكالوريوس'!$L$5:$L$208,'فحص-بيانات-ماجستير'!$L$5:$L$230),$I184)&amp;"")</f>
        <v/>
      </c>
      <c r="G184" s="2" t="str">
        <f>IF($I184="","",INDEX(CHOOSE($J$3,'فحص-حاسب-بكالوريوس'!$M$5:$M$208,'فحص-بيانات-بكالوريوس'!$M$5:$M$208,'فحص-بيانات-ماجستير'!$M$5:$M$230),$I184)&amp;"")</f>
        <v/>
      </c>
      <c r="H184" s="2" t="str">
        <f>IF($I184="","",INDEX(CHOOSE($J$3,'فحص-حاسب-بكالوريوس'!$G$5:$G$208,'فحص-بيانات-بكالوريوس'!$G$5:$G$208,'فحص-بيانات-ماجستير'!$G$5:$G$230),$I184)&amp;"")</f>
        <v/>
      </c>
      <c r="I184" s="2" t="str">
        <f>IFERROR(MATCH($E$3&amp;"#"&amp;179,CHOOSE($J$3,'فحص-حاسب-بكالوريوس'!$R$5:$R$208,'فحص-بيانات-بكالوريوس'!$R$5:$R$208,'فحص-بيانات-ماجستير'!$R$5:$R$230),0),"")</f>
        <v/>
      </c>
    </row>
    <row r="185" spans="1:9" x14ac:dyDescent="0.2">
      <c r="A185" s="1" t="str">
        <f>IF($I185="","",180)</f>
        <v/>
      </c>
      <c r="B185" s="2" t="str">
        <f>IF($I185="","",INDEX(CHOOSE($J$3,'فحص-حاسب-بكالوريوس'!$A$5:$A$208,'فحص-بيانات-بكالوريوس'!$A$5:$A$208,'فحص-بيانات-ماجستير'!$A$5:$A$230),$I185)&amp;"")</f>
        <v/>
      </c>
      <c r="C185" s="2" t="str">
        <f>IF($I185="","",INDEX(CHOOSE($J$3,'فحص-حاسب-بكالوريوس'!$F$5:$F$208,'فحص-بيانات-بكالوريوس'!$F$5:$F$208,'فحص-بيانات-ماجستير'!$F$5:$F$230),$I185)&amp;"")</f>
        <v/>
      </c>
      <c r="D185" s="2" t="str">
        <f>IF($I185="","",INDEX(CHOOSE($J$3,'فحص-حاسب-بكالوريوس'!$H$5:$H$208,'فحص-بيانات-بكالوريوس'!$H$5:$H$208,'فحص-بيانات-ماجستير'!$H$5:$H$230),$I185)&amp;"")</f>
        <v/>
      </c>
      <c r="E185" s="2" t="str">
        <f>IF($I185="","",INDEX(CHOOSE($J$3,'فحص-حاسب-بكالوريوس'!$J$5:$J$208,'فحص-بيانات-بكالوريوس'!$J$5:$J$208,'فحص-بيانات-ماجستير'!$J$5:$J$230),$I185)&amp;"")</f>
        <v/>
      </c>
      <c r="F185" s="2" t="str">
        <f>IF($I185="","",INDEX(CHOOSE($J$3,'فحص-حاسب-بكالوريوس'!$L$5:$L$208,'فحص-بيانات-بكالوريوس'!$L$5:$L$208,'فحص-بيانات-ماجستير'!$L$5:$L$230),$I185)&amp;"")</f>
        <v/>
      </c>
      <c r="G185" s="2" t="str">
        <f>IF($I185="","",INDEX(CHOOSE($J$3,'فحص-حاسب-بكالوريوس'!$M$5:$M$208,'فحص-بيانات-بكالوريوس'!$M$5:$M$208,'فحص-بيانات-ماجستير'!$M$5:$M$230),$I185)&amp;"")</f>
        <v/>
      </c>
      <c r="H185" s="2" t="str">
        <f>IF($I185="","",INDEX(CHOOSE($J$3,'فحص-حاسب-بكالوريوس'!$G$5:$G$208,'فحص-بيانات-بكالوريوس'!$G$5:$G$208,'فحص-بيانات-ماجستير'!$G$5:$G$230),$I185)&amp;"")</f>
        <v/>
      </c>
      <c r="I185" s="2" t="str">
        <f>IFERROR(MATCH($E$3&amp;"#"&amp;180,CHOOSE($J$3,'فحص-حاسب-بكالوريوس'!$R$5:$R$208,'فحص-بيانات-بكالوريوس'!$R$5:$R$208,'فحص-بيانات-ماجستير'!$R$5:$R$230),0),"")</f>
        <v/>
      </c>
    </row>
    <row r="186" spans="1:9" x14ac:dyDescent="0.2">
      <c r="A186" s="1" t="str">
        <f>IF($I186="","",181)</f>
        <v/>
      </c>
      <c r="B186" s="2" t="str">
        <f>IF($I186="","",INDEX(CHOOSE($J$3,'فحص-حاسب-بكالوريوس'!$A$5:$A$208,'فحص-بيانات-بكالوريوس'!$A$5:$A$208,'فحص-بيانات-ماجستير'!$A$5:$A$230),$I186)&amp;"")</f>
        <v/>
      </c>
      <c r="C186" s="2" t="str">
        <f>IF($I186="","",INDEX(CHOOSE($J$3,'فحص-حاسب-بكالوريوس'!$F$5:$F$208,'فحص-بيانات-بكالوريوس'!$F$5:$F$208,'فحص-بيانات-ماجستير'!$F$5:$F$230),$I186)&amp;"")</f>
        <v/>
      </c>
      <c r="D186" s="2" t="str">
        <f>IF($I186="","",INDEX(CHOOSE($J$3,'فحص-حاسب-بكالوريوس'!$H$5:$H$208,'فحص-بيانات-بكالوريوس'!$H$5:$H$208,'فحص-بيانات-ماجستير'!$H$5:$H$230),$I186)&amp;"")</f>
        <v/>
      </c>
      <c r="E186" s="2" t="str">
        <f>IF($I186="","",INDEX(CHOOSE($J$3,'فحص-حاسب-بكالوريوس'!$J$5:$J$208,'فحص-بيانات-بكالوريوس'!$J$5:$J$208,'فحص-بيانات-ماجستير'!$J$5:$J$230),$I186)&amp;"")</f>
        <v/>
      </c>
      <c r="F186" s="2" t="str">
        <f>IF($I186="","",INDEX(CHOOSE($J$3,'فحص-حاسب-بكالوريوس'!$L$5:$L$208,'فحص-بيانات-بكالوريوس'!$L$5:$L$208,'فحص-بيانات-ماجستير'!$L$5:$L$230),$I186)&amp;"")</f>
        <v/>
      </c>
      <c r="G186" s="2" t="str">
        <f>IF($I186="","",INDEX(CHOOSE($J$3,'فحص-حاسب-بكالوريوس'!$M$5:$M$208,'فحص-بيانات-بكالوريوس'!$M$5:$M$208,'فحص-بيانات-ماجستير'!$M$5:$M$230),$I186)&amp;"")</f>
        <v/>
      </c>
      <c r="H186" s="2" t="str">
        <f>IF($I186="","",INDEX(CHOOSE($J$3,'فحص-حاسب-بكالوريوس'!$G$5:$G$208,'فحص-بيانات-بكالوريوس'!$G$5:$G$208,'فحص-بيانات-ماجستير'!$G$5:$G$230),$I186)&amp;"")</f>
        <v/>
      </c>
      <c r="I186" s="2" t="str">
        <f>IFERROR(MATCH($E$3&amp;"#"&amp;181,CHOOSE($J$3,'فحص-حاسب-بكالوريوس'!$R$5:$R$208,'فحص-بيانات-بكالوريوس'!$R$5:$R$208,'فحص-بيانات-ماجستير'!$R$5:$R$230),0),"")</f>
        <v/>
      </c>
    </row>
    <row r="187" spans="1:9" x14ac:dyDescent="0.2">
      <c r="A187" s="1" t="str">
        <f>IF($I187="","",182)</f>
        <v/>
      </c>
      <c r="B187" s="2" t="str">
        <f>IF($I187="","",INDEX(CHOOSE($J$3,'فحص-حاسب-بكالوريوس'!$A$5:$A$208,'فحص-بيانات-بكالوريوس'!$A$5:$A$208,'فحص-بيانات-ماجستير'!$A$5:$A$230),$I187)&amp;"")</f>
        <v/>
      </c>
      <c r="C187" s="2" t="str">
        <f>IF($I187="","",INDEX(CHOOSE($J$3,'فحص-حاسب-بكالوريوس'!$F$5:$F$208,'فحص-بيانات-بكالوريوس'!$F$5:$F$208,'فحص-بيانات-ماجستير'!$F$5:$F$230),$I187)&amp;"")</f>
        <v/>
      </c>
      <c r="D187" s="2" t="str">
        <f>IF($I187="","",INDEX(CHOOSE($J$3,'فحص-حاسب-بكالوريوس'!$H$5:$H$208,'فحص-بيانات-بكالوريوس'!$H$5:$H$208,'فحص-بيانات-ماجستير'!$H$5:$H$230),$I187)&amp;"")</f>
        <v/>
      </c>
      <c r="E187" s="2" t="str">
        <f>IF($I187="","",INDEX(CHOOSE($J$3,'فحص-حاسب-بكالوريوس'!$J$5:$J$208,'فحص-بيانات-بكالوريوس'!$J$5:$J$208,'فحص-بيانات-ماجستير'!$J$5:$J$230),$I187)&amp;"")</f>
        <v/>
      </c>
      <c r="F187" s="2" t="str">
        <f>IF($I187="","",INDEX(CHOOSE($J$3,'فحص-حاسب-بكالوريوس'!$L$5:$L$208,'فحص-بيانات-بكالوريوس'!$L$5:$L$208,'فحص-بيانات-ماجستير'!$L$5:$L$230),$I187)&amp;"")</f>
        <v/>
      </c>
      <c r="G187" s="2" t="str">
        <f>IF($I187="","",INDEX(CHOOSE($J$3,'فحص-حاسب-بكالوريوس'!$M$5:$M$208,'فحص-بيانات-بكالوريوس'!$M$5:$M$208,'فحص-بيانات-ماجستير'!$M$5:$M$230),$I187)&amp;"")</f>
        <v/>
      </c>
      <c r="H187" s="2" t="str">
        <f>IF($I187="","",INDEX(CHOOSE($J$3,'فحص-حاسب-بكالوريوس'!$G$5:$G$208,'فحص-بيانات-بكالوريوس'!$G$5:$G$208,'فحص-بيانات-ماجستير'!$G$5:$G$230),$I187)&amp;"")</f>
        <v/>
      </c>
      <c r="I187" s="2" t="str">
        <f>IFERROR(MATCH($E$3&amp;"#"&amp;182,CHOOSE($J$3,'فحص-حاسب-بكالوريوس'!$R$5:$R$208,'فحص-بيانات-بكالوريوس'!$R$5:$R$208,'فحص-بيانات-ماجستير'!$R$5:$R$230),0),"")</f>
        <v/>
      </c>
    </row>
    <row r="188" spans="1:9" x14ac:dyDescent="0.2">
      <c r="A188" s="1" t="str">
        <f>IF($I188="","",183)</f>
        <v/>
      </c>
      <c r="B188" s="2" t="str">
        <f>IF($I188="","",INDEX(CHOOSE($J$3,'فحص-حاسب-بكالوريوس'!$A$5:$A$208,'فحص-بيانات-بكالوريوس'!$A$5:$A$208,'فحص-بيانات-ماجستير'!$A$5:$A$230),$I188)&amp;"")</f>
        <v/>
      </c>
      <c r="C188" s="2" t="str">
        <f>IF($I188="","",INDEX(CHOOSE($J$3,'فحص-حاسب-بكالوريوس'!$F$5:$F$208,'فحص-بيانات-بكالوريوس'!$F$5:$F$208,'فحص-بيانات-ماجستير'!$F$5:$F$230),$I188)&amp;"")</f>
        <v/>
      </c>
      <c r="D188" s="2" t="str">
        <f>IF($I188="","",INDEX(CHOOSE($J$3,'فحص-حاسب-بكالوريوس'!$H$5:$H$208,'فحص-بيانات-بكالوريوس'!$H$5:$H$208,'فحص-بيانات-ماجستير'!$H$5:$H$230),$I188)&amp;"")</f>
        <v/>
      </c>
      <c r="E188" s="2" t="str">
        <f>IF($I188="","",INDEX(CHOOSE($J$3,'فحص-حاسب-بكالوريوس'!$J$5:$J$208,'فحص-بيانات-بكالوريوس'!$J$5:$J$208,'فحص-بيانات-ماجستير'!$J$5:$J$230),$I188)&amp;"")</f>
        <v/>
      </c>
      <c r="F188" s="2" t="str">
        <f>IF($I188="","",INDEX(CHOOSE($J$3,'فحص-حاسب-بكالوريوس'!$L$5:$L$208,'فحص-بيانات-بكالوريوس'!$L$5:$L$208,'فحص-بيانات-ماجستير'!$L$5:$L$230),$I188)&amp;"")</f>
        <v/>
      </c>
      <c r="G188" s="2" t="str">
        <f>IF($I188="","",INDEX(CHOOSE($J$3,'فحص-حاسب-بكالوريوس'!$M$5:$M$208,'فحص-بيانات-بكالوريوس'!$M$5:$M$208,'فحص-بيانات-ماجستير'!$M$5:$M$230),$I188)&amp;"")</f>
        <v/>
      </c>
      <c r="H188" s="2" t="str">
        <f>IF($I188="","",INDEX(CHOOSE($J$3,'فحص-حاسب-بكالوريوس'!$G$5:$G$208,'فحص-بيانات-بكالوريوس'!$G$5:$G$208,'فحص-بيانات-ماجستير'!$G$5:$G$230),$I188)&amp;"")</f>
        <v/>
      </c>
      <c r="I188" s="2" t="str">
        <f>IFERROR(MATCH($E$3&amp;"#"&amp;183,CHOOSE($J$3,'فحص-حاسب-بكالوريوس'!$R$5:$R$208,'فحص-بيانات-بكالوريوس'!$R$5:$R$208,'فحص-بيانات-ماجستير'!$R$5:$R$230),0),"")</f>
        <v/>
      </c>
    </row>
    <row r="189" spans="1:9" x14ac:dyDescent="0.2">
      <c r="A189" s="1" t="str">
        <f>IF($I189="","",184)</f>
        <v/>
      </c>
      <c r="B189" s="2" t="str">
        <f>IF($I189="","",INDEX(CHOOSE($J$3,'فحص-حاسب-بكالوريوس'!$A$5:$A$208,'فحص-بيانات-بكالوريوس'!$A$5:$A$208,'فحص-بيانات-ماجستير'!$A$5:$A$230),$I189)&amp;"")</f>
        <v/>
      </c>
      <c r="C189" s="2" t="str">
        <f>IF($I189="","",INDEX(CHOOSE($J$3,'فحص-حاسب-بكالوريوس'!$F$5:$F$208,'فحص-بيانات-بكالوريوس'!$F$5:$F$208,'فحص-بيانات-ماجستير'!$F$5:$F$230),$I189)&amp;"")</f>
        <v/>
      </c>
      <c r="D189" s="2" t="str">
        <f>IF($I189="","",INDEX(CHOOSE($J$3,'فحص-حاسب-بكالوريوس'!$H$5:$H$208,'فحص-بيانات-بكالوريوس'!$H$5:$H$208,'فحص-بيانات-ماجستير'!$H$5:$H$230),$I189)&amp;"")</f>
        <v/>
      </c>
      <c r="E189" s="2" t="str">
        <f>IF($I189="","",INDEX(CHOOSE($J$3,'فحص-حاسب-بكالوريوس'!$J$5:$J$208,'فحص-بيانات-بكالوريوس'!$J$5:$J$208,'فحص-بيانات-ماجستير'!$J$5:$J$230),$I189)&amp;"")</f>
        <v/>
      </c>
      <c r="F189" s="2" t="str">
        <f>IF($I189="","",INDEX(CHOOSE($J$3,'فحص-حاسب-بكالوريوس'!$L$5:$L$208,'فحص-بيانات-بكالوريوس'!$L$5:$L$208,'فحص-بيانات-ماجستير'!$L$5:$L$230),$I189)&amp;"")</f>
        <v/>
      </c>
      <c r="G189" s="2" t="str">
        <f>IF($I189="","",INDEX(CHOOSE($J$3,'فحص-حاسب-بكالوريوس'!$M$5:$M$208,'فحص-بيانات-بكالوريوس'!$M$5:$M$208,'فحص-بيانات-ماجستير'!$M$5:$M$230),$I189)&amp;"")</f>
        <v/>
      </c>
      <c r="H189" s="2" t="str">
        <f>IF($I189="","",INDEX(CHOOSE($J$3,'فحص-حاسب-بكالوريوس'!$G$5:$G$208,'فحص-بيانات-بكالوريوس'!$G$5:$G$208,'فحص-بيانات-ماجستير'!$G$5:$G$230),$I189)&amp;"")</f>
        <v/>
      </c>
      <c r="I189" s="2" t="str">
        <f>IFERROR(MATCH($E$3&amp;"#"&amp;184,CHOOSE($J$3,'فحص-حاسب-بكالوريوس'!$R$5:$R$208,'فحص-بيانات-بكالوريوس'!$R$5:$R$208,'فحص-بيانات-ماجستير'!$R$5:$R$230),0),"")</f>
        <v/>
      </c>
    </row>
    <row r="190" spans="1:9" x14ac:dyDescent="0.2">
      <c r="A190" s="1" t="str">
        <f>IF($I190="","",185)</f>
        <v/>
      </c>
      <c r="B190" s="2" t="str">
        <f>IF($I190="","",INDEX(CHOOSE($J$3,'فحص-حاسب-بكالوريوس'!$A$5:$A$208,'فحص-بيانات-بكالوريوس'!$A$5:$A$208,'فحص-بيانات-ماجستير'!$A$5:$A$230),$I190)&amp;"")</f>
        <v/>
      </c>
      <c r="C190" s="2" t="str">
        <f>IF($I190="","",INDEX(CHOOSE($J$3,'فحص-حاسب-بكالوريوس'!$F$5:$F$208,'فحص-بيانات-بكالوريوس'!$F$5:$F$208,'فحص-بيانات-ماجستير'!$F$5:$F$230),$I190)&amp;"")</f>
        <v/>
      </c>
      <c r="D190" s="2" t="str">
        <f>IF($I190="","",INDEX(CHOOSE($J$3,'فحص-حاسب-بكالوريوس'!$H$5:$H$208,'فحص-بيانات-بكالوريوس'!$H$5:$H$208,'فحص-بيانات-ماجستير'!$H$5:$H$230),$I190)&amp;"")</f>
        <v/>
      </c>
      <c r="E190" s="2" t="str">
        <f>IF($I190="","",INDEX(CHOOSE($J$3,'فحص-حاسب-بكالوريوس'!$J$5:$J$208,'فحص-بيانات-بكالوريوس'!$J$5:$J$208,'فحص-بيانات-ماجستير'!$J$5:$J$230),$I190)&amp;"")</f>
        <v/>
      </c>
      <c r="F190" s="2" t="str">
        <f>IF($I190="","",INDEX(CHOOSE($J$3,'فحص-حاسب-بكالوريوس'!$L$5:$L$208,'فحص-بيانات-بكالوريوس'!$L$5:$L$208,'فحص-بيانات-ماجستير'!$L$5:$L$230),$I190)&amp;"")</f>
        <v/>
      </c>
      <c r="G190" s="2" t="str">
        <f>IF($I190="","",INDEX(CHOOSE($J$3,'فحص-حاسب-بكالوريوس'!$M$5:$M$208,'فحص-بيانات-بكالوريوس'!$M$5:$M$208,'فحص-بيانات-ماجستير'!$M$5:$M$230),$I190)&amp;"")</f>
        <v/>
      </c>
      <c r="H190" s="2" t="str">
        <f>IF($I190="","",INDEX(CHOOSE($J$3,'فحص-حاسب-بكالوريوس'!$G$5:$G$208,'فحص-بيانات-بكالوريوس'!$G$5:$G$208,'فحص-بيانات-ماجستير'!$G$5:$G$230),$I190)&amp;"")</f>
        <v/>
      </c>
      <c r="I190" s="2" t="str">
        <f>IFERROR(MATCH($E$3&amp;"#"&amp;185,CHOOSE($J$3,'فحص-حاسب-بكالوريوس'!$R$5:$R$208,'فحص-بيانات-بكالوريوس'!$R$5:$R$208,'فحص-بيانات-ماجستير'!$R$5:$R$230),0),"")</f>
        <v/>
      </c>
    </row>
    <row r="191" spans="1:9" x14ac:dyDescent="0.2">
      <c r="A191" s="1" t="str">
        <f>IF($I191="","",186)</f>
        <v/>
      </c>
      <c r="B191" s="2" t="str">
        <f>IF($I191="","",INDEX(CHOOSE($J$3,'فحص-حاسب-بكالوريوس'!$A$5:$A$208,'فحص-بيانات-بكالوريوس'!$A$5:$A$208,'فحص-بيانات-ماجستير'!$A$5:$A$230),$I191)&amp;"")</f>
        <v/>
      </c>
      <c r="C191" s="2" t="str">
        <f>IF($I191="","",INDEX(CHOOSE($J$3,'فحص-حاسب-بكالوريوس'!$F$5:$F$208,'فحص-بيانات-بكالوريوس'!$F$5:$F$208,'فحص-بيانات-ماجستير'!$F$5:$F$230),$I191)&amp;"")</f>
        <v/>
      </c>
      <c r="D191" s="2" t="str">
        <f>IF($I191="","",INDEX(CHOOSE($J$3,'فحص-حاسب-بكالوريوس'!$H$5:$H$208,'فحص-بيانات-بكالوريوس'!$H$5:$H$208,'فحص-بيانات-ماجستير'!$H$5:$H$230),$I191)&amp;"")</f>
        <v/>
      </c>
      <c r="E191" s="2" t="str">
        <f>IF($I191="","",INDEX(CHOOSE($J$3,'فحص-حاسب-بكالوريوس'!$J$5:$J$208,'فحص-بيانات-بكالوريوس'!$J$5:$J$208,'فحص-بيانات-ماجستير'!$J$5:$J$230),$I191)&amp;"")</f>
        <v/>
      </c>
      <c r="F191" s="2" t="str">
        <f>IF($I191="","",INDEX(CHOOSE($J$3,'فحص-حاسب-بكالوريوس'!$L$5:$L$208,'فحص-بيانات-بكالوريوس'!$L$5:$L$208,'فحص-بيانات-ماجستير'!$L$5:$L$230),$I191)&amp;"")</f>
        <v/>
      </c>
      <c r="G191" s="2" t="str">
        <f>IF($I191="","",INDEX(CHOOSE($J$3,'فحص-حاسب-بكالوريوس'!$M$5:$M$208,'فحص-بيانات-بكالوريوس'!$M$5:$M$208,'فحص-بيانات-ماجستير'!$M$5:$M$230),$I191)&amp;"")</f>
        <v/>
      </c>
      <c r="H191" s="2" t="str">
        <f>IF($I191="","",INDEX(CHOOSE($J$3,'فحص-حاسب-بكالوريوس'!$G$5:$G$208,'فحص-بيانات-بكالوريوس'!$G$5:$G$208,'فحص-بيانات-ماجستير'!$G$5:$G$230),$I191)&amp;"")</f>
        <v/>
      </c>
      <c r="I191" s="2" t="str">
        <f>IFERROR(MATCH($E$3&amp;"#"&amp;186,CHOOSE($J$3,'فحص-حاسب-بكالوريوس'!$R$5:$R$208,'فحص-بيانات-بكالوريوس'!$R$5:$R$208,'فحص-بيانات-ماجستير'!$R$5:$R$230),0),"")</f>
        <v/>
      </c>
    </row>
    <row r="192" spans="1:9" x14ac:dyDescent="0.2">
      <c r="A192" s="1" t="str">
        <f>IF($I192="","",187)</f>
        <v/>
      </c>
      <c r="B192" s="2" t="str">
        <f>IF($I192="","",INDEX(CHOOSE($J$3,'فحص-حاسب-بكالوريوس'!$A$5:$A$208,'فحص-بيانات-بكالوريوس'!$A$5:$A$208,'فحص-بيانات-ماجستير'!$A$5:$A$230),$I192)&amp;"")</f>
        <v/>
      </c>
      <c r="C192" s="2" t="str">
        <f>IF($I192="","",INDEX(CHOOSE($J$3,'فحص-حاسب-بكالوريوس'!$F$5:$F$208,'فحص-بيانات-بكالوريوس'!$F$5:$F$208,'فحص-بيانات-ماجستير'!$F$5:$F$230),$I192)&amp;"")</f>
        <v/>
      </c>
      <c r="D192" s="2" t="str">
        <f>IF($I192="","",INDEX(CHOOSE($J$3,'فحص-حاسب-بكالوريوس'!$H$5:$H$208,'فحص-بيانات-بكالوريوس'!$H$5:$H$208,'فحص-بيانات-ماجستير'!$H$5:$H$230),$I192)&amp;"")</f>
        <v/>
      </c>
      <c r="E192" s="2" t="str">
        <f>IF($I192="","",INDEX(CHOOSE($J$3,'فحص-حاسب-بكالوريوس'!$J$5:$J$208,'فحص-بيانات-بكالوريوس'!$J$5:$J$208,'فحص-بيانات-ماجستير'!$J$5:$J$230),$I192)&amp;"")</f>
        <v/>
      </c>
      <c r="F192" s="2" t="str">
        <f>IF($I192="","",INDEX(CHOOSE($J$3,'فحص-حاسب-بكالوريوس'!$L$5:$L$208,'فحص-بيانات-بكالوريوس'!$L$5:$L$208,'فحص-بيانات-ماجستير'!$L$5:$L$230),$I192)&amp;"")</f>
        <v/>
      </c>
      <c r="G192" s="2" t="str">
        <f>IF($I192="","",INDEX(CHOOSE($J$3,'فحص-حاسب-بكالوريوس'!$M$5:$M$208,'فحص-بيانات-بكالوريوس'!$M$5:$M$208,'فحص-بيانات-ماجستير'!$M$5:$M$230),$I192)&amp;"")</f>
        <v/>
      </c>
      <c r="H192" s="2" t="str">
        <f>IF($I192="","",INDEX(CHOOSE($J$3,'فحص-حاسب-بكالوريوس'!$G$5:$G$208,'فحص-بيانات-بكالوريوس'!$G$5:$G$208,'فحص-بيانات-ماجستير'!$G$5:$G$230),$I192)&amp;"")</f>
        <v/>
      </c>
      <c r="I192" s="2" t="str">
        <f>IFERROR(MATCH($E$3&amp;"#"&amp;187,CHOOSE($J$3,'فحص-حاسب-بكالوريوس'!$R$5:$R$208,'فحص-بيانات-بكالوريوس'!$R$5:$R$208,'فحص-بيانات-ماجستير'!$R$5:$R$230),0),"")</f>
        <v/>
      </c>
    </row>
    <row r="193" spans="1:9" x14ac:dyDescent="0.2">
      <c r="A193" s="1" t="str">
        <f>IF($I193="","",188)</f>
        <v/>
      </c>
      <c r="B193" s="2" t="str">
        <f>IF($I193="","",INDEX(CHOOSE($J$3,'فحص-حاسب-بكالوريوس'!$A$5:$A$208,'فحص-بيانات-بكالوريوس'!$A$5:$A$208,'فحص-بيانات-ماجستير'!$A$5:$A$230),$I193)&amp;"")</f>
        <v/>
      </c>
      <c r="C193" s="2" t="str">
        <f>IF($I193="","",INDEX(CHOOSE($J$3,'فحص-حاسب-بكالوريوس'!$F$5:$F$208,'فحص-بيانات-بكالوريوس'!$F$5:$F$208,'فحص-بيانات-ماجستير'!$F$5:$F$230),$I193)&amp;"")</f>
        <v/>
      </c>
      <c r="D193" s="2" t="str">
        <f>IF($I193="","",INDEX(CHOOSE($J$3,'فحص-حاسب-بكالوريوس'!$H$5:$H$208,'فحص-بيانات-بكالوريوس'!$H$5:$H$208,'فحص-بيانات-ماجستير'!$H$5:$H$230),$I193)&amp;"")</f>
        <v/>
      </c>
      <c r="E193" s="2" t="str">
        <f>IF($I193="","",INDEX(CHOOSE($J$3,'فحص-حاسب-بكالوريوس'!$J$5:$J$208,'فحص-بيانات-بكالوريوس'!$J$5:$J$208,'فحص-بيانات-ماجستير'!$J$5:$J$230),$I193)&amp;"")</f>
        <v/>
      </c>
      <c r="F193" s="2" t="str">
        <f>IF($I193="","",INDEX(CHOOSE($J$3,'فحص-حاسب-بكالوريوس'!$L$5:$L$208,'فحص-بيانات-بكالوريوس'!$L$5:$L$208,'فحص-بيانات-ماجستير'!$L$5:$L$230),$I193)&amp;"")</f>
        <v/>
      </c>
      <c r="G193" s="2" t="str">
        <f>IF($I193="","",INDEX(CHOOSE($J$3,'فحص-حاسب-بكالوريوس'!$M$5:$M$208,'فحص-بيانات-بكالوريوس'!$M$5:$M$208,'فحص-بيانات-ماجستير'!$M$5:$M$230),$I193)&amp;"")</f>
        <v/>
      </c>
      <c r="H193" s="2" t="str">
        <f>IF($I193="","",INDEX(CHOOSE($J$3,'فحص-حاسب-بكالوريوس'!$G$5:$G$208,'فحص-بيانات-بكالوريوس'!$G$5:$G$208,'فحص-بيانات-ماجستير'!$G$5:$G$230),$I193)&amp;"")</f>
        <v/>
      </c>
      <c r="I193" s="2" t="str">
        <f>IFERROR(MATCH($E$3&amp;"#"&amp;188,CHOOSE($J$3,'فحص-حاسب-بكالوريوس'!$R$5:$R$208,'فحص-بيانات-بكالوريوس'!$R$5:$R$208,'فحص-بيانات-ماجستير'!$R$5:$R$230),0),"")</f>
        <v/>
      </c>
    </row>
    <row r="194" spans="1:9" x14ac:dyDescent="0.2">
      <c r="A194" s="1" t="str">
        <f>IF($I194="","",189)</f>
        <v/>
      </c>
      <c r="B194" s="2" t="str">
        <f>IF($I194="","",INDEX(CHOOSE($J$3,'فحص-حاسب-بكالوريوس'!$A$5:$A$208,'فحص-بيانات-بكالوريوس'!$A$5:$A$208,'فحص-بيانات-ماجستير'!$A$5:$A$230),$I194)&amp;"")</f>
        <v/>
      </c>
      <c r="C194" s="2" t="str">
        <f>IF($I194="","",INDEX(CHOOSE($J$3,'فحص-حاسب-بكالوريوس'!$F$5:$F$208,'فحص-بيانات-بكالوريوس'!$F$5:$F$208,'فحص-بيانات-ماجستير'!$F$5:$F$230),$I194)&amp;"")</f>
        <v/>
      </c>
      <c r="D194" s="2" t="str">
        <f>IF($I194="","",INDEX(CHOOSE($J$3,'فحص-حاسب-بكالوريوس'!$H$5:$H$208,'فحص-بيانات-بكالوريوس'!$H$5:$H$208,'فحص-بيانات-ماجستير'!$H$5:$H$230),$I194)&amp;"")</f>
        <v/>
      </c>
      <c r="E194" s="2" t="str">
        <f>IF($I194="","",INDEX(CHOOSE($J$3,'فحص-حاسب-بكالوريوس'!$J$5:$J$208,'فحص-بيانات-بكالوريوس'!$J$5:$J$208,'فحص-بيانات-ماجستير'!$J$5:$J$230),$I194)&amp;"")</f>
        <v/>
      </c>
      <c r="F194" s="2" t="str">
        <f>IF($I194="","",INDEX(CHOOSE($J$3,'فحص-حاسب-بكالوريوس'!$L$5:$L$208,'فحص-بيانات-بكالوريوس'!$L$5:$L$208,'فحص-بيانات-ماجستير'!$L$5:$L$230),$I194)&amp;"")</f>
        <v/>
      </c>
      <c r="G194" s="2" t="str">
        <f>IF($I194="","",INDEX(CHOOSE($J$3,'فحص-حاسب-بكالوريوس'!$M$5:$M$208,'فحص-بيانات-بكالوريوس'!$M$5:$M$208,'فحص-بيانات-ماجستير'!$M$5:$M$230),$I194)&amp;"")</f>
        <v/>
      </c>
      <c r="H194" s="2" t="str">
        <f>IF($I194="","",INDEX(CHOOSE($J$3,'فحص-حاسب-بكالوريوس'!$G$5:$G$208,'فحص-بيانات-بكالوريوس'!$G$5:$G$208,'فحص-بيانات-ماجستير'!$G$5:$G$230),$I194)&amp;"")</f>
        <v/>
      </c>
      <c r="I194" s="2" t="str">
        <f>IFERROR(MATCH($E$3&amp;"#"&amp;189,CHOOSE($J$3,'فحص-حاسب-بكالوريوس'!$R$5:$R$208,'فحص-بيانات-بكالوريوس'!$R$5:$R$208,'فحص-بيانات-ماجستير'!$R$5:$R$230),0),"")</f>
        <v/>
      </c>
    </row>
    <row r="195" spans="1:9" x14ac:dyDescent="0.2">
      <c r="A195" s="1" t="str">
        <f>IF($I195="","",190)</f>
        <v/>
      </c>
      <c r="B195" s="2" t="str">
        <f>IF($I195="","",INDEX(CHOOSE($J$3,'فحص-حاسب-بكالوريوس'!$A$5:$A$208,'فحص-بيانات-بكالوريوس'!$A$5:$A$208,'فحص-بيانات-ماجستير'!$A$5:$A$230),$I195)&amp;"")</f>
        <v/>
      </c>
      <c r="C195" s="2" t="str">
        <f>IF($I195="","",INDEX(CHOOSE($J$3,'فحص-حاسب-بكالوريوس'!$F$5:$F$208,'فحص-بيانات-بكالوريوس'!$F$5:$F$208,'فحص-بيانات-ماجستير'!$F$5:$F$230),$I195)&amp;"")</f>
        <v/>
      </c>
      <c r="D195" s="2" t="str">
        <f>IF($I195="","",INDEX(CHOOSE($J$3,'فحص-حاسب-بكالوريوس'!$H$5:$H$208,'فحص-بيانات-بكالوريوس'!$H$5:$H$208,'فحص-بيانات-ماجستير'!$H$5:$H$230),$I195)&amp;"")</f>
        <v/>
      </c>
      <c r="E195" s="2" t="str">
        <f>IF($I195="","",INDEX(CHOOSE($J$3,'فحص-حاسب-بكالوريوس'!$J$5:$J$208,'فحص-بيانات-بكالوريوس'!$J$5:$J$208,'فحص-بيانات-ماجستير'!$J$5:$J$230),$I195)&amp;"")</f>
        <v/>
      </c>
      <c r="F195" s="2" t="str">
        <f>IF($I195="","",INDEX(CHOOSE($J$3,'فحص-حاسب-بكالوريوس'!$L$5:$L$208,'فحص-بيانات-بكالوريوس'!$L$5:$L$208,'فحص-بيانات-ماجستير'!$L$5:$L$230),$I195)&amp;"")</f>
        <v/>
      </c>
      <c r="G195" s="2" t="str">
        <f>IF($I195="","",INDEX(CHOOSE($J$3,'فحص-حاسب-بكالوريوس'!$M$5:$M$208,'فحص-بيانات-بكالوريوس'!$M$5:$M$208,'فحص-بيانات-ماجستير'!$M$5:$M$230),$I195)&amp;"")</f>
        <v/>
      </c>
      <c r="H195" s="2" t="str">
        <f>IF($I195="","",INDEX(CHOOSE($J$3,'فحص-حاسب-بكالوريوس'!$G$5:$G$208,'فحص-بيانات-بكالوريوس'!$G$5:$G$208,'فحص-بيانات-ماجستير'!$G$5:$G$230),$I195)&amp;"")</f>
        <v/>
      </c>
      <c r="I195" s="2" t="str">
        <f>IFERROR(MATCH($E$3&amp;"#"&amp;190,CHOOSE($J$3,'فحص-حاسب-بكالوريوس'!$R$5:$R$208,'فحص-بيانات-بكالوريوس'!$R$5:$R$208,'فحص-بيانات-ماجستير'!$R$5:$R$230),0),"")</f>
        <v/>
      </c>
    </row>
    <row r="196" spans="1:9" x14ac:dyDescent="0.2">
      <c r="A196" s="1" t="str">
        <f>IF($I196="","",191)</f>
        <v/>
      </c>
      <c r="B196" s="2" t="str">
        <f>IF($I196="","",INDEX(CHOOSE($J$3,'فحص-حاسب-بكالوريوس'!$A$5:$A$208,'فحص-بيانات-بكالوريوس'!$A$5:$A$208,'فحص-بيانات-ماجستير'!$A$5:$A$230),$I196)&amp;"")</f>
        <v/>
      </c>
      <c r="C196" s="2" t="str">
        <f>IF($I196="","",INDEX(CHOOSE($J$3,'فحص-حاسب-بكالوريوس'!$F$5:$F$208,'فحص-بيانات-بكالوريوس'!$F$5:$F$208,'فحص-بيانات-ماجستير'!$F$5:$F$230),$I196)&amp;"")</f>
        <v/>
      </c>
      <c r="D196" s="2" t="str">
        <f>IF($I196="","",INDEX(CHOOSE($J$3,'فحص-حاسب-بكالوريوس'!$H$5:$H$208,'فحص-بيانات-بكالوريوس'!$H$5:$H$208,'فحص-بيانات-ماجستير'!$H$5:$H$230),$I196)&amp;"")</f>
        <v/>
      </c>
      <c r="E196" s="2" t="str">
        <f>IF($I196="","",INDEX(CHOOSE($J$3,'فحص-حاسب-بكالوريوس'!$J$5:$J$208,'فحص-بيانات-بكالوريوس'!$J$5:$J$208,'فحص-بيانات-ماجستير'!$J$5:$J$230),$I196)&amp;"")</f>
        <v/>
      </c>
      <c r="F196" s="2" t="str">
        <f>IF($I196="","",INDEX(CHOOSE($J$3,'فحص-حاسب-بكالوريوس'!$L$5:$L$208,'فحص-بيانات-بكالوريوس'!$L$5:$L$208,'فحص-بيانات-ماجستير'!$L$5:$L$230),$I196)&amp;"")</f>
        <v/>
      </c>
      <c r="G196" s="2" t="str">
        <f>IF($I196="","",INDEX(CHOOSE($J$3,'فحص-حاسب-بكالوريوس'!$M$5:$M$208,'فحص-بيانات-بكالوريوس'!$M$5:$M$208,'فحص-بيانات-ماجستير'!$M$5:$M$230),$I196)&amp;"")</f>
        <v/>
      </c>
      <c r="H196" s="2" t="str">
        <f>IF($I196="","",INDEX(CHOOSE($J$3,'فحص-حاسب-بكالوريوس'!$G$5:$G$208,'فحص-بيانات-بكالوريوس'!$G$5:$G$208,'فحص-بيانات-ماجستير'!$G$5:$G$230),$I196)&amp;"")</f>
        <v/>
      </c>
      <c r="I196" s="2" t="str">
        <f>IFERROR(MATCH($E$3&amp;"#"&amp;191,CHOOSE($J$3,'فحص-حاسب-بكالوريوس'!$R$5:$R$208,'فحص-بيانات-بكالوريوس'!$R$5:$R$208,'فحص-بيانات-ماجستير'!$R$5:$R$230),0),"")</f>
        <v/>
      </c>
    </row>
    <row r="197" spans="1:9" x14ac:dyDescent="0.2">
      <c r="A197" s="1" t="str">
        <f>IF($I197="","",192)</f>
        <v/>
      </c>
      <c r="B197" s="2" t="str">
        <f>IF($I197="","",INDEX(CHOOSE($J$3,'فحص-حاسب-بكالوريوس'!$A$5:$A$208,'فحص-بيانات-بكالوريوس'!$A$5:$A$208,'فحص-بيانات-ماجستير'!$A$5:$A$230),$I197)&amp;"")</f>
        <v/>
      </c>
      <c r="C197" s="2" t="str">
        <f>IF($I197="","",INDEX(CHOOSE($J$3,'فحص-حاسب-بكالوريوس'!$F$5:$F$208,'فحص-بيانات-بكالوريوس'!$F$5:$F$208,'فحص-بيانات-ماجستير'!$F$5:$F$230),$I197)&amp;"")</f>
        <v/>
      </c>
      <c r="D197" s="2" t="str">
        <f>IF($I197="","",INDEX(CHOOSE($J$3,'فحص-حاسب-بكالوريوس'!$H$5:$H$208,'فحص-بيانات-بكالوريوس'!$H$5:$H$208,'فحص-بيانات-ماجستير'!$H$5:$H$230),$I197)&amp;"")</f>
        <v/>
      </c>
      <c r="E197" s="2" t="str">
        <f>IF($I197="","",INDEX(CHOOSE($J$3,'فحص-حاسب-بكالوريوس'!$J$5:$J$208,'فحص-بيانات-بكالوريوس'!$J$5:$J$208,'فحص-بيانات-ماجستير'!$J$5:$J$230),$I197)&amp;"")</f>
        <v/>
      </c>
      <c r="F197" s="2" t="str">
        <f>IF($I197="","",INDEX(CHOOSE($J$3,'فحص-حاسب-بكالوريوس'!$L$5:$L$208,'فحص-بيانات-بكالوريوس'!$L$5:$L$208,'فحص-بيانات-ماجستير'!$L$5:$L$230),$I197)&amp;"")</f>
        <v/>
      </c>
      <c r="G197" s="2" t="str">
        <f>IF($I197="","",INDEX(CHOOSE($J$3,'فحص-حاسب-بكالوريوس'!$M$5:$M$208,'فحص-بيانات-بكالوريوس'!$M$5:$M$208,'فحص-بيانات-ماجستير'!$M$5:$M$230),$I197)&amp;"")</f>
        <v/>
      </c>
      <c r="H197" s="2" t="str">
        <f>IF($I197="","",INDEX(CHOOSE($J$3,'فحص-حاسب-بكالوريوس'!$G$5:$G$208,'فحص-بيانات-بكالوريوس'!$G$5:$G$208,'فحص-بيانات-ماجستير'!$G$5:$G$230),$I197)&amp;"")</f>
        <v/>
      </c>
      <c r="I197" s="2" t="str">
        <f>IFERROR(MATCH($E$3&amp;"#"&amp;192,CHOOSE($J$3,'فحص-حاسب-بكالوريوس'!$R$5:$R$208,'فحص-بيانات-بكالوريوس'!$R$5:$R$208,'فحص-بيانات-ماجستير'!$R$5:$R$230),0),"")</f>
        <v/>
      </c>
    </row>
    <row r="198" spans="1:9" x14ac:dyDescent="0.2">
      <c r="A198" s="1" t="str">
        <f>IF($I198="","",193)</f>
        <v/>
      </c>
      <c r="B198" s="2" t="str">
        <f>IF($I198="","",INDEX(CHOOSE($J$3,'فحص-حاسب-بكالوريوس'!$A$5:$A$208,'فحص-بيانات-بكالوريوس'!$A$5:$A$208,'فحص-بيانات-ماجستير'!$A$5:$A$230),$I198)&amp;"")</f>
        <v/>
      </c>
      <c r="C198" s="2" t="str">
        <f>IF($I198="","",INDEX(CHOOSE($J$3,'فحص-حاسب-بكالوريوس'!$F$5:$F$208,'فحص-بيانات-بكالوريوس'!$F$5:$F$208,'فحص-بيانات-ماجستير'!$F$5:$F$230),$I198)&amp;"")</f>
        <v/>
      </c>
      <c r="D198" s="2" t="str">
        <f>IF($I198="","",INDEX(CHOOSE($J$3,'فحص-حاسب-بكالوريوس'!$H$5:$H$208,'فحص-بيانات-بكالوريوس'!$H$5:$H$208,'فحص-بيانات-ماجستير'!$H$5:$H$230),$I198)&amp;"")</f>
        <v/>
      </c>
      <c r="E198" s="2" t="str">
        <f>IF($I198="","",INDEX(CHOOSE($J$3,'فحص-حاسب-بكالوريوس'!$J$5:$J$208,'فحص-بيانات-بكالوريوس'!$J$5:$J$208,'فحص-بيانات-ماجستير'!$J$5:$J$230),$I198)&amp;"")</f>
        <v/>
      </c>
      <c r="F198" s="2" t="str">
        <f>IF($I198="","",INDEX(CHOOSE($J$3,'فحص-حاسب-بكالوريوس'!$L$5:$L$208,'فحص-بيانات-بكالوريوس'!$L$5:$L$208,'فحص-بيانات-ماجستير'!$L$5:$L$230),$I198)&amp;"")</f>
        <v/>
      </c>
      <c r="G198" s="2" t="str">
        <f>IF($I198="","",INDEX(CHOOSE($J$3,'فحص-حاسب-بكالوريوس'!$M$5:$M$208,'فحص-بيانات-بكالوريوس'!$M$5:$M$208,'فحص-بيانات-ماجستير'!$M$5:$M$230),$I198)&amp;"")</f>
        <v/>
      </c>
      <c r="H198" s="2" t="str">
        <f>IF($I198="","",INDEX(CHOOSE($J$3,'فحص-حاسب-بكالوريوس'!$G$5:$G$208,'فحص-بيانات-بكالوريوس'!$G$5:$G$208,'فحص-بيانات-ماجستير'!$G$5:$G$230),$I198)&amp;"")</f>
        <v/>
      </c>
      <c r="I198" s="2" t="str">
        <f>IFERROR(MATCH($E$3&amp;"#"&amp;193,CHOOSE($J$3,'فحص-حاسب-بكالوريوس'!$R$5:$R$208,'فحص-بيانات-بكالوريوس'!$R$5:$R$208,'فحص-بيانات-ماجستير'!$R$5:$R$230),0),"")</f>
        <v/>
      </c>
    </row>
    <row r="199" spans="1:9" x14ac:dyDescent="0.2">
      <c r="A199" s="1" t="str">
        <f>IF($I199="","",194)</f>
        <v/>
      </c>
      <c r="B199" s="2" t="str">
        <f>IF($I199="","",INDEX(CHOOSE($J$3,'فحص-حاسب-بكالوريوس'!$A$5:$A$208,'فحص-بيانات-بكالوريوس'!$A$5:$A$208,'فحص-بيانات-ماجستير'!$A$5:$A$230),$I199)&amp;"")</f>
        <v/>
      </c>
      <c r="C199" s="2" t="str">
        <f>IF($I199="","",INDEX(CHOOSE($J$3,'فحص-حاسب-بكالوريوس'!$F$5:$F$208,'فحص-بيانات-بكالوريوس'!$F$5:$F$208,'فحص-بيانات-ماجستير'!$F$5:$F$230),$I199)&amp;"")</f>
        <v/>
      </c>
      <c r="D199" s="2" t="str">
        <f>IF($I199="","",INDEX(CHOOSE($J$3,'فحص-حاسب-بكالوريوس'!$H$5:$H$208,'فحص-بيانات-بكالوريوس'!$H$5:$H$208,'فحص-بيانات-ماجستير'!$H$5:$H$230),$I199)&amp;"")</f>
        <v/>
      </c>
      <c r="E199" s="2" t="str">
        <f>IF($I199="","",INDEX(CHOOSE($J$3,'فحص-حاسب-بكالوريوس'!$J$5:$J$208,'فحص-بيانات-بكالوريوس'!$J$5:$J$208,'فحص-بيانات-ماجستير'!$J$5:$J$230),$I199)&amp;"")</f>
        <v/>
      </c>
      <c r="F199" s="2" t="str">
        <f>IF($I199="","",INDEX(CHOOSE($J$3,'فحص-حاسب-بكالوريوس'!$L$5:$L$208,'فحص-بيانات-بكالوريوس'!$L$5:$L$208,'فحص-بيانات-ماجستير'!$L$5:$L$230),$I199)&amp;"")</f>
        <v/>
      </c>
      <c r="G199" s="2" t="str">
        <f>IF($I199="","",INDEX(CHOOSE($J$3,'فحص-حاسب-بكالوريوس'!$M$5:$M$208,'فحص-بيانات-بكالوريوس'!$M$5:$M$208,'فحص-بيانات-ماجستير'!$M$5:$M$230),$I199)&amp;"")</f>
        <v/>
      </c>
      <c r="H199" s="2" t="str">
        <f>IF($I199="","",INDEX(CHOOSE($J$3,'فحص-حاسب-بكالوريوس'!$G$5:$G$208,'فحص-بيانات-بكالوريوس'!$G$5:$G$208,'فحص-بيانات-ماجستير'!$G$5:$G$230),$I199)&amp;"")</f>
        <v/>
      </c>
      <c r="I199" s="2" t="str">
        <f>IFERROR(MATCH($E$3&amp;"#"&amp;194,CHOOSE($J$3,'فحص-حاسب-بكالوريوس'!$R$5:$R$208,'فحص-بيانات-بكالوريوس'!$R$5:$R$208,'فحص-بيانات-ماجستير'!$R$5:$R$230),0),"")</f>
        <v/>
      </c>
    </row>
    <row r="200" spans="1:9" x14ac:dyDescent="0.2">
      <c r="A200" s="1" t="str">
        <f>IF($I200="","",195)</f>
        <v/>
      </c>
      <c r="B200" s="2" t="str">
        <f>IF($I200="","",INDEX(CHOOSE($J$3,'فحص-حاسب-بكالوريوس'!$A$5:$A$208,'فحص-بيانات-بكالوريوس'!$A$5:$A$208,'فحص-بيانات-ماجستير'!$A$5:$A$230),$I200)&amp;"")</f>
        <v/>
      </c>
      <c r="C200" s="2" t="str">
        <f>IF($I200="","",INDEX(CHOOSE($J$3,'فحص-حاسب-بكالوريوس'!$F$5:$F$208,'فحص-بيانات-بكالوريوس'!$F$5:$F$208,'فحص-بيانات-ماجستير'!$F$5:$F$230),$I200)&amp;"")</f>
        <v/>
      </c>
      <c r="D200" s="2" t="str">
        <f>IF($I200="","",INDEX(CHOOSE($J$3,'فحص-حاسب-بكالوريوس'!$H$5:$H$208,'فحص-بيانات-بكالوريوس'!$H$5:$H$208,'فحص-بيانات-ماجستير'!$H$5:$H$230),$I200)&amp;"")</f>
        <v/>
      </c>
      <c r="E200" s="2" t="str">
        <f>IF($I200="","",INDEX(CHOOSE($J$3,'فحص-حاسب-بكالوريوس'!$J$5:$J$208,'فحص-بيانات-بكالوريوس'!$J$5:$J$208,'فحص-بيانات-ماجستير'!$J$5:$J$230),$I200)&amp;"")</f>
        <v/>
      </c>
      <c r="F200" s="2" t="str">
        <f>IF($I200="","",INDEX(CHOOSE($J$3,'فحص-حاسب-بكالوريوس'!$L$5:$L$208,'فحص-بيانات-بكالوريوس'!$L$5:$L$208,'فحص-بيانات-ماجستير'!$L$5:$L$230),$I200)&amp;"")</f>
        <v/>
      </c>
      <c r="G200" s="2" t="str">
        <f>IF($I200="","",INDEX(CHOOSE($J$3,'فحص-حاسب-بكالوريوس'!$M$5:$M$208,'فحص-بيانات-بكالوريوس'!$M$5:$M$208,'فحص-بيانات-ماجستير'!$M$5:$M$230),$I200)&amp;"")</f>
        <v/>
      </c>
      <c r="H200" s="2" t="str">
        <f>IF($I200="","",INDEX(CHOOSE($J$3,'فحص-حاسب-بكالوريوس'!$G$5:$G$208,'فحص-بيانات-بكالوريوس'!$G$5:$G$208,'فحص-بيانات-ماجستير'!$G$5:$G$230),$I200)&amp;"")</f>
        <v/>
      </c>
      <c r="I200" s="2" t="str">
        <f>IFERROR(MATCH($E$3&amp;"#"&amp;195,CHOOSE($J$3,'فحص-حاسب-بكالوريوس'!$R$5:$R$208,'فحص-بيانات-بكالوريوس'!$R$5:$R$208,'فحص-بيانات-ماجستير'!$R$5:$R$230),0),"")</f>
        <v/>
      </c>
    </row>
    <row r="201" spans="1:9" x14ac:dyDescent="0.2">
      <c r="A201" s="1" t="str">
        <f>IF($I201="","",196)</f>
        <v/>
      </c>
      <c r="B201" s="2" t="str">
        <f>IF($I201="","",INDEX(CHOOSE($J$3,'فحص-حاسب-بكالوريوس'!$A$5:$A$208,'فحص-بيانات-بكالوريوس'!$A$5:$A$208,'فحص-بيانات-ماجستير'!$A$5:$A$230),$I201)&amp;"")</f>
        <v/>
      </c>
      <c r="C201" s="2" t="str">
        <f>IF($I201="","",INDEX(CHOOSE($J$3,'فحص-حاسب-بكالوريوس'!$F$5:$F$208,'فحص-بيانات-بكالوريوس'!$F$5:$F$208,'فحص-بيانات-ماجستير'!$F$5:$F$230),$I201)&amp;"")</f>
        <v/>
      </c>
      <c r="D201" s="2" t="str">
        <f>IF($I201="","",INDEX(CHOOSE($J$3,'فحص-حاسب-بكالوريوس'!$H$5:$H$208,'فحص-بيانات-بكالوريوس'!$H$5:$H$208,'فحص-بيانات-ماجستير'!$H$5:$H$230),$I201)&amp;"")</f>
        <v/>
      </c>
      <c r="E201" s="2" t="str">
        <f>IF($I201="","",INDEX(CHOOSE($J$3,'فحص-حاسب-بكالوريوس'!$J$5:$J$208,'فحص-بيانات-بكالوريوس'!$J$5:$J$208,'فحص-بيانات-ماجستير'!$J$5:$J$230),$I201)&amp;"")</f>
        <v/>
      </c>
      <c r="F201" s="2" t="str">
        <f>IF($I201="","",INDEX(CHOOSE($J$3,'فحص-حاسب-بكالوريوس'!$L$5:$L$208,'فحص-بيانات-بكالوريوس'!$L$5:$L$208,'فحص-بيانات-ماجستير'!$L$5:$L$230),$I201)&amp;"")</f>
        <v/>
      </c>
      <c r="G201" s="2" t="str">
        <f>IF($I201="","",INDEX(CHOOSE($J$3,'فحص-حاسب-بكالوريوس'!$M$5:$M$208,'فحص-بيانات-بكالوريوس'!$M$5:$M$208,'فحص-بيانات-ماجستير'!$M$5:$M$230),$I201)&amp;"")</f>
        <v/>
      </c>
      <c r="H201" s="2" t="str">
        <f>IF($I201="","",INDEX(CHOOSE($J$3,'فحص-حاسب-بكالوريوس'!$G$5:$G$208,'فحص-بيانات-بكالوريوس'!$G$5:$G$208,'فحص-بيانات-ماجستير'!$G$5:$G$230),$I201)&amp;"")</f>
        <v/>
      </c>
      <c r="I201" s="2" t="str">
        <f>IFERROR(MATCH($E$3&amp;"#"&amp;196,CHOOSE($J$3,'فحص-حاسب-بكالوريوس'!$R$5:$R$208,'فحص-بيانات-بكالوريوس'!$R$5:$R$208,'فحص-بيانات-ماجستير'!$R$5:$R$230),0),"")</f>
        <v/>
      </c>
    </row>
    <row r="202" spans="1:9" x14ac:dyDescent="0.2">
      <c r="A202" s="1" t="str">
        <f>IF($I202="","",197)</f>
        <v/>
      </c>
      <c r="B202" s="2" t="str">
        <f>IF($I202="","",INDEX(CHOOSE($J$3,'فحص-حاسب-بكالوريوس'!$A$5:$A$208,'فحص-بيانات-بكالوريوس'!$A$5:$A$208,'فحص-بيانات-ماجستير'!$A$5:$A$230),$I202)&amp;"")</f>
        <v/>
      </c>
      <c r="C202" s="2" t="str">
        <f>IF($I202="","",INDEX(CHOOSE($J$3,'فحص-حاسب-بكالوريوس'!$F$5:$F$208,'فحص-بيانات-بكالوريوس'!$F$5:$F$208,'فحص-بيانات-ماجستير'!$F$5:$F$230),$I202)&amp;"")</f>
        <v/>
      </c>
      <c r="D202" s="2" t="str">
        <f>IF($I202="","",INDEX(CHOOSE($J$3,'فحص-حاسب-بكالوريوس'!$H$5:$H$208,'فحص-بيانات-بكالوريوس'!$H$5:$H$208,'فحص-بيانات-ماجستير'!$H$5:$H$230),$I202)&amp;"")</f>
        <v/>
      </c>
      <c r="E202" s="2" t="str">
        <f>IF($I202="","",INDEX(CHOOSE($J$3,'فحص-حاسب-بكالوريوس'!$J$5:$J$208,'فحص-بيانات-بكالوريوس'!$J$5:$J$208,'فحص-بيانات-ماجستير'!$J$5:$J$230),$I202)&amp;"")</f>
        <v/>
      </c>
      <c r="F202" s="2" t="str">
        <f>IF($I202="","",INDEX(CHOOSE($J$3,'فحص-حاسب-بكالوريوس'!$L$5:$L$208,'فحص-بيانات-بكالوريوس'!$L$5:$L$208,'فحص-بيانات-ماجستير'!$L$5:$L$230),$I202)&amp;"")</f>
        <v/>
      </c>
      <c r="G202" s="2" t="str">
        <f>IF($I202="","",INDEX(CHOOSE($J$3,'فحص-حاسب-بكالوريوس'!$M$5:$M$208,'فحص-بيانات-بكالوريوس'!$M$5:$M$208,'فحص-بيانات-ماجستير'!$M$5:$M$230),$I202)&amp;"")</f>
        <v/>
      </c>
      <c r="H202" s="2" t="str">
        <f>IF($I202="","",INDEX(CHOOSE($J$3,'فحص-حاسب-بكالوريوس'!$G$5:$G$208,'فحص-بيانات-بكالوريوس'!$G$5:$G$208,'فحص-بيانات-ماجستير'!$G$5:$G$230),$I202)&amp;"")</f>
        <v/>
      </c>
      <c r="I202" s="2" t="str">
        <f>IFERROR(MATCH($E$3&amp;"#"&amp;197,CHOOSE($J$3,'فحص-حاسب-بكالوريوس'!$R$5:$R$208,'فحص-بيانات-بكالوريوس'!$R$5:$R$208,'فحص-بيانات-ماجستير'!$R$5:$R$230),0),"")</f>
        <v/>
      </c>
    </row>
    <row r="203" spans="1:9" x14ac:dyDescent="0.2">
      <c r="A203" s="1" t="str">
        <f>IF($I203="","",198)</f>
        <v/>
      </c>
      <c r="B203" s="2" t="str">
        <f>IF($I203="","",INDEX(CHOOSE($J$3,'فحص-حاسب-بكالوريوس'!$A$5:$A$208,'فحص-بيانات-بكالوريوس'!$A$5:$A$208,'فحص-بيانات-ماجستير'!$A$5:$A$230),$I203)&amp;"")</f>
        <v/>
      </c>
      <c r="C203" s="2" t="str">
        <f>IF($I203="","",INDEX(CHOOSE($J$3,'فحص-حاسب-بكالوريوس'!$F$5:$F$208,'فحص-بيانات-بكالوريوس'!$F$5:$F$208,'فحص-بيانات-ماجستير'!$F$5:$F$230),$I203)&amp;"")</f>
        <v/>
      </c>
      <c r="D203" s="2" t="str">
        <f>IF($I203="","",INDEX(CHOOSE($J$3,'فحص-حاسب-بكالوريوس'!$H$5:$H$208,'فحص-بيانات-بكالوريوس'!$H$5:$H$208,'فحص-بيانات-ماجستير'!$H$5:$H$230),$I203)&amp;"")</f>
        <v/>
      </c>
      <c r="E203" s="2" t="str">
        <f>IF($I203="","",INDEX(CHOOSE($J$3,'فحص-حاسب-بكالوريوس'!$J$5:$J$208,'فحص-بيانات-بكالوريوس'!$J$5:$J$208,'فحص-بيانات-ماجستير'!$J$5:$J$230),$I203)&amp;"")</f>
        <v/>
      </c>
      <c r="F203" s="2" t="str">
        <f>IF($I203="","",INDEX(CHOOSE($J$3,'فحص-حاسب-بكالوريوس'!$L$5:$L$208,'فحص-بيانات-بكالوريوس'!$L$5:$L$208,'فحص-بيانات-ماجستير'!$L$5:$L$230),$I203)&amp;"")</f>
        <v/>
      </c>
      <c r="G203" s="2" t="str">
        <f>IF($I203="","",INDEX(CHOOSE($J$3,'فحص-حاسب-بكالوريوس'!$M$5:$M$208,'فحص-بيانات-بكالوريوس'!$M$5:$M$208,'فحص-بيانات-ماجستير'!$M$5:$M$230),$I203)&amp;"")</f>
        <v/>
      </c>
      <c r="H203" s="2" t="str">
        <f>IF($I203="","",INDEX(CHOOSE($J$3,'فحص-حاسب-بكالوريوس'!$G$5:$G$208,'فحص-بيانات-بكالوريوس'!$G$5:$G$208,'فحص-بيانات-ماجستير'!$G$5:$G$230),$I203)&amp;"")</f>
        <v/>
      </c>
      <c r="I203" s="2" t="str">
        <f>IFERROR(MATCH($E$3&amp;"#"&amp;198,CHOOSE($J$3,'فحص-حاسب-بكالوريوس'!$R$5:$R$208,'فحص-بيانات-بكالوريوس'!$R$5:$R$208,'فحص-بيانات-ماجستير'!$R$5:$R$230),0),"")</f>
        <v/>
      </c>
    </row>
    <row r="204" spans="1:9" x14ac:dyDescent="0.2">
      <c r="A204" s="1" t="str">
        <f>IF($I204="","",199)</f>
        <v/>
      </c>
      <c r="B204" s="2" t="str">
        <f>IF($I204="","",INDEX(CHOOSE($J$3,'فحص-حاسب-بكالوريوس'!$A$5:$A$208,'فحص-بيانات-بكالوريوس'!$A$5:$A$208,'فحص-بيانات-ماجستير'!$A$5:$A$230),$I204)&amp;"")</f>
        <v/>
      </c>
      <c r="C204" s="2" t="str">
        <f>IF($I204="","",INDEX(CHOOSE($J$3,'فحص-حاسب-بكالوريوس'!$F$5:$F$208,'فحص-بيانات-بكالوريوس'!$F$5:$F$208,'فحص-بيانات-ماجستير'!$F$5:$F$230),$I204)&amp;"")</f>
        <v/>
      </c>
      <c r="D204" s="2" t="str">
        <f>IF($I204="","",INDEX(CHOOSE($J$3,'فحص-حاسب-بكالوريوس'!$H$5:$H$208,'فحص-بيانات-بكالوريوس'!$H$5:$H$208,'فحص-بيانات-ماجستير'!$H$5:$H$230),$I204)&amp;"")</f>
        <v/>
      </c>
      <c r="E204" s="2" t="str">
        <f>IF($I204="","",INDEX(CHOOSE($J$3,'فحص-حاسب-بكالوريوس'!$J$5:$J$208,'فحص-بيانات-بكالوريوس'!$J$5:$J$208,'فحص-بيانات-ماجستير'!$J$5:$J$230),$I204)&amp;"")</f>
        <v/>
      </c>
      <c r="F204" s="2" t="str">
        <f>IF($I204="","",INDEX(CHOOSE($J$3,'فحص-حاسب-بكالوريوس'!$L$5:$L$208,'فحص-بيانات-بكالوريوس'!$L$5:$L$208,'فحص-بيانات-ماجستير'!$L$5:$L$230),$I204)&amp;"")</f>
        <v/>
      </c>
      <c r="G204" s="2" t="str">
        <f>IF($I204="","",INDEX(CHOOSE($J$3,'فحص-حاسب-بكالوريوس'!$M$5:$M$208,'فحص-بيانات-بكالوريوس'!$M$5:$M$208,'فحص-بيانات-ماجستير'!$M$5:$M$230),$I204)&amp;"")</f>
        <v/>
      </c>
      <c r="H204" s="2" t="str">
        <f>IF($I204="","",INDEX(CHOOSE($J$3,'فحص-حاسب-بكالوريوس'!$G$5:$G$208,'فحص-بيانات-بكالوريوس'!$G$5:$G$208,'فحص-بيانات-ماجستير'!$G$5:$G$230),$I204)&amp;"")</f>
        <v/>
      </c>
      <c r="I204" s="2" t="str">
        <f>IFERROR(MATCH($E$3&amp;"#"&amp;199,CHOOSE($J$3,'فحص-حاسب-بكالوريوس'!$R$5:$R$208,'فحص-بيانات-بكالوريوس'!$R$5:$R$208,'فحص-بيانات-ماجستير'!$R$5:$R$230),0),"")</f>
        <v/>
      </c>
    </row>
    <row r="205" spans="1:9" x14ac:dyDescent="0.2">
      <c r="A205" s="1" t="str">
        <f>IF($I205="","",200)</f>
        <v/>
      </c>
      <c r="B205" s="2" t="str">
        <f>IF($I205="","",INDEX(CHOOSE($J$3,'فحص-حاسب-بكالوريوس'!$A$5:$A$208,'فحص-بيانات-بكالوريوس'!$A$5:$A$208,'فحص-بيانات-ماجستير'!$A$5:$A$230),$I205)&amp;"")</f>
        <v/>
      </c>
      <c r="C205" s="2" t="str">
        <f>IF($I205="","",INDEX(CHOOSE($J$3,'فحص-حاسب-بكالوريوس'!$F$5:$F$208,'فحص-بيانات-بكالوريوس'!$F$5:$F$208,'فحص-بيانات-ماجستير'!$F$5:$F$230),$I205)&amp;"")</f>
        <v/>
      </c>
      <c r="D205" s="2" t="str">
        <f>IF($I205="","",INDEX(CHOOSE($J$3,'فحص-حاسب-بكالوريوس'!$H$5:$H$208,'فحص-بيانات-بكالوريوس'!$H$5:$H$208,'فحص-بيانات-ماجستير'!$H$5:$H$230),$I205)&amp;"")</f>
        <v/>
      </c>
      <c r="E205" s="2" t="str">
        <f>IF($I205="","",INDEX(CHOOSE($J$3,'فحص-حاسب-بكالوريوس'!$J$5:$J$208,'فحص-بيانات-بكالوريوس'!$J$5:$J$208,'فحص-بيانات-ماجستير'!$J$5:$J$230),$I205)&amp;"")</f>
        <v/>
      </c>
      <c r="F205" s="2" t="str">
        <f>IF($I205="","",INDEX(CHOOSE($J$3,'فحص-حاسب-بكالوريوس'!$L$5:$L$208,'فحص-بيانات-بكالوريوس'!$L$5:$L$208,'فحص-بيانات-ماجستير'!$L$5:$L$230),$I205)&amp;"")</f>
        <v/>
      </c>
      <c r="G205" s="2" t="str">
        <f>IF($I205="","",INDEX(CHOOSE($J$3,'فحص-حاسب-بكالوريوس'!$M$5:$M$208,'فحص-بيانات-بكالوريوس'!$M$5:$M$208,'فحص-بيانات-ماجستير'!$M$5:$M$230),$I205)&amp;"")</f>
        <v/>
      </c>
      <c r="H205" s="2" t="str">
        <f>IF($I205="","",INDEX(CHOOSE($J$3,'فحص-حاسب-بكالوريوس'!$G$5:$G$208,'فحص-بيانات-بكالوريوس'!$G$5:$G$208,'فحص-بيانات-ماجستير'!$G$5:$G$230),$I205)&amp;"")</f>
        <v/>
      </c>
      <c r="I205" s="2" t="str">
        <f>IFERROR(MATCH($E$3&amp;"#"&amp;200,CHOOSE($J$3,'فحص-حاسب-بكالوريوس'!$R$5:$R$208,'فحص-بيانات-بكالوريوس'!$R$5:$R$208,'فحص-بيانات-ماجستير'!$R$5:$R$230),0),"")</f>
        <v/>
      </c>
    </row>
    <row r="206" spans="1:9" x14ac:dyDescent="0.2">
      <c r="A206" s="1" t="str">
        <f>IF($I206="","",201)</f>
        <v/>
      </c>
      <c r="B206" s="2" t="str">
        <f>IF($I206="","",INDEX(CHOOSE($J$3,'فحص-حاسب-بكالوريوس'!$A$5:$A$208,'فحص-بيانات-بكالوريوس'!$A$5:$A$208,'فحص-بيانات-ماجستير'!$A$5:$A$230),$I206)&amp;"")</f>
        <v/>
      </c>
      <c r="C206" s="2" t="str">
        <f>IF($I206="","",INDEX(CHOOSE($J$3,'فحص-حاسب-بكالوريوس'!$F$5:$F$208,'فحص-بيانات-بكالوريوس'!$F$5:$F$208,'فحص-بيانات-ماجستير'!$F$5:$F$230),$I206)&amp;"")</f>
        <v/>
      </c>
      <c r="D206" s="2" t="str">
        <f>IF($I206="","",INDEX(CHOOSE($J$3,'فحص-حاسب-بكالوريوس'!$H$5:$H$208,'فحص-بيانات-بكالوريوس'!$H$5:$H$208,'فحص-بيانات-ماجستير'!$H$5:$H$230),$I206)&amp;"")</f>
        <v/>
      </c>
      <c r="E206" s="2" t="str">
        <f>IF($I206="","",INDEX(CHOOSE($J$3,'فحص-حاسب-بكالوريوس'!$J$5:$J$208,'فحص-بيانات-بكالوريوس'!$J$5:$J$208,'فحص-بيانات-ماجستير'!$J$5:$J$230),$I206)&amp;"")</f>
        <v/>
      </c>
      <c r="F206" s="2" t="str">
        <f>IF($I206="","",INDEX(CHOOSE($J$3,'فحص-حاسب-بكالوريوس'!$L$5:$L$208,'فحص-بيانات-بكالوريوس'!$L$5:$L$208,'فحص-بيانات-ماجستير'!$L$5:$L$230),$I206)&amp;"")</f>
        <v/>
      </c>
      <c r="G206" s="2" t="str">
        <f>IF($I206="","",INDEX(CHOOSE($J$3,'فحص-حاسب-بكالوريوس'!$M$5:$M$208,'فحص-بيانات-بكالوريوس'!$M$5:$M$208,'فحص-بيانات-ماجستير'!$M$5:$M$230),$I206)&amp;"")</f>
        <v/>
      </c>
      <c r="H206" s="2" t="str">
        <f>IF($I206="","",INDEX(CHOOSE($J$3,'فحص-حاسب-بكالوريوس'!$G$5:$G$208,'فحص-بيانات-بكالوريوس'!$G$5:$G$208,'فحص-بيانات-ماجستير'!$G$5:$G$230),$I206)&amp;"")</f>
        <v/>
      </c>
      <c r="I206" s="2" t="str">
        <f>IFERROR(MATCH($E$3&amp;"#"&amp;201,CHOOSE($J$3,'فحص-حاسب-بكالوريوس'!$R$5:$R$208,'فحص-بيانات-بكالوريوس'!$R$5:$R$208,'فحص-بيانات-ماجستير'!$R$5:$R$230),0),"")</f>
        <v/>
      </c>
    </row>
    <row r="207" spans="1:9" x14ac:dyDescent="0.2">
      <c r="A207" s="1" t="str">
        <f>IF($I207="","",202)</f>
        <v/>
      </c>
      <c r="B207" s="2" t="str">
        <f>IF($I207="","",INDEX(CHOOSE($J$3,'فحص-حاسب-بكالوريوس'!$A$5:$A$208,'فحص-بيانات-بكالوريوس'!$A$5:$A$208,'فحص-بيانات-ماجستير'!$A$5:$A$230),$I207)&amp;"")</f>
        <v/>
      </c>
      <c r="C207" s="2" t="str">
        <f>IF($I207="","",INDEX(CHOOSE($J$3,'فحص-حاسب-بكالوريوس'!$F$5:$F$208,'فحص-بيانات-بكالوريوس'!$F$5:$F$208,'فحص-بيانات-ماجستير'!$F$5:$F$230),$I207)&amp;"")</f>
        <v/>
      </c>
      <c r="D207" s="2" t="str">
        <f>IF($I207="","",INDEX(CHOOSE($J$3,'فحص-حاسب-بكالوريوس'!$H$5:$H$208,'فحص-بيانات-بكالوريوس'!$H$5:$H$208,'فحص-بيانات-ماجستير'!$H$5:$H$230),$I207)&amp;"")</f>
        <v/>
      </c>
      <c r="E207" s="2" t="str">
        <f>IF($I207="","",INDEX(CHOOSE($J$3,'فحص-حاسب-بكالوريوس'!$J$5:$J$208,'فحص-بيانات-بكالوريوس'!$J$5:$J$208,'فحص-بيانات-ماجستير'!$J$5:$J$230),$I207)&amp;"")</f>
        <v/>
      </c>
      <c r="F207" s="2" t="str">
        <f>IF($I207="","",INDEX(CHOOSE($J$3,'فحص-حاسب-بكالوريوس'!$L$5:$L$208,'فحص-بيانات-بكالوريوس'!$L$5:$L$208,'فحص-بيانات-ماجستير'!$L$5:$L$230),$I207)&amp;"")</f>
        <v/>
      </c>
      <c r="G207" s="2" t="str">
        <f>IF($I207="","",INDEX(CHOOSE($J$3,'فحص-حاسب-بكالوريوس'!$M$5:$M$208,'فحص-بيانات-بكالوريوس'!$M$5:$M$208,'فحص-بيانات-ماجستير'!$M$5:$M$230),$I207)&amp;"")</f>
        <v/>
      </c>
      <c r="H207" s="2" t="str">
        <f>IF($I207="","",INDEX(CHOOSE($J$3,'فحص-حاسب-بكالوريوس'!$G$5:$G$208,'فحص-بيانات-بكالوريوس'!$G$5:$G$208,'فحص-بيانات-ماجستير'!$G$5:$G$230),$I207)&amp;"")</f>
        <v/>
      </c>
      <c r="I207" s="2" t="str">
        <f>IFERROR(MATCH($E$3&amp;"#"&amp;202,CHOOSE($J$3,'فحص-حاسب-بكالوريوس'!$R$5:$R$208,'فحص-بيانات-بكالوريوس'!$R$5:$R$208,'فحص-بيانات-ماجستير'!$R$5:$R$230),0),"")</f>
        <v/>
      </c>
    </row>
    <row r="208" spans="1:9" x14ac:dyDescent="0.2">
      <c r="A208" s="1" t="str">
        <f>IF($I208="","",203)</f>
        <v/>
      </c>
      <c r="B208" s="2" t="str">
        <f>IF($I208="","",INDEX(CHOOSE($J$3,'فحص-حاسب-بكالوريوس'!$A$5:$A$208,'فحص-بيانات-بكالوريوس'!$A$5:$A$208,'فحص-بيانات-ماجستير'!$A$5:$A$230),$I208)&amp;"")</f>
        <v/>
      </c>
      <c r="C208" s="2" t="str">
        <f>IF($I208="","",INDEX(CHOOSE($J$3,'فحص-حاسب-بكالوريوس'!$F$5:$F$208,'فحص-بيانات-بكالوريوس'!$F$5:$F$208,'فحص-بيانات-ماجستير'!$F$5:$F$230),$I208)&amp;"")</f>
        <v/>
      </c>
      <c r="D208" s="2" t="str">
        <f>IF($I208="","",INDEX(CHOOSE($J$3,'فحص-حاسب-بكالوريوس'!$H$5:$H$208,'فحص-بيانات-بكالوريوس'!$H$5:$H$208,'فحص-بيانات-ماجستير'!$H$5:$H$230),$I208)&amp;"")</f>
        <v/>
      </c>
      <c r="E208" s="2" t="str">
        <f>IF($I208="","",INDEX(CHOOSE($J$3,'فحص-حاسب-بكالوريوس'!$J$5:$J$208,'فحص-بيانات-بكالوريوس'!$J$5:$J$208,'فحص-بيانات-ماجستير'!$J$5:$J$230),$I208)&amp;"")</f>
        <v/>
      </c>
      <c r="F208" s="2" t="str">
        <f>IF($I208="","",INDEX(CHOOSE($J$3,'فحص-حاسب-بكالوريوس'!$L$5:$L$208,'فحص-بيانات-بكالوريوس'!$L$5:$L$208,'فحص-بيانات-ماجستير'!$L$5:$L$230),$I208)&amp;"")</f>
        <v/>
      </c>
      <c r="G208" s="2" t="str">
        <f>IF($I208="","",INDEX(CHOOSE($J$3,'فحص-حاسب-بكالوريوس'!$M$5:$M$208,'فحص-بيانات-بكالوريوس'!$M$5:$M$208,'فحص-بيانات-ماجستير'!$M$5:$M$230),$I208)&amp;"")</f>
        <v/>
      </c>
      <c r="H208" s="2" t="str">
        <f>IF($I208="","",INDEX(CHOOSE($J$3,'فحص-حاسب-بكالوريوس'!$G$5:$G$208,'فحص-بيانات-بكالوريوس'!$G$5:$G$208,'فحص-بيانات-ماجستير'!$G$5:$G$230),$I208)&amp;"")</f>
        <v/>
      </c>
      <c r="I208" s="2" t="str">
        <f>IFERROR(MATCH($E$3&amp;"#"&amp;203,CHOOSE($J$3,'فحص-حاسب-بكالوريوس'!$R$5:$R$208,'فحص-بيانات-بكالوريوس'!$R$5:$R$208,'فحص-بيانات-ماجستير'!$R$5:$R$230),0),"")</f>
        <v/>
      </c>
    </row>
    <row r="209" spans="1:9" x14ac:dyDescent="0.2">
      <c r="A209" s="1" t="str">
        <f>IF($I209="","",204)</f>
        <v/>
      </c>
      <c r="B209" s="2" t="str">
        <f>IF($I209="","",INDEX(CHOOSE($J$3,'فحص-حاسب-بكالوريوس'!$A$5:$A$208,'فحص-بيانات-بكالوريوس'!$A$5:$A$208,'فحص-بيانات-ماجستير'!$A$5:$A$230),$I209)&amp;"")</f>
        <v/>
      </c>
      <c r="C209" s="2" t="str">
        <f>IF($I209="","",INDEX(CHOOSE($J$3,'فحص-حاسب-بكالوريوس'!$F$5:$F$208,'فحص-بيانات-بكالوريوس'!$F$5:$F$208,'فحص-بيانات-ماجستير'!$F$5:$F$230),$I209)&amp;"")</f>
        <v/>
      </c>
      <c r="D209" s="2" t="str">
        <f>IF($I209="","",INDEX(CHOOSE($J$3,'فحص-حاسب-بكالوريوس'!$H$5:$H$208,'فحص-بيانات-بكالوريوس'!$H$5:$H$208,'فحص-بيانات-ماجستير'!$H$5:$H$230),$I209)&amp;"")</f>
        <v/>
      </c>
      <c r="E209" s="2" t="str">
        <f>IF($I209="","",INDEX(CHOOSE($J$3,'فحص-حاسب-بكالوريوس'!$J$5:$J$208,'فحص-بيانات-بكالوريوس'!$J$5:$J$208,'فحص-بيانات-ماجستير'!$J$5:$J$230),$I209)&amp;"")</f>
        <v/>
      </c>
      <c r="F209" s="2" t="str">
        <f>IF($I209="","",INDEX(CHOOSE($J$3,'فحص-حاسب-بكالوريوس'!$L$5:$L$208,'فحص-بيانات-بكالوريوس'!$L$5:$L$208,'فحص-بيانات-ماجستير'!$L$5:$L$230),$I209)&amp;"")</f>
        <v/>
      </c>
      <c r="G209" s="2" t="str">
        <f>IF($I209="","",INDEX(CHOOSE($J$3,'فحص-حاسب-بكالوريوس'!$M$5:$M$208,'فحص-بيانات-بكالوريوس'!$M$5:$M$208,'فحص-بيانات-ماجستير'!$M$5:$M$230),$I209)&amp;"")</f>
        <v/>
      </c>
      <c r="H209" s="2" t="str">
        <f>IF($I209="","",INDEX(CHOOSE($J$3,'فحص-حاسب-بكالوريوس'!$G$5:$G$208,'فحص-بيانات-بكالوريوس'!$G$5:$G$208,'فحص-بيانات-ماجستير'!$G$5:$G$230),$I209)&amp;"")</f>
        <v/>
      </c>
      <c r="I209" s="2" t="str">
        <f>IFERROR(MATCH($E$3&amp;"#"&amp;204,CHOOSE($J$3,'فحص-حاسب-بكالوريوس'!$R$5:$R$208,'فحص-بيانات-بكالوريوس'!$R$5:$R$208,'فحص-بيانات-ماجستير'!$R$5:$R$230),0),"")</f>
        <v/>
      </c>
    </row>
    <row r="210" spans="1:9" x14ac:dyDescent="0.2">
      <c r="A210" s="1" t="str">
        <f>IF($I210="","",205)</f>
        <v/>
      </c>
      <c r="B210" s="2" t="str">
        <f>IF($I210="","",INDEX(CHOOSE($J$3,'فحص-حاسب-بكالوريوس'!$A$5:$A$208,'فحص-بيانات-بكالوريوس'!$A$5:$A$208,'فحص-بيانات-ماجستير'!$A$5:$A$230),$I210)&amp;"")</f>
        <v/>
      </c>
      <c r="C210" s="2" t="str">
        <f>IF($I210="","",INDEX(CHOOSE($J$3,'فحص-حاسب-بكالوريوس'!$F$5:$F$208,'فحص-بيانات-بكالوريوس'!$F$5:$F$208,'فحص-بيانات-ماجستير'!$F$5:$F$230),$I210)&amp;"")</f>
        <v/>
      </c>
      <c r="D210" s="2" t="str">
        <f>IF($I210="","",INDEX(CHOOSE($J$3,'فحص-حاسب-بكالوريوس'!$H$5:$H$208,'فحص-بيانات-بكالوريوس'!$H$5:$H$208,'فحص-بيانات-ماجستير'!$H$5:$H$230),$I210)&amp;"")</f>
        <v/>
      </c>
      <c r="E210" s="2" t="str">
        <f>IF($I210="","",INDEX(CHOOSE($J$3,'فحص-حاسب-بكالوريوس'!$J$5:$J$208,'فحص-بيانات-بكالوريوس'!$J$5:$J$208,'فحص-بيانات-ماجستير'!$J$5:$J$230),$I210)&amp;"")</f>
        <v/>
      </c>
      <c r="F210" s="2" t="str">
        <f>IF($I210="","",INDEX(CHOOSE($J$3,'فحص-حاسب-بكالوريوس'!$L$5:$L$208,'فحص-بيانات-بكالوريوس'!$L$5:$L$208,'فحص-بيانات-ماجستير'!$L$5:$L$230),$I210)&amp;"")</f>
        <v/>
      </c>
      <c r="G210" s="2" t="str">
        <f>IF($I210="","",INDEX(CHOOSE($J$3,'فحص-حاسب-بكالوريوس'!$M$5:$M$208,'فحص-بيانات-بكالوريوس'!$M$5:$M$208,'فحص-بيانات-ماجستير'!$M$5:$M$230),$I210)&amp;"")</f>
        <v/>
      </c>
      <c r="H210" s="2" t="str">
        <f>IF($I210="","",INDEX(CHOOSE($J$3,'فحص-حاسب-بكالوريوس'!$G$5:$G$208,'فحص-بيانات-بكالوريوس'!$G$5:$G$208,'فحص-بيانات-ماجستير'!$G$5:$G$230),$I210)&amp;"")</f>
        <v/>
      </c>
      <c r="I210" s="2" t="str">
        <f>IFERROR(MATCH($E$3&amp;"#"&amp;205,CHOOSE($J$3,'فحص-حاسب-بكالوريوس'!$R$5:$R$208,'فحص-بيانات-بكالوريوس'!$R$5:$R$208,'فحص-بيانات-ماجستير'!$R$5:$R$230),0),"")</f>
        <v/>
      </c>
    </row>
    <row r="211" spans="1:9" x14ac:dyDescent="0.2">
      <c r="A211" s="1" t="str">
        <f>IF($I211="","",206)</f>
        <v/>
      </c>
      <c r="B211" s="2" t="str">
        <f>IF($I211="","",INDEX(CHOOSE($J$3,'فحص-حاسب-بكالوريوس'!$A$5:$A$208,'فحص-بيانات-بكالوريوس'!$A$5:$A$208,'فحص-بيانات-ماجستير'!$A$5:$A$230),$I211)&amp;"")</f>
        <v/>
      </c>
      <c r="C211" s="2" t="str">
        <f>IF($I211="","",INDEX(CHOOSE($J$3,'فحص-حاسب-بكالوريوس'!$F$5:$F$208,'فحص-بيانات-بكالوريوس'!$F$5:$F$208,'فحص-بيانات-ماجستير'!$F$5:$F$230),$I211)&amp;"")</f>
        <v/>
      </c>
      <c r="D211" s="2" t="str">
        <f>IF($I211="","",INDEX(CHOOSE($J$3,'فحص-حاسب-بكالوريوس'!$H$5:$H$208,'فحص-بيانات-بكالوريوس'!$H$5:$H$208,'فحص-بيانات-ماجستير'!$H$5:$H$230),$I211)&amp;"")</f>
        <v/>
      </c>
      <c r="E211" s="2" t="str">
        <f>IF($I211="","",INDEX(CHOOSE($J$3,'فحص-حاسب-بكالوريوس'!$J$5:$J$208,'فحص-بيانات-بكالوريوس'!$J$5:$J$208,'فحص-بيانات-ماجستير'!$J$5:$J$230),$I211)&amp;"")</f>
        <v/>
      </c>
      <c r="F211" s="2" t="str">
        <f>IF($I211="","",INDEX(CHOOSE($J$3,'فحص-حاسب-بكالوريوس'!$L$5:$L$208,'فحص-بيانات-بكالوريوس'!$L$5:$L$208,'فحص-بيانات-ماجستير'!$L$5:$L$230),$I211)&amp;"")</f>
        <v/>
      </c>
      <c r="G211" s="2" t="str">
        <f>IF($I211="","",INDEX(CHOOSE($J$3,'فحص-حاسب-بكالوريوس'!$M$5:$M$208,'فحص-بيانات-بكالوريوس'!$M$5:$M$208,'فحص-بيانات-ماجستير'!$M$5:$M$230),$I211)&amp;"")</f>
        <v/>
      </c>
      <c r="H211" s="2" t="str">
        <f>IF($I211="","",INDEX(CHOOSE($J$3,'فحص-حاسب-بكالوريوس'!$G$5:$G$208,'فحص-بيانات-بكالوريوس'!$G$5:$G$208,'فحص-بيانات-ماجستير'!$G$5:$G$230),$I211)&amp;"")</f>
        <v/>
      </c>
      <c r="I211" s="2" t="str">
        <f>IFERROR(MATCH($E$3&amp;"#"&amp;206,CHOOSE($J$3,'فحص-حاسب-بكالوريوس'!$R$5:$R$208,'فحص-بيانات-بكالوريوس'!$R$5:$R$208,'فحص-بيانات-ماجستير'!$R$5:$R$230),0),"")</f>
        <v/>
      </c>
    </row>
    <row r="212" spans="1:9" x14ac:dyDescent="0.2">
      <c r="A212" s="1" t="str">
        <f>IF($I212="","",207)</f>
        <v/>
      </c>
      <c r="B212" s="2" t="str">
        <f>IF($I212="","",INDEX(CHOOSE($J$3,'فحص-حاسب-بكالوريوس'!$A$5:$A$208,'فحص-بيانات-بكالوريوس'!$A$5:$A$208,'فحص-بيانات-ماجستير'!$A$5:$A$230),$I212)&amp;"")</f>
        <v/>
      </c>
      <c r="C212" s="2" t="str">
        <f>IF($I212="","",INDEX(CHOOSE($J$3,'فحص-حاسب-بكالوريوس'!$F$5:$F$208,'فحص-بيانات-بكالوريوس'!$F$5:$F$208,'فحص-بيانات-ماجستير'!$F$5:$F$230),$I212)&amp;"")</f>
        <v/>
      </c>
      <c r="D212" s="2" t="str">
        <f>IF($I212="","",INDEX(CHOOSE($J$3,'فحص-حاسب-بكالوريوس'!$H$5:$H$208,'فحص-بيانات-بكالوريوس'!$H$5:$H$208,'فحص-بيانات-ماجستير'!$H$5:$H$230),$I212)&amp;"")</f>
        <v/>
      </c>
      <c r="E212" s="2" t="str">
        <f>IF($I212="","",INDEX(CHOOSE($J$3,'فحص-حاسب-بكالوريوس'!$J$5:$J$208,'فحص-بيانات-بكالوريوس'!$J$5:$J$208,'فحص-بيانات-ماجستير'!$J$5:$J$230),$I212)&amp;"")</f>
        <v/>
      </c>
      <c r="F212" s="2" t="str">
        <f>IF($I212="","",INDEX(CHOOSE($J$3,'فحص-حاسب-بكالوريوس'!$L$5:$L$208,'فحص-بيانات-بكالوريوس'!$L$5:$L$208,'فحص-بيانات-ماجستير'!$L$5:$L$230),$I212)&amp;"")</f>
        <v/>
      </c>
      <c r="G212" s="2" t="str">
        <f>IF($I212="","",INDEX(CHOOSE($J$3,'فحص-حاسب-بكالوريوس'!$M$5:$M$208,'فحص-بيانات-بكالوريوس'!$M$5:$M$208,'فحص-بيانات-ماجستير'!$M$5:$M$230),$I212)&amp;"")</f>
        <v/>
      </c>
      <c r="H212" s="2" t="str">
        <f>IF($I212="","",INDEX(CHOOSE($J$3,'فحص-حاسب-بكالوريوس'!$G$5:$G$208,'فحص-بيانات-بكالوريوس'!$G$5:$G$208,'فحص-بيانات-ماجستير'!$G$5:$G$230),$I212)&amp;"")</f>
        <v/>
      </c>
      <c r="I212" s="2" t="str">
        <f>IFERROR(MATCH($E$3&amp;"#"&amp;207,CHOOSE($J$3,'فحص-حاسب-بكالوريوس'!$R$5:$R$208,'فحص-بيانات-بكالوريوس'!$R$5:$R$208,'فحص-بيانات-ماجستير'!$R$5:$R$230),0),"")</f>
        <v/>
      </c>
    </row>
    <row r="213" spans="1:9" x14ac:dyDescent="0.2">
      <c r="A213" s="1" t="str">
        <f>IF($I213="","",208)</f>
        <v/>
      </c>
      <c r="B213" s="2" t="str">
        <f>IF($I213="","",INDEX(CHOOSE($J$3,'فحص-حاسب-بكالوريوس'!$A$5:$A$208,'فحص-بيانات-بكالوريوس'!$A$5:$A$208,'فحص-بيانات-ماجستير'!$A$5:$A$230),$I213)&amp;"")</f>
        <v/>
      </c>
      <c r="C213" s="2" t="str">
        <f>IF($I213="","",INDEX(CHOOSE($J$3,'فحص-حاسب-بكالوريوس'!$F$5:$F$208,'فحص-بيانات-بكالوريوس'!$F$5:$F$208,'فحص-بيانات-ماجستير'!$F$5:$F$230),$I213)&amp;"")</f>
        <v/>
      </c>
      <c r="D213" s="2" t="str">
        <f>IF($I213="","",INDEX(CHOOSE($J$3,'فحص-حاسب-بكالوريوس'!$H$5:$H$208,'فحص-بيانات-بكالوريوس'!$H$5:$H$208,'فحص-بيانات-ماجستير'!$H$5:$H$230),$I213)&amp;"")</f>
        <v/>
      </c>
      <c r="E213" s="2" t="str">
        <f>IF($I213="","",INDEX(CHOOSE($J$3,'فحص-حاسب-بكالوريوس'!$J$5:$J$208,'فحص-بيانات-بكالوريوس'!$J$5:$J$208,'فحص-بيانات-ماجستير'!$J$5:$J$230),$I213)&amp;"")</f>
        <v/>
      </c>
      <c r="F213" s="2" t="str">
        <f>IF($I213="","",INDEX(CHOOSE($J$3,'فحص-حاسب-بكالوريوس'!$L$5:$L$208,'فحص-بيانات-بكالوريوس'!$L$5:$L$208,'فحص-بيانات-ماجستير'!$L$5:$L$230),$I213)&amp;"")</f>
        <v/>
      </c>
      <c r="G213" s="2" t="str">
        <f>IF($I213="","",INDEX(CHOOSE($J$3,'فحص-حاسب-بكالوريوس'!$M$5:$M$208,'فحص-بيانات-بكالوريوس'!$M$5:$M$208,'فحص-بيانات-ماجستير'!$M$5:$M$230),$I213)&amp;"")</f>
        <v/>
      </c>
      <c r="H213" s="2" t="str">
        <f>IF($I213="","",INDEX(CHOOSE($J$3,'فحص-حاسب-بكالوريوس'!$G$5:$G$208,'فحص-بيانات-بكالوريوس'!$G$5:$G$208,'فحص-بيانات-ماجستير'!$G$5:$G$230),$I213)&amp;"")</f>
        <v/>
      </c>
      <c r="I213" s="2" t="str">
        <f>IFERROR(MATCH($E$3&amp;"#"&amp;208,CHOOSE($J$3,'فحص-حاسب-بكالوريوس'!$R$5:$R$208,'فحص-بيانات-بكالوريوس'!$R$5:$R$208,'فحص-بيانات-ماجستير'!$R$5:$R$230),0),"")</f>
        <v/>
      </c>
    </row>
    <row r="214" spans="1:9" x14ac:dyDescent="0.2">
      <c r="A214" s="1" t="str">
        <f>IF($I214="","",209)</f>
        <v/>
      </c>
      <c r="B214" s="2" t="str">
        <f>IF($I214="","",INDEX(CHOOSE($J$3,'فحص-حاسب-بكالوريوس'!$A$5:$A$208,'فحص-بيانات-بكالوريوس'!$A$5:$A$208,'فحص-بيانات-ماجستير'!$A$5:$A$230),$I214)&amp;"")</f>
        <v/>
      </c>
      <c r="C214" s="2" t="str">
        <f>IF($I214="","",INDEX(CHOOSE($J$3,'فحص-حاسب-بكالوريوس'!$F$5:$F$208,'فحص-بيانات-بكالوريوس'!$F$5:$F$208,'فحص-بيانات-ماجستير'!$F$5:$F$230),$I214)&amp;"")</f>
        <v/>
      </c>
      <c r="D214" s="2" t="str">
        <f>IF($I214="","",INDEX(CHOOSE($J$3,'فحص-حاسب-بكالوريوس'!$H$5:$H$208,'فحص-بيانات-بكالوريوس'!$H$5:$H$208,'فحص-بيانات-ماجستير'!$H$5:$H$230),$I214)&amp;"")</f>
        <v/>
      </c>
      <c r="E214" s="2" t="str">
        <f>IF($I214="","",INDEX(CHOOSE($J$3,'فحص-حاسب-بكالوريوس'!$J$5:$J$208,'فحص-بيانات-بكالوريوس'!$J$5:$J$208,'فحص-بيانات-ماجستير'!$J$5:$J$230),$I214)&amp;"")</f>
        <v/>
      </c>
      <c r="F214" s="2" t="str">
        <f>IF($I214="","",INDEX(CHOOSE($J$3,'فحص-حاسب-بكالوريوس'!$L$5:$L$208,'فحص-بيانات-بكالوريوس'!$L$5:$L$208,'فحص-بيانات-ماجستير'!$L$5:$L$230),$I214)&amp;"")</f>
        <v/>
      </c>
      <c r="G214" s="2" t="str">
        <f>IF($I214="","",INDEX(CHOOSE($J$3,'فحص-حاسب-بكالوريوس'!$M$5:$M$208,'فحص-بيانات-بكالوريوس'!$M$5:$M$208,'فحص-بيانات-ماجستير'!$M$5:$M$230),$I214)&amp;"")</f>
        <v/>
      </c>
      <c r="H214" s="2" t="str">
        <f>IF($I214="","",INDEX(CHOOSE($J$3,'فحص-حاسب-بكالوريوس'!$G$5:$G$208,'فحص-بيانات-بكالوريوس'!$G$5:$G$208,'فحص-بيانات-ماجستير'!$G$5:$G$230),$I214)&amp;"")</f>
        <v/>
      </c>
      <c r="I214" s="2" t="str">
        <f>IFERROR(MATCH($E$3&amp;"#"&amp;209,CHOOSE($J$3,'فحص-حاسب-بكالوريوس'!$R$5:$R$208,'فحص-بيانات-بكالوريوس'!$R$5:$R$208,'فحص-بيانات-ماجستير'!$R$5:$R$230),0),"")</f>
        <v/>
      </c>
    </row>
    <row r="215" spans="1:9" x14ac:dyDescent="0.2">
      <c r="A215" s="1" t="str">
        <f>IF($I215="","",210)</f>
        <v/>
      </c>
      <c r="B215" s="2" t="str">
        <f>IF($I215="","",INDEX(CHOOSE($J$3,'فحص-حاسب-بكالوريوس'!$A$5:$A$208,'فحص-بيانات-بكالوريوس'!$A$5:$A$208,'فحص-بيانات-ماجستير'!$A$5:$A$230),$I215)&amp;"")</f>
        <v/>
      </c>
      <c r="C215" s="2" t="str">
        <f>IF($I215="","",INDEX(CHOOSE($J$3,'فحص-حاسب-بكالوريوس'!$F$5:$F$208,'فحص-بيانات-بكالوريوس'!$F$5:$F$208,'فحص-بيانات-ماجستير'!$F$5:$F$230),$I215)&amp;"")</f>
        <v/>
      </c>
      <c r="D215" s="2" t="str">
        <f>IF($I215="","",INDEX(CHOOSE($J$3,'فحص-حاسب-بكالوريوس'!$H$5:$H$208,'فحص-بيانات-بكالوريوس'!$H$5:$H$208,'فحص-بيانات-ماجستير'!$H$5:$H$230),$I215)&amp;"")</f>
        <v/>
      </c>
      <c r="E215" s="2" t="str">
        <f>IF($I215="","",INDEX(CHOOSE($J$3,'فحص-حاسب-بكالوريوس'!$J$5:$J$208,'فحص-بيانات-بكالوريوس'!$J$5:$J$208,'فحص-بيانات-ماجستير'!$J$5:$J$230),$I215)&amp;"")</f>
        <v/>
      </c>
      <c r="F215" s="2" t="str">
        <f>IF($I215="","",INDEX(CHOOSE($J$3,'فحص-حاسب-بكالوريوس'!$L$5:$L$208,'فحص-بيانات-بكالوريوس'!$L$5:$L$208,'فحص-بيانات-ماجستير'!$L$5:$L$230),$I215)&amp;"")</f>
        <v/>
      </c>
      <c r="G215" s="2" t="str">
        <f>IF($I215="","",INDEX(CHOOSE($J$3,'فحص-حاسب-بكالوريوس'!$M$5:$M$208,'فحص-بيانات-بكالوريوس'!$M$5:$M$208,'فحص-بيانات-ماجستير'!$M$5:$M$230),$I215)&amp;"")</f>
        <v/>
      </c>
      <c r="H215" s="2" t="str">
        <f>IF($I215="","",INDEX(CHOOSE($J$3,'فحص-حاسب-بكالوريوس'!$G$5:$G$208,'فحص-بيانات-بكالوريوس'!$G$5:$G$208,'فحص-بيانات-ماجستير'!$G$5:$G$230),$I215)&amp;"")</f>
        <v/>
      </c>
      <c r="I215" s="2" t="str">
        <f>IFERROR(MATCH($E$3&amp;"#"&amp;210,CHOOSE($J$3,'فحص-حاسب-بكالوريوس'!$R$5:$R$208,'فحص-بيانات-بكالوريوس'!$R$5:$R$208,'فحص-بيانات-ماجستير'!$R$5:$R$230),0),"")</f>
        <v/>
      </c>
    </row>
    <row r="216" spans="1:9" x14ac:dyDescent="0.2">
      <c r="A216" s="1" t="str">
        <f>IF($I216="","",211)</f>
        <v/>
      </c>
      <c r="B216" s="2" t="str">
        <f>IF($I216="","",INDEX(CHOOSE($J$3,'فحص-حاسب-بكالوريوس'!$A$5:$A$208,'فحص-بيانات-بكالوريوس'!$A$5:$A$208,'فحص-بيانات-ماجستير'!$A$5:$A$230),$I216)&amp;"")</f>
        <v/>
      </c>
      <c r="C216" s="2" t="str">
        <f>IF($I216="","",INDEX(CHOOSE($J$3,'فحص-حاسب-بكالوريوس'!$F$5:$F$208,'فحص-بيانات-بكالوريوس'!$F$5:$F$208,'فحص-بيانات-ماجستير'!$F$5:$F$230),$I216)&amp;"")</f>
        <v/>
      </c>
      <c r="D216" s="2" t="str">
        <f>IF($I216="","",INDEX(CHOOSE($J$3,'فحص-حاسب-بكالوريوس'!$H$5:$H$208,'فحص-بيانات-بكالوريوس'!$H$5:$H$208,'فحص-بيانات-ماجستير'!$H$5:$H$230),$I216)&amp;"")</f>
        <v/>
      </c>
      <c r="E216" s="2" t="str">
        <f>IF($I216="","",INDEX(CHOOSE($J$3,'فحص-حاسب-بكالوريوس'!$J$5:$J$208,'فحص-بيانات-بكالوريوس'!$J$5:$J$208,'فحص-بيانات-ماجستير'!$J$5:$J$230),$I216)&amp;"")</f>
        <v/>
      </c>
      <c r="F216" s="2" t="str">
        <f>IF($I216="","",INDEX(CHOOSE($J$3,'فحص-حاسب-بكالوريوس'!$L$5:$L$208,'فحص-بيانات-بكالوريوس'!$L$5:$L$208,'فحص-بيانات-ماجستير'!$L$5:$L$230),$I216)&amp;"")</f>
        <v/>
      </c>
      <c r="G216" s="2" t="str">
        <f>IF($I216="","",INDEX(CHOOSE($J$3,'فحص-حاسب-بكالوريوس'!$M$5:$M$208,'فحص-بيانات-بكالوريوس'!$M$5:$M$208,'فحص-بيانات-ماجستير'!$M$5:$M$230),$I216)&amp;"")</f>
        <v/>
      </c>
      <c r="H216" s="2" t="str">
        <f>IF($I216="","",INDEX(CHOOSE($J$3,'فحص-حاسب-بكالوريوس'!$G$5:$G$208,'فحص-بيانات-بكالوريوس'!$G$5:$G$208,'فحص-بيانات-ماجستير'!$G$5:$G$230),$I216)&amp;"")</f>
        <v/>
      </c>
      <c r="I216" s="2" t="str">
        <f>IFERROR(MATCH($E$3&amp;"#"&amp;211,CHOOSE($J$3,'فحص-حاسب-بكالوريوس'!$R$5:$R$208,'فحص-بيانات-بكالوريوس'!$R$5:$R$208,'فحص-بيانات-ماجستير'!$R$5:$R$230),0),"")</f>
        <v/>
      </c>
    </row>
    <row r="217" spans="1:9" x14ac:dyDescent="0.2">
      <c r="A217" s="1" t="str">
        <f>IF($I217="","",212)</f>
        <v/>
      </c>
      <c r="B217" s="2" t="str">
        <f>IF($I217="","",INDEX(CHOOSE($J$3,'فحص-حاسب-بكالوريوس'!$A$5:$A$208,'فحص-بيانات-بكالوريوس'!$A$5:$A$208,'فحص-بيانات-ماجستير'!$A$5:$A$230),$I217)&amp;"")</f>
        <v/>
      </c>
      <c r="C217" s="2" t="str">
        <f>IF($I217="","",INDEX(CHOOSE($J$3,'فحص-حاسب-بكالوريوس'!$F$5:$F$208,'فحص-بيانات-بكالوريوس'!$F$5:$F$208,'فحص-بيانات-ماجستير'!$F$5:$F$230),$I217)&amp;"")</f>
        <v/>
      </c>
      <c r="D217" s="2" t="str">
        <f>IF($I217="","",INDEX(CHOOSE($J$3,'فحص-حاسب-بكالوريوس'!$H$5:$H$208,'فحص-بيانات-بكالوريوس'!$H$5:$H$208,'فحص-بيانات-ماجستير'!$H$5:$H$230),$I217)&amp;"")</f>
        <v/>
      </c>
      <c r="E217" s="2" t="str">
        <f>IF($I217="","",INDEX(CHOOSE($J$3,'فحص-حاسب-بكالوريوس'!$J$5:$J$208,'فحص-بيانات-بكالوريوس'!$J$5:$J$208,'فحص-بيانات-ماجستير'!$J$5:$J$230),$I217)&amp;"")</f>
        <v/>
      </c>
      <c r="F217" s="2" t="str">
        <f>IF($I217="","",INDEX(CHOOSE($J$3,'فحص-حاسب-بكالوريوس'!$L$5:$L$208,'فحص-بيانات-بكالوريوس'!$L$5:$L$208,'فحص-بيانات-ماجستير'!$L$5:$L$230),$I217)&amp;"")</f>
        <v/>
      </c>
      <c r="G217" s="2" t="str">
        <f>IF($I217="","",INDEX(CHOOSE($J$3,'فحص-حاسب-بكالوريوس'!$M$5:$M$208,'فحص-بيانات-بكالوريوس'!$M$5:$M$208,'فحص-بيانات-ماجستير'!$M$5:$M$230),$I217)&amp;"")</f>
        <v/>
      </c>
      <c r="H217" s="2" t="str">
        <f>IF($I217="","",INDEX(CHOOSE($J$3,'فحص-حاسب-بكالوريوس'!$G$5:$G$208,'فحص-بيانات-بكالوريوس'!$G$5:$G$208,'فحص-بيانات-ماجستير'!$G$5:$G$230),$I217)&amp;"")</f>
        <v/>
      </c>
      <c r="I217" s="2" t="str">
        <f>IFERROR(MATCH($E$3&amp;"#"&amp;212,CHOOSE($J$3,'فحص-حاسب-بكالوريوس'!$R$5:$R$208,'فحص-بيانات-بكالوريوس'!$R$5:$R$208,'فحص-بيانات-ماجستير'!$R$5:$R$230),0),"")</f>
        <v/>
      </c>
    </row>
    <row r="218" spans="1:9" x14ac:dyDescent="0.2">
      <c r="A218" s="1" t="str">
        <f>IF($I218="","",213)</f>
        <v/>
      </c>
      <c r="B218" s="2" t="str">
        <f>IF($I218="","",INDEX(CHOOSE($J$3,'فحص-حاسب-بكالوريوس'!$A$5:$A$208,'فحص-بيانات-بكالوريوس'!$A$5:$A$208,'فحص-بيانات-ماجستير'!$A$5:$A$230),$I218)&amp;"")</f>
        <v/>
      </c>
      <c r="C218" s="2" t="str">
        <f>IF($I218="","",INDEX(CHOOSE($J$3,'فحص-حاسب-بكالوريوس'!$F$5:$F$208,'فحص-بيانات-بكالوريوس'!$F$5:$F$208,'فحص-بيانات-ماجستير'!$F$5:$F$230),$I218)&amp;"")</f>
        <v/>
      </c>
      <c r="D218" s="2" t="str">
        <f>IF($I218="","",INDEX(CHOOSE($J$3,'فحص-حاسب-بكالوريوس'!$H$5:$H$208,'فحص-بيانات-بكالوريوس'!$H$5:$H$208,'فحص-بيانات-ماجستير'!$H$5:$H$230),$I218)&amp;"")</f>
        <v/>
      </c>
      <c r="E218" s="2" t="str">
        <f>IF($I218="","",INDEX(CHOOSE($J$3,'فحص-حاسب-بكالوريوس'!$J$5:$J$208,'فحص-بيانات-بكالوريوس'!$J$5:$J$208,'فحص-بيانات-ماجستير'!$J$5:$J$230),$I218)&amp;"")</f>
        <v/>
      </c>
      <c r="F218" s="2" t="str">
        <f>IF($I218="","",INDEX(CHOOSE($J$3,'فحص-حاسب-بكالوريوس'!$L$5:$L$208,'فحص-بيانات-بكالوريوس'!$L$5:$L$208,'فحص-بيانات-ماجستير'!$L$5:$L$230),$I218)&amp;"")</f>
        <v/>
      </c>
      <c r="G218" s="2" t="str">
        <f>IF($I218="","",INDEX(CHOOSE($J$3,'فحص-حاسب-بكالوريوس'!$M$5:$M$208,'فحص-بيانات-بكالوريوس'!$M$5:$M$208,'فحص-بيانات-ماجستير'!$M$5:$M$230),$I218)&amp;"")</f>
        <v/>
      </c>
      <c r="H218" s="2" t="str">
        <f>IF($I218="","",INDEX(CHOOSE($J$3,'فحص-حاسب-بكالوريوس'!$G$5:$G$208,'فحص-بيانات-بكالوريوس'!$G$5:$G$208,'فحص-بيانات-ماجستير'!$G$5:$G$230),$I218)&amp;"")</f>
        <v/>
      </c>
      <c r="I218" s="2" t="str">
        <f>IFERROR(MATCH($E$3&amp;"#"&amp;213,CHOOSE($J$3,'فحص-حاسب-بكالوريوس'!$R$5:$R$208,'فحص-بيانات-بكالوريوس'!$R$5:$R$208,'فحص-بيانات-ماجستير'!$R$5:$R$230),0),"")</f>
        <v/>
      </c>
    </row>
    <row r="219" spans="1:9" x14ac:dyDescent="0.2">
      <c r="A219" s="1" t="str">
        <f>IF($I219="","",214)</f>
        <v/>
      </c>
      <c r="B219" s="2" t="str">
        <f>IF($I219="","",INDEX(CHOOSE($J$3,'فحص-حاسب-بكالوريوس'!$A$5:$A$208,'فحص-بيانات-بكالوريوس'!$A$5:$A$208,'فحص-بيانات-ماجستير'!$A$5:$A$230),$I219)&amp;"")</f>
        <v/>
      </c>
      <c r="C219" s="2" t="str">
        <f>IF($I219="","",INDEX(CHOOSE($J$3,'فحص-حاسب-بكالوريوس'!$F$5:$F$208,'فحص-بيانات-بكالوريوس'!$F$5:$F$208,'فحص-بيانات-ماجستير'!$F$5:$F$230),$I219)&amp;"")</f>
        <v/>
      </c>
      <c r="D219" s="2" t="str">
        <f>IF($I219="","",INDEX(CHOOSE($J$3,'فحص-حاسب-بكالوريوس'!$H$5:$H$208,'فحص-بيانات-بكالوريوس'!$H$5:$H$208,'فحص-بيانات-ماجستير'!$H$5:$H$230),$I219)&amp;"")</f>
        <v/>
      </c>
      <c r="E219" s="2" t="str">
        <f>IF($I219="","",INDEX(CHOOSE($J$3,'فحص-حاسب-بكالوريوس'!$J$5:$J$208,'فحص-بيانات-بكالوريوس'!$J$5:$J$208,'فحص-بيانات-ماجستير'!$J$5:$J$230),$I219)&amp;"")</f>
        <v/>
      </c>
      <c r="F219" s="2" t="str">
        <f>IF($I219="","",INDEX(CHOOSE($J$3,'فحص-حاسب-بكالوريوس'!$L$5:$L$208,'فحص-بيانات-بكالوريوس'!$L$5:$L$208,'فحص-بيانات-ماجستير'!$L$5:$L$230),$I219)&amp;"")</f>
        <v/>
      </c>
      <c r="G219" s="2" t="str">
        <f>IF($I219="","",INDEX(CHOOSE($J$3,'فحص-حاسب-بكالوريوس'!$M$5:$M$208,'فحص-بيانات-بكالوريوس'!$M$5:$M$208,'فحص-بيانات-ماجستير'!$M$5:$M$230),$I219)&amp;"")</f>
        <v/>
      </c>
      <c r="H219" s="2" t="str">
        <f>IF($I219="","",INDEX(CHOOSE($J$3,'فحص-حاسب-بكالوريوس'!$G$5:$G$208,'فحص-بيانات-بكالوريوس'!$G$5:$G$208,'فحص-بيانات-ماجستير'!$G$5:$G$230),$I219)&amp;"")</f>
        <v/>
      </c>
      <c r="I219" s="2" t="str">
        <f>IFERROR(MATCH($E$3&amp;"#"&amp;214,CHOOSE($J$3,'فحص-حاسب-بكالوريوس'!$R$5:$R$208,'فحص-بيانات-بكالوريوس'!$R$5:$R$208,'فحص-بيانات-ماجستير'!$R$5:$R$230),0),"")</f>
        <v/>
      </c>
    </row>
    <row r="220" spans="1:9" x14ac:dyDescent="0.2">
      <c r="A220" s="1" t="str">
        <f>IF($I220="","",215)</f>
        <v/>
      </c>
      <c r="B220" s="2" t="str">
        <f>IF($I220="","",INDEX(CHOOSE($J$3,'فحص-حاسب-بكالوريوس'!$A$5:$A$208,'فحص-بيانات-بكالوريوس'!$A$5:$A$208,'فحص-بيانات-ماجستير'!$A$5:$A$230),$I220)&amp;"")</f>
        <v/>
      </c>
      <c r="C220" s="2" t="str">
        <f>IF($I220="","",INDEX(CHOOSE($J$3,'فحص-حاسب-بكالوريوس'!$F$5:$F$208,'فحص-بيانات-بكالوريوس'!$F$5:$F$208,'فحص-بيانات-ماجستير'!$F$5:$F$230),$I220)&amp;"")</f>
        <v/>
      </c>
      <c r="D220" s="2" t="str">
        <f>IF($I220="","",INDEX(CHOOSE($J$3,'فحص-حاسب-بكالوريوس'!$H$5:$H$208,'فحص-بيانات-بكالوريوس'!$H$5:$H$208,'فحص-بيانات-ماجستير'!$H$5:$H$230),$I220)&amp;"")</f>
        <v/>
      </c>
      <c r="E220" s="2" t="str">
        <f>IF($I220="","",INDEX(CHOOSE($J$3,'فحص-حاسب-بكالوريوس'!$J$5:$J$208,'فحص-بيانات-بكالوريوس'!$J$5:$J$208,'فحص-بيانات-ماجستير'!$J$5:$J$230),$I220)&amp;"")</f>
        <v/>
      </c>
      <c r="F220" s="2" t="str">
        <f>IF($I220="","",INDEX(CHOOSE($J$3,'فحص-حاسب-بكالوريوس'!$L$5:$L$208,'فحص-بيانات-بكالوريوس'!$L$5:$L$208,'فحص-بيانات-ماجستير'!$L$5:$L$230),$I220)&amp;"")</f>
        <v/>
      </c>
      <c r="G220" s="2" t="str">
        <f>IF($I220="","",INDEX(CHOOSE($J$3,'فحص-حاسب-بكالوريوس'!$M$5:$M$208,'فحص-بيانات-بكالوريوس'!$M$5:$M$208,'فحص-بيانات-ماجستير'!$M$5:$M$230),$I220)&amp;"")</f>
        <v/>
      </c>
      <c r="H220" s="2" t="str">
        <f>IF($I220="","",INDEX(CHOOSE($J$3,'فحص-حاسب-بكالوريوس'!$G$5:$G$208,'فحص-بيانات-بكالوريوس'!$G$5:$G$208,'فحص-بيانات-ماجستير'!$G$5:$G$230),$I220)&amp;"")</f>
        <v/>
      </c>
      <c r="I220" s="2" t="str">
        <f>IFERROR(MATCH($E$3&amp;"#"&amp;215,CHOOSE($J$3,'فحص-حاسب-بكالوريوس'!$R$5:$R$208,'فحص-بيانات-بكالوريوس'!$R$5:$R$208,'فحص-بيانات-ماجستير'!$R$5:$R$230),0),"")</f>
        <v/>
      </c>
    </row>
    <row r="221" spans="1:9" x14ac:dyDescent="0.2">
      <c r="A221" s="1" t="str">
        <f>IF($I221="","",216)</f>
        <v/>
      </c>
      <c r="B221" s="2" t="str">
        <f>IF($I221="","",INDEX(CHOOSE($J$3,'فحص-حاسب-بكالوريوس'!$A$5:$A$208,'فحص-بيانات-بكالوريوس'!$A$5:$A$208,'فحص-بيانات-ماجستير'!$A$5:$A$230),$I221)&amp;"")</f>
        <v/>
      </c>
      <c r="C221" s="2" t="str">
        <f>IF($I221="","",INDEX(CHOOSE($J$3,'فحص-حاسب-بكالوريوس'!$F$5:$F$208,'فحص-بيانات-بكالوريوس'!$F$5:$F$208,'فحص-بيانات-ماجستير'!$F$5:$F$230),$I221)&amp;"")</f>
        <v/>
      </c>
      <c r="D221" s="2" t="str">
        <f>IF($I221="","",INDEX(CHOOSE($J$3,'فحص-حاسب-بكالوريوس'!$H$5:$H$208,'فحص-بيانات-بكالوريوس'!$H$5:$H$208,'فحص-بيانات-ماجستير'!$H$5:$H$230),$I221)&amp;"")</f>
        <v/>
      </c>
      <c r="E221" s="2" t="str">
        <f>IF($I221="","",INDEX(CHOOSE($J$3,'فحص-حاسب-بكالوريوس'!$J$5:$J$208,'فحص-بيانات-بكالوريوس'!$J$5:$J$208,'فحص-بيانات-ماجستير'!$J$5:$J$230),$I221)&amp;"")</f>
        <v/>
      </c>
      <c r="F221" s="2" t="str">
        <f>IF($I221="","",INDEX(CHOOSE($J$3,'فحص-حاسب-بكالوريوس'!$L$5:$L$208,'فحص-بيانات-بكالوريوس'!$L$5:$L$208,'فحص-بيانات-ماجستير'!$L$5:$L$230),$I221)&amp;"")</f>
        <v/>
      </c>
      <c r="G221" s="2" t="str">
        <f>IF($I221="","",INDEX(CHOOSE($J$3,'فحص-حاسب-بكالوريوس'!$M$5:$M$208,'فحص-بيانات-بكالوريوس'!$M$5:$M$208,'فحص-بيانات-ماجستير'!$M$5:$M$230),$I221)&amp;"")</f>
        <v/>
      </c>
      <c r="H221" s="2" t="str">
        <f>IF($I221="","",INDEX(CHOOSE($J$3,'فحص-حاسب-بكالوريوس'!$G$5:$G$208,'فحص-بيانات-بكالوريوس'!$G$5:$G$208,'فحص-بيانات-ماجستير'!$G$5:$G$230),$I221)&amp;"")</f>
        <v/>
      </c>
      <c r="I221" s="2" t="str">
        <f>IFERROR(MATCH($E$3&amp;"#"&amp;216,CHOOSE($J$3,'فحص-حاسب-بكالوريوس'!$R$5:$R$208,'فحص-بيانات-بكالوريوس'!$R$5:$R$208,'فحص-بيانات-ماجستير'!$R$5:$R$230),0),"")</f>
        <v/>
      </c>
    </row>
    <row r="222" spans="1:9" x14ac:dyDescent="0.2">
      <c r="A222" s="1" t="str">
        <f>IF($I222="","",217)</f>
        <v/>
      </c>
      <c r="B222" s="2" t="str">
        <f>IF($I222="","",INDEX(CHOOSE($J$3,'فحص-حاسب-بكالوريوس'!$A$5:$A$208,'فحص-بيانات-بكالوريوس'!$A$5:$A$208,'فحص-بيانات-ماجستير'!$A$5:$A$230),$I222)&amp;"")</f>
        <v/>
      </c>
      <c r="C222" s="2" t="str">
        <f>IF($I222="","",INDEX(CHOOSE($J$3,'فحص-حاسب-بكالوريوس'!$F$5:$F$208,'فحص-بيانات-بكالوريوس'!$F$5:$F$208,'فحص-بيانات-ماجستير'!$F$5:$F$230),$I222)&amp;"")</f>
        <v/>
      </c>
      <c r="D222" s="2" t="str">
        <f>IF($I222="","",INDEX(CHOOSE($J$3,'فحص-حاسب-بكالوريوس'!$H$5:$H$208,'فحص-بيانات-بكالوريوس'!$H$5:$H$208,'فحص-بيانات-ماجستير'!$H$5:$H$230),$I222)&amp;"")</f>
        <v/>
      </c>
      <c r="E222" s="2" t="str">
        <f>IF($I222="","",INDEX(CHOOSE($J$3,'فحص-حاسب-بكالوريوس'!$J$5:$J$208,'فحص-بيانات-بكالوريوس'!$J$5:$J$208,'فحص-بيانات-ماجستير'!$J$5:$J$230),$I222)&amp;"")</f>
        <v/>
      </c>
      <c r="F222" s="2" t="str">
        <f>IF($I222="","",INDEX(CHOOSE($J$3,'فحص-حاسب-بكالوريوس'!$L$5:$L$208,'فحص-بيانات-بكالوريوس'!$L$5:$L$208,'فحص-بيانات-ماجستير'!$L$5:$L$230),$I222)&amp;"")</f>
        <v/>
      </c>
      <c r="G222" s="2" t="str">
        <f>IF($I222="","",INDEX(CHOOSE($J$3,'فحص-حاسب-بكالوريوس'!$M$5:$M$208,'فحص-بيانات-بكالوريوس'!$M$5:$M$208,'فحص-بيانات-ماجستير'!$M$5:$M$230),$I222)&amp;"")</f>
        <v/>
      </c>
      <c r="H222" s="2" t="str">
        <f>IF($I222="","",INDEX(CHOOSE($J$3,'فحص-حاسب-بكالوريوس'!$G$5:$G$208,'فحص-بيانات-بكالوريوس'!$G$5:$G$208,'فحص-بيانات-ماجستير'!$G$5:$G$230),$I222)&amp;"")</f>
        <v/>
      </c>
      <c r="I222" s="2" t="str">
        <f>IFERROR(MATCH($E$3&amp;"#"&amp;217,CHOOSE($J$3,'فحص-حاسب-بكالوريوس'!$R$5:$R$208,'فحص-بيانات-بكالوريوس'!$R$5:$R$208,'فحص-بيانات-ماجستير'!$R$5:$R$230),0),"")</f>
        <v/>
      </c>
    </row>
    <row r="223" spans="1:9" x14ac:dyDescent="0.2">
      <c r="A223" s="1" t="str">
        <f>IF($I223="","",218)</f>
        <v/>
      </c>
      <c r="B223" s="2" t="str">
        <f>IF($I223="","",INDEX(CHOOSE($J$3,'فحص-حاسب-بكالوريوس'!$A$5:$A$208,'فحص-بيانات-بكالوريوس'!$A$5:$A$208,'فحص-بيانات-ماجستير'!$A$5:$A$230),$I223)&amp;"")</f>
        <v/>
      </c>
      <c r="C223" s="2" t="str">
        <f>IF($I223="","",INDEX(CHOOSE($J$3,'فحص-حاسب-بكالوريوس'!$F$5:$F$208,'فحص-بيانات-بكالوريوس'!$F$5:$F$208,'فحص-بيانات-ماجستير'!$F$5:$F$230),$I223)&amp;"")</f>
        <v/>
      </c>
      <c r="D223" s="2" t="str">
        <f>IF($I223="","",INDEX(CHOOSE($J$3,'فحص-حاسب-بكالوريوس'!$H$5:$H$208,'فحص-بيانات-بكالوريوس'!$H$5:$H$208,'فحص-بيانات-ماجستير'!$H$5:$H$230),$I223)&amp;"")</f>
        <v/>
      </c>
      <c r="E223" s="2" t="str">
        <f>IF($I223="","",INDEX(CHOOSE($J$3,'فحص-حاسب-بكالوريوس'!$J$5:$J$208,'فحص-بيانات-بكالوريوس'!$J$5:$J$208,'فحص-بيانات-ماجستير'!$J$5:$J$230),$I223)&amp;"")</f>
        <v/>
      </c>
      <c r="F223" s="2" t="str">
        <f>IF($I223="","",INDEX(CHOOSE($J$3,'فحص-حاسب-بكالوريوس'!$L$5:$L$208,'فحص-بيانات-بكالوريوس'!$L$5:$L$208,'فحص-بيانات-ماجستير'!$L$5:$L$230),$I223)&amp;"")</f>
        <v/>
      </c>
      <c r="G223" s="2" t="str">
        <f>IF($I223="","",INDEX(CHOOSE($J$3,'فحص-حاسب-بكالوريوس'!$M$5:$M$208,'فحص-بيانات-بكالوريوس'!$M$5:$M$208,'فحص-بيانات-ماجستير'!$M$5:$M$230),$I223)&amp;"")</f>
        <v/>
      </c>
      <c r="H223" s="2" t="str">
        <f>IF($I223="","",INDEX(CHOOSE($J$3,'فحص-حاسب-بكالوريوس'!$G$5:$G$208,'فحص-بيانات-بكالوريوس'!$G$5:$G$208,'فحص-بيانات-ماجستير'!$G$5:$G$230),$I223)&amp;"")</f>
        <v/>
      </c>
      <c r="I223" s="2" t="str">
        <f>IFERROR(MATCH($E$3&amp;"#"&amp;218,CHOOSE($J$3,'فحص-حاسب-بكالوريوس'!$R$5:$R$208,'فحص-بيانات-بكالوريوس'!$R$5:$R$208,'فحص-بيانات-ماجستير'!$R$5:$R$230),0),"")</f>
        <v/>
      </c>
    </row>
    <row r="224" spans="1:9" x14ac:dyDescent="0.2">
      <c r="A224" s="1" t="str">
        <f>IF($I224="","",219)</f>
        <v/>
      </c>
      <c r="B224" s="2" t="str">
        <f>IF($I224="","",INDEX(CHOOSE($J$3,'فحص-حاسب-بكالوريوس'!$A$5:$A$208,'فحص-بيانات-بكالوريوس'!$A$5:$A$208,'فحص-بيانات-ماجستير'!$A$5:$A$230),$I224)&amp;"")</f>
        <v/>
      </c>
      <c r="C224" s="2" t="str">
        <f>IF($I224="","",INDEX(CHOOSE($J$3,'فحص-حاسب-بكالوريوس'!$F$5:$F$208,'فحص-بيانات-بكالوريوس'!$F$5:$F$208,'فحص-بيانات-ماجستير'!$F$5:$F$230),$I224)&amp;"")</f>
        <v/>
      </c>
      <c r="D224" s="2" t="str">
        <f>IF($I224="","",INDEX(CHOOSE($J$3,'فحص-حاسب-بكالوريوس'!$H$5:$H$208,'فحص-بيانات-بكالوريوس'!$H$5:$H$208,'فحص-بيانات-ماجستير'!$H$5:$H$230),$I224)&amp;"")</f>
        <v/>
      </c>
      <c r="E224" s="2" t="str">
        <f>IF($I224="","",INDEX(CHOOSE($J$3,'فحص-حاسب-بكالوريوس'!$J$5:$J$208,'فحص-بيانات-بكالوريوس'!$J$5:$J$208,'فحص-بيانات-ماجستير'!$J$5:$J$230),$I224)&amp;"")</f>
        <v/>
      </c>
      <c r="F224" s="2" t="str">
        <f>IF($I224="","",INDEX(CHOOSE($J$3,'فحص-حاسب-بكالوريوس'!$L$5:$L$208,'فحص-بيانات-بكالوريوس'!$L$5:$L$208,'فحص-بيانات-ماجستير'!$L$5:$L$230),$I224)&amp;"")</f>
        <v/>
      </c>
      <c r="G224" s="2" t="str">
        <f>IF($I224="","",INDEX(CHOOSE($J$3,'فحص-حاسب-بكالوريوس'!$M$5:$M$208,'فحص-بيانات-بكالوريوس'!$M$5:$M$208,'فحص-بيانات-ماجستير'!$M$5:$M$230),$I224)&amp;"")</f>
        <v/>
      </c>
      <c r="H224" s="2" t="str">
        <f>IF($I224="","",INDEX(CHOOSE($J$3,'فحص-حاسب-بكالوريوس'!$G$5:$G$208,'فحص-بيانات-بكالوريوس'!$G$5:$G$208,'فحص-بيانات-ماجستير'!$G$5:$G$230),$I224)&amp;"")</f>
        <v/>
      </c>
      <c r="I224" s="2" t="str">
        <f>IFERROR(MATCH($E$3&amp;"#"&amp;219,CHOOSE($J$3,'فحص-حاسب-بكالوريوس'!$R$5:$R$208,'فحص-بيانات-بكالوريوس'!$R$5:$R$208,'فحص-بيانات-ماجستير'!$R$5:$R$230),0),"")</f>
        <v/>
      </c>
    </row>
    <row r="225" spans="1:9" x14ac:dyDescent="0.2">
      <c r="A225" s="1" t="str">
        <f>IF($I225="","",220)</f>
        <v/>
      </c>
      <c r="B225" s="2" t="str">
        <f>IF($I225="","",INDEX(CHOOSE($J$3,'فحص-حاسب-بكالوريوس'!$A$5:$A$208,'فحص-بيانات-بكالوريوس'!$A$5:$A$208,'فحص-بيانات-ماجستير'!$A$5:$A$230),$I225)&amp;"")</f>
        <v/>
      </c>
      <c r="C225" s="2" t="str">
        <f>IF($I225="","",INDEX(CHOOSE($J$3,'فحص-حاسب-بكالوريوس'!$F$5:$F$208,'فحص-بيانات-بكالوريوس'!$F$5:$F$208,'فحص-بيانات-ماجستير'!$F$5:$F$230),$I225)&amp;"")</f>
        <v/>
      </c>
      <c r="D225" s="2" t="str">
        <f>IF($I225="","",INDEX(CHOOSE($J$3,'فحص-حاسب-بكالوريوس'!$H$5:$H$208,'فحص-بيانات-بكالوريوس'!$H$5:$H$208,'فحص-بيانات-ماجستير'!$H$5:$H$230),$I225)&amp;"")</f>
        <v/>
      </c>
      <c r="E225" s="2" t="str">
        <f>IF($I225="","",INDEX(CHOOSE($J$3,'فحص-حاسب-بكالوريوس'!$J$5:$J$208,'فحص-بيانات-بكالوريوس'!$J$5:$J$208,'فحص-بيانات-ماجستير'!$J$5:$J$230),$I225)&amp;"")</f>
        <v/>
      </c>
      <c r="F225" s="2" t="str">
        <f>IF($I225="","",INDEX(CHOOSE($J$3,'فحص-حاسب-بكالوريوس'!$L$5:$L$208,'فحص-بيانات-بكالوريوس'!$L$5:$L$208,'فحص-بيانات-ماجستير'!$L$5:$L$230),$I225)&amp;"")</f>
        <v/>
      </c>
      <c r="G225" s="2" t="str">
        <f>IF($I225="","",INDEX(CHOOSE($J$3,'فحص-حاسب-بكالوريوس'!$M$5:$M$208,'فحص-بيانات-بكالوريوس'!$M$5:$M$208,'فحص-بيانات-ماجستير'!$M$5:$M$230),$I225)&amp;"")</f>
        <v/>
      </c>
      <c r="H225" s="2" t="str">
        <f>IF($I225="","",INDEX(CHOOSE($J$3,'فحص-حاسب-بكالوريوس'!$G$5:$G$208,'فحص-بيانات-بكالوريوس'!$G$5:$G$208,'فحص-بيانات-ماجستير'!$G$5:$G$230),$I225)&amp;"")</f>
        <v/>
      </c>
      <c r="I225" s="2" t="str">
        <f>IFERROR(MATCH($E$3&amp;"#"&amp;220,CHOOSE($J$3,'فحص-حاسب-بكالوريوس'!$R$5:$R$208,'فحص-بيانات-بكالوريوس'!$R$5:$R$208,'فحص-بيانات-ماجستير'!$R$5:$R$230),0),"")</f>
        <v/>
      </c>
    </row>
    <row r="226" spans="1:9" x14ac:dyDescent="0.2">
      <c r="A226" s="1" t="str">
        <f>IF($I226="","",221)</f>
        <v/>
      </c>
      <c r="B226" s="2" t="str">
        <f>IF($I226="","",INDEX(CHOOSE($J$3,'فحص-حاسب-بكالوريوس'!$A$5:$A$208,'فحص-بيانات-بكالوريوس'!$A$5:$A$208,'فحص-بيانات-ماجستير'!$A$5:$A$230),$I226)&amp;"")</f>
        <v/>
      </c>
      <c r="C226" s="2" t="str">
        <f>IF($I226="","",INDEX(CHOOSE($J$3,'فحص-حاسب-بكالوريوس'!$F$5:$F$208,'فحص-بيانات-بكالوريوس'!$F$5:$F$208,'فحص-بيانات-ماجستير'!$F$5:$F$230),$I226)&amp;"")</f>
        <v/>
      </c>
      <c r="D226" s="2" t="str">
        <f>IF($I226="","",INDEX(CHOOSE($J$3,'فحص-حاسب-بكالوريوس'!$H$5:$H$208,'فحص-بيانات-بكالوريوس'!$H$5:$H$208,'فحص-بيانات-ماجستير'!$H$5:$H$230),$I226)&amp;"")</f>
        <v/>
      </c>
      <c r="E226" s="2" t="str">
        <f>IF($I226="","",INDEX(CHOOSE($J$3,'فحص-حاسب-بكالوريوس'!$J$5:$J$208,'فحص-بيانات-بكالوريوس'!$J$5:$J$208,'فحص-بيانات-ماجستير'!$J$5:$J$230),$I226)&amp;"")</f>
        <v/>
      </c>
      <c r="F226" s="2" t="str">
        <f>IF($I226="","",INDEX(CHOOSE($J$3,'فحص-حاسب-بكالوريوس'!$L$5:$L$208,'فحص-بيانات-بكالوريوس'!$L$5:$L$208,'فحص-بيانات-ماجستير'!$L$5:$L$230),$I226)&amp;"")</f>
        <v/>
      </c>
      <c r="G226" s="2" t="str">
        <f>IF($I226="","",INDEX(CHOOSE($J$3,'فحص-حاسب-بكالوريوس'!$M$5:$M$208,'فحص-بيانات-بكالوريوس'!$M$5:$M$208,'فحص-بيانات-ماجستير'!$M$5:$M$230),$I226)&amp;"")</f>
        <v/>
      </c>
      <c r="H226" s="2" t="str">
        <f>IF($I226="","",INDEX(CHOOSE($J$3,'فحص-حاسب-بكالوريوس'!$G$5:$G$208,'فحص-بيانات-بكالوريوس'!$G$5:$G$208,'فحص-بيانات-ماجستير'!$G$5:$G$230),$I226)&amp;"")</f>
        <v/>
      </c>
      <c r="I226" s="2" t="str">
        <f>IFERROR(MATCH($E$3&amp;"#"&amp;221,CHOOSE($J$3,'فحص-حاسب-بكالوريوس'!$R$5:$R$208,'فحص-بيانات-بكالوريوس'!$R$5:$R$208,'فحص-بيانات-ماجستير'!$R$5:$R$230),0),"")</f>
        <v/>
      </c>
    </row>
    <row r="227" spans="1:9" x14ac:dyDescent="0.2">
      <c r="A227" s="1" t="str">
        <f>IF($I227="","",222)</f>
        <v/>
      </c>
      <c r="B227" s="2" t="str">
        <f>IF($I227="","",INDEX(CHOOSE($J$3,'فحص-حاسب-بكالوريوس'!$A$5:$A$208,'فحص-بيانات-بكالوريوس'!$A$5:$A$208,'فحص-بيانات-ماجستير'!$A$5:$A$230),$I227)&amp;"")</f>
        <v/>
      </c>
      <c r="C227" s="2" t="str">
        <f>IF($I227="","",INDEX(CHOOSE($J$3,'فحص-حاسب-بكالوريوس'!$F$5:$F$208,'فحص-بيانات-بكالوريوس'!$F$5:$F$208,'فحص-بيانات-ماجستير'!$F$5:$F$230),$I227)&amp;"")</f>
        <v/>
      </c>
      <c r="D227" s="2" t="str">
        <f>IF($I227="","",INDEX(CHOOSE($J$3,'فحص-حاسب-بكالوريوس'!$H$5:$H$208,'فحص-بيانات-بكالوريوس'!$H$5:$H$208,'فحص-بيانات-ماجستير'!$H$5:$H$230),$I227)&amp;"")</f>
        <v/>
      </c>
      <c r="E227" s="2" t="str">
        <f>IF($I227="","",INDEX(CHOOSE($J$3,'فحص-حاسب-بكالوريوس'!$J$5:$J$208,'فحص-بيانات-بكالوريوس'!$J$5:$J$208,'فحص-بيانات-ماجستير'!$J$5:$J$230),$I227)&amp;"")</f>
        <v/>
      </c>
      <c r="F227" s="2" t="str">
        <f>IF($I227="","",INDEX(CHOOSE($J$3,'فحص-حاسب-بكالوريوس'!$L$5:$L$208,'فحص-بيانات-بكالوريوس'!$L$5:$L$208,'فحص-بيانات-ماجستير'!$L$5:$L$230),$I227)&amp;"")</f>
        <v/>
      </c>
      <c r="G227" s="2" t="str">
        <f>IF($I227="","",INDEX(CHOOSE($J$3,'فحص-حاسب-بكالوريوس'!$M$5:$M$208,'فحص-بيانات-بكالوريوس'!$M$5:$M$208,'فحص-بيانات-ماجستير'!$M$5:$M$230),$I227)&amp;"")</f>
        <v/>
      </c>
      <c r="H227" s="2" t="str">
        <f>IF($I227="","",INDEX(CHOOSE($J$3,'فحص-حاسب-بكالوريوس'!$G$5:$G$208,'فحص-بيانات-بكالوريوس'!$G$5:$G$208,'فحص-بيانات-ماجستير'!$G$5:$G$230),$I227)&amp;"")</f>
        <v/>
      </c>
      <c r="I227" s="2" t="str">
        <f>IFERROR(MATCH($E$3&amp;"#"&amp;222,CHOOSE($J$3,'فحص-حاسب-بكالوريوس'!$R$5:$R$208,'فحص-بيانات-بكالوريوس'!$R$5:$R$208,'فحص-بيانات-ماجستير'!$R$5:$R$230),0),"")</f>
        <v/>
      </c>
    </row>
    <row r="228" spans="1:9" x14ac:dyDescent="0.2">
      <c r="A228" s="1" t="str">
        <f>IF($I228="","",223)</f>
        <v/>
      </c>
      <c r="B228" s="2" t="str">
        <f>IF($I228="","",INDEX(CHOOSE($J$3,'فحص-حاسب-بكالوريوس'!$A$5:$A$208,'فحص-بيانات-بكالوريوس'!$A$5:$A$208,'فحص-بيانات-ماجستير'!$A$5:$A$230),$I228)&amp;"")</f>
        <v/>
      </c>
      <c r="C228" s="2" t="str">
        <f>IF($I228="","",INDEX(CHOOSE($J$3,'فحص-حاسب-بكالوريوس'!$F$5:$F$208,'فحص-بيانات-بكالوريوس'!$F$5:$F$208,'فحص-بيانات-ماجستير'!$F$5:$F$230),$I228)&amp;"")</f>
        <v/>
      </c>
      <c r="D228" s="2" t="str">
        <f>IF($I228="","",INDEX(CHOOSE($J$3,'فحص-حاسب-بكالوريوس'!$H$5:$H$208,'فحص-بيانات-بكالوريوس'!$H$5:$H$208,'فحص-بيانات-ماجستير'!$H$5:$H$230),$I228)&amp;"")</f>
        <v/>
      </c>
      <c r="E228" s="2" t="str">
        <f>IF($I228="","",INDEX(CHOOSE($J$3,'فحص-حاسب-بكالوريوس'!$J$5:$J$208,'فحص-بيانات-بكالوريوس'!$J$5:$J$208,'فحص-بيانات-ماجستير'!$J$5:$J$230),$I228)&amp;"")</f>
        <v/>
      </c>
      <c r="F228" s="2" t="str">
        <f>IF($I228="","",INDEX(CHOOSE($J$3,'فحص-حاسب-بكالوريوس'!$L$5:$L$208,'فحص-بيانات-بكالوريوس'!$L$5:$L$208,'فحص-بيانات-ماجستير'!$L$5:$L$230),$I228)&amp;"")</f>
        <v/>
      </c>
      <c r="G228" s="2" t="str">
        <f>IF($I228="","",INDEX(CHOOSE($J$3,'فحص-حاسب-بكالوريوس'!$M$5:$M$208,'فحص-بيانات-بكالوريوس'!$M$5:$M$208,'فحص-بيانات-ماجستير'!$M$5:$M$230),$I228)&amp;"")</f>
        <v/>
      </c>
      <c r="H228" s="2" t="str">
        <f>IF($I228="","",INDEX(CHOOSE($J$3,'فحص-حاسب-بكالوريوس'!$G$5:$G$208,'فحص-بيانات-بكالوريوس'!$G$5:$G$208,'فحص-بيانات-ماجستير'!$G$5:$G$230),$I228)&amp;"")</f>
        <v/>
      </c>
      <c r="I228" s="2" t="str">
        <f>IFERROR(MATCH($E$3&amp;"#"&amp;223,CHOOSE($J$3,'فحص-حاسب-بكالوريوس'!$R$5:$R$208,'فحص-بيانات-بكالوريوس'!$R$5:$R$208,'فحص-بيانات-ماجستير'!$R$5:$R$230),0),"")</f>
        <v/>
      </c>
    </row>
    <row r="229" spans="1:9" x14ac:dyDescent="0.2">
      <c r="A229" s="1" t="str">
        <f>IF($I229="","",224)</f>
        <v/>
      </c>
      <c r="B229" s="2" t="str">
        <f>IF($I229="","",INDEX(CHOOSE($J$3,'فحص-حاسب-بكالوريوس'!$A$5:$A$208,'فحص-بيانات-بكالوريوس'!$A$5:$A$208,'فحص-بيانات-ماجستير'!$A$5:$A$230),$I229)&amp;"")</f>
        <v/>
      </c>
      <c r="C229" s="2" t="str">
        <f>IF($I229="","",INDEX(CHOOSE($J$3,'فحص-حاسب-بكالوريوس'!$F$5:$F$208,'فحص-بيانات-بكالوريوس'!$F$5:$F$208,'فحص-بيانات-ماجستير'!$F$5:$F$230),$I229)&amp;"")</f>
        <v/>
      </c>
      <c r="D229" s="2" t="str">
        <f>IF($I229="","",INDEX(CHOOSE($J$3,'فحص-حاسب-بكالوريوس'!$H$5:$H$208,'فحص-بيانات-بكالوريوس'!$H$5:$H$208,'فحص-بيانات-ماجستير'!$H$5:$H$230),$I229)&amp;"")</f>
        <v/>
      </c>
      <c r="E229" s="2" t="str">
        <f>IF($I229="","",INDEX(CHOOSE($J$3,'فحص-حاسب-بكالوريوس'!$J$5:$J$208,'فحص-بيانات-بكالوريوس'!$J$5:$J$208,'فحص-بيانات-ماجستير'!$J$5:$J$230),$I229)&amp;"")</f>
        <v/>
      </c>
      <c r="F229" s="2" t="str">
        <f>IF($I229="","",INDEX(CHOOSE($J$3,'فحص-حاسب-بكالوريوس'!$L$5:$L$208,'فحص-بيانات-بكالوريوس'!$L$5:$L$208,'فحص-بيانات-ماجستير'!$L$5:$L$230),$I229)&amp;"")</f>
        <v/>
      </c>
      <c r="G229" s="2" t="str">
        <f>IF($I229="","",INDEX(CHOOSE($J$3,'فحص-حاسب-بكالوريوس'!$M$5:$M$208,'فحص-بيانات-بكالوريوس'!$M$5:$M$208,'فحص-بيانات-ماجستير'!$M$5:$M$230),$I229)&amp;"")</f>
        <v/>
      </c>
      <c r="H229" s="2" t="str">
        <f>IF($I229="","",INDEX(CHOOSE($J$3,'فحص-حاسب-بكالوريوس'!$G$5:$G$208,'فحص-بيانات-بكالوريوس'!$G$5:$G$208,'فحص-بيانات-ماجستير'!$G$5:$G$230),$I229)&amp;"")</f>
        <v/>
      </c>
      <c r="I229" s="2" t="str">
        <f>IFERROR(MATCH($E$3&amp;"#"&amp;224,CHOOSE($J$3,'فحص-حاسب-بكالوريوس'!$R$5:$R$208,'فحص-بيانات-بكالوريوس'!$R$5:$R$208,'فحص-بيانات-ماجستير'!$R$5:$R$230),0),"")</f>
        <v/>
      </c>
    </row>
    <row r="230" spans="1:9" x14ac:dyDescent="0.2">
      <c r="A230" s="1" t="str">
        <f>IF($I230="","",225)</f>
        <v/>
      </c>
      <c r="B230" s="2" t="str">
        <f>IF($I230="","",INDEX(CHOOSE($J$3,'فحص-حاسب-بكالوريوس'!$A$5:$A$208,'فحص-بيانات-بكالوريوس'!$A$5:$A$208,'فحص-بيانات-ماجستير'!$A$5:$A$230),$I230)&amp;"")</f>
        <v/>
      </c>
      <c r="C230" s="2" t="str">
        <f>IF($I230="","",INDEX(CHOOSE($J$3,'فحص-حاسب-بكالوريوس'!$F$5:$F$208,'فحص-بيانات-بكالوريوس'!$F$5:$F$208,'فحص-بيانات-ماجستير'!$F$5:$F$230),$I230)&amp;"")</f>
        <v/>
      </c>
      <c r="D230" s="2" t="str">
        <f>IF($I230="","",INDEX(CHOOSE($J$3,'فحص-حاسب-بكالوريوس'!$H$5:$H$208,'فحص-بيانات-بكالوريوس'!$H$5:$H$208,'فحص-بيانات-ماجستير'!$H$5:$H$230),$I230)&amp;"")</f>
        <v/>
      </c>
      <c r="E230" s="2" t="str">
        <f>IF($I230="","",INDEX(CHOOSE($J$3,'فحص-حاسب-بكالوريوس'!$J$5:$J$208,'فحص-بيانات-بكالوريوس'!$J$5:$J$208,'فحص-بيانات-ماجستير'!$J$5:$J$230),$I230)&amp;"")</f>
        <v/>
      </c>
      <c r="F230" s="2" t="str">
        <f>IF($I230="","",INDEX(CHOOSE($J$3,'فحص-حاسب-بكالوريوس'!$L$5:$L$208,'فحص-بيانات-بكالوريوس'!$L$5:$L$208,'فحص-بيانات-ماجستير'!$L$5:$L$230),$I230)&amp;"")</f>
        <v/>
      </c>
      <c r="G230" s="2" t="str">
        <f>IF($I230="","",INDEX(CHOOSE($J$3,'فحص-حاسب-بكالوريوس'!$M$5:$M$208,'فحص-بيانات-بكالوريوس'!$M$5:$M$208,'فحص-بيانات-ماجستير'!$M$5:$M$230),$I230)&amp;"")</f>
        <v/>
      </c>
      <c r="H230" s="2" t="str">
        <f>IF($I230="","",INDEX(CHOOSE($J$3,'فحص-حاسب-بكالوريوس'!$G$5:$G$208,'فحص-بيانات-بكالوريوس'!$G$5:$G$208,'فحص-بيانات-ماجستير'!$G$5:$G$230),$I230)&amp;"")</f>
        <v/>
      </c>
      <c r="I230" s="2" t="str">
        <f>IFERROR(MATCH($E$3&amp;"#"&amp;225,CHOOSE($J$3,'فحص-حاسب-بكالوريوس'!$R$5:$R$208,'فحص-بيانات-بكالوريوس'!$R$5:$R$208,'فحص-بيانات-ماجستير'!$R$5:$R$230),0),"")</f>
        <v/>
      </c>
    </row>
    <row r="231" spans="1:9" x14ac:dyDescent="0.2">
      <c r="A231" s="1" t="str">
        <f>IF($I231="","",226)</f>
        <v/>
      </c>
      <c r="B231" s="2" t="str">
        <f>IF($I231="","",INDEX(CHOOSE($J$3,'فحص-حاسب-بكالوريوس'!$A$5:$A$208,'فحص-بيانات-بكالوريوس'!$A$5:$A$208,'فحص-بيانات-ماجستير'!$A$5:$A$230),$I231)&amp;"")</f>
        <v/>
      </c>
      <c r="C231" s="2" t="str">
        <f>IF($I231="","",INDEX(CHOOSE($J$3,'فحص-حاسب-بكالوريوس'!$F$5:$F$208,'فحص-بيانات-بكالوريوس'!$F$5:$F$208,'فحص-بيانات-ماجستير'!$F$5:$F$230),$I231)&amp;"")</f>
        <v/>
      </c>
      <c r="D231" s="2" t="str">
        <f>IF($I231="","",INDEX(CHOOSE($J$3,'فحص-حاسب-بكالوريوس'!$H$5:$H$208,'فحص-بيانات-بكالوريوس'!$H$5:$H$208,'فحص-بيانات-ماجستير'!$H$5:$H$230),$I231)&amp;"")</f>
        <v/>
      </c>
      <c r="E231" s="2" t="str">
        <f>IF($I231="","",INDEX(CHOOSE($J$3,'فحص-حاسب-بكالوريوس'!$J$5:$J$208,'فحص-بيانات-بكالوريوس'!$J$5:$J$208,'فحص-بيانات-ماجستير'!$J$5:$J$230),$I231)&amp;"")</f>
        <v/>
      </c>
      <c r="F231" s="2" t="str">
        <f>IF($I231="","",INDEX(CHOOSE($J$3,'فحص-حاسب-بكالوريوس'!$L$5:$L$208,'فحص-بيانات-بكالوريوس'!$L$5:$L$208,'فحص-بيانات-ماجستير'!$L$5:$L$230),$I231)&amp;"")</f>
        <v/>
      </c>
      <c r="G231" s="2" t="str">
        <f>IF($I231="","",INDEX(CHOOSE($J$3,'فحص-حاسب-بكالوريوس'!$M$5:$M$208,'فحص-بيانات-بكالوريوس'!$M$5:$M$208,'فحص-بيانات-ماجستير'!$M$5:$M$230),$I231)&amp;"")</f>
        <v/>
      </c>
      <c r="H231" s="2" t="str">
        <f>IF($I231="","",INDEX(CHOOSE($J$3,'فحص-حاسب-بكالوريوس'!$G$5:$G$208,'فحص-بيانات-بكالوريوس'!$G$5:$G$208,'فحص-بيانات-ماجستير'!$G$5:$G$230),$I231)&amp;"")</f>
        <v/>
      </c>
      <c r="I231" s="2" t="str">
        <f>IFERROR(MATCH($E$3&amp;"#"&amp;226,CHOOSE($J$3,'فحص-حاسب-بكالوريوس'!$R$5:$R$208,'فحص-بيانات-بكالوريوس'!$R$5:$R$208,'فحص-بيانات-ماجستير'!$R$5:$R$230),0),"")</f>
        <v/>
      </c>
    </row>
    <row r="232" spans="1:9" x14ac:dyDescent="0.2">
      <c r="A232" s="1" t="str">
        <f>IF($I232="","",227)</f>
        <v/>
      </c>
      <c r="B232" s="2" t="str">
        <f>IF($I232="","",INDEX(CHOOSE($J$3,'فحص-حاسب-بكالوريوس'!$A$5:$A$208,'فحص-بيانات-بكالوريوس'!$A$5:$A$208,'فحص-بيانات-ماجستير'!$A$5:$A$230),$I232)&amp;"")</f>
        <v/>
      </c>
      <c r="C232" s="2" t="str">
        <f>IF($I232="","",INDEX(CHOOSE($J$3,'فحص-حاسب-بكالوريوس'!$F$5:$F$208,'فحص-بيانات-بكالوريوس'!$F$5:$F$208,'فحص-بيانات-ماجستير'!$F$5:$F$230),$I232)&amp;"")</f>
        <v/>
      </c>
      <c r="D232" s="2" t="str">
        <f>IF($I232="","",INDEX(CHOOSE($J$3,'فحص-حاسب-بكالوريوس'!$H$5:$H$208,'فحص-بيانات-بكالوريوس'!$H$5:$H$208,'فحص-بيانات-ماجستير'!$H$5:$H$230),$I232)&amp;"")</f>
        <v/>
      </c>
      <c r="E232" s="2" t="str">
        <f>IF($I232="","",INDEX(CHOOSE($J$3,'فحص-حاسب-بكالوريوس'!$J$5:$J$208,'فحص-بيانات-بكالوريوس'!$J$5:$J$208,'فحص-بيانات-ماجستير'!$J$5:$J$230),$I232)&amp;"")</f>
        <v/>
      </c>
      <c r="F232" s="2" t="str">
        <f>IF($I232="","",INDEX(CHOOSE($J$3,'فحص-حاسب-بكالوريوس'!$L$5:$L$208,'فحص-بيانات-بكالوريوس'!$L$5:$L$208,'فحص-بيانات-ماجستير'!$L$5:$L$230),$I232)&amp;"")</f>
        <v/>
      </c>
      <c r="G232" s="2" t="str">
        <f>IF($I232="","",INDEX(CHOOSE($J$3,'فحص-حاسب-بكالوريوس'!$M$5:$M$208,'فحص-بيانات-بكالوريوس'!$M$5:$M$208,'فحص-بيانات-ماجستير'!$M$5:$M$230),$I232)&amp;"")</f>
        <v/>
      </c>
      <c r="H232" s="2" t="str">
        <f>IF($I232="","",INDEX(CHOOSE($J$3,'فحص-حاسب-بكالوريوس'!$G$5:$G$208,'فحص-بيانات-بكالوريوس'!$G$5:$G$208,'فحص-بيانات-ماجستير'!$G$5:$G$230),$I232)&amp;"")</f>
        <v/>
      </c>
      <c r="I232" s="2" t="str">
        <f>IFERROR(MATCH($E$3&amp;"#"&amp;227,CHOOSE($J$3,'فحص-حاسب-بكالوريوس'!$R$5:$R$208,'فحص-بيانات-بكالوريوس'!$R$5:$R$208,'فحص-بيانات-ماجستير'!$R$5:$R$230),0),"")</f>
        <v/>
      </c>
    </row>
    <row r="233" spans="1:9" x14ac:dyDescent="0.2">
      <c r="A233" s="1" t="str">
        <f>IF($I233="","",228)</f>
        <v/>
      </c>
      <c r="B233" s="2" t="str">
        <f>IF($I233="","",INDEX(CHOOSE($J$3,'فحص-حاسب-بكالوريوس'!$A$5:$A$208,'فحص-بيانات-بكالوريوس'!$A$5:$A$208,'فحص-بيانات-ماجستير'!$A$5:$A$230),$I233)&amp;"")</f>
        <v/>
      </c>
      <c r="C233" s="2" t="str">
        <f>IF($I233="","",INDEX(CHOOSE($J$3,'فحص-حاسب-بكالوريوس'!$F$5:$F$208,'فحص-بيانات-بكالوريوس'!$F$5:$F$208,'فحص-بيانات-ماجستير'!$F$5:$F$230),$I233)&amp;"")</f>
        <v/>
      </c>
      <c r="D233" s="2" t="str">
        <f>IF($I233="","",INDEX(CHOOSE($J$3,'فحص-حاسب-بكالوريوس'!$H$5:$H$208,'فحص-بيانات-بكالوريوس'!$H$5:$H$208,'فحص-بيانات-ماجستير'!$H$5:$H$230),$I233)&amp;"")</f>
        <v/>
      </c>
      <c r="E233" s="2" t="str">
        <f>IF($I233="","",INDEX(CHOOSE($J$3,'فحص-حاسب-بكالوريوس'!$J$5:$J$208,'فحص-بيانات-بكالوريوس'!$J$5:$J$208,'فحص-بيانات-ماجستير'!$J$5:$J$230),$I233)&amp;"")</f>
        <v/>
      </c>
      <c r="F233" s="2" t="str">
        <f>IF($I233="","",INDEX(CHOOSE($J$3,'فحص-حاسب-بكالوريوس'!$L$5:$L$208,'فحص-بيانات-بكالوريوس'!$L$5:$L$208,'فحص-بيانات-ماجستير'!$L$5:$L$230),$I233)&amp;"")</f>
        <v/>
      </c>
      <c r="G233" s="2" t="str">
        <f>IF($I233="","",INDEX(CHOOSE($J$3,'فحص-حاسب-بكالوريوس'!$M$5:$M$208,'فحص-بيانات-بكالوريوس'!$M$5:$M$208,'فحص-بيانات-ماجستير'!$M$5:$M$230),$I233)&amp;"")</f>
        <v/>
      </c>
      <c r="H233" s="2" t="str">
        <f>IF($I233="","",INDEX(CHOOSE($J$3,'فحص-حاسب-بكالوريوس'!$G$5:$G$208,'فحص-بيانات-بكالوريوس'!$G$5:$G$208,'فحص-بيانات-ماجستير'!$G$5:$G$230),$I233)&amp;"")</f>
        <v/>
      </c>
      <c r="I233" s="2" t="str">
        <f>IFERROR(MATCH($E$3&amp;"#"&amp;228,CHOOSE($J$3,'فحص-حاسب-بكالوريوس'!$R$5:$R$208,'فحص-بيانات-بكالوريوس'!$R$5:$R$208,'فحص-بيانات-ماجستير'!$R$5:$R$230),0),"")</f>
        <v/>
      </c>
    </row>
    <row r="234" spans="1:9" x14ac:dyDescent="0.2">
      <c r="A234" s="1" t="str">
        <f>IF($I234="","",229)</f>
        <v/>
      </c>
      <c r="B234" s="2" t="str">
        <f>IF($I234="","",INDEX(CHOOSE($J$3,'فحص-حاسب-بكالوريوس'!$A$5:$A$208,'فحص-بيانات-بكالوريوس'!$A$5:$A$208,'فحص-بيانات-ماجستير'!$A$5:$A$230),$I234)&amp;"")</f>
        <v/>
      </c>
      <c r="C234" s="2" t="str">
        <f>IF($I234="","",INDEX(CHOOSE($J$3,'فحص-حاسب-بكالوريوس'!$F$5:$F$208,'فحص-بيانات-بكالوريوس'!$F$5:$F$208,'فحص-بيانات-ماجستير'!$F$5:$F$230),$I234)&amp;"")</f>
        <v/>
      </c>
      <c r="D234" s="2" t="str">
        <f>IF($I234="","",INDEX(CHOOSE($J$3,'فحص-حاسب-بكالوريوس'!$H$5:$H$208,'فحص-بيانات-بكالوريوس'!$H$5:$H$208,'فحص-بيانات-ماجستير'!$H$5:$H$230),$I234)&amp;"")</f>
        <v/>
      </c>
      <c r="E234" s="2" t="str">
        <f>IF($I234="","",INDEX(CHOOSE($J$3,'فحص-حاسب-بكالوريوس'!$J$5:$J$208,'فحص-بيانات-بكالوريوس'!$J$5:$J$208,'فحص-بيانات-ماجستير'!$J$5:$J$230),$I234)&amp;"")</f>
        <v/>
      </c>
      <c r="F234" s="2" t="str">
        <f>IF($I234="","",INDEX(CHOOSE($J$3,'فحص-حاسب-بكالوريوس'!$L$5:$L$208,'فحص-بيانات-بكالوريوس'!$L$5:$L$208,'فحص-بيانات-ماجستير'!$L$5:$L$230),$I234)&amp;"")</f>
        <v/>
      </c>
      <c r="G234" s="2" t="str">
        <f>IF($I234="","",INDEX(CHOOSE($J$3,'فحص-حاسب-بكالوريوس'!$M$5:$M$208,'فحص-بيانات-بكالوريوس'!$M$5:$M$208,'فحص-بيانات-ماجستير'!$M$5:$M$230),$I234)&amp;"")</f>
        <v/>
      </c>
      <c r="H234" s="2" t="str">
        <f>IF($I234="","",INDEX(CHOOSE($J$3,'فحص-حاسب-بكالوريوس'!$G$5:$G$208,'فحص-بيانات-بكالوريوس'!$G$5:$G$208,'فحص-بيانات-ماجستير'!$G$5:$G$230),$I234)&amp;"")</f>
        <v/>
      </c>
      <c r="I234" s="2" t="str">
        <f>IFERROR(MATCH($E$3&amp;"#"&amp;229,CHOOSE($J$3,'فحص-حاسب-بكالوريوس'!$R$5:$R$208,'فحص-بيانات-بكالوريوس'!$R$5:$R$208,'فحص-بيانات-ماجستير'!$R$5:$R$230),0),"")</f>
        <v/>
      </c>
    </row>
    <row r="235" spans="1:9" x14ac:dyDescent="0.2">
      <c r="A235" s="1" t="str">
        <f>IF($I235="","",230)</f>
        <v/>
      </c>
      <c r="B235" s="2" t="str">
        <f>IF($I235="","",INDEX(CHOOSE($J$3,'فحص-حاسب-بكالوريوس'!$A$5:$A$208,'فحص-بيانات-بكالوريوس'!$A$5:$A$208,'فحص-بيانات-ماجستير'!$A$5:$A$230),$I235)&amp;"")</f>
        <v/>
      </c>
      <c r="C235" s="2" t="str">
        <f>IF($I235="","",INDEX(CHOOSE($J$3,'فحص-حاسب-بكالوريوس'!$F$5:$F$208,'فحص-بيانات-بكالوريوس'!$F$5:$F$208,'فحص-بيانات-ماجستير'!$F$5:$F$230),$I235)&amp;"")</f>
        <v/>
      </c>
      <c r="D235" s="2" t="str">
        <f>IF($I235="","",INDEX(CHOOSE($J$3,'فحص-حاسب-بكالوريوس'!$H$5:$H$208,'فحص-بيانات-بكالوريوس'!$H$5:$H$208,'فحص-بيانات-ماجستير'!$H$5:$H$230),$I235)&amp;"")</f>
        <v/>
      </c>
      <c r="E235" s="2" t="str">
        <f>IF($I235="","",INDEX(CHOOSE($J$3,'فحص-حاسب-بكالوريوس'!$J$5:$J$208,'فحص-بيانات-بكالوريوس'!$J$5:$J$208,'فحص-بيانات-ماجستير'!$J$5:$J$230),$I235)&amp;"")</f>
        <v/>
      </c>
      <c r="F235" s="2" t="str">
        <f>IF($I235="","",INDEX(CHOOSE($J$3,'فحص-حاسب-بكالوريوس'!$L$5:$L$208,'فحص-بيانات-بكالوريوس'!$L$5:$L$208,'فحص-بيانات-ماجستير'!$L$5:$L$230),$I235)&amp;"")</f>
        <v/>
      </c>
      <c r="G235" s="2" t="str">
        <f>IF($I235="","",INDEX(CHOOSE($J$3,'فحص-حاسب-بكالوريوس'!$M$5:$M$208,'فحص-بيانات-بكالوريوس'!$M$5:$M$208,'فحص-بيانات-ماجستير'!$M$5:$M$230),$I235)&amp;"")</f>
        <v/>
      </c>
      <c r="H235" s="2" t="str">
        <f>IF($I235="","",INDEX(CHOOSE($J$3,'فحص-حاسب-بكالوريوس'!$G$5:$G$208,'فحص-بيانات-بكالوريوس'!$G$5:$G$208,'فحص-بيانات-ماجستير'!$G$5:$G$230),$I235)&amp;"")</f>
        <v/>
      </c>
      <c r="I235" s="2" t="str">
        <f>IFERROR(MATCH($E$3&amp;"#"&amp;230,CHOOSE($J$3,'فحص-حاسب-بكالوريوس'!$R$5:$R$208,'فحص-بيانات-بكالوريوس'!$R$5:$R$208,'فحص-بيانات-ماجستير'!$R$5:$R$230),0),"")</f>
        <v/>
      </c>
    </row>
  </sheetData>
  <mergeCells count="3">
    <mergeCell ref="A1:G1"/>
    <mergeCell ref="A2:G2"/>
    <mergeCell ref="B3:C3"/>
  </mergeCells>
  <dataValidations count="1">
    <dataValidation type="list" allowBlank="1" sqref="E3" xr:uid="{00000000-0002-0000-0300-000001000000}">
      <formula1>"متوفر ومكتمل,متوفر ويحتاج تحسين,غير متوفر"</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xr:uid="{00000000-0002-0000-0300-000000000000}">
          <x14:formula1>
            <xm:f>'الإعدادات واللجنة'!$B$5:$B$7</xm:f>
          </x14:formula1>
          <xm:sqref>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A06D6-773F-654A-9BE2-CBE5EFB0E9E0}">
  <sheetPr>
    <tabColor rgb="FFC00000"/>
  </sheetPr>
  <dimension ref="A1:F65"/>
  <sheetViews>
    <sheetView rightToLeft="1" topLeftCell="A9" workbookViewId="0">
      <selection activeCell="B18" sqref="B18"/>
    </sheetView>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33" customHeight="1" x14ac:dyDescent="0.2">
      <c r="A1" s="98" t="s">
        <v>649</v>
      </c>
      <c r="B1" s="98"/>
      <c r="C1" s="98"/>
      <c r="D1" s="98"/>
      <c r="E1" s="98"/>
      <c r="F1" s="98"/>
    </row>
    <row r="2" spans="1:6" ht="53.25" customHeight="1" x14ac:dyDescent="0.2">
      <c r="A2" s="99" t="s">
        <v>140</v>
      </c>
      <c r="B2" s="99"/>
      <c r="C2" s="99"/>
      <c r="D2" s="99"/>
      <c r="E2" s="99"/>
      <c r="F2" s="99"/>
    </row>
    <row r="3" spans="1:6" ht="26" x14ac:dyDescent="0.55000000000000004">
      <c r="A3" s="26"/>
      <c r="B3" s="26"/>
      <c r="C3" s="26"/>
      <c r="D3" s="26"/>
      <c r="E3" s="26"/>
      <c r="F3" s="26"/>
    </row>
    <row r="4" spans="1:6" ht="26" x14ac:dyDescent="0.2">
      <c r="A4" s="29" t="s">
        <v>69</v>
      </c>
      <c r="B4" s="29" t="s">
        <v>141</v>
      </c>
      <c r="C4" s="29" t="s">
        <v>142</v>
      </c>
      <c r="D4" s="29" t="s">
        <v>143</v>
      </c>
      <c r="E4" s="29" t="s">
        <v>35</v>
      </c>
      <c r="F4" s="29" t="s">
        <v>144</v>
      </c>
    </row>
    <row r="5" spans="1:6" ht="26.75" customHeight="1" x14ac:dyDescent="0.2">
      <c r="A5" s="97" t="s">
        <v>145</v>
      </c>
      <c r="B5" s="97"/>
      <c r="C5" s="97"/>
      <c r="D5" s="97"/>
      <c r="E5" s="97"/>
      <c r="F5" s="97"/>
    </row>
    <row r="6" spans="1:6" ht="56" customHeight="1" x14ac:dyDescent="0.2">
      <c r="A6" s="30">
        <v>1</v>
      </c>
      <c r="B6" s="34" t="s">
        <v>146</v>
      </c>
      <c r="C6" s="31" t="s">
        <v>147</v>
      </c>
      <c r="D6" s="39" t="s">
        <v>148</v>
      </c>
      <c r="E6" s="30" t="str">
        <f>'الإعدادات واللجنة'!$B$12</f>
        <v>د. نهلة بنت سعد القثامي</v>
      </c>
      <c r="F6" s="31" t="s">
        <v>149</v>
      </c>
    </row>
    <row r="7" spans="1:6" ht="56" customHeight="1" x14ac:dyDescent="0.2">
      <c r="A7" s="30">
        <v>2</v>
      </c>
      <c r="B7" s="34" t="s">
        <v>150</v>
      </c>
      <c r="C7" s="31" t="s">
        <v>151</v>
      </c>
      <c r="D7" s="39" t="s">
        <v>152</v>
      </c>
      <c r="E7" s="30" t="s">
        <v>153</v>
      </c>
      <c r="F7" s="31" t="s">
        <v>154</v>
      </c>
    </row>
    <row r="8" spans="1:6" ht="26.75" customHeight="1" x14ac:dyDescent="0.2">
      <c r="A8" s="97" t="s">
        <v>155</v>
      </c>
      <c r="B8" s="97"/>
      <c r="C8" s="97"/>
      <c r="D8" s="97"/>
      <c r="E8" s="97"/>
      <c r="F8" s="97"/>
    </row>
    <row r="9" spans="1:6" ht="56" customHeight="1" x14ac:dyDescent="0.2">
      <c r="A9" s="30">
        <v>3</v>
      </c>
      <c r="B9" s="34" t="s">
        <v>156</v>
      </c>
      <c r="C9" s="31" t="s">
        <v>157</v>
      </c>
      <c r="D9" s="40" t="s">
        <v>158</v>
      </c>
      <c r="E9" s="30" t="str">
        <f>'الإعدادات واللجنة'!$B$13</f>
        <v>د. عبير بنت عبدالله راجحي</v>
      </c>
      <c r="F9" s="31" t="s">
        <v>159</v>
      </c>
    </row>
    <row r="10" spans="1:6" ht="56" customHeight="1" x14ac:dyDescent="0.2">
      <c r="A10" s="30">
        <v>4</v>
      </c>
      <c r="B10" s="34" t="s">
        <v>160</v>
      </c>
      <c r="C10" s="31" t="s">
        <v>161</v>
      </c>
      <c r="D10" s="40" t="s">
        <v>158</v>
      </c>
      <c r="E10" s="30" t="str">
        <f>'الإعدادات واللجنة'!$B$13</f>
        <v>د. عبير بنت عبدالله راجحي</v>
      </c>
      <c r="F10" s="31" t="s">
        <v>162</v>
      </c>
    </row>
    <row r="11" spans="1:6" ht="56" customHeight="1" x14ac:dyDescent="0.2">
      <c r="A11" s="30">
        <v>5</v>
      </c>
      <c r="B11" s="34" t="s">
        <v>163</v>
      </c>
      <c r="C11" s="31" t="s">
        <v>164</v>
      </c>
      <c r="D11" s="40" t="s">
        <v>158</v>
      </c>
      <c r="E11" s="30" t="str">
        <f>'الإعدادات واللجنة'!$B$13</f>
        <v>د. عبير بنت عبدالله راجحي</v>
      </c>
      <c r="F11" s="31" t="s">
        <v>162</v>
      </c>
    </row>
    <row r="12" spans="1:6" ht="56" customHeight="1" x14ac:dyDescent="0.2">
      <c r="A12" s="30">
        <v>6</v>
      </c>
      <c r="B12" s="34" t="s">
        <v>101</v>
      </c>
      <c r="C12" s="31" t="s">
        <v>165</v>
      </c>
      <c r="D12" s="40" t="s">
        <v>158</v>
      </c>
      <c r="E12" s="30" t="str">
        <f>'الإعدادات واللجنة'!$B$13</f>
        <v>د. عبير بنت عبدالله راجحي</v>
      </c>
      <c r="F12" s="31" t="s">
        <v>162</v>
      </c>
    </row>
    <row r="13" spans="1:6" ht="56" customHeight="1" x14ac:dyDescent="0.2">
      <c r="A13" s="30">
        <v>7</v>
      </c>
      <c r="B13" s="34" t="s">
        <v>166</v>
      </c>
      <c r="C13" s="31" t="s">
        <v>167</v>
      </c>
      <c r="D13" s="40" t="s">
        <v>158</v>
      </c>
      <c r="E13" s="30" t="str">
        <f>'الإعدادات واللجنة'!$B$13</f>
        <v>د. عبير بنت عبدالله راجحي</v>
      </c>
      <c r="F13" s="31" t="s">
        <v>162</v>
      </c>
    </row>
    <row r="14" spans="1:6" ht="56" customHeight="1" x14ac:dyDescent="0.2">
      <c r="A14" s="30">
        <v>8</v>
      </c>
      <c r="B14" s="34" t="s">
        <v>168</v>
      </c>
      <c r="C14" s="31" t="s">
        <v>169</v>
      </c>
      <c r="D14" s="41" t="s">
        <v>24</v>
      </c>
      <c r="E14" s="30" t="s">
        <v>153</v>
      </c>
      <c r="F14" s="31" t="s">
        <v>170</v>
      </c>
    </row>
    <row r="15" spans="1:6" ht="26.75" customHeight="1" x14ac:dyDescent="0.2">
      <c r="A15" s="97" t="s">
        <v>171</v>
      </c>
      <c r="B15" s="97"/>
      <c r="C15" s="97"/>
      <c r="D15" s="97"/>
      <c r="E15" s="97"/>
      <c r="F15" s="97"/>
    </row>
    <row r="16" spans="1:6" ht="56" customHeight="1" x14ac:dyDescent="0.2">
      <c r="A16" s="30">
        <v>9</v>
      </c>
      <c r="B16" s="34" t="s">
        <v>172</v>
      </c>
      <c r="C16" s="31" t="s">
        <v>173</v>
      </c>
      <c r="D16" s="42" t="s">
        <v>174</v>
      </c>
      <c r="E16" s="30" t="s">
        <v>175</v>
      </c>
      <c r="F16" s="31" t="s">
        <v>176</v>
      </c>
    </row>
    <row r="17" spans="1:6" ht="56" customHeight="1" x14ac:dyDescent="0.2">
      <c r="A17" s="30">
        <v>10</v>
      </c>
      <c r="B17" s="34" t="s">
        <v>177</v>
      </c>
      <c r="C17" s="31" t="s">
        <v>178</v>
      </c>
      <c r="D17" s="42" t="s">
        <v>179</v>
      </c>
      <c r="E17" s="30" t="str">
        <f>'الإعدادات واللجنة'!$B$20</f>
        <v>د. حسن بن سعد القحطاني</v>
      </c>
      <c r="F17" s="31"/>
    </row>
    <row r="18" spans="1:6" ht="56" customHeight="1" x14ac:dyDescent="0.2">
      <c r="A18" s="30">
        <v>11</v>
      </c>
      <c r="B18" s="34" t="s">
        <v>180</v>
      </c>
      <c r="C18" s="31" t="s">
        <v>181</v>
      </c>
      <c r="D18" s="42" t="s">
        <v>182</v>
      </c>
      <c r="E18" s="30" t="str">
        <f>'الإعدادات واللجنة'!$B$15</f>
        <v>د. سلطان بن سعيد الشمراني</v>
      </c>
      <c r="F18" s="31"/>
    </row>
    <row r="19" spans="1:6" ht="56" customHeight="1" x14ac:dyDescent="0.2">
      <c r="A19" s="30">
        <v>12</v>
      </c>
      <c r="B19" s="34" t="s">
        <v>183</v>
      </c>
      <c r="C19" s="31" t="s">
        <v>184</v>
      </c>
      <c r="D19" s="39" t="s">
        <v>152</v>
      </c>
      <c r="E19" s="30" t="s">
        <v>153</v>
      </c>
      <c r="F19" s="31" t="s">
        <v>185</v>
      </c>
    </row>
    <row r="20" spans="1:6" ht="26" x14ac:dyDescent="0.55000000000000004">
      <c r="A20" s="26"/>
      <c r="B20" s="26"/>
      <c r="C20" s="26"/>
      <c r="D20" s="26"/>
      <c r="E20" s="26"/>
      <c r="F20" s="26"/>
    </row>
    <row r="21" spans="1:6" ht="26" x14ac:dyDescent="0.55000000000000004">
      <c r="A21" s="26"/>
      <c r="B21" s="26"/>
      <c r="C21" s="26"/>
      <c r="D21" s="26"/>
      <c r="E21" s="26"/>
      <c r="F21" s="26"/>
    </row>
    <row r="22" spans="1:6" ht="26" x14ac:dyDescent="0.55000000000000004">
      <c r="A22" s="26"/>
      <c r="B22" s="26"/>
      <c r="C22" s="26"/>
      <c r="D22" s="26"/>
      <c r="E22" s="26"/>
      <c r="F22" s="26"/>
    </row>
    <row r="23" spans="1:6" ht="26" x14ac:dyDescent="0.55000000000000004">
      <c r="A23" s="26"/>
      <c r="B23" s="26"/>
      <c r="C23" s="26"/>
      <c r="D23" s="26"/>
      <c r="E23" s="26"/>
      <c r="F23" s="26"/>
    </row>
    <row r="24" spans="1:6" ht="26" x14ac:dyDescent="0.55000000000000004">
      <c r="A24" s="26"/>
      <c r="B24" s="26"/>
      <c r="C24" s="26"/>
      <c r="D24" s="26"/>
      <c r="E24" s="26"/>
      <c r="F24" s="26"/>
    </row>
    <row r="25" spans="1:6" ht="26" x14ac:dyDescent="0.55000000000000004">
      <c r="A25" s="26"/>
      <c r="B25" s="26"/>
      <c r="C25" s="26"/>
      <c r="D25" s="26"/>
      <c r="E25" s="26"/>
      <c r="F25" s="26"/>
    </row>
    <row r="26" spans="1:6" ht="26" x14ac:dyDescent="0.55000000000000004">
      <c r="A26" s="26"/>
      <c r="B26" s="26"/>
      <c r="C26" s="26"/>
      <c r="D26" s="26"/>
      <c r="E26" s="26"/>
      <c r="F26" s="26"/>
    </row>
    <row r="27" spans="1:6" ht="26" x14ac:dyDescent="0.55000000000000004">
      <c r="A27" s="26"/>
      <c r="B27" s="26"/>
      <c r="C27" s="26"/>
      <c r="D27" s="26"/>
      <c r="E27" s="26"/>
      <c r="F27" s="26"/>
    </row>
    <row r="28" spans="1:6" ht="26" x14ac:dyDescent="0.55000000000000004">
      <c r="A28" s="26"/>
      <c r="B28" s="26"/>
      <c r="C28" s="26"/>
      <c r="D28" s="26"/>
      <c r="E28" s="26"/>
      <c r="F28" s="26"/>
    </row>
    <row r="29" spans="1:6" ht="26" x14ac:dyDescent="0.55000000000000004">
      <c r="A29" s="26"/>
      <c r="B29" s="26"/>
      <c r="C29" s="26"/>
      <c r="D29" s="26"/>
      <c r="E29" s="26"/>
      <c r="F29" s="26"/>
    </row>
    <row r="30" spans="1:6" ht="26" x14ac:dyDescent="0.55000000000000004">
      <c r="A30" s="26"/>
      <c r="B30" s="26"/>
      <c r="C30" s="26"/>
      <c r="D30" s="26"/>
      <c r="E30" s="26"/>
      <c r="F30" s="26"/>
    </row>
    <row r="31" spans="1:6" ht="26" x14ac:dyDescent="0.55000000000000004">
      <c r="A31" s="26"/>
      <c r="B31" s="26"/>
      <c r="C31" s="26"/>
      <c r="D31" s="26"/>
      <c r="E31" s="26"/>
      <c r="F31" s="26"/>
    </row>
    <row r="32" spans="1:6" ht="26" x14ac:dyDescent="0.55000000000000004">
      <c r="A32" s="26"/>
      <c r="B32" s="26"/>
      <c r="C32" s="26"/>
      <c r="D32" s="26"/>
      <c r="E32" s="26"/>
      <c r="F32" s="26"/>
    </row>
    <row r="33" spans="1:6" ht="26" x14ac:dyDescent="0.55000000000000004">
      <c r="A33" s="26"/>
      <c r="B33" s="26"/>
      <c r="C33" s="26"/>
      <c r="D33" s="26"/>
      <c r="E33" s="26"/>
      <c r="F33" s="26"/>
    </row>
    <row r="34" spans="1:6" ht="26" x14ac:dyDescent="0.55000000000000004">
      <c r="A34" s="26"/>
      <c r="B34" s="26"/>
      <c r="C34" s="26"/>
      <c r="D34" s="26"/>
      <c r="E34" s="26"/>
      <c r="F34" s="26"/>
    </row>
    <row r="35" spans="1:6" ht="26" x14ac:dyDescent="0.55000000000000004">
      <c r="A35" s="26"/>
      <c r="B35" s="26"/>
      <c r="C35" s="26"/>
      <c r="D35" s="26"/>
      <c r="E35" s="26"/>
      <c r="F35" s="26"/>
    </row>
    <row r="36" spans="1:6" ht="26" x14ac:dyDescent="0.55000000000000004">
      <c r="A36" s="26"/>
      <c r="B36" s="26"/>
      <c r="C36" s="26"/>
      <c r="D36" s="26"/>
      <c r="E36" s="26"/>
      <c r="F36" s="26"/>
    </row>
    <row r="37" spans="1:6" ht="26" x14ac:dyDescent="0.55000000000000004">
      <c r="A37" s="26"/>
      <c r="B37" s="26"/>
      <c r="C37" s="26"/>
      <c r="D37" s="26"/>
      <c r="E37" s="26"/>
      <c r="F37" s="26"/>
    </row>
    <row r="38" spans="1:6" ht="26" x14ac:dyDescent="0.55000000000000004">
      <c r="A38" s="26"/>
      <c r="B38" s="26"/>
      <c r="C38" s="26"/>
      <c r="D38" s="26"/>
      <c r="E38" s="26"/>
      <c r="F38" s="26"/>
    </row>
    <row r="39" spans="1:6" ht="26" x14ac:dyDescent="0.55000000000000004">
      <c r="A39" s="26"/>
      <c r="B39" s="26"/>
      <c r="C39" s="26"/>
      <c r="D39" s="26"/>
      <c r="E39" s="26"/>
      <c r="F39" s="26"/>
    </row>
    <row r="40" spans="1:6" ht="26" x14ac:dyDescent="0.55000000000000004">
      <c r="A40" s="26"/>
      <c r="B40" s="26"/>
      <c r="C40" s="26"/>
      <c r="D40" s="26"/>
      <c r="E40" s="26"/>
      <c r="F40" s="26"/>
    </row>
    <row r="41" spans="1:6" ht="26" x14ac:dyDescent="0.55000000000000004">
      <c r="A41" s="26"/>
      <c r="B41" s="26"/>
      <c r="C41" s="26"/>
      <c r="D41" s="26"/>
      <c r="E41" s="26"/>
      <c r="F41" s="26"/>
    </row>
    <row r="42" spans="1:6" ht="26" x14ac:dyDescent="0.55000000000000004">
      <c r="A42" s="26"/>
      <c r="B42" s="26"/>
      <c r="C42" s="26"/>
      <c r="D42" s="26"/>
      <c r="E42" s="26"/>
      <c r="F42" s="26"/>
    </row>
    <row r="43" spans="1:6" ht="26" x14ac:dyDescent="0.55000000000000004">
      <c r="A43" s="26"/>
      <c r="B43" s="26"/>
      <c r="C43" s="26"/>
      <c r="D43" s="26"/>
      <c r="E43" s="26"/>
      <c r="F43" s="26"/>
    </row>
    <row r="44" spans="1:6" ht="26" x14ac:dyDescent="0.55000000000000004">
      <c r="A44" s="26"/>
      <c r="B44" s="26"/>
      <c r="C44" s="26"/>
      <c r="D44" s="26"/>
      <c r="E44" s="26"/>
      <c r="F44" s="26"/>
    </row>
    <row r="45" spans="1:6" ht="26" x14ac:dyDescent="0.55000000000000004">
      <c r="A45" s="26"/>
      <c r="B45" s="26"/>
      <c r="C45" s="26"/>
      <c r="D45" s="26"/>
      <c r="E45" s="26"/>
      <c r="F45" s="26"/>
    </row>
    <row r="46" spans="1:6" ht="26" x14ac:dyDescent="0.55000000000000004">
      <c r="A46" s="26"/>
      <c r="B46" s="26"/>
      <c r="C46" s="26"/>
      <c r="D46" s="26"/>
      <c r="E46" s="26"/>
      <c r="F46" s="26"/>
    </row>
    <row r="47" spans="1:6" ht="26" x14ac:dyDescent="0.55000000000000004">
      <c r="A47" s="26"/>
      <c r="B47" s="26"/>
      <c r="C47" s="26"/>
      <c r="D47" s="26"/>
      <c r="E47" s="26"/>
      <c r="F47" s="26"/>
    </row>
    <row r="48" spans="1:6" ht="26" x14ac:dyDescent="0.55000000000000004">
      <c r="A48" s="26"/>
      <c r="B48" s="26"/>
      <c r="C48" s="26"/>
      <c r="D48" s="26"/>
      <c r="E48" s="26"/>
      <c r="F48" s="26"/>
    </row>
    <row r="49" spans="1:6" ht="26" x14ac:dyDescent="0.55000000000000004">
      <c r="A49" s="26"/>
      <c r="B49" s="26"/>
      <c r="C49" s="26"/>
      <c r="D49" s="26"/>
      <c r="E49" s="26"/>
      <c r="F49" s="26"/>
    </row>
    <row r="50" spans="1:6" ht="26" x14ac:dyDescent="0.55000000000000004">
      <c r="A50" s="26"/>
      <c r="B50" s="26"/>
      <c r="C50" s="26"/>
      <c r="D50" s="26"/>
      <c r="E50" s="26"/>
      <c r="F50" s="26"/>
    </row>
    <row r="51" spans="1:6" ht="26" x14ac:dyDescent="0.55000000000000004">
      <c r="A51" s="26"/>
      <c r="B51" s="26"/>
      <c r="C51" s="26"/>
      <c r="D51" s="26"/>
      <c r="E51" s="26"/>
      <c r="F51" s="26"/>
    </row>
    <row r="52" spans="1:6" ht="26" x14ac:dyDescent="0.55000000000000004">
      <c r="A52" s="26"/>
      <c r="B52" s="26"/>
      <c r="C52" s="26"/>
      <c r="D52" s="26"/>
      <c r="E52" s="26"/>
      <c r="F52" s="26"/>
    </row>
    <row r="53" spans="1:6" ht="26" x14ac:dyDescent="0.55000000000000004">
      <c r="A53" s="26"/>
      <c r="B53" s="26"/>
      <c r="C53" s="26"/>
      <c r="D53" s="26"/>
      <c r="E53" s="26"/>
      <c r="F53" s="26"/>
    </row>
    <row r="54" spans="1:6" ht="26" x14ac:dyDescent="0.55000000000000004">
      <c r="A54" s="26"/>
      <c r="B54" s="26"/>
      <c r="C54" s="26"/>
      <c r="D54" s="26"/>
      <c r="E54" s="26"/>
      <c r="F54" s="26"/>
    </row>
    <row r="55" spans="1:6" ht="26" x14ac:dyDescent="0.55000000000000004">
      <c r="A55" s="26"/>
      <c r="B55" s="26"/>
      <c r="C55" s="26"/>
      <c r="D55" s="26"/>
      <c r="E55" s="26"/>
      <c r="F55" s="26"/>
    </row>
    <row r="56" spans="1:6" ht="26" x14ac:dyDescent="0.55000000000000004">
      <c r="A56" s="26"/>
      <c r="B56" s="26"/>
      <c r="C56" s="26"/>
      <c r="D56" s="26"/>
      <c r="E56" s="26"/>
      <c r="F56" s="26"/>
    </row>
    <row r="57" spans="1:6" ht="26" x14ac:dyDescent="0.55000000000000004">
      <c r="A57" s="26"/>
      <c r="B57" s="26"/>
      <c r="C57" s="26"/>
      <c r="D57" s="26"/>
      <c r="E57" s="26"/>
      <c r="F57" s="26"/>
    </row>
    <row r="58" spans="1:6" ht="26" x14ac:dyDescent="0.55000000000000004">
      <c r="A58" s="26"/>
      <c r="B58" s="26"/>
      <c r="C58" s="26"/>
      <c r="D58" s="26"/>
      <c r="E58" s="26"/>
      <c r="F58" s="26"/>
    </row>
    <row r="59" spans="1:6" ht="26" x14ac:dyDescent="0.55000000000000004">
      <c r="A59" s="26"/>
      <c r="B59" s="26"/>
      <c r="C59" s="26"/>
      <c r="D59" s="26"/>
      <c r="E59" s="26"/>
      <c r="F59" s="26"/>
    </row>
    <row r="60" spans="1:6" ht="26" x14ac:dyDescent="0.55000000000000004">
      <c r="A60" s="26"/>
      <c r="B60" s="26"/>
      <c r="C60" s="26"/>
      <c r="D60" s="26"/>
      <c r="E60" s="26"/>
      <c r="F60" s="26"/>
    </row>
    <row r="61" spans="1:6" ht="26" x14ac:dyDescent="0.55000000000000004">
      <c r="A61" s="26"/>
      <c r="B61" s="26"/>
      <c r="C61" s="26"/>
      <c r="D61" s="26"/>
      <c r="E61" s="26"/>
      <c r="F61" s="26"/>
    </row>
    <row r="62" spans="1:6" ht="26" x14ac:dyDescent="0.55000000000000004">
      <c r="A62" s="26"/>
      <c r="B62" s="26"/>
      <c r="C62" s="26"/>
      <c r="D62" s="26"/>
      <c r="E62" s="26"/>
      <c r="F62" s="26"/>
    </row>
    <row r="63" spans="1:6" ht="26" x14ac:dyDescent="0.55000000000000004">
      <c r="A63" s="26"/>
      <c r="B63" s="26"/>
      <c r="C63" s="26"/>
      <c r="D63" s="26"/>
      <c r="E63" s="26"/>
      <c r="F63" s="26"/>
    </row>
    <row r="64" spans="1:6" ht="26" x14ac:dyDescent="0.55000000000000004">
      <c r="A64" s="26"/>
      <c r="B64" s="26"/>
      <c r="C64" s="26"/>
      <c r="D64" s="26"/>
      <c r="E64" s="26"/>
      <c r="F64" s="26"/>
    </row>
    <row r="65" spans="1:6" ht="26" x14ac:dyDescent="0.55000000000000004">
      <c r="A65" s="26"/>
      <c r="B65" s="26"/>
      <c r="C65" s="26"/>
      <c r="D65" s="26"/>
      <c r="E65" s="26"/>
      <c r="F65" s="26"/>
    </row>
  </sheetData>
  <mergeCells count="5">
    <mergeCell ref="A1:F1"/>
    <mergeCell ref="A2:F2"/>
    <mergeCell ref="A5:F5"/>
    <mergeCell ref="A8:F8"/>
    <mergeCell ref="A15:F15"/>
  </mergeCells>
  <pageMargins left="0.7" right="0.7" top="0.75" bottom="0.75" header="0.3" footer="0.3"/>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02BB4-BDFA-AD44-B227-471B689DE6C8}">
  <sheetPr>
    <tabColor rgb="FF548235"/>
  </sheetPr>
  <dimension ref="A1:H15"/>
  <sheetViews>
    <sheetView rightToLeft="1" workbookViewId="0">
      <selection activeCell="A1" sqref="A1"/>
    </sheetView>
  </sheetViews>
  <sheetFormatPr baseColWidth="10" defaultColWidth="8.83203125" defaultRowHeight="15" x14ac:dyDescent="0.2"/>
  <cols>
    <col min="1" max="1" width="18" customWidth="1"/>
    <col min="2" max="2" width="26" customWidth="1"/>
    <col min="3" max="3" width="38" customWidth="1"/>
    <col min="4" max="4" width="40" customWidth="1"/>
    <col min="5" max="5" width="13" customWidth="1"/>
    <col min="6" max="6" width="38" customWidth="1"/>
    <col min="7" max="7" width="17" customWidth="1"/>
    <col min="8" max="8" width="10" customWidth="1"/>
  </cols>
  <sheetData>
    <row r="1" spans="1:8" ht="30" customHeight="1" x14ac:dyDescent="0.2">
      <c r="A1" s="104" t="s">
        <v>594</v>
      </c>
      <c r="B1" s="105"/>
      <c r="C1" s="105"/>
      <c r="D1" s="105"/>
      <c r="E1" s="105"/>
      <c r="F1" s="105"/>
      <c r="G1" s="105"/>
      <c r="H1" s="105"/>
    </row>
    <row r="2" spans="1:8" ht="46" customHeight="1" x14ac:dyDescent="0.2">
      <c r="A2" s="106" t="s">
        <v>595</v>
      </c>
      <c r="B2" s="105"/>
      <c r="C2" s="105"/>
      <c r="D2" s="105"/>
      <c r="E2" s="105"/>
      <c r="F2" s="105"/>
      <c r="G2" s="105"/>
      <c r="H2" s="105"/>
    </row>
    <row r="4" spans="1:8" ht="30" customHeight="1" x14ac:dyDescent="0.2">
      <c r="A4" s="5" t="s">
        <v>191</v>
      </c>
      <c r="B4" s="5" t="s">
        <v>596</v>
      </c>
      <c r="C4" s="5" t="s">
        <v>593</v>
      </c>
      <c r="D4" s="5" t="s">
        <v>597</v>
      </c>
      <c r="E4" s="5" t="s">
        <v>139</v>
      </c>
      <c r="F4" s="5" t="s">
        <v>193</v>
      </c>
      <c r="G4" s="5" t="s">
        <v>194</v>
      </c>
      <c r="H4" s="5" t="s">
        <v>192</v>
      </c>
    </row>
    <row r="5" spans="1:8" ht="48" customHeight="1" x14ac:dyDescent="0.2">
      <c r="A5" s="1" t="s">
        <v>598</v>
      </c>
      <c r="B5" s="2" t="s">
        <v>599</v>
      </c>
      <c r="C5" s="2" t="s">
        <v>600</v>
      </c>
      <c r="D5" s="2" t="s">
        <v>601</v>
      </c>
      <c r="E5" s="2" t="s">
        <v>153</v>
      </c>
      <c r="F5" s="2" t="s">
        <v>153</v>
      </c>
      <c r="G5" s="2" t="s">
        <v>153</v>
      </c>
      <c r="H5" s="2" t="s">
        <v>153</v>
      </c>
    </row>
    <row r="6" spans="1:8" ht="48" customHeight="1" x14ac:dyDescent="0.2">
      <c r="A6" s="1" t="s">
        <v>598</v>
      </c>
      <c r="B6" s="2" t="s">
        <v>602</v>
      </c>
      <c r="C6" s="2" t="s">
        <v>603</v>
      </c>
      <c r="D6" s="2" t="s">
        <v>604</v>
      </c>
      <c r="E6" s="2" t="s">
        <v>153</v>
      </c>
      <c r="F6" s="2" t="s">
        <v>153</v>
      </c>
      <c r="G6" s="2" t="s">
        <v>153</v>
      </c>
      <c r="H6" s="2" t="s">
        <v>153</v>
      </c>
    </row>
    <row r="7" spans="1:8" ht="48" customHeight="1" x14ac:dyDescent="0.2">
      <c r="A7" s="1" t="s">
        <v>605</v>
      </c>
      <c r="B7" s="2" t="s">
        <v>599</v>
      </c>
      <c r="C7" s="2" t="s">
        <v>606</v>
      </c>
      <c r="D7" s="2" t="s">
        <v>607</v>
      </c>
      <c r="E7" s="2" t="s">
        <v>588</v>
      </c>
      <c r="F7" s="2" t="s">
        <v>608</v>
      </c>
      <c r="G7" s="2" t="s">
        <v>609</v>
      </c>
      <c r="H7" s="2" t="s">
        <v>610</v>
      </c>
    </row>
    <row r="8" spans="1:8" ht="48" customHeight="1" x14ac:dyDescent="0.2">
      <c r="A8" s="1" t="s">
        <v>605</v>
      </c>
      <c r="B8" s="2" t="s">
        <v>611</v>
      </c>
      <c r="C8" s="2" t="s">
        <v>612</v>
      </c>
      <c r="D8" s="2" t="s">
        <v>613</v>
      </c>
      <c r="E8" s="2" t="s">
        <v>588</v>
      </c>
      <c r="F8" s="2" t="s">
        <v>614</v>
      </c>
      <c r="G8" s="2" t="s">
        <v>609</v>
      </c>
      <c r="H8" s="2" t="s">
        <v>610</v>
      </c>
    </row>
    <row r="9" spans="1:8" ht="48" customHeight="1" x14ac:dyDescent="0.2">
      <c r="A9" s="1" t="s">
        <v>605</v>
      </c>
      <c r="B9" s="2" t="s">
        <v>615</v>
      </c>
      <c r="C9" s="2" t="s">
        <v>616</v>
      </c>
      <c r="D9" s="2" t="s">
        <v>617</v>
      </c>
      <c r="E9" s="2" t="s">
        <v>589</v>
      </c>
      <c r="F9" s="2" t="s">
        <v>618</v>
      </c>
      <c r="G9" s="2" t="s">
        <v>619</v>
      </c>
      <c r="H9" s="2" t="s">
        <v>620</v>
      </c>
    </row>
    <row r="10" spans="1:8" ht="48" customHeight="1" x14ac:dyDescent="0.2">
      <c r="A10" s="1" t="s">
        <v>605</v>
      </c>
      <c r="B10" s="2" t="s">
        <v>621</v>
      </c>
      <c r="C10" s="2" t="s">
        <v>622</v>
      </c>
      <c r="D10" s="2" t="s">
        <v>623</v>
      </c>
      <c r="E10" s="2" t="s">
        <v>589</v>
      </c>
      <c r="F10" s="2" t="s">
        <v>624</v>
      </c>
      <c r="G10" s="2" t="s">
        <v>619</v>
      </c>
      <c r="H10" s="2" t="s">
        <v>620</v>
      </c>
    </row>
    <row r="11" spans="1:8" ht="48" customHeight="1" x14ac:dyDescent="0.2">
      <c r="A11" s="1" t="s">
        <v>120</v>
      </c>
      <c r="B11" s="2" t="s">
        <v>625</v>
      </c>
      <c r="C11" s="2" t="s">
        <v>626</v>
      </c>
      <c r="D11" s="2" t="s">
        <v>627</v>
      </c>
      <c r="E11" s="2" t="s">
        <v>588</v>
      </c>
      <c r="F11" s="2" t="s">
        <v>628</v>
      </c>
      <c r="G11" s="2" t="s">
        <v>609</v>
      </c>
      <c r="H11" s="2" t="s">
        <v>620</v>
      </c>
    </row>
    <row r="12" spans="1:8" ht="48" customHeight="1" x14ac:dyDescent="0.2">
      <c r="A12" s="1" t="s">
        <v>120</v>
      </c>
      <c r="B12" s="2" t="s">
        <v>629</v>
      </c>
      <c r="C12" s="2" t="s">
        <v>630</v>
      </c>
      <c r="D12" s="2" t="s">
        <v>631</v>
      </c>
      <c r="E12" s="2" t="s">
        <v>588</v>
      </c>
      <c r="F12" s="2" t="s">
        <v>632</v>
      </c>
      <c r="G12" s="2" t="s">
        <v>609</v>
      </c>
      <c r="H12" s="2" t="s">
        <v>620</v>
      </c>
    </row>
    <row r="13" spans="1:8" ht="48" customHeight="1" x14ac:dyDescent="0.2">
      <c r="A13" s="1" t="s">
        <v>120</v>
      </c>
      <c r="B13" s="2" t="s">
        <v>629</v>
      </c>
      <c r="C13" s="2" t="s">
        <v>633</v>
      </c>
      <c r="D13" s="2" t="s">
        <v>634</v>
      </c>
      <c r="E13" s="2" t="s">
        <v>589</v>
      </c>
      <c r="F13" s="2" t="s">
        <v>635</v>
      </c>
      <c r="G13" s="2" t="s">
        <v>619</v>
      </c>
      <c r="H13" s="2" t="s">
        <v>620</v>
      </c>
    </row>
    <row r="14" spans="1:8" ht="48" customHeight="1" x14ac:dyDescent="0.2">
      <c r="A14" s="1" t="s">
        <v>120</v>
      </c>
      <c r="B14" s="2" t="s">
        <v>636</v>
      </c>
      <c r="C14" s="2" t="s">
        <v>637</v>
      </c>
      <c r="D14" s="2" t="s">
        <v>638</v>
      </c>
      <c r="E14" s="2" t="s">
        <v>589</v>
      </c>
      <c r="F14" s="2" t="s">
        <v>639</v>
      </c>
      <c r="G14" s="2" t="s">
        <v>640</v>
      </c>
      <c r="H14" s="2" t="s">
        <v>620</v>
      </c>
    </row>
    <row r="15" spans="1:8" ht="48" customHeight="1" x14ac:dyDescent="0.2">
      <c r="A15" s="1" t="s">
        <v>641</v>
      </c>
      <c r="B15" s="2" t="s">
        <v>599</v>
      </c>
      <c r="C15" s="2" t="s">
        <v>642</v>
      </c>
      <c r="D15" s="2" t="s">
        <v>643</v>
      </c>
      <c r="E15" s="2" t="s">
        <v>153</v>
      </c>
      <c r="F15" s="2" t="s">
        <v>644</v>
      </c>
      <c r="G15" s="2" t="s">
        <v>153</v>
      </c>
      <c r="H15" s="2" t="s">
        <v>153</v>
      </c>
    </row>
  </sheetData>
  <mergeCells count="2">
    <mergeCell ref="A1:H1"/>
    <mergeCell ref="A2:H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BEB1F6-92DE-B64A-9273-D3BCD9982A86}">
  <sheetPr filterMode="1">
    <tabColor rgb="FF8EA9DB"/>
  </sheetPr>
  <dimension ref="A1:R208"/>
  <sheetViews>
    <sheetView rightToLeft="1" workbookViewId="0">
      <pane xSplit="6" ySplit="4" topLeftCell="H5" activePane="bottomRight" state="frozen"/>
      <selection pane="topRight"/>
      <selection pane="bottomLeft"/>
      <selection pane="bottomRight" activeCell="L13" sqref="L13"/>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2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واللجنة'!$B$5</f>
        <v>فحص الأدلة – بكالوريوس علوم الحاسب</v>
      </c>
      <c r="B1" s="107"/>
      <c r="C1" s="107"/>
      <c r="D1" s="107"/>
      <c r="E1" s="107"/>
      <c r="F1" s="107"/>
      <c r="G1" s="107"/>
      <c r="H1" s="107"/>
    </row>
    <row r="2" spans="1:18" ht="15" customHeight="1" x14ac:dyDescent="0.2">
      <c r="A2" s="108"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29"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inlineStr">
        <is>
          <t>القسم العلمي</t>
        </is>
      </c>
      <c r="H5" s="46" t="str">
        <f>IFERROR(INDEX('الإعدادات واللجنة'!$C$24:$C$32,MATCH(LEFT(A5,3),'الإعدادات واللجنة'!$A$24:$A$32,0)),"")</f>
        <v>د. سلطان بن سعيد الشمراني</v>
      </c>
      <c r="I5" s="38" t="s">
        <v>605</v>
      </c>
      <c r="J5" s="38" t="s">
        <v>588</v>
      </c>
      <c r="K5" s="46" t="str">
        <f t="shared" ref="K5:K68" si="0">IF(OR(I5="",I5="متوفر ومكتمل"),"",IF(OR(D5="★",I5="غير متوفر"),"عالية","متوسطة"))</f>
        <v>متوسطة</v>
      </c>
      <c r="L5" s="48" t="s">
        <v>650</v>
      </c>
      <c r="M5" s="38"/>
      <c r="N5" s="48"/>
      <c r="O5" s="48"/>
      <c r="P5" s="38"/>
      <c r="Q5" s="48"/>
      <c r="R5" s="26" t="str">
        <f>IF($I5="","",$I5&amp;"#"&amp;COUNTIF($I$5:$I5,$I5))</f>
        <v>متوفر ويحتاج تحسين#1</v>
      </c>
    </row>
    <row r="6" spans="1:18" ht="44" x14ac:dyDescent="0.55000000000000004">
      <c r="A6" s="46" t="s">
        <v>199</v>
      </c>
      <c r="B6" s="63" t="s">
        <v>125</v>
      </c>
      <c r="C6" s="44"/>
      <c r="D6" s="45"/>
      <c r="E6" s="46">
        <v>2</v>
      </c>
      <c r="F6" s="44" t="s">
        <v>203</v>
      </c>
      <c r="G6" s="47" t="inlineStr">
        <is>
          <t>القسم العلمي</t>
        </is>
      </c>
      <c r="H6" s="46" t="str">
        <f>IFERROR(INDEX('الإعدادات واللجنة'!$C$24:$C$32,MATCH(LEFT(A6,3),'الإعدادات واللجنة'!$A$24:$A$32,0)),"")</f>
        <v>د. سلطان بن سعيد الشمراني</v>
      </c>
      <c r="I6" s="38" t="s">
        <v>598</v>
      </c>
      <c r="J6" s="38"/>
      <c r="K6" s="46" t="str">
        <f t="shared" si="0"/>
        <v/>
      </c>
      <c r="L6" s="48"/>
      <c r="M6" s="38"/>
      <c r="N6" s="48"/>
      <c r="O6" s="48"/>
      <c r="P6" s="38"/>
      <c r="Q6" s="48"/>
      <c r="R6" s="26" t="str">
        <f>IF($I6="","",$I6&amp;"#"&amp;COUNTIF($I$5:$I6,$I6))</f>
        <v>متوفر ومكتمل#1</v>
      </c>
    </row>
    <row r="7" spans="1:18" ht="44" x14ac:dyDescent="0.55000000000000004">
      <c r="A7" s="46" t="s">
        <v>199</v>
      </c>
      <c r="B7" s="63" t="s">
        <v>125</v>
      </c>
      <c r="C7" s="44"/>
      <c r="D7" s="45"/>
      <c r="E7" s="46">
        <v>3</v>
      </c>
      <c r="F7" s="44" t="s">
        <v>204</v>
      </c>
      <c r="G7" s="47" t="inlineStr">
        <is>
          <t>إدارة الكلية</t>
        </is>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inlineStr">
        <is>
          <t>لجنة الجودة بالكلية</t>
        </is>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inlineStr">
        <is>
          <t>الموارد البشرية</t>
        </is>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inlineStr">
        <is>
          <t>الموارد البشرية</t>
        </is>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inlineStr">
        <is>
          <t>إدارة الكلية</t>
        </is>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inlineStr">
        <is>
          <t>القسم العلمي</t>
        </is>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inlineStr">
        <is>
          <t>لجنة الجودة بالكلية</t>
        </is>
      </c>
      <c r="H13" s="46" t="str">
        <f>IFERROR(INDEX('الإعدادات واللجنة'!$C$24:$C$32,MATCH(LEFT(A13,3),'الإعدادات واللجنة'!$A$24:$A$32,0)),"")</f>
        <v>د. سلطان بن سعيد الشمراني</v>
      </c>
      <c r="I13" s="38" t="s">
        <v>120</v>
      </c>
      <c r="J13" s="38" t="s">
        <v>589</v>
      </c>
      <c r="K13" s="46" t="str">
        <f t="shared" si="0"/>
        <v>عالية</v>
      </c>
      <c r="L13" s="48"/>
      <c r="M13" s="38"/>
      <c r="N13" s="48"/>
      <c r="O13" s="48"/>
      <c r="P13" s="38"/>
      <c r="Q13" s="48"/>
      <c r="R13" s="26" t="str">
        <f>IF($I13="","",$I13&amp;"#"&amp;COUNTIF($I$5:$I13,$I13))</f>
        <v>غير متوفر#1</v>
      </c>
    </row>
    <row r="14" spans="1:18" ht="44" x14ac:dyDescent="0.55000000000000004">
      <c r="A14" s="60" t="s">
        <v>214</v>
      </c>
      <c r="B14" s="66" t="s">
        <v>125</v>
      </c>
      <c r="C14" s="61" t="s">
        <v>215</v>
      </c>
      <c r="D14" s="62"/>
      <c r="E14" s="54">
        <v>1</v>
      </c>
      <c r="F14" s="61" t="s">
        <v>216</v>
      </c>
      <c r="G14" s="53" t="inlineStr">
        <is>
          <t>إدارة الكلية</t>
        </is>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inlineStr">
        <is>
          <t>القسم العلمي</t>
        </is>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inlineStr">
        <is>
          <t>الأمن والسلامة والمرافق</t>
        </is>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inlineStr">
        <is>
          <t>وحدة الأنشطة بالكلية / شؤون الطلاب</t>
        </is>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inlineStr">
        <is>
          <t>القسم العلمي</t>
        </is>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inlineStr">
        <is>
          <t>لجنة الجودة بالكلية</t>
        </is>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inlineStr">
        <is>
          <t>إدارة الكلية</t>
        </is>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inlineStr">
        <is>
          <t>القسم العلمي</t>
        </is>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inlineStr">
        <is>
          <t>لجنة الجودة بالكلية</t>
        </is>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inlineStr">
        <is>
          <t>القسم العلمي</t>
        </is>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inlineStr">
        <is>
          <t>إدارة الكلية</t>
        </is>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inlineStr">
        <is>
          <t>إدارة الكلية</t>
        </is>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inlineStr">
        <is>
          <t>إدارة الكلية</t>
        </is>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inlineStr">
        <is>
          <t>وحدة الخريجين</t>
        </is>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inlineStr">
        <is>
          <t>القسم العلمي</t>
        </is>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inlineStr">
        <is>
          <t>القسم العلمي</t>
        </is>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inlineStr">
        <is>
          <t>القسم العلمي</t>
        </is>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inlineStr">
        <is>
          <t>إدارة الكلية</t>
        </is>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inlineStr">
        <is>
          <t>القسم العلمي</t>
        </is>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inlineStr">
        <is>
          <t>لجنة الجودة بالكلية</t>
        </is>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inlineStr">
        <is>
          <t>القسم العلمي</t>
        </is>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inlineStr">
        <is>
          <t>إدارة الكلية</t>
        </is>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inlineStr">
        <is>
          <t>البحث العلمي والدراسات العليا</t>
        </is>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inlineStr">
        <is>
          <t>القسم العلمي</t>
        </is>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inlineStr">
        <is>
          <t>القسم العلمي</t>
        </is>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inlineStr">
        <is>
          <t>التعليم الإلكتروني</t>
        </is>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inlineStr">
        <is>
          <t>إدارة الكلية</t>
        </is>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inlineStr">
        <is>
          <t>إدارة الكلية</t>
        </is>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inlineStr">
        <is>
          <t>إدارة الكلية</t>
        </is>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inlineStr">
        <is>
          <t>إدارة الكلية</t>
        </is>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hidden="1" x14ac:dyDescent="0.55000000000000004">
      <c r="A44" s="60" t="s">
        <v>258</v>
      </c>
      <c r="B44" s="66" t="s">
        <v>125</v>
      </c>
      <c r="C44" s="61" t="s">
        <v>259</v>
      </c>
      <c r="D44" s="62"/>
      <c r="E44" s="54">
        <v>1</v>
      </c>
      <c r="F44" s="61" t="s">
        <v>260</v>
      </c>
      <c r="G44" s="53" t="inlineStr">
        <is>
          <t>لجنة الجودة بالكلية</t>
        </is>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hidden="1" x14ac:dyDescent="0.55000000000000004">
      <c r="A45" s="46" t="s">
        <v>258</v>
      </c>
      <c r="B45" s="63" t="s">
        <v>125</v>
      </c>
      <c r="C45" s="44"/>
      <c r="D45" s="45"/>
      <c r="E45" s="46">
        <v>2</v>
      </c>
      <c r="F45" s="44" t="s">
        <v>261</v>
      </c>
      <c r="G45" s="47" t="inlineStr">
        <is>
          <t>عمادة الجودة</t>
        </is>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hidden="1" x14ac:dyDescent="0.55000000000000004">
      <c r="A46" s="46" t="s">
        <v>258</v>
      </c>
      <c r="B46" s="63" t="s">
        <v>125</v>
      </c>
      <c r="C46" s="44"/>
      <c r="D46" s="45"/>
      <c r="E46" s="46">
        <v>3</v>
      </c>
      <c r="F46" s="44" t="s">
        <v>262</v>
      </c>
      <c r="G46" s="47" t="inlineStr">
        <is>
          <t>إدارة الكلية</t>
        </is>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hidden="1" x14ac:dyDescent="0.55000000000000004">
      <c r="A47" s="46" t="s">
        <v>258</v>
      </c>
      <c r="B47" s="63" t="s">
        <v>125</v>
      </c>
      <c r="C47" s="44"/>
      <c r="D47" s="45"/>
      <c r="E47" s="46">
        <v>4</v>
      </c>
      <c r="F47" s="44" t="s">
        <v>263</v>
      </c>
      <c r="G47" s="47" t="inlineStr">
        <is>
          <t>إدارة الكلية</t>
        </is>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hidden="1" x14ac:dyDescent="0.55000000000000004">
      <c r="A48" s="49" t="s">
        <v>264</v>
      </c>
      <c r="B48" s="64" t="s">
        <v>125</v>
      </c>
      <c r="C48" s="50" t="s">
        <v>265</v>
      </c>
      <c r="D48" s="51" t="s">
        <v>208</v>
      </c>
      <c r="E48" s="52">
        <v>1</v>
      </c>
      <c r="F48" s="50" t="s">
        <v>266</v>
      </c>
      <c r="G48" s="53" t="inlineStr">
        <is>
          <t>لجنة الجودة بالكلية</t>
        </is>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hidden="1" x14ac:dyDescent="0.55000000000000004">
      <c r="A49" s="57" t="s">
        <v>264</v>
      </c>
      <c r="B49" s="65" t="s">
        <v>125</v>
      </c>
      <c r="C49" s="58"/>
      <c r="D49" s="59" t="s">
        <v>208</v>
      </c>
      <c r="E49" s="57">
        <v>2</v>
      </c>
      <c r="F49" s="58" t="s">
        <v>267</v>
      </c>
      <c r="G49" s="47" t="inlineStr">
        <is>
          <t>القسم العلمي</t>
        </is>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hidden="1" x14ac:dyDescent="0.55000000000000004">
      <c r="A50" s="57" t="s">
        <v>264</v>
      </c>
      <c r="B50" s="65" t="s">
        <v>125</v>
      </c>
      <c r="C50" s="58"/>
      <c r="D50" s="59" t="s">
        <v>208</v>
      </c>
      <c r="E50" s="57">
        <v>3</v>
      </c>
      <c r="F50" s="58" t="s">
        <v>268</v>
      </c>
      <c r="G50" s="47" t="inlineStr">
        <is>
          <t>لجنة الجودة بالكلية</t>
        </is>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hidden="1" x14ac:dyDescent="0.55000000000000004">
      <c r="A51" s="60" t="s">
        <v>269</v>
      </c>
      <c r="B51" s="66" t="s">
        <v>125</v>
      </c>
      <c r="C51" s="61" t="s">
        <v>270</v>
      </c>
      <c r="D51" s="62"/>
      <c r="E51" s="54">
        <v>1</v>
      </c>
      <c r="F51" s="61" t="s">
        <v>271</v>
      </c>
      <c r="G51" s="53" t="inlineStr">
        <is>
          <t>لجنة الجودة بالكلية</t>
        </is>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hidden="1" x14ac:dyDescent="0.55000000000000004">
      <c r="A52" s="46" t="s">
        <v>269</v>
      </c>
      <c r="B52" s="63" t="s">
        <v>125</v>
      </c>
      <c r="C52" s="44"/>
      <c r="D52" s="45"/>
      <c r="E52" s="46">
        <v>2</v>
      </c>
      <c r="F52" s="44" t="s">
        <v>272</v>
      </c>
      <c r="G52" s="47" t="inlineStr">
        <is>
          <t>لجنة الجودة بالكلية</t>
        </is>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hidden="1" x14ac:dyDescent="0.55000000000000004">
      <c r="A53" s="46" t="s">
        <v>269</v>
      </c>
      <c r="B53" s="63" t="s">
        <v>125</v>
      </c>
      <c r="C53" s="44"/>
      <c r="D53" s="45"/>
      <c r="E53" s="46">
        <v>3</v>
      </c>
      <c r="F53" s="44" t="s">
        <v>273</v>
      </c>
      <c r="G53" s="47" t="inlineStr">
        <is>
          <t>لجنة الجودة بالكلية</t>
        </is>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hidden="1" x14ac:dyDescent="0.55000000000000004">
      <c r="A54" s="46" t="s">
        <v>269</v>
      </c>
      <c r="B54" s="63" t="s">
        <v>125</v>
      </c>
      <c r="C54" s="44"/>
      <c r="D54" s="45"/>
      <c r="E54" s="46">
        <v>4</v>
      </c>
      <c r="F54" s="44" t="s">
        <v>274</v>
      </c>
      <c r="G54" s="47" t="inlineStr">
        <is>
          <t>القسم العلمي</t>
        </is>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hidden="1" x14ac:dyDescent="0.55000000000000004">
      <c r="A55" s="46" t="s">
        <v>269</v>
      </c>
      <c r="B55" s="63" t="s">
        <v>125</v>
      </c>
      <c r="C55" s="44"/>
      <c r="D55" s="45"/>
      <c r="E55" s="46">
        <v>5</v>
      </c>
      <c r="F55" s="44" t="s">
        <v>275</v>
      </c>
      <c r="G55" s="47" t="inlineStr">
        <is>
          <t>القسم العلمي</t>
        </is>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hidden="1" x14ac:dyDescent="0.55000000000000004">
      <c r="A56" s="46" t="s">
        <v>269</v>
      </c>
      <c r="B56" s="63" t="s">
        <v>125</v>
      </c>
      <c r="C56" s="44"/>
      <c r="D56" s="45"/>
      <c r="E56" s="46">
        <v>6</v>
      </c>
      <c r="F56" s="44" t="s">
        <v>276</v>
      </c>
      <c r="G56" s="47" t="inlineStr">
        <is>
          <t>القسم العلمي</t>
        </is>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hidden="1" x14ac:dyDescent="0.55000000000000004">
      <c r="A57" s="60" t="s">
        <v>277</v>
      </c>
      <c r="B57" s="66" t="s">
        <v>126</v>
      </c>
      <c r="C57" s="61" t="s">
        <v>278</v>
      </c>
      <c r="D57" s="62"/>
      <c r="E57" s="54">
        <v>1</v>
      </c>
      <c r="F57" s="61" t="s">
        <v>279</v>
      </c>
      <c r="G57" s="53" t="inlineStr">
        <is>
          <t>القسم العلمي</t>
        </is>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hidden="1" x14ac:dyDescent="0.55000000000000004">
      <c r="A58" s="46" t="s">
        <v>277</v>
      </c>
      <c r="B58" s="63" t="s">
        <v>126</v>
      </c>
      <c r="C58" s="44"/>
      <c r="D58" s="45"/>
      <c r="E58" s="46">
        <v>2</v>
      </c>
      <c r="F58" s="44" t="s">
        <v>280</v>
      </c>
      <c r="G58" s="47" t="inlineStr">
        <is>
          <t>عمادة الجودة</t>
        </is>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hidden="1" x14ac:dyDescent="0.55000000000000004">
      <c r="A59" s="46" t="s">
        <v>277</v>
      </c>
      <c r="B59" s="63" t="s">
        <v>126</v>
      </c>
      <c r="C59" s="44"/>
      <c r="D59" s="45"/>
      <c r="E59" s="46">
        <v>3</v>
      </c>
      <c r="F59" s="44" t="s">
        <v>281</v>
      </c>
      <c r="G59" s="47" t="inlineStr">
        <is>
          <t>القسم العلمي</t>
        </is>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hidden="1" x14ac:dyDescent="0.55000000000000004">
      <c r="A60" s="46" t="s">
        <v>277</v>
      </c>
      <c r="B60" s="63" t="s">
        <v>126</v>
      </c>
      <c r="C60" s="44"/>
      <c r="D60" s="45"/>
      <c r="E60" s="46">
        <v>4</v>
      </c>
      <c r="F60" s="44" t="s">
        <v>282</v>
      </c>
      <c r="G60" s="47" t="inlineStr">
        <is>
          <t>القسم العلمي</t>
        </is>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hidden="1" x14ac:dyDescent="0.55000000000000004">
      <c r="A61" s="46" t="s">
        <v>277</v>
      </c>
      <c r="B61" s="63" t="s">
        <v>126</v>
      </c>
      <c r="C61" s="44"/>
      <c r="D61" s="45"/>
      <c r="E61" s="46">
        <v>5</v>
      </c>
      <c r="F61" s="44" t="s">
        <v>283</v>
      </c>
      <c r="G61" s="47" t="inlineStr">
        <is>
          <t>القسم العلمي</t>
        </is>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hidden="1" x14ac:dyDescent="0.55000000000000004">
      <c r="A62" s="46" t="s">
        <v>277</v>
      </c>
      <c r="B62" s="63" t="s">
        <v>126</v>
      </c>
      <c r="C62" s="44"/>
      <c r="D62" s="45"/>
      <c r="E62" s="46">
        <v>6</v>
      </c>
      <c r="F62" s="44" t="s">
        <v>284</v>
      </c>
      <c r="G62" s="47" t="inlineStr">
        <is>
          <t>لجنة الجودة بالكلية</t>
        </is>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hidden="1" x14ac:dyDescent="0.55000000000000004">
      <c r="A63" s="46" t="s">
        <v>277</v>
      </c>
      <c r="B63" s="63" t="s">
        <v>126</v>
      </c>
      <c r="C63" s="44"/>
      <c r="D63" s="45"/>
      <c r="E63" s="46">
        <v>7</v>
      </c>
      <c r="F63" s="44" t="s">
        <v>285</v>
      </c>
      <c r="G63" s="47" t="inlineStr">
        <is>
          <t>القسم العلمي</t>
        </is>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hidden="1" x14ac:dyDescent="0.55000000000000004">
      <c r="A64" s="46" t="s">
        <v>277</v>
      </c>
      <c r="B64" s="63" t="s">
        <v>126</v>
      </c>
      <c r="C64" s="44"/>
      <c r="D64" s="45"/>
      <c r="E64" s="46">
        <v>8</v>
      </c>
      <c r="F64" s="44" t="s">
        <v>286</v>
      </c>
      <c r="G64" s="47" t="inlineStr">
        <is>
          <t>القسم العلمي</t>
        </is>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hidden="1" x14ac:dyDescent="0.55000000000000004">
      <c r="A65" s="46" t="s">
        <v>277</v>
      </c>
      <c r="B65" s="63" t="s">
        <v>126</v>
      </c>
      <c r="C65" s="44"/>
      <c r="D65" s="45"/>
      <c r="E65" s="46">
        <v>9</v>
      </c>
      <c r="F65" s="44" t="s">
        <v>287</v>
      </c>
      <c r="G65" s="47" t="inlineStr">
        <is>
          <t>لجنة الجودة بالكلية</t>
        </is>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hidden="1" x14ac:dyDescent="0.55000000000000004">
      <c r="A66" s="46" t="s">
        <v>277</v>
      </c>
      <c r="B66" s="63" t="s">
        <v>126</v>
      </c>
      <c r="C66" s="44"/>
      <c r="D66" s="45"/>
      <c r="E66" s="46">
        <v>10</v>
      </c>
      <c r="F66" s="44" t="s">
        <v>288</v>
      </c>
      <c r="G66" s="47" t="inlineStr">
        <is>
          <t>القسم العلمي</t>
        </is>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hidden="1" x14ac:dyDescent="0.55000000000000004">
      <c r="A67" s="49" t="s">
        <v>289</v>
      </c>
      <c r="B67" s="64" t="s">
        <v>126</v>
      </c>
      <c r="C67" s="50" t="s">
        <v>290</v>
      </c>
      <c r="D67" s="51" t="s">
        <v>208</v>
      </c>
      <c r="E67" s="52">
        <v>1</v>
      </c>
      <c r="F67" s="50" t="s">
        <v>291</v>
      </c>
      <c r="G67" s="53" t="inlineStr">
        <is>
          <t>القسم العلمي</t>
        </is>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hidden="1" x14ac:dyDescent="0.55000000000000004">
      <c r="A68" s="57" t="s">
        <v>289</v>
      </c>
      <c r="B68" s="65" t="s">
        <v>126</v>
      </c>
      <c r="C68" s="58"/>
      <c r="D68" s="59" t="s">
        <v>208</v>
      </c>
      <c r="E68" s="57">
        <v>2</v>
      </c>
      <c r="F68" s="58" t="s">
        <v>292</v>
      </c>
      <c r="G68" s="47" t="inlineStr">
        <is>
          <t>لجنة الجودة بالكلية</t>
        </is>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hidden="1" x14ac:dyDescent="0.55000000000000004">
      <c r="A69" s="57" t="s">
        <v>289</v>
      </c>
      <c r="B69" s="65" t="s">
        <v>126</v>
      </c>
      <c r="C69" s="58"/>
      <c r="D69" s="59" t="s">
        <v>208</v>
      </c>
      <c r="E69" s="57">
        <v>3</v>
      </c>
      <c r="F69" s="58" t="s">
        <v>293</v>
      </c>
      <c r="G69" s="47" t="inlineStr">
        <is>
          <t>القسم العلمي</t>
        </is>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hidden="1" x14ac:dyDescent="0.55000000000000004">
      <c r="A70" s="60" t="s">
        <v>294</v>
      </c>
      <c r="B70" s="66" t="s">
        <v>126</v>
      </c>
      <c r="C70" s="61" t="s">
        <v>295</v>
      </c>
      <c r="D70" s="62"/>
      <c r="E70" s="54">
        <v>1</v>
      </c>
      <c r="F70" s="61" t="s">
        <v>296</v>
      </c>
      <c r="G70" s="53" t="inlineStr">
        <is>
          <t>القسم العلمي</t>
        </is>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hidden="1" x14ac:dyDescent="0.55000000000000004">
      <c r="A71" s="46" t="s">
        <v>294</v>
      </c>
      <c r="B71" s="63" t="s">
        <v>126</v>
      </c>
      <c r="C71" s="44"/>
      <c r="D71" s="45"/>
      <c r="E71" s="46">
        <v>2</v>
      </c>
      <c r="F71" s="44" t="s">
        <v>297</v>
      </c>
      <c r="G71" s="47" t="inlineStr">
        <is>
          <t>القسم العلمي</t>
        </is>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hidden="1" x14ac:dyDescent="0.55000000000000004">
      <c r="A72" s="46" t="s">
        <v>294</v>
      </c>
      <c r="B72" s="63" t="s">
        <v>126</v>
      </c>
      <c r="C72" s="44"/>
      <c r="D72" s="45"/>
      <c r="E72" s="46">
        <v>3</v>
      </c>
      <c r="F72" s="44" t="s">
        <v>298</v>
      </c>
      <c r="G72" s="47" t="inlineStr">
        <is>
          <t>لجنة الجودة بالكلية</t>
        </is>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hidden="1" x14ac:dyDescent="0.55000000000000004">
      <c r="A73" s="46" t="s">
        <v>294</v>
      </c>
      <c r="B73" s="63" t="s">
        <v>126</v>
      </c>
      <c r="C73" s="44"/>
      <c r="D73" s="45"/>
      <c r="E73" s="46">
        <v>4</v>
      </c>
      <c r="F73" s="44" t="s">
        <v>299</v>
      </c>
      <c r="G73" s="47" t="inlineStr">
        <is>
          <t>لجنة الجودة بالكلية</t>
        </is>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hidden="1" x14ac:dyDescent="0.55000000000000004">
      <c r="A74" s="49" t="s">
        <v>300</v>
      </c>
      <c r="B74" s="64" t="s">
        <v>126</v>
      </c>
      <c r="C74" s="50" t="s">
        <v>301</v>
      </c>
      <c r="D74" s="51" t="s">
        <v>208</v>
      </c>
      <c r="E74" s="52">
        <v>1</v>
      </c>
      <c r="F74" s="50" t="s">
        <v>280</v>
      </c>
      <c r="G74" s="53" t="inlineStr">
        <is>
          <t>عمادة الجودة</t>
        </is>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hidden="1" x14ac:dyDescent="0.55000000000000004">
      <c r="A75" s="57" t="s">
        <v>300</v>
      </c>
      <c r="B75" s="65" t="s">
        <v>126</v>
      </c>
      <c r="C75" s="58"/>
      <c r="D75" s="59" t="s">
        <v>208</v>
      </c>
      <c r="E75" s="57">
        <v>2</v>
      </c>
      <c r="F75" s="58" t="s">
        <v>302</v>
      </c>
      <c r="G75" s="47" t="inlineStr">
        <is>
          <t>القسم العلمي</t>
        </is>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hidden="1" x14ac:dyDescent="0.55000000000000004">
      <c r="A76" s="57" t="s">
        <v>300</v>
      </c>
      <c r="B76" s="65" t="s">
        <v>126</v>
      </c>
      <c r="C76" s="58"/>
      <c r="D76" s="59" t="s">
        <v>208</v>
      </c>
      <c r="E76" s="57">
        <v>3</v>
      </c>
      <c r="F76" s="58" t="s">
        <v>303</v>
      </c>
      <c r="G76" s="47" t="inlineStr">
        <is>
          <t>لجنة الجودة بالكلية</t>
        </is>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hidden="1" x14ac:dyDescent="0.55000000000000004">
      <c r="A77" s="57" t="s">
        <v>300</v>
      </c>
      <c r="B77" s="65" t="s">
        <v>126</v>
      </c>
      <c r="C77" s="58"/>
      <c r="D77" s="59" t="s">
        <v>208</v>
      </c>
      <c r="E77" s="57">
        <v>4</v>
      </c>
      <c r="F77" s="58" t="s">
        <v>304</v>
      </c>
      <c r="G77" s="47" t="inlineStr">
        <is>
          <t>القسم العلمي</t>
        </is>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hidden="1" x14ac:dyDescent="0.55000000000000004">
      <c r="A78" s="60" t="s">
        <v>305</v>
      </c>
      <c r="B78" s="66" t="s">
        <v>126</v>
      </c>
      <c r="C78" s="61" t="s">
        <v>306</v>
      </c>
      <c r="D78" s="62"/>
      <c r="E78" s="54">
        <v>1</v>
      </c>
      <c r="F78" s="61" t="s">
        <v>307</v>
      </c>
      <c r="G78" s="53" t="inlineStr">
        <is>
          <t>القسم العلمي</t>
        </is>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hidden="1" x14ac:dyDescent="0.55000000000000004">
      <c r="A79" s="46" t="s">
        <v>305</v>
      </c>
      <c r="B79" s="63" t="s">
        <v>126</v>
      </c>
      <c r="C79" s="44"/>
      <c r="D79" s="45"/>
      <c r="E79" s="46">
        <v>2</v>
      </c>
      <c r="F79" s="44" t="s">
        <v>308</v>
      </c>
      <c r="G79" s="47" t="inlineStr">
        <is>
          <t>القسم العلمي</t>
        </is>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hidden="1" x14ac:dyDescent="0.55000000000000004">
      <c r="A80" s="46" t="s">
        <v>305</v>
      </c>
      <c r="B80" s="63" t="s">
        <v>126</v>
      </c>
      <c r="C80" s="44"/>
      <c r="D80" s="45"/>
      <c r="E80" s="46">
        <v>3</v>
      </c>
      <c r="F80" s="44" t="s">
        <v>309</v>
      </c>
      <c r="G80" s="47" t="inlineStr">
        <is>
          <t>القسم العلمي</t>
        </is>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hidden="1" x14ac:dyDescent="0.55000000000000004">
      <c r="A81" s="46" t="s">
        <v>305</v>
      </c>
      <c r="B81" s="63" t="s">
        <v>126</v>
      </c>
      <c r="C81" s="44"/>
      <c r="D81" s="45"/>
      <c r="E81" s="46">
        <v>4</v>
      </c>
      <c r="F81" s="44" t="s">
        <v>310</v>
      </c>
      <c r="G81" s="47" t="inlineStr">
        <is>
          <t>لجنة الجودة بالكلية</t>
        </is>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hidden="1" x14ac:dyDescent="0.55000000000000004">
      <c r="A82" s="49" t="s">
        <v>311</v>
      </c>
      <c r="B82" s="64" t="s">
        <v>126</v>
      </c>
      <c r="C82" s="50" t="s">
        <v>312</v>
      </c>
      <c r="D82" s="51" t="s">
        <v>208</v>
      </c>
      <c r="E82" s="52">
        <v>1</v>
      </c>
      <c r="F82" s="50" t="s">
        <v>313</v>
      </c>
      <c r="G82" s="53" t="inlineStr">
        <is>
          <t>القسم العلمي</t>
        </is>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hidden="1" x14ac:dyDescent="0.55000000000000004">
      <c r="A83" s="57" t="s">
        <v>311</v>
      </c>
      <c r="B83" s="65" t="s">
        <v>126</v>
      </c>
      <c r="C83" s="58"/>
      <c r="D83" s="59" t="s">
        <v>208</v>
      </c>
      <c r="E83" s="57">
        <v>2</v>
      </c>
      <c r="F83" s="58" t="s">
        <v>314</v>
      </c>
      <c r="G83" s="47" t="inlineStr">
        <is>
          <t>القسم العلمي</t>
        </is>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hidden="1" x14ac:dyDescent="0.55000000000000004">
      <c r="A84" s="57" t="s">
        <v>311</v>
      </c>
      <c r="B84" s="65" t="s">
        <v>126</v>
      </c>
      <c r="C84" s="58"/>
      <c r="D84" s="59" t="s">
        <v>208</v>
      </c>
      <c r="E84" s="57">
        <v>3</v>
      </c>
      <c r="F84" s="58" t="s">
        <v>315</v>
      </c>
      <c r="G84" s="47" t="inlineStr">
        <is>
          <t>القسم العلمي</t>
        </is>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hidden="1" x14ac:dyDescent="0.55000000000000004">
      <c r="A85" s="57" t="s">
        <v>311</v>
      </c>
      <c r="B85" s="65" t="s">
        <v>126</v>
      </c>
      <c r="C85" s="58"/>
      <c r="D85" s="59" t="s">
        <v>208</v>
      </c>
      <c r="E85" s="57">
        <v>4</v>
      </c>
      <c r="F85" s="58" t="s">
        <v>316</v>
      </c>
      <c r="G85" s="47" t="inlineStr">
        <is>
          <t>القسم العلمي</t>
        </is>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hidden="1" x14ac:dyDescent="0.55000000000000004">
      <c r="A86" s="57" t="s">
        <v>311</v>
      </c>
      <c r="B86" s="65" t="s">
        <v>126</v>
      </c>
      <c r="C86" s="58"/>
      <c r="D86" s="59" t="s">
        <v>208</v>
      </c>
      <c r="E86" s="57">
        <v>5</v>
      </c>
      <c r="F86" s="58" t="s">
        <v>317</v>
      </c>
      <c r="G86" s="47" t="inlineStr">
        <is>
          <t>لجنة الجودة بالكلية</t>
        </is>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hidden="1" x14ac:dyDescent="0.55000000000000004">
      <c r="A87" s="57" t="s">
        <v>311</v>
      </c>
      <c r="B87" s="65" t="s">
        <v>126</v>
      </c>
      <c r="C87" s="58"/>
      <c r="D87" s="59" t="s">
        <v>208</v>
      </c>
      <c r="E87" s="57">
        <v>6</v>
      </c>
      <c r="F87" s="58" t="s">
        <v>318</v>
      </c>
      <c r="G87" s="47" t="inlineStr">
        <is>
          <t>إدارة الكلية</t>
        </is>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hidden="1" x14ac:dyDescent="0.55000000000000004">
      <c r="A88" s="49" t="s">
        <v>319</v>
      </c>
      <c r="B88" s="64" t="s">
        <v>126</v>
      </c>
      <c r="C88" s="50" t="s">
        <v>320</v>
      </c>
      <c r="D88" s="51" t="s">
        <v>208</v>
      </c>
      <c r="E88" s="52">
        <v>1</v>
      </c>
      <c r="F88" s="50" t="s">
        <v>321</v>
      </c>
      <c r="G88" s="53" t="inlineStr">
        <is>
          <t>القسم العلمي</t>
        </is>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hidden="1" x14ac:dyDescent="0.55000000000000004">
      <c r="A89" s="57" t="s">
        <v>319</v>
      </c>
      <c r="B89" s="65" t="s">
        <v>126</v>
      </c>
      <c r="C89" s="58"/>
      <c r="D89" s="59" t="s">
        <v>208</v>
      </c>
      <c r="E89" s="57">
        <v>2</v>
      </c>
      <c r="F89" s="58" t="s">
        <v>322</v>
      </c>
      <c r="G89" s="47" t="inlineStr">
        <is>
          <t>القسم العلمي</t>
        </is>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hidden="1" x14ac:dyDescent="0.55000000000000004">
      <c r="A90" s="57" t="s">
        <v>319</v>
      </c>
      <c r="B90" s="65" t="s">
        <v>126</v>
      </c>
      <c r="C90" s="58"/>
      <c r="D90" s="59" t="s">
        <v>208</v>
      </c>
      <c r="E90" s="57">
        <v>3</v>
      </c>
      <c r="F90" s="58" t="s">
        <v>316</v>
      </c>
      <c r="G90" s="47" t="inlineStr">
        <is>
          <t>القسم العلمي</t>
        </is>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hidden="1" x14ac:dyDescent="0.55000000000000004">
      <c r="A91" s="57" t="s">
        <v>319</v>
      </c>
      <c r="B91" s="65" t="s">
        <v>126</v>
      </c>
      <c r="C91" s="58"/>
      <c r="D91" s="59" t="s">
        <v>208</v>
      </c>
      <c r="E91" s="57">
        <v>4</v>
      </c>
      <c r="F91" s="58" t="s">
        <v>323</v>
      </c>
      <c r="G91" s="47" t="inlineStr">
        <is>
          <t>القسم العلمي</t>
        </is>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hidden="1" x14ac:dyDescent="0.55000000000000004">
      <c r="A92" s="60" t="s">
        <v>324</v>
      </c>
      <c r="B92" s="66" t="s">
        <v>126</v>
      </c>
      <c r="C92" s="61" t="s">
        <v>325</v>
      </c>
      <c r="D92" s="62"/>
      <c r="E92" s="54">
        <v>1</v>
      </c>
      <c r="F92" s="61" t="s">
        <v>326</v>
      </c>
      <c r="G92" s="53" t="inlineStr">
        <is>
          <t>القسم العلمي</t>
        </is>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hidden="1" x14ac:dyDescent="0.55000000000000004">
      <c r="A93" s="46" t="s">
        <v>324</v>
      </c>
      <c r="B93" s="63" t="s">
        <v>126</v>
      </c>
      <c r="C93" s="44"/>
      <c r="D93" s="45"/>
      <c r="E93" s="46">
        <v>2</v>
      </c>
      <c r="F93" s="44" t="s">
        <v>327</v>
      </c>
      <c r="G93" s="47" t="inlineStr">
        <is>
          <t>القسم العلمي</t>
        </is>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hidden="1" x14ac:dyDescent="0.55000000000000004">
      <c r="A94" s="46" t="s">
        <v>324</v>
      </c>
      <c r="B94" s="63" t="s">
        <v>126</v>
      </c>
      <c r="C94" s="44"/>
      <c r="D94" s="45"/>
      <c r="E94" s="46">
        <v>3</v>
      </c>
      <c r="F94" s="44" t="s">
        <v>328</v>
      </c>
      <c r="G94" s="47" t="inlineStr">
        <is>
          <t>القسم العلمي</t>
        </is>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44" hidden="1" x14ac:dyDescent="0.55000000000000004">
      <c r="A95" s="46" t="s">
        <v>324</v>
      </c>
      <c r="B95" s="63" t="s">
        <v>126</v>
      </c>
      <c r="C95" s="44"/>
      <c r="D95" s="45"/>
      <c r="E95" s="46">
        <v>4</v>
      </c>
      <c r="F95" s="44" t="s">
        <v>329</v>
      </c>
      <c r="G95" s="47" t="inlineStr">
        <is>
          <t>القسم العلمي</t>
        </is>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44" hidden="1" x14ac:dyDescent="0.55000000000000004">
      <c r="A96" s="60" t="s">
        <v>330</v>
      </c>
      <c r="B96" s="66" t="s">
        <v>126</v>
      </c>
      <c r="C96" s="61" t="s">
        <v>331</v>
      </c>
      <c r="D96" s="62"/>
      <c r="E96" s="54">
        <v>1</v>
      </c>
      <c r="F96" s="61" t="s">
        <v>314</v>
      </c>
      <c r="G96" s="53" t="inlineStr">
        <is>
          <t>القسم العلمي</t>
        </is>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hidden="1" x14ac:dyDescent="0.55000000000000004">
      <c r="A97" s="46" t="s">
        <v>330</v>
      </c>
      <c r="B97" s="63" t="s">
        <v>126</v>
      </c>
      <c r="C97" s="44"/>
      <c r="D97" s="45"/>
      <c r="E97" s="46">
        <v>2</v>
      </c>
      <c r="F97" s="44" t="s">
        <v>332</v>
      </c>
      <c r="G97" s="47" t="inlineStr">
        <is>
          <t>القسم العلمي</t>
        </is>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44" hidden="1" x14ac:dyDescent="0.55000000000000004">
      <c r="A98" s="46" t="s">
        <v>330</v>
      </c>
      <c r="B98" s="63" t="s">
        <v>126</v>
      </c>
      <c r="C98" s="44"/>
      <c r="D98" s="45"/>
      <c r="E98" s="46">
        <v>3</v>
      </c>
      <c r="F98" s="44" t="s">
        <v>333</v>
      </c>
      <c r="G98" s="47" t="inlineStr">
        <is>
          <t>القسم العلمي</t>
        </is>
      </c>
      <c r="H98" s="46" t="str">
        <f>IFERROR(INDEX('الإعدادات واللجنة'!$C$24:$C$32,MATCH(LEFT(A98,3),'الإعدادات واللجنة'!$A$24:$A$32,0)),"")</f>
        <v>د. احمد بن عوض البشري</v>
      </c>
      <c r="I98" s="38"/>
      <c r="J98" s="38"/>
      <c r="K98" s="46" t="str">
        <f t="shared" si="1"/>
        <v/>
      </c>
      <c r="L98" s="48"/>
      <c r="M98" s="38"/>
      <c r="N98" s="48"/>
      <c r="O98" s="48"/>
      <c r="P98" s="38"/>
      <c r="Q98" s="48"/>
      <c r="R98" s="26" t="str">
        <f>IF($I98="","",$I98&amp;"#"&amp;COUNTIF($I$5:$I98,$I98))</f>
        <v/>
      </c>
    </row>
    <row r="99" spans="1:18" ht="66" hidden="1" x14ac:dyDescent="0.55000000000000004">
      <c r="A99" s="46" t="s">
        <v>330</v>
      </c>
      <c r="B99" s="63" t="s">
        <v>126</v>
      </c>
      <c r="C99" s="44"/>
      <c r="D99" s="45"/>
      <c r="E99" s="46">
        <v>4</v>
      </c>
      <c r="F99" s="44" t="s">
        <v>334</v>
      </c>
      <c r="G99" s="47" t="inlineStr">
        <is>
          <t>القسم العلمي</t>
        </is>
      </c>
      <c r="H99" s="46" t="str">
        <f>IFERROR(INDEX('الإعدادات واللجنة'!$C$24:$C$32,MATCH(LEFT(A99,3),'الإعدادات واللجنة'!$A$24:$A$32,0)),"")</f>
        <v>د. احمد بن عوض البشري</v>
      </c>
      <c r="I99" s="38"/>
      <c r="J99" s="38"/>
      <c r="K99" s="46" t="str">
        <f t="shared" si="1"/>
        <v/>
      </c>
      <c r="L99" s="48"/>
      <c r="M99" s="38"/>
      <c r="N99" s="48"/>
      <c r="O99" s="48"/>
      <c r="P99" s="38"/>
      <c r="Q99" s="48"/>
      <c r="R99" s="26" t="str">
        <f>IF($I99="","",$I99&amp;"#"&amp;COUNTIF($I$5:$I99,$I99))</f>
        <v/>
      </c>
    </row>
    <row r="100" spans="1:18" ht="66" hidden="1" x14ac:dyDescent="0.55000000000000004">
      <c r="A100" s="60" t="s">
        <v>335</v>
      </c>
      <c r="B100" s="66" t="s">
        <v>126</v>
      </c>
      <c r="C100" s="61" t="s">
        <v>336</v>
      </c>
      <c r="D100" s="62"/>
      <c r="E100" s="54">
        <v>1</v>
      </c>
      <c r="F100" s="61" t="s">
        <v>337</v>
      </c>
      <c r="G100" s="53" t="inlineStr">
        <is>
          <t>القسم العلمي</t>
        </is>
      </c>
      <c r="H100" s="54" t="str">
        <f>IFERROR(INDEX('الإعدادات واللجنة'!$C$24:$C$32,MATCH(LEFT(A100,3),'الإعدادات واللجنة'!$A$24:$A$32,0)),"")</f>
        <v>د. احمد بن عوض البشري</v>
      </c>
      <c r="I100" s="55"/>
      <c r="J100" s="55"/>
      <c r="K100" s="54" t="str">
        <f t="shared" si="1"/>
        <v/>
      </c>
      <c r="L100" s="56"/>
      <c r="M100" s="55"/>
      <c r="N100" s="56"/>
      <c r="O100" s="56"/>
      <c r="P100" s="55"/>
      <c r="Q100" s="56"/>
      <c r="R100" s="26" t="str">
        <f>IF($I100="","",$I100&amp;"#"&amp;COUNTIF($I$5:$I100,$I100))</f>
        <v/>
      </c>
    </row>
    <row r="101" spans="1:18" ht="44" hidden="1" x14ac:dyDescent="0.55000000000000004">
      <c r="A101" s="46" t="s">
        <v>335</v>
      </c>
      <c r="B101" s="63" t="s">
        <v>126</v>
      </c>
      <c r="C101" s="44"/>
      <c r="D101" s="45"/>
      <c r="E101" s="46">
        <v>2</v>
      </c>
      <c r="F101" s="44" t="s">
        <v>338</v>
      </c>
      <c r="G101" s="47" t="inlineStr">
        <is>
          <t>لجنة الجودة بالكلية</t>
        </is>
      </c>
      <c r="H101" s="46" t="str">
        <f>IFERROR(INDEX('الإعدادات واللجنة'!$C$24:$C$32,MATCH(LEFT(A101,3),'الإعدادات واللجنة'!$A$24:$A$32,0)),"")</f>
        <v>د. احمد بن عوض البشري</v>
      </c>
      <c r="I101" s="38"/>
      <c r="J101" s="38"/>
      <c r="K101" s="46" t="str">
        <f t="shared" si="1"/>
        <v/>
      </c>
      <c r="L101" s="48"/>
      <c r="M101" s="38"/>
      <c r="N101" s="48"/>
      <c r="O101" s="48"/>
      <c r="P101" s="38"/>
      <c r="Q101" s="48"/>
      <c r="R101" s="26" t="str">
        <f>IF($I101="","",$I101&amp;"#"&amp;COUNTIF($I$5:$I101,$I101))</f>
        <v/>
      </c>
    </row>
    <row r="102" spans="1:18" ht="66" hidden="1" x14ac:dyDescent="0.55000000000000004">
      <c r="A102" s="60" t="s">
        <v>339</v>
      </c>
      <c r="B102" s="66" t="s">
        <v>126</v>
      </c>
      <c r="C102" s="61" t="s">
        <v>340</v>
      </c>
      <c r="D102" s="62"/>
      <c r="E102" s="54">
        <v>1</v>
      </c>
      <c r="F102" s="61" t="s">
        <v>341</v>
      </c>
      <c r="G102" s="53" t="inlineStr">
        <is>
          <t>القسم العلمي</t>
        </is>
      </c>
      <c r="H102" s="54" t="str">
        <f>IFERROR(INDEX('الإعدادات واللجنة'!$C$24:$C$32,MATCH(LEFT(A102,3),'الإعدادات واللجنة'!$A$24:$A$32,0)),"")</f>
        <v>د. احمد بن عوض البشري</v>
      </c>
      <c r="I102" s="55"/>
      <c r="J102" s="55"/>
      <c r="K102" s="54" t="str">
        <f t="shared" si="1"/>
        <v/>
      </c>
      <c r="L102" s="56"/>
      <c r="M102" s="55"/>
      <c r="N102" s="56"/>
      <c r="O102" s="56"/>
      <c r="P102" s="55"/>
      <c r="Q102" s="56"/>
      <c r="R102" s="26" t="str">
        <f>IF($I102="","",$I102&amp;"#"&amp;COUNTIF($I$5:$I102,$I102))</f>
        <v/>
      </c>
    </row>
    <row r="103" spans="1:18" ht="44" hidden="1" x14ac:dyDescent="0.55000000000000004">
      <c r="A103" s="46" t="s">
        <v>339</v>
      </c>
      <c r="B103" s="63" t="s">
        <v>126</v>
      </c>
      <c r="C103" s="44"/>
      <c r="D103" s="45"/>
      <c r="E103" s="46">
        <v>2</v>
      </c>
      <c r="F103" s="44" t="s">
        <v>342</v>
      </c>
      <c r="G103" s="47" t="inlineStr">
        <is>
          <t>القسم العلمي</t>
        </is>
      </c>
      <c r="H103" s="46" t="str">
        <f>IFERROR(INDEX('الإعدادات واللجنة'!$C$24:$C$32,MATCH(LEFT(A103,3),'الإعدادات واللجنة'!$A$24:$A$32,0)),"")</f>
        <v>د. احمد بن عوض البشري</v>
      </c>
      <c r="I103" s="38"/>
      <c r="J103" s="38"/>
      <c r="K103" s="46" t="str">
        <f t="shared" si="1"/>
        <v/>
      </c>
      <c r="L103" s="48"/>
      <c r="M103" s="38"/>
      <c r="N103" s="48"/>
      <c r="O103" s="48"/>
      <c r="P103" s="38"/>
      <c r="Q103" s="48"/>
      <c r="R103" s="26" t="str">
        <f>IF($I103="","",$I103&amp;"#"&amp;COUNTIF($I$5:$I103,$I103))</f>
        <v/>
      </c>
    </row>
    <row r="104" spans="1:18" ht="44" hidden="1" x14ac:dyDescent="0.55000000000000004">
      <c r="A104" s="46" t="s">
        <v>339</v>
      </c>
      <c r="B104" s="63" t="s">
        <v>126</v>
      </c>
      <c r="C104" s="44"/>
      <c r="D104" s="45"/>
      <c r="E104" s="46">
        <v>3</v>
      </c>
      <c r="F104" s="44" t="s">
        <v>343</v>
      </c>
      <c r="G104" s="47" t="inlineStr">
        <is>
          <t>لجنة الجودة بالكلية</t>
        </is>
      </c>
      <c r="H104" s="46" t="str">
        <f>IFERROR(INDEX('الإعدادات واللجنة'!$C$24:$C$32,MATCH(LEFT(A104,3),'الإعدادات واللجنة'!$A$24:$A$32,0)),"")</f>
        <v>د. احمد بن عوض البشري</v>
      </c>
      <c r="I104" s="38"/>
      <c r="J104" s="38"/>
      <c r="K104" s="46" t="str">
        <f t="shared" si="1"/>
        <v/>
      </c>
      <c r="L104" s="48"/>
      <c r="M104" s="38"/>
      <c r="N104" s="48"/>
      <c r="O104" s="48"/>
      <c r="P104" s="38"/>
      <c r="Q104" s="48"/>
      <c r="R104" s="26" t="str">
        <f>IF($I104="","",$I104&amp;"#"&amp;COUNTIF($I$5:$I104,$I104))</f>
        <v/>
      </c>
    </row>
    <row r="105" spans="1:18" ht="66" hidden="1" x14ac:dyDescent="0.55000000000000004">
      <c r="A105" s="49" t="s">
        <v>344</v>
      </c>
      <c r="B105" s="64" t="s">
        <v>126</v>
      </c>
      <c r="C105" s="50" t="s">
        <v>345</v>
      </c>
      <c r="D105" s="51" t="s">
        <v>208</v>
      </c>
      <c r="E105" s="52">
        <v>1</v>
      </c>
      <c r="F105" s="50" t="s">
        <v>346</v>
      </c>
      <c r="G105" s="53" t="inlineStr">
        <is>
          <t>القسم العلمي</t>
        </is>
      </c>
      <c r="H105" s="54" t="str">
        <f>IFERROR(INDEX('الإعدادات واللجنة'!$C$24:$C$32,MATCH(LEFT(A105,3),'الإعدادات واللجنة'!$A$24:$A$32,0)),"")</f>
        <v>د. احمد بن عوض البشري</v>
      </c>
      <c r="I105" s="55"/>
      <c r="J105" s="55"/>
      <c r="K105" s="54" t="str">
        <f t="shared" si="1"/>
        <v/>
      </c>
      <c r="L105" s="56"/>
      <c r="M105" s="55"/>
      <c r="N105" s="56"/>
      <c r="O105" s="56"/>
      <c r="P105" s="55"/>
      <c r="Q105" s="56"/>
      <c r="R105" s="26" t="str">
        <f>IF($I105="","",$I105&amp;"#"&amp;COUNTIF($I$5:$I105,$I105))</f>
        <v/>
      </c>
    </row>
    <row r="106" spans="1:18" ht="44" hidden="1" x14ac:dyDescent="0.55000000000000004">
      <c r="A106" s="57" t="s">
        <v>344</v>
      </c>
      <c r="B106" s="65" t="s">
        <v>126</v>
      </c>
      <c r="C106" s="58"/>
      <c r="D106" s="59" t="s">
        <v>208</v>
      </c>
      <c r="E106" s="57">
        <v>2</v>
      </c>
      <c r="F106" s="58" t="s">
        <v>347</v>
      </c>
      <c r="G106" s="47" t="inlineStr">
        <is>
          <t>القسم العلمي</t>
        </is>
      </c>
      <c r="H106" s="46" t="str">
        <f>IFERROR(INDEX('الإعدادات واللجنة'!$C$24:$C$32,MATCH(LEFT(A106,3),'الإعدادات واللجنة'!$A$24:$A$32,0)),"")</f>
        <v>د. احمد بن عوض البشري</v>
      </c>
      <c r="I106" s="38"/>
      <c r="J106" s="38"/>
      <c r="K106" s="46" t="str">
        <f t="shared" si="1"/>
        <v/>
      </c>
      <c r="L106" s="48"/>
      <c r="M106" s="38"/>
      <c r="N106" s="48"/>
      <c r="O106" s="48"/>
      <c r="P106" s="38"/>
      <c r="Q106" s="48"/>
      <c r="R106" s="26" t="str">
        <f>IF($I106="","",$I106&amp;"#"&amp;COUNTIF($I$5:$I106,$I106))</f>
        <v/>
      </c>
    </row>
    <row r="107" spans="1:18" ht="66" hidden="1" x14ac:dyDescent="0.55000000000000004">
      <c r="A107" s="49" t="s">
        <v>348</v>
      </c>
      <c r="B107" s="64" t="s">
        <v>126</v>
      </c>
      <c r="C107" s="50" t="s">
        <v>349</v>
      </c>
      <c r="D107" s="51" t="s">
        <v>208</v>
      </c>
      <c r="E107" s="52">
        <v>1</v>
      </c>
      <c r="F107" s="50" t="s">
        <v>350</v>
      </c>
      <c r="G107" s="53" t="inlineStr">
        <is>
          <t>القسم العلمي</t>
        </is>
      </c>
      <c r="H107" s="54" t="str">
        <f>IFERROR(INDEX('الإعدادات واللجنة'!$C$24:$C$32,MATCH(LEFT(A107,3),'الإعدادات واللجنة'!$A$24:$A$32,0)),"")</f>
        <v>د. يثرب بنت سعد القحطاني</v>
      </c>
      <c r="I107" s="55"/>
      <c r="J107" s="55"/>
      <c r="K107" s="54" t="str">
        <f t="shared" si="1"/>
        <v/>
      </c>
      <c r="L107" s="56"/>
      <c r="M107" s="55"/>
      <c r="N107" s="56"/>
      <c r="O107" s="56"/>
      <c r="P107" s="55"/>
      <c r="Q107" s="56"/>
      <c r="R107" s="26" t="str">
        <f>IF($I107="","",$I107&amp;"#"&amp;COUNTIF($I$5:$I107,$I107))</f>
        <v/>
      </c>
    </row>
    <row r="108" spans="1:18" ht="44" hidden="1" x14ac:dyDescent="0.55000000000000004">
      <c r="A108" s="57" t="s">
        <v>348</v>
      </c>
      <c r="B108" s="65" t="s">
        <v>126</v>
      </c>
      <c r="C108" s="58"/>
      <c r="D108" s="59" t="s">
        <v>208</v>
      </c>
      <c r="E108" s="57">
        <v>2</v>
      </c>
      <c r="F108" s="58" t="s">
        <v>351</v>
      </c>
      <c r="G108" s="47" t="inlineStr">
        <is>
          <t>القسم العلمي</t>
        </is>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66" hidden="1" x14ac:dyDescent="0.55000000000000004">
      <c r="A109" s="57" t="s">
        <v>348</v>
      </c>
      <c r="B109" s="65" t="s">
        <v>126</v>
      </c>
      <c r="C109" s="58"/>
      <c r="D109" s="59" t="s">
        <v>208</v>
      </c>
      <c r="E109" s="57">
        <v>3</v>
      </c>
      <c r="F109" s="58" t="s">
        <v>352</v>
      </c>
      <c r="G109" s="47" t="inlineStr">
        <is>
          <t>القسم العلمي</t>
        </is>
      </c>
      <c r="H109" s="46" t="str">
        <f>IFERROR(INDEX('الإعدادات واللجنة'!$C$24:$C$32,MATCH(LEFT(A109,3),'الإعدادات واللجنة'!$A$24:$A$32,0)),"")</f>
        <v>د. يثرب بنت سعد القحطاني</v>
      </c>
      <c r="I109" s="38"/>
      <c r="J109" s="38"/>
      <c r="K109" s="46" t="str">
        <f t="shared" si="1"/>
        <v/>
      </c>
      <c r="L109" s="48"/>
      <c r="M109" s="38"/>
      <c r="N109" s="48"/>
      <c r="O109" s="48"/>
      <c r="P109" s="38"/>
      <c r="Q109" s="48"/>
      <c r="R109" s="26" t="str">
        <f>IF($I109="","",$I109&amp;"#"&amp;COUNTIF($I$5:$I109,$I109))</f>
        <v/>
      </c>
    </row>
    <row r="110" spans="1:18" ht="44" hidden="1" x14ac:dyDescent="0.55000000000000004">
      <c r="A110" s="57" t="s">
        <v>348</v>
      </c>
      <c r="B110" s="65" t="s">
        <v>126</v>
      </c>
      <c r="C110" s="58"/>
      <c r="D110" s="59" t="s">
        <v>208</v>
      </c>
      <c r="E110" s="57">
        <v>4</v>
      </c>
      <c r="F110" s="58" t="s">
        <v>353</v>
      </c>
      <c r="G110" s="47" t="inlineStr">
        <is>
          <t>القسم العلمي</t>
        </is>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hidden="1" x14ac:dyDescent="0.55000000000000004">
      <c r="A111" s="57" t="s">
        <v>348</v>
      </c>
      <c r="B111" s="65" t="s">
        <v>126</v>
      </c>
      <c r="C111" s="58"/>
      <c r="D111" s="59" t="s">
        <v>208</v>
      </c>
      <c r="E111" s="57">
        <v>5</v>
      </c>
      <c r="F111" s="58" t="s">
        <v>354</v>
      </c>
      <c r="G111" s="47" t="inlineStr">
        <is>
          <t>القسم العلمي</t>
        </is>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66" hidden="1" x14ac:dyDescent="0.55000000000000004">
      <c r="A112" s="60" t="s">
        <v>355</v>
      </c>
      <c r="B112" s="66" t="s">
        <v>126</v>
      </c>
      <c r="C112" s="61" t="s">
        <v>356</v>
      </c>
      <c r="D112" s="62"/>
      <c r="E112" s="54">
        <v>1</v>
      </c>
      <c r="F112" s="61" t="s">
        <v>357</v>
      </c>
      <c r="G112" s="53" t="inlineStr">
        <is>
          <t>القسم العلمي</t>
        </is>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hidden="1" x14ac:dyDescent="0.55000000000000004">
      <c r="A113" s="46" t="s">
        <v>355</v>
      </c>
      <c r="B113" s="63" t="s">
        <v>126</v>
      </c>
      <c r="C113" s="44"/>
      <c r="D113" s="45"/>
      <c r="E113" s="46">
        <v>2</v>
      </c>
      <c r="F113" s="44" t="s">
        <v>358</v>
      </c>
      <c r="G113" s="47" t="inlineStr">
        <is>
          <t>القسم العلمي</t>
        </is>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hidden="1" x14ac:dyDescent="0.55000000000000004">
      <c r="A114" s="46" t="s">
        <v>355</v>
      </c>
      <c r="B114" s="63" t="s">
        <v>126</v>
      </c>
      <c r="C114" s="44"/>
      <c r="D114" s="45"/>
      <c r="E114" s="46">
        <v>3</v>
      </c>
      <c r="F114" s="44" t="s">
        <v>359</v>
      </c>
      <c r="G114" s="47" t="inlineStr">
        <is>
          <t>التعليم الإلكتروني</t>
        </is>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hidden="1" x14ac:dyDescent="0.55000000000000004">
      <c r="A115" s="46" t="s">
        <v>355</v>
      </c>
      <c r="B115" s="63" t="s">
        <v>126</v>
      </c>
      <c r="C115" s="44"/>
      <c r="D115" s="45"/>
      <c r="E115" s="46">
        <v>4</v>
      </c>
      <c r="F115" s="44" t="s">
        <v>360</v>
      </c>
      <c r="G115" s="47" t="inlineStr">
        <is>
          <t>القسم العلمي</t>
        </is>
      </c>
      <c r="H115" s="46" t="str">
        <f>IFERROR(INDEX('الإعدادات واللجنة'!$C$24:$C$32,MATCH(LEFT(A115,3),'الإعدادات واللجنة'!$A$24:$A$32,0)),"")</f>
        <v>د. يثرب بنت سعد القحطاني</v>
      </c>
      <c r="I115" s="38"/>
      <c r="J115" s="38"/>
      <c r="K115" s="46" t="str">
        <f t="shared" si="1"/>
        <v/>
      </c>
      <c r="L115" s="48"/>
      <c r="M115" s="38"/>
      <c r="N115" s="48"/>
      <c r="O115" s="48"/>
      <c r="P115" s="38"/>
      <c r="Q115" s="48"/>
      <c r="R115" s="26" t="str">
        <f>IF($I115="","",$I115&amp;"#"&amp;COUNTIF($I$5:$I115,$I115))</f>
        <v/>
      </c>
    </row>
    <row r="116" spans="1:18" ht="88" hidden="1" x14ac:dyDescent="0.55000000000000004">
      <c r="A116" s="60" t="s">
        <v>361</v>
      </c>
      <c r="B116" s="66" t="s">
        <v>126</v>
      </c>
      <c r="C116" s="61" t="s">
        <v>362</v>
      </c>
      <c r="D116" s="62"/>
      <c r="E116" s="54">
        <v>1</v>
      </c>
      <c r="F116" s="61" t="s">
        <v>363</v>
      </c>
      <c r="G116" s="53" t="inlineStr">
        <is>
          <t>القسم العلمي</t>
        </is>
      </c>
      <c r="H116" s="54" t="str">
        <f>IFERROR(INDEX('الإعدادات واللجنة'!$C$24:$C$32,MATCH(LEFT(A116,3),'الإعدادات واللجنة'!$A$24:$A$32,0)),"")</f>
        <v>د. يثرب بنت سعد القحطاني</v>
      </c>
      <c r="I116" s="55"/>
      <c r="J116" s="55"/>
      <c r="K116" s="54" t="str">
        <f t="shared" si="1"/>
        <v/>
      </c>
      <c r="L116" s="56"/>
      <c r="M116" s="55"/>
      <c r="N116" s="56"/>
      <c r="O116" s="56"/>
      <c r="P116" s="55"/>
      <c r="Q116" s="56"/>
      <c r="R116" s="26" t="str">
        <f>IF($I116="","",$I116&amp;"#"&amp;COUNTIF($I$5:$I116,$I116))</f>
        <v/>
      </c>
    </row>
    <row r="117" spans="1:18" ht="66" hidden="1" x14ac:dyDescent="0.55000000000000004">
      <c r="A117" s="46" t="s">
        <v>361</v>
      </c>
      <c r="B117" s="63" t="s">
        <v>126</v>
      </c>
      <c r="C117" s="44"/>
      <c r="D117" s="45"/>
      <c r="E117" s="46">
        <v>2</v>
      </c>
      <c r="F117" s="44" t="s">
        <v>364</v>
      </c>
      <c r="G117" s="47" t="inlineStr">
        <is>
          <t>القسم العلمي</t>
        </is>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hidden="1" x14ac:dyDescent="0.55000000000000004">
      <c r="A118" s="46" t="s">
        <v>361</v>
      </c>
      <c r="B118" s="63" t="s">
        <v>126</v>
      </c>
      <c r="C118" s="44"/>
      <c r="D118" s="45"/>
      <c r="E118" s="46">
        <v>3</v>
      </c>
      <c r="F118" s="44" t="s">
        <v>365</v>
      </c>
      <c r="G118" s="47" t="inlineStr">
        <is>
          <t>القسم العلمي</t>
        </is>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hidden="1" x14ac:dyDescent="0.55000000000000004">
      <c r="A119" s="60" t="s">
        <v>366</v>
      </c>
      <c r="B119" s="66" t="s">
        <v>126</v>
      </c>
      <c r="C119" s="61" t="s">
        <v>367</v>
      </c>
      <c r="D119" s="62"/>
      <c r="E119" s="54">
        <v>1</v>
      </c>
      <c r="F119" s="61" t="s">
        <v>368</v>
      </c>
      <c r="G119" s="53" t="inlineStr">
        <is>
          <t>إدارة الكلية</t>
        </is>
      </c>
      <c r="H119" s="54" t="str">
        <f>IFERROR(INDEX('الإعدادات واللجنة'!$C$24:$C$32,MATCH(LEFT(A119,3),'الإعدادات واللجنة'!$A$24:$A$32,0)),"")</f>
        <v>د. يثرب بنت سعد القحطاني</v>
      </c>
      <c r="I119" s="55"/>
      <c r="J119" s="55"/>
      <c r="K119" s="54" t="str">
        <f t="shared" si="1"/>
        <v/>
      </c>
      <c r="L119" s="56"/>
      <c r="M119" s="55"/>
      <c r="N119" s="56"/>
      <c r="O119" s="56"/>
      <c r="P119" s="55"/>
      <c r="Q119" s="56"/>
      <c r="R119" s="26" t="str">
        <f>IF($I119="","",$I119&amp;"#"&amp;COUNTIF($I$5:$I119,$I119))</f>
        <v/>
      </c>
    </row>
    <row r="120" spans="1:18" ht="44" hidden="1" x14ac:dyDescent="0.55000000000000004">
      <c r="A120" s="46" t="s">
        <v>366</v>
      </c>
      <c r="B120" s="63" t="s">
        <v>126</v>
      </c>
      <c r="C120" s="44"/>
      <c r="D120" s="45"/>
      <c r="E120" s="46">
        <v>2</v>
      </c>
      <c r="F120" s="44" t="s">
        <v>369</v>
      </c>
      <c r="G120" s="47" t="inlineStr">
        <is>
          <t>الموارد البشرية</t>
        </is>
      </c>
      <c r="H120" s="46" t="str">
        <f>IFERROR(INDEX('الإعدادات واللجنة'!$C$24:$C$32,MATCH(LEFT(A120,3),'الإعدادات واللجنة'!$A$24:$A$32,0)),"")</f>
        <v>د. يثرب بنت سعد القحطاني</v>
      </c>
      <c r="I120" s="38"/>
      <c r="J120" s="38"/>
      <c r="K120" s="46" t="str">
        <f t="shared" si="1"/>
        <v/>
      </c>
      <c r="L120" s="48"/>
      <c r="M120" s="38"/>
      <c r="N120" s="48"/>
      <c r="O120" s="48"/>
      <c r="P120" s="38"/>
      <c r="Q120" s="48"/>
      <c r="R120" s="26" t="str">
        <f>IF($I120="","",$I120&amp;"#"&amp;COUNTIF($I$5:$I120,$I120))</f>
        <v/>
      </c>
    </row>
    <row r="121" spans="1:18" ht="44" hidden="1" x14ac:dyDescent="0.55000000000000004">
      <c r="A121" s="46" t="s">
        <v>366</v>
      </c>
      <c r="B121" s="63" t="s">
        <v>126</v>
      </c>
      <c r="C121" s="44"/>
      <c r="D121" s="45"/>
      <c r="E121" s="46">
        <v>3</v>
      </c>
      <c r="F121" s="44" t="s">
        <v>370</v>
      </c>
      <c r="G121" s="47" t="inlineStr">
        <is>
          <t>لجنة الجودة بالكلية</t>
        </is>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hidden="1" x14ac:dyDescent="0.55000000000000004">
      <c r="A122" s="60" t="s">
        <v>371</v>
      </c>
      <c r="B122" s="66" t="s">
        <v>126</v>
      </c>
      <c r="C122" s="61" t="s">
        <v>372</v>
      </c>
      <c r="D122" s="62"/>
      <c r="E122" s="54">
        <v>1</v>
      </c>
      <c r="F122" s="61" t="s">
        <v>373</v>
      </c>
      <c r="G122" s="53" t="inlineStr">
        <is>
          <t>القسم العلمي</t>
        </is>
      </c>
      <c r="H122" s="54" t="str">
        <f>IFERROR(INDEX('الإعدادات واللجنة'!$C$24:$C$32,MATCH(LEFT(A122,3),'الإعدادات واللجنة'!$A$24:$A$32,0)),"")</f>
        <v>د. يثرب بنت سعد القحطاني</v>
      </c>
      <c r="I122" s="55"/>
      <c r="J122" s="55"/>
      <c r="K122" s="54" t="str">
        <f t="shared" si="1"/>
        <v/>
      </c>
      <c r="L122" s="56"/>
      <c r="M122" s="55"/>
      <c r="N122" s="56"/>
      <c r="O122" s="56"/>
      <c r="P122" s="55"/>
      <c r="Q122" s="56"/>
      <c r="R122" s="26" t="str">
        <f>IF($I122="","",$I122&amp;"#"&amp;COUNTIF($I$5:$I122,$I122))</f>
        <v/>
      </c>
    </row>
    <row r="123" spans="1:18" ht="44" hidden="1" x14ac:dyDescent="0.55000000000000004">
      <c r="A123" s="46" t="s">
        <v>371</v>
      </c>
      <c r="B123" s="63" t="s">
        <v>126</v>
      </c>
      <c r="C123" s="44"/>
      <c r="D123" s="45"/>
      <c r="E123" s="46">
        <v>2</v>
      </c>
      <c r="F123" s="44" t="s">
        <v>374</v>
      </c>
      <c r="G123" s="47" t="inlineStr">
        <is>
          <t>القسم العلمي</t>
        </is>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hidden="1" x14ac:dyDescent="0.55000000000000004">
      <c r="A124" s="46" t="s">
        <v>371</v>
      </c>
      <c r="B124" s="63" t="s">
        <v>126</v>
      </c>
      <c r="C124" s="44"/>
      <c r="D124" s="45"/>
      <c r="E124" s="46">
        <v>3</v>
      </c>
      <c r="F124" s="44" t="s">
        <v>375</v>
      </c>
      <c r="G124" s="47" t="inlineStr">
        <is>
          <t>لجنة الجودة بالكلية</t>
        </is>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44" hidden="1" x14ac:dyDescent="0.55000000000000004">
      <c r="A125" s="46" t="s">
        <v>371</v>
      </c>
      <c r="B125" s="63" t="s">
        <v>126</v>
      </c>
      <c r="C125" s="44"/>
      <c r="D125" s="45"/>
      <c r="E125" s="46">
        <v>4</v>
      </c>
      <c r="F125" s="44" t="s">
        <v>376</v>
      </c>
      <c r="G125" s="47" t="inlineStr">
        <is>
          <t>القسم العلمي</t>
        </is>
      </c>
      <c r="H125" s="46" t="str">
        <f>IFERROR(INDEX('الإعدادات واللجنة'!$C$24:$C$32,MATCH(LEFT(A125,3),'الإعدادات واللجنة'!$A$24:$A$32,0)),"")</f>
        <v>د. يثرب بنت سعد القحطاني</v>
      </c>
      <c r="I125" s="38"/>
      <c r="J125" s="38"/>
      <c r="K125" s="46" t="str">
        <f t="shared" si="1"/>
        <v/>
      </c>
      <c r="L125" s="48"/>
      <c r="M125" s="38"/>
      <c r="N125" s="48"/>
      <c r="O125" s="48"/>
      <c r="P125" s="38"/>
      <c r="Q125" s="48"/>
      <c r="R125" s="26" t="str">
        <f>IF($I125="","",$I125&amp;"#"&amp;COUNTIF($I$5:$I125,$I125))</f>
        <v/>
      </c>
    </row>
    <row r="126" spans="1:18" ht="44" hidden="1" x14ac:dyDescent="0.55000000000000004">
      <c r="A126" s="46" t="s">
        <v>371</v>
      </c>
      <c r="B126" s="63" t="s">
        <v>126</v>
      </c>
      <c r="C126" s="44"/>
      <c r="D126" s="45"/>
      <c r="E126" s="46">
        <v>5</v>
      </c>
      <c r="F126" s="44" t="s">
        <v>377</v>
      </c>
      <c r="G126" s="47" t="inlineStr">
        <is>
          <t>القسم العلمي</t>
        </is>
      </c>
      <c r="H126" s="46" t="str">
        <f>IFERROR(INDEX('الإعدادات واللجنة'!$C$24:$C$32,MATCH(LEFT(A126,3),'الإعدادات واللجنة'!$A$24:$A$32,0)),"")</f>
        <v>د. يثرب بنت سعد القحطاني</v>
      </c>
      <c r="I126" s="38"/>
      <c r="J126" s="38"/>
      <c r="K126" s="46" t="str">
        <f t="shared" si="1"/>
        <v/>
      </c>
      <c r="L126" s="48"/>
      <c r="M126" s="38"/>
      <c r="N126" s="48"/>
      <c r="O126" s="48"/>
      <c r="P126" s="38"/>
      <c r="Q126" s="48"/>
      <c r="R126" s="26" t="str">
        <f>IF($I126="","",$I126&amp;"#"&amp;COUNTIF($I$5:$I126,$I126))</f>
        <v/>
      </c>
    </row>
    <row r="127" spans="1:18" ht="66" hidden="1" x14ac:dyDescent="0.55000000000000004">
      <c r="A127" s="49" t="s">
        <v>378</v>
      </c>
      <c r="B127" s="64" t="s">
        <v>126</v>
      </c>
      <c r="C127" s="50" t="s">
        <v>379</v>
      </c>
      <c r="D127" s="51" t="s">
        <v>208</v>
      </c>
      <c r="E127" s="52">
        <v>1</v>
      </c>
      <c r="F127" s="50" t="s">
        <v>380</v>
      </c>
      <c r="G127" s="53" t="inlineStr">
        <is>
          <t>القسم العلمي</t>
        </is>
      </c>
      <c r="H127" s="54" t="str">
        <f>IFERROR(INDEX('الإعدادات واللجنة'!$C$24:$C$32,MATCH(LEFT(A127,3),'الإعدادات واللجنة'!$A$24:$A$32,0)),"")</f>
        <v>د. يثرب بنت سعد القحطاني</v>
      </c>
      <c r="I127" s="55"/>
      <c r="J127" s="55"/>
      <c r="K127" s="54" t="str">
        <f t="shared" si="1"/>
        <v/>
      </c>
      <c r="L127" s="56"/>
      <c r="M127" s="55"/>
      <c r="N127" s="56"/>
      <c r="O127" s="56"/>
      <c r="P127" s="55"/>
      <c r="Q127" s="56"/>
      <c r="R127" s="26" t="str">
        <f>IF($I127="","",$I127&amp;"#"&amp;COUNTIF($I$5:$I127,$I127))</f>
        <v/>
      </c>
    </row>
    <row r="128" spans="1:18" ht="44" hidden="1" x14ac:dyDescent="0.55000000000000004">
      <c r="A128" s="57" t="s">
        <v>378</v>
      </c>
      <c r="B128" s="65" t="s">
        <v>126</v>
      </c>
      <c r="C128" s="58"/>
      <c r="D128" s="59" t="s">
        <v>208</v>
      </c>
      <c r="E128" s="57">
        <v>2</v>
      </c>
      <c r="F128" s="58" t="s">
        <v>381</v>
      </c>
      <c r="G128" s="47" t="inlineStr">
        <is>
          <t>التعليم الإلكتروني</t>
        </is>
      </c>
      <c r="H128" s="46" t="str">
        <f>IFERROR(INDEX('الإعدادات واللجنة'!$C$24:$C$32,MATCH(LEFT(A128,3),'الإعدادات واللجنة'!$A$24:$A$32,0)),"")</f>
        <v>د. يثرب بنت سعد القحطاني</v>
      </c>
      <c r="I128" s="38"/>
      <c r="J128" s="38"/>
      <c r="K128" s="46" t="str">
        <f t="shared" si="1"/>
        <v/>
      </c>
      <c r="L128" s="48"/>
      <c r="M128" s="38"/>
      <c r="N128" s="48"/>
      <c r="O128" s="48"/>
      <c r="P128" s="38"/>
      <c r="Q128" s="48"/>
      <c r="R128" s="26" t="str">
        <f>IF($I128="","",$I128&amp;"#"&amp;COUNTIF($I$5:$I128,$I128))</f>
        <v/>
      </c>
    </row>
    <row r="129" spans="1:18" ht="44" hidden="1" x14ac:dyDescent="0.55000000000000004">
      <c r="A129" s="57" t="s">
        <v>378</v>
      </c>
      <c r="B129" s="65" t="s">
        <v>126</v>
      </c>
      <c r="C129" s="58"/>
      <c r="D129" s="59" t="s">
        <v>208</v>
      </c>
      <c r="E129" s="57">
        <v>3</v>
      </c>
      <c r="F129" s="58" t="s">
        <v>382</v>
      </c>
      <c r="G129" s="47" t="inlineStr">
        <is>
          <t>التعليم الإلكتروني</t>
        </is>
      </c>
      <c r="H129" s="46" t="str">
        <f>IFERROR(INDEX('الإعدادات واللجنة'!$C$24:$C$32,MATCH(LEFT(A129,3),'الإعدادات واللجنة'!$A$24:$A$32,0)),"")</f>
        <v>د. يثرب بنت سعد القحطاني</v>
      </c>
      <c r="I129" s="38"/>
      <c r="J129" s="38"/>
      <c r="K129" s="46" t="str">
        <f t="shared" si="1"/>
        <v/>
      </c>
      <c r="L129" s="48"/>
      <c r="M129" s="38"/>
      <c r="N129" s="48"/>
      <c r="O129" s="48"/>
      <c r="P129" s="38"/>
      <c r="Q129" s="48"/>
      <c r="R129" s="26" t="str">
        <f>IF($I129="","",$I129&amp;"#"&amp;COUNTIF($I$5:$I129,$I129))</f>
        <v/>
      </c>
    </row>
    <row r="130" spans="1:18" ht="44" hidden="1" x14ac:dyDescent="0.55000000000000004">
      <c r="A130" s="57" t="s">
        <v>378</v>
      </c>
      <c r="B130" s="65" t="s">
        <v>126</v>
      </c>
      <c r="C130" s="58"/>
      <c r="D130" s="59" t="s">
        <v>208</v>
      </c>
      <c r="E130" s="57">
        <v>4</v>
      </c>
      <c r="F130" s="58" t="s">
        <v>383</v>
      </c>
      <c r="G130" s="47" t="inlineStr">
        <is>
          <t>القسم العلمي</t>
        </is>
      </c>
      <c r="H130" s="46" t="str">
        <f>IFERROR(INDEX('الإعدادات واللجنة'!$C$24:$C$32,MATCH(LEFT(A130,3),'الإعدادات واللجنة'!$A$24:$A$32,0)),"")</f>
        <v>د. يثرب بنت سعد القحطاني</v>
      </c>
      <c r="I130" s="38"/>
      <c r="J130" s="38"/>
      <c r="K130" s="46" t="str">
        <f t="shared" si="1"/>
        <v/>
      </c>
      <c r="L130" s="48"/>
      <c r="M130" s="38"/>
      <c r="N130" s="48"/>
      <c r="O130" s="48"/>
      <c r="P130" s="38"/>
      <c r="Q130" s="48"/>
      <c r="R130" s="26" t="str">
        <f>IF($I130="","",$I130&amp;"#"&amp;COUNTIF($I$5:$I130,$I130))</f>
        <v/>
      </c>
    </row>
    <row r="131" spans="1:18" ht="44" hidden="1" x14ac:dyDescent="0.55000000000000004">
      <c r="A131" s="57" t="s">
        <v>378</v>
      </c>
      <c r="B131" s="65" t="s">
        <v>126</v>
      </c>
      <c r="C131" s="58"/>
      <c r="D131" s="59" t="s">
        <v>208</v>
      </c>
      <c r="E131" s="57">
        <v>5</v>
      </c>
      <c r="F131" s="58" t="s">
        <v>384</v>
      </c>
      <c r="G131" s="47" t="inlineStr">
        <is>
          <t>التعليم الإلكتروني</t>
        </is>
      </c>
      <c r="H131" s="46" t="str">
        <f>IFERROR(INDEX('الإعدادات واللجنة'!$C$24:$C$32,MATCH(LEFT(A131,3),'الإعدادات واللجنة'!$A$24:$A$32,0)),"")</f>
        <v>د. يثرب بنت سعد القحطاني</v>
      </c>
      <c r="I131" s="38"/>
      <c r="J131" s="38"/>
      <c r="K131" s="46" t="str">
        <f t="shared" si="1"/>
        <v/>
      </c>
      <c r="L131" s="48"/>
      <c r="M131" s="38"/>
      <c r="N131" s="48"/>
      <c r="O131" s="48"/>
      <c r="P131" s="38"/>
      <c r="Q131" s="48"/>
      <c r="R131" s="26" t="str">
        <f>IF($I131="","",$I131&amp;"#"&amp;COUNTIF($I$5:$I131,$I131))</f>
        <v/>
      </c>
    </row>
    <row r="132" spans="1:18" ht="66" hidden="1" x14ac:dyDescent="0.55000000000000004">
      <c r="A132" s="60" t="s">
        <v>385</v>
      </c>
      <c r="B132" s="66" t="s">
        <v>127</v>
      </c>
      <c r="C132" s="61" t="s">
        <v>386</v>
      </c>
      <c r="D132" s="62"/>
      <c r="E132" s="54">
        <v>1</v>
      </c>
      <c r="F132" s="61" t="s">
        <v>387</v>
      </c>
      <c r="G132" s="53" t="inlineStr">
        <is>
          <t>القبول والتسجيل (وحدة البانر)</t>
        </is>
      </c>
      <c r="H132" s="54" t="str">
        <f>IFERROR(INDEX('الإعدادات واللجنة'!$C$24:$C$32,MATCH(LEFT(A132,3),'الإعدادات واللجنة'!$A$24:$A$32,0)),"")</f>
        <v>د. عبدالله بن محمد البركاتي</v>
      </c>
      <c r="I132" s="55"/>
      <c r="J132" s="55"/>
      <c r="K132" s="54" t="str">
        <f t="shared" si="1"/>
        <v/>
      </c>
      <c r="L132" s="56"/>
      <c r="M132" s="55"/>
      <c r="N132" s="56"/>
      <c r="O132" s="56"/>
      <c r="P132" s="55"/>
      <c r="Q132" s="56"/>
      <c r="R132" s="26" t="str">
        <f>IF($I132="","",$I132&amp;"#"&amp;COUNTIF($I$5:$I132,$I132))</f>
        <v/>
      </c>
    </row>
    <row r="133" spans="1:18" ht="44" hidden="1" x14ac:dyDescent="0.55000000000000004">
      <c r="A133" s="46" t="s">
        <v>385</v>
      </c>
      <c r="B133" s="63" t="s">
        <v>127</v>
      </c>
      <c r="C133" s="44"/>
      <c r="D133" s="45"/>
      <c r="E133" s="46">
        <v>2</v>
      </c>
      <c r="F133" s="44" t="s">
        <v>388</v>
      </c>
      <c r="G133" s="47" t="inlineStr">
        <is>
          <t>القبول والتسجيل (وحدة البانر)</t>
        </is>
      </c>
      <c r="H133" s="46" t="str">
        <f>IFERROR(INDEX('الإعدادات واللجنة'!$C$24:$C$32,MATCH(LEFT(A133,3),'الإعدادات واللجنة'!$A$24:$A$32,0)),"")</f>
        <v>د. عبدالله بن محمد البركاتي</v>
      </c>
      <c r="I133" s="38"/>
      <c r="J133" s="38"/>
      <c r="K133" s="46" t="str">
        <f t="shared" ref="K133:K196" si="2">IF(OR(I133="",I133="متوفر ومكتمل"),"",IF(OR(D133="★",I133="غير متوفر"),"عالية","متوسطة"))</f>
        <v/>
      </c>
      <c r="L133" s="48"/>
      <c r="M133" s="38"/>
      <c r="N133" s="48"/>
      <c r="O133" s="48"/>
      <c r="P133" s="38"/>
      <c r="Q133" s="48"/>
      <c r="R133" s="26" t="str">
        <f>IF($I133="","",$I133&amp;"#"&amp;COUNTIF($I$5:$I133,$I133))</f>
        <v/>
      </c>
    </row>
    <row r="134" spans="1:18" ht="44" hidden="1" x14ac:dyDescent="0.55000000000000004">
      <c r="A134" s="46" t="s">
        <v>385</v>
      </c>
      <c r="B134" s="63" t="s">
        <v>127</v>
      </c>
      <c r="C134" s="44"/>
      <c r="D134" s="45"/>
      <c r="E134" s="46">
        <v>3</v>
      </c>
      <c r="F134" s="44" t="s">
        <v>389</v>
      </c>
      <c r="G134" s="47" t="inlineStr">
        <is>
          <t>القبول والتسجيل (وحدة البانر)</t>
        </is>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hidden="1" x14ac:dyDescent="0.55000000000000004">
      <c r="A135" s="46" t="s">
        <v>385</v>
      </c>
      <c r="B135" s="63" t="s">
        <v>127</v>
      </c>
      <c r="C135" s="44"/>
      <c r="D135" s="45"/>
      <c r="E135" s="46">
        <v>4</v>
      </c>
      <c r="F135" s="44" t="s">
        <v>390</v>
      </c>
      <c r="G135" s="47" t="inlineStr">
        <is>
          <t>القبول والتسجيل (وحدة البانر)</t>
        </is>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hidden="1" x14ac:dyDescent="0.55000000000000004">
      <c r="A136" s="46" t="s">
        <v>385</v>
      </c>
      <c r="B136" s="63" t="s">
        <v>127</v>
      </c>
      <c r="C136" s="44"/>
      <c r="D136" s="45"/>
      <c r="E136" s="46">
        <v>5</v>
      </c>
      <c r="F136" s="44" t="s">
        <v>391</v>
      </c>
      <c r="G136" s="47" t="inlineStr">
        <is>
          <t>القسم العلمي</t>
        </is>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hidden="1" x14ac:dyDescent="0.55000000000000004">
      <c r="A137" s="60" t="s">
        <v>392</v>
      </c>
      <c r="B137" s="66" t="s">
        <v>127</v>
      </c>
      <c r="C137" s="61" t="s">
        <v>393</v>
      </c>
      <c r="D137" s="62"/>
      <c r="E137" s="54">
        <v>1</v>
      </c>
      <c r="F137" s="61" t="s">
        <v>394</v>
      </c>
      <c r="G137" s="53" t="inlineStr">
        <is>
          <t>القسم العلمي</t>
        </is>
      </c>
      <c r="H137" s="54" t="str">
        <f>IFERROR(INDEX('الإعدادات واللجنة'!$C$24:$C$32,MATCH(LEFT(A137,3),'الإعدادات واللجنة'!$A$24:$A$32,0)),"")</f>
        <v>د. عبدالله بن محمد البركاتي</v>
      </c>
      <c r="I137" s="55"/>
      <c r="J137" s="55"/>
      <c r="K137" s="54" t="str">
        <f t="shared" si="2"/>
        <v/>
      </c>
      <c r="L137" s="56"/>
      <c r="M137" s="55"/>
      <c r="N137" s="56"/>
      <c r="O137" s="56"/>
      <c r="P137" s="55"/>
      <c r="Q137" s="56"/>
      <c r="R137" s="26" t="str">
        <f>IF($I137="","",$I137&amp;"#"&amp;COUNTIF($I$5:$I137,$I137))</f>
        <v/>
      </c>
    </row>
    <row r="138" spans="1:18" ht="44" hidden="1" x14ac:dyDescent="0.55000000000000004">
      <c r="A138" s="46" t="s">
        <v>392</v>
      </c>
      <c r="B138" s="63" t="s">
        <v>127</v>
      </c>
      <c r="C138" s="44"/>
      <c r="D138" s="45"/>
      <c r="E138" s="46">
        <v>2</v>
      </c>
      <c r="F138" s="44" t="s">
        <v>395</v>
      </c>
      <c r="G138" s="47" t="inlineStr">
        <is>
          <t>القسم العلمي</t>
        </is>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hidden="1" x14ac:dyDescent="0.55000000000000004">
      <c r="A139" s="46" t="s">
        <v>392</v>
      </c>
      <c r="B139" s="63" t="s">
        <v>127</v>
      </c>
      <c r="C139" s="44"/>
      <c r="D139" s="45"/>
      <c r="E139" s="46">
        <v>3</v>
      </c>
      <c r="F139" s="44" t="s">
        <v>396</v>
      </c>
      <c r="G139" s="47" t="inlineStr">
        <is>
          <t>القسم العلمي</t>
        </is>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hidden="1" x14ac:dyDescent="0.55000000000000004">
      <c r="A140" s="49" t="s">
        <v>397</v>
      </c>
      <c r="B140" s="64" t="s">
        <v>127</v>
      </c>
      <c r="C140" s="50" t="s">
        <v>398</v>
      </c>
      <c r="D140" s="51" t="s">
        <v>208</v>
      </c>
      <c r="E140" s="52">
        <v>1</v>
      </c>
      <c r="F140" s="50" t="s">
        <v>399</v>
      </c>
      <c r="G140" s="53" t="inlineStr">
        <is>
          <t>إدارة الكلية</t>
        </is>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hidden="1" x14ac:dyDescent="0.55000000000000004">
      <c r="A141" s="57" t="s">
        <v>397</v>
      </c>
      <c r="B141" s="65" t="s">
        <v>127</v>
      </c>
      <c r="C141" s="58"/>
      <c r="D141" s="59" t="s">
        <v>208</v>
      </c>
      <c r="E141" s="57">
        <v>2</v>
      </c>
      <c r="F141" s="58" t="s">
        <v>400</v>
      </c>
      <c r="G141" s="47" t="inlineStr">
        <is>
          <t>القسم العلمي</t>
        </is>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hidden="1" x14ac:dyDescent="0.55000000000000004">
      <c r="A142" s="57" t="s">
        <v>397</v>
      </c>
      <c r="B142" s="65" t="s">
        <v>127</v>
      </c>
      <c r="C142" s="58"/>
      <c r="D142" s="59" t="s">
        <v>208</v>
      </c>
      <c r="E142" s="57">
        <v>3</v>
      </c>
      <c r="F142" s="58" t="s">
        <v>401</v>
      </c>
      <c r="G142" s="47" t="inlineStr">
        <is>
          <t>الموارد البشرية</t>
        </is>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hidden="1" x14ac:dyDescent="0.55000000000000004">
      <c r="A143" s="57" t="s">
        <v>397</v>
      </c>
      <c r="B143" s="65" t="s">
        <v>127</v>
      </c>
      <c r="C143" s="58"/>
      <c r="D143" s="59" t="s">
        <v>208</v>
      </c>
      <c r="E143" s="57">
        <v>4</v>
      </c>
      <c r="F143" s="58" t="s">
        <v>402</v>
      </c>
      <c r="G143" s="47" t="inlineStr">
        <is>
          <t>القسم العلمي</t>
        </is>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hidden="1" x14ac:dyDescent="0.55000000000000004">
      <c r="A144" s="57" t="s">
        <v>397</v>
      </c>
      <c r="B144" s="65" t="s">
        <v>127</v>
      </c>
      <c r="C144" s="58"/>
      <c r="D144" s="59" t="s">
        <v>208</v>
      </c>
      <c r="E144" s="57">
        <v>5</v>
      </c>
      <c r="F144" s="58" t="s">
        <v>403</v>
      </c>
      <c r="G144" s="47" t="inlineStr">
        <is>
          <t>وحدة الخريجين</t>
        </is>
      </c>
      <c r="H144" s="46" t="str">
        <f>IFERROR(INDEX('الإعدادات واللجنة'!$C$24:$C$32,MATCH(LEFT(A144,3),'الإعدادات واللجنة'!$A$24:$A$32,0)),"")</f>
        <v>د. عبدالله بن محمد البركاتي</v>
      </c>
      <c r="I144" s="38"/>
      <c r="J144" s="38"/>
      <c r="K144" s="46" t="str">
        <f t="shared" si="2"/>
        <v/>
      </c>
      <c r="L144" s="48"/>
      <c r="M144" s="38"/>
      <c r="N144" s="48"/>
      <c r="O144" s="48"/>
      <c r="P144" s="38"/>
      <c r="Q144" s="48"/>
      <c r="R144" s="26" t="str">
        <f>IF($I144="","",$I144&amp;"#"&amp;COUNTIF($I$5:$I144,$I144))</f>
        <v/>
      </c>
    </row>
    <row r="145" spans="1:18" ht="44" hidden="1" x14ac:dyDescent="0.55000000000000004">
      <c r="A145" s="57" t="s">
        <v>397</v>
      </c>
      <c r="B145" s="65" t="s">
        <v>127</v>
      </c>
      <c r="C145" s="58"/>
      <c r="D145" s="59" t="s">
        <v>208</v>
      </c>
      <c r="E145" s="57">
        <v>6</v>
      </c>
      <c r="F145" s="58" t="s">
        <v>404</v>
      </c>
      <c r="G145" s="47" t="inlineStr">
        <is>
          <t>وحدة الأنشطة بالكلية / شؤون الطلاب</t>
        </is>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hidden="1" x14ac:dyDescent="0.55000000000000004">
      <c r="A146" s="57" t="s">
        <v>397</v>
      </c>
      <c r="B146" s="65" t="s">
        <v>127</v>
      </c>
      <c r="C146" s="58"/>
      <c r="D146" s="59" t="s">
        <v>208</v>
      </c>
      <c r="E146" s="57">
        <v>7</v>
      </c>
      <c r="F146" s="58" t="s">
        <v>405</v>
      </c>
      <c r="G146" s="47" t="inlineStr">
        <is>
          <t>وحدة الخريجين</t>
        </is>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66" hidden="1" x14ac:dyDescent="0.55000000000000004">
      <c r="A147" s="60" t="s">
        <v>406</v>
      </c>
      <c r="B147" s="66" t="s">
        <v>127</v>
      </c>
      <c r="C147" s="61" t="s">
        <v>407</v>
      </c>
      <c r="D147" s="62"/>
      <c r="E147" s="54">
        <v>1</v>
      </c>
      <c r="F147" s="61" t="s">
        <v>408</v>
      </c>
      <c r="G147" s="53" t="inlineStr">
        <is>
          <t>وحدة الأنشطة بالكلية / شؤون الطلاب</t>
        </is>
      </c>
      <c r="H147" s="54" t="str">
        <f>IFERROR(INDEX('الإعدادات واللجنة'!$C$24:$C$32,MATCH(LEFT(A147,3),'الإعدادات واللجنة'!$A$24:$A$32,0)),"")</f>
        <v>د. عبدالله بن محمد البركاتي</v>
      </c>
      <c r="I147" s="55"/>
      <c r="J147" s="55"/>
      <c r="K147" s="54" t="str">
        <f t="shared" si="2"/>
        <v/>
      </c>
      <c r="L147" s="56"/>
      <c r="M147" s="55"/>
      <c r="N147" s="56"/>
      <c r="O147" s="56"/>
      <c r="P147" s="55"/>
      <c r="Q147" s="56"/>
      <c r="R147" s="26" t="str">
        <f>IF($I147="","",$I147&amp;"#"&amp;COUNTIF($I$5:$I147,$I147))</f>
        <v/>
      </c>
    </row>
    <row r="148" spans="1:18" ht="44" hidden="1" x14ac:dyDescent="0.55000000000000004">
      <c r="A148" s="46" t="s">
        <v>406</v>
      </c>
      <c r="B148" s="63" t="s">
        <v>127</v>
      </c>
      <c r="C148" s="44"/>
      <c r="D148" s="45"/>
      <c r="E148" s="46">
        <v>2</v>
      </c>
      <c r="F148" s="44" t="s">
        <v>409</v>
      </c>
      <c r="G148" s="47" t="inlineStr">
        <is>
          <t>وحدة الأنشطة بالكلية / شؤون الطلاب</t>
        </is>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hidden="1" x14ac:dyDescent="0.55000000000000004">
      <c r="A149" s="46" t="s">
        <v>406</v>
      </c>
      <c r="B149" s="63" t="s">
        <v>127</v>
      </c>
      <c r="C149" s="44"/>
      <c r="D149" s="45"/>
      <c r="E149" s="46">
        <v>3</v>
      </c>
      <c r="F149" s="44" t="s">
        <v>410</v>
      </c>
      <c r="G149" s="47" t="inlineStr">
        <is>
          <t>القسم العلمي</t>
        </is>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44" hidden="1" x14ac:dyDescent="0.55000000000000004">
      <c r="A150" s="46" t="s">
        <v>406</v>
      </c>
      <c r="B150" s="63" t="s">
        <v>127</v>
      </c>
      <c r="C150" s="44"/>
      <c r="D150" s="45"/>
      <c r="E150" s="46">
        <v>4</v>
      </c>
      <c r="F150" s="44" t="s">
        <v>411</v>
      </c>
      <c r="G150" s="47" t="inlineStr">
        <is>
          <t>وحدة الأنشطة بالكلية / شؤون الطلاب</t>
        </is>
      </c>
      <c r="H150" s="46" t="str">
        <f>IFERROR(INDEX('الإعدادات واللجنة'!$C$24:$C$32,MATCH(LEFT(A150,3),'الإعدادات واللجنة'!$A$24:$A$32,0)),"")</f>
        <v>د. عبدالله بن محمد البركاتي</v>
      </c>
      <c r="I150" s="38"/>
      <c r="J150" s="38"/>
      <c r="K150" s="46" t="str">
        <f t="shared" si="2"/>
        <v/>
      </c>
      <c r="L150" s="48"/>
      <c r="M150" s="38"/>
      <c r="N150" s="48"/>
      <c r="O150" s="48"/>
      <c r="P150" s="38"/>
      <c r="Q150" s="48"/>
      <c r="R150" s="26" t="str">
        <f>IF($I150="","",$I150&amp;"#"&amp;COUNTIF($I$5:$I150,$I150))</f>
        <v/>
      </c>
    </row>
    <row r="151" spans="1:18" ht="66" hidden="1" x14ac:dyDescent="0.55000000000000004">
      <c r="A151" s="60" t="s">
        <v>412</v>
      </c>
      <c r="B151" s="66" t="s">
        <v>127</v>
      </c>
      <c r="C151" s="61" t="s">
        <v>413</v>
      </c>
      <c r="D151" s="62"/>
      <c r="E151" s="54">
        <v>1</v>
      </c>
      <c r="F151" s="61" t="s">
        <v>414</v>
      </c>
      <c r="G151" s="53" t="inlineStr">
        <is>
          <t>وحدة الأنشطة بالكلية / شؤون الطلاب</t>
        </is>
      </c>
      <c r="H151" s="54" t="str">
        <f>IFERROR(INDEX('الإعدادات واللجنة'!$C$24:$C$32,MATCH(LEFT(A151,3),'الإعدادات واللجنة'!$A$24:$A$32,0)),"")</f>
        <v>د. عبدالله بن محمد البركاتي</v>
      </c>
      <c r="I151" s="55"/>
      <c r="J151" s="55"/>
      <c r="K151" s="54" t="str">
        <f t="shared" si="2"/>
        <v/>
      </c>
      <c r="L151" s="56"/>
      <c r="M151" s="55"/>
      <c r="N151" s="56"/>
      <c r="O151" s="56"/>
      <c r="P151" s="55"/>
      <c r="Q151" s="56"/>
      <c r="R151" s="26" t="str">
        <f>IF($I151="","",$I151&amp;"#"&amp;COUNTIF($I$5:$I151,$I151))</f>
        <v/>
      </c>
    </row>
    <row r="152" spans="1:18" ht="44" hidden="1" x14ac:dyDescent="0.55000000000000004">
      <c r="A152" s="46" t="s">
        <v>412</v>
      </c>
      <c r="B152" s="63" t="s">
        <v>127</v>
      </c>
      <c r="C152" s="44"/>
      <c r="D152" s="45"/>
      <c r="E152" s="46">
        <v>2</v>
      </c>
      <c r="F152" s="44" t="s">
        <v>415</v>
      </c>
      <c r="G152" s="47" t="inlineStr">
        <is>
          <t>وحدة الأنشطة بالكلية / شؤون الطلاب</t>
        </is>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44" hidden="1" x14ac:dyDescent="0.55000000000000004">
      <c r="A153" s="46" t="s">
        <v>412</v>
      </c>
      <c r="B153" s="63" t="s">
        <v>127</v>
      </c>
      <c r="C153" s="44"/>
      <c r="D153" s="45"/>
      <c r="E153" s="46">
        <v>3</v>
      </c>
      <c r="F153" s="44" t="s">
        <v>416</v>
      </c>
      <c r="G153" s="47" t="inlineStr">
        <is>
          <t>وحدة الأنشطة بالكلية / شؤون الطلاب</t>
        </is>
      </c>
      <c r="H153" s="46" t="str">
        <f>IFERROR(INDEX('الإعدادات واللجنة'!$C$24:$C$32,MATCH(LEFT(A153,3),'الإعدادات واللجنة'!$A$24:$A$32,0)),"")</f>
        <v>د. عبدالله بن محمد البركاتي</v>
      </c>
      <c r="I153" s="38"/>
      <c r="J153" s="38"/>
      <c r="K153" s="46" t="str">
        <f t="shared" si="2"/>
        <v/>
      </c>
      <c r="L153" s="48"/>
      <c r="M153" s="38"/>
      <c r="N153" s="48"/>
      <c r="O153" s="48"/>
      <c r="P153" s="38"/>
      <c r="Q153" s="48"/>
      <c r="R153" s="26" t="str">
        <f>IF($I153="","",$I153&amp;"#"&amp;COUNTIF($I$5:$I153,$I153))</f>
        <v/>
      </c>
    </row>
    <row r="154" spans="1:18" ht="44" hidden="1" x14ac:dyDescent="0.55000000000000004">
      <c r="A154" s="46" t="s">
        <v>412</v>
      </c>
      <c r="B154" s="63" t="s">
        <v>127</v>
      </c>
      <c r="C154" s="44"/>
      <c r="D154" s="45"/>
      <c r="E154" s="46">
        <v>4</v>
      </c>
      <c r="F154" s="44" t="s">
        <v>417</v>
      </c>
      <c r="G154" s="47" t="inlineStr">
        <is>
          <t>وحدة الأنشطة بالكلية / شؤون الطلاب</t>
        </is>
      </c>
      <c r="H154" s="46" t="str">
        <f>IFERROR(INDEX('الإعدادات واللجنة'!$C$24:$C$32,MATCH(LEFT(A154,3),'الإعدادات واللجنة'!$A$24:$A$32,0)),"")</f>
        <v>د. عبدالله بن محمد البركاتي</v>
      </c>
      <c r="I154" s="38"/>
      <c r="J154" s="38"/>
      <c r="K154" s="46" t="str">
        <f t="shared" si="2"/>
        <v/>
      </c>
      <c r="L154" s="48"/>
      <c r="M154" s="38"/>
      <c r="N154" s="48"/>
      <c r="O154" s="48"/>
      <c r="P154" s="38"/>
      <c r="Q154" s="48"/>
      <c r="R154" s="26" t="str">
        <f>IF($I154="","",$I154&amp;"#"&amp;COUNTIF($I$5:$I154,$I154))</f>
        <v/>
      </c>
    </row>
    <row r="155" spans="1:18" ht="66" hidden="1" x14ac:dyDescent="0.55000000000000004">
      <c r="A155" s="60" t="s">
        <v>418</v>
      </c>
      <c r="B155" s="66" t="s">
        <v>127</v>
      </c>
      <c r="C155" s="61" t="s">
        <v>419</v>
      </c>
      <c r="D155" s="62"/>
      <c r="E155" s="54">
        <v>1</v>
      </c>
      <c r="F155" s="61" t="s">
        <v>420</v>
      </c>
      <c r="G155" s="53" t="inlineStr">
        <is>
          <t>وحدة الخريجين</t>
        </is>
      </c>
      <c r="H155" s="54" t="str">
        <f>IFERROR(INDEX('الإعدادات واللجنة'!$C$24:$C$32,MATCH(LEFT(A155,3),'الإعدادات واللجنة'!$A$24:$A$32,0)),"")</f>
        <v>د. عبدالله بن محمد البركاتي</v>
      </c>
      <c r="I155" s="55"/>
      <c r="J155" s="55"/>
      <c r="K155" s="54" t="str">
        <f t="shared" si="2"/>
        <v/>
      </c>
      <c r="L155" s="56"/>
      <c r="M155" s="55"/>
      <c r="N155" s="56"/>
      <c r="O155" s="56"/>
      <c r="P155" s="55"/>
      <c r="Q155" s="56"/>
      <c r="R155" s="26" t="str">
        <f>IF($I155="","",$I155&amp;"#"&amp;COUNTIF($I$5:$I155,$I155))</f>
        <v/>
      </c>
    </row>
    <row r="156" spans="1:18" ht="44" hidden="1" x14ac:dyDescent="0.55000000000000004">
      <c r="A156" s="46" t="s">
        <v>418</v>
      </c>
      <c r="B156" s="63" t="s">
        <v>127</v>
      </c>
      <c r="C156" s="44"/>
      <c r="D156" s="45"/>
      <c r="E156" s="46">
        <v>2</v>
      </c>
      <c r="F156" s="44" t="s">
        <v>421</v>
      </c>
      <c r="G156" s="47" t="inlineStr">
        <is>
          <t>وحدة الخريجين</t>
        </is>
      </c>
      <c r="H156" s="46" t="str">
        <f>IFERROR(INDEX('الإعدادات واللجنة'!$C$24:$C$32,MATCH(LEFT(A156,3),'الإعدادات واللجنة'!$A$24:$A$32,0)),"")</f>
        <v>د. عبدالله بن محمد البركاتي</v>
      </c>
      <c r="I156" s="38"/>
      <c r="J156" s="38"/>
      <c r="K156" s="46" t="str">
        <f t="shared" si="2"/>
        <v/>
      </c>
      <c r="L156" s="48"/>
      <c r="M156" s="38"/>
      <c r="N156" s="48"/>
      <c r="O156" s="48"/>
      <c r="P156" s="38"/>
      <c r="Q156" s="48"/>
      <c r="R156" s="26" t="str">
        <f>IF($I156="","",$I156&amp;"#"&amp;COUNTIF($I$5:$I156,$I156))</f>
        <v/>
      </c>
    </row>
    <row r="157" spans="1:18" ht="44" hidden="1" x14ac:dyDescent="0.55000000000000004">
      <c r="A157" s="46" t="s">
        <v>418</v>
      </c>
      <c r="B157" s="63" t="s">
        <v>127</v>
      </c>
      <c r="C157" s="44"/>
      <c r="D157" s="45"/>
      <c r="E157" s="46">
        <v>3</v>
      </c>
      <c r="F157" s="44" t="s">
        <v>422</v>
      </c>
      <c r="G157" s="47" t="inlineStr">
        <is>
          <t>القسم العلمي</t>
        </is>
      </c>
      <c r="H157" s="46" t="str">
        <f>IFERROR(INDEX('الإعدادات واللجنة'!$C$24:$C$32,MATCH(LEFT(A157,3),'الإعدادات واللجنة'!$A$24:$A$32,0)),"")</f>
        <v>د. عبدالله بن محمد البركاتي</v>
      </c>
      <c r="I157" s="38"/>
      <c r="J157" s="38"/>
      <c r="K157" s="46" t="str">
        <f t="shared" si="2"/>
        <v/>
      </c>
      <c r="L157" s="48"/>
      <c r="M157" s="38"/>
      <c r="N157" s="48"/>
      <c r="O157" s="48"/>
      <c r="P157" s="38"/>
      <c r="Q157" s="48"/>
      <c r="R157" s="26" t="str">
        <f>IF($I157="","",$I157&amp;"#"&amp;COUNTIF($I$5:$I157,$I157))</f>
        <v/>
      </c>
    </row>
    <row r="158" spans="1:18" ht="44" hidden="1" x14ac:dyDescent="0.55000000000000004">
      <c r="A158" s="46" t="s">
        <v>418</v>
      </c>
      <c r="B158" s="63" t="s">
        <v>127</v>
      </c>
      <c r="C158" s="44"/>
      <c r="D158" s="45"/>
      <c r="E158" s="46">
        <v>4</v>
      </c>
      <c r="F158" s="44" t="s">
        <v>423</v>
      </c>
      <c r="G158" s="47" t="inlineStr">
        <is>
          <t>وحدة الخريجين</t>
        </is>
      </c>
      <c r="H158" s="46" t="str">
        <f>IFERROR(INDEX('الإعدادات واللجنة'!$C$24:$C$32,MATCH(LEFT(A158,3),'الإعدادات واللجنة'!$A$24:$A$32,0)),"")</f>
        <v>د. عبدالله بن محمد البركاتي</v>
      </c>
      <c r="I158" s="38"/>
      <c r="J158" s="38"/>
      <c r="K158" s="46" t="str">
        <f t="shared" si="2"/>
        <v/>
      </c>
      <c r="L158" s="48"/>
      <c r="M158" s="38"/>
      <c r="N158" s="48"/>
      <c r="O158" s="48"/>
      <c r="P158" s="38"/>
      <c r="Q158" s="48"/>
      <c r="R158" s="26" t="str">
        <f>IF($I158="","",$I158&amp;"#"&amp;COUNTIF($I$5:$I158,$I158))</f>
        <v/>
      </c>
    </row>
    <row r="159" spans="1:18" ht="44" hidden="1" x14ac:dyDescent="0.55000000000000004">
      <c r="A159" s="46" t="s">
        <v>418</v>
      </c>
      <c r="B159" s="63" t="s">
        <v>127</v>
      </c>
      <c r="C159" s="44"/>
      <c r="D159" s="45"/>
      <c r="E159" s="46">
        <v>5</v>
      </c>
      <c r="F159" s="44" t="s">
        <v>424</v>
      </c>
      <c r="G159" s="47" t="inlineStr">
        <is>
          <t>وحدة الخريجين</t>
        </is>
      </c>
      <c r="H159" s="46" t="str">
        <f>IFERROR(INDEX('الإعدادات واللجنة'!$C$24:$C$32,MATCH(LEFT(A159,3),'الإعدادات واللجنة'!$A$24:$A$32,0)),"")</f>
        <v>د. عبدالله بن محمد البركاتي</v>
      </c>
      <c r="I159" s="38"/>
      <c r="J159" s="38"/>
      <c r="K159" s="46" t="str">
        <f t="shared" si="2"/>
        <v/>
      </c>
      <c r="L159" s="48"/>
      <c r="M159" s="38"/>
      <c r="N159" s="48"/>
      <c r="O159" s="48"/>
      <c r="P159" s="38"/>
      <c r="Q159" s="48"/>
      <c r="R159" s="26" t="str">
        <f>IF($I159="","",$I159&amp;"#"&amp;COUNTIF($I$5:$I159,$I159))</f>
        <v/>
      </c>
    </row>
    <row r="160" spans="1:18" ht="44" hidden="1" x14ac:dyDescent="0.55000000000000004">
      <c r="A160" s="46" t="s">
        <v>418</v>
      </c>
      <c r="B160" s="63" t="s">
        <v>127</v>
      </c>
      <c r="C160" s="44"/>
      <c r="D160" s="45"/>
      <c r="E160" s="46">
        <v>6</v>
      </c>
      <c r="F160" s="44" t="s">
        <v>425</v>
      </c>
      <c r="G160" s="47" t="inlineStr">
        <is>
          <t>إدارة الكلية</t>
        </is>
      </c>
      <c r="H160" s="46" t="str">
        <f>IFERROR(INDEX('الإعدادات واللجنة'!$C$24:$C$32,MATCH(LEFT(A160,3),'الإعدادات واللجنة'!$A$24:$A$32,0)),"")</f>
        <v>د. عبدالله بن محمد البركاتي</v>
      </c>
      <c r="I160" s="38"/>
      <c r="J160" s="38"/>
      <c r="K160" s="46" t="str">
        <f t="shared" si="2"/>
        <v/>
      </c>
      <c r="L160" s="48"/>
      <c r="M160" s="38"/>
      <c r="N160" s="48"/>
      <c r="O160" s="48"/>
      <c r="P160" s="38"/>
      <c r="Q160" s="48"/>
      <c r="R160" s="26" t="str">
        <f>IF($I160="","",$I160&amp;"#"&amp;COUNTIF($I$5:$I160,$I160))</f>
        <v/>
      </c>
    </row>
    <row r="161" spans="1:18" ht="66" hidden="1" x14ac:dyDescent="0.55000000000000004">
      <c r="A161" s="49" t="s">
        <v>426</v>
      </c>
      <c r="B161" s="64" t="s">
        <v>127</v>
      </c>
      <c r="C161" s="50" t="s">
        <v>427</v>
      </c>
      <c r="D161" s="51" t="s">
        <v>208</v>
      </c>
      <c r="E161" s="52">
        <v>1</v>
      </c>
      <c r="F161" s="50" t="s">
        <v>428</v>
      </c>
      <c r="G161" s="53" t="inlineStr">
        <is>
          <t>وحدة الأنشطة بالكلية / شؤون الطلاب</t>
        </is>
      </c>
      <c r="H161" s="54" t="str">
        <f>IFERROR(INDEX('الإعدادات واللجنة'!$C$24:$C$32,MATCH(LEFT(A161,3),'الإعدادات واللجنة'!$A$24:$A$32,0)),"")</f>
        <v>د. عبدالله بن محمد البركاتي</v>
      </c>
      <c r="I161" s="55"/>
      <c r="J161" s="55"/>
      <c r="K161" s="54" t="str">
        <f t="shared" si="2"/>
        <v/>
      </c>
      <c r="L161" s="56"/>
      <c r="M161" s="55"/>
      <c r="N161" s="56"/>
      <c r="O161" s="56"/>
      <c r="P161" s="55"/>
      <c r="Q161" s="56"/>
      <c r="R161" s="26" t="str">
        <f>IF($I161="","",$I161&amp;"#"&amp;COUNTIF($I$5:$I161,$I161))</f>
        <v/>
      </c>
    </row>
    <row r="162" spans="1:18" ht="44" hidden="1" x14ac:dyDescent="0.55000000000000004">
      <c r="A162" s="57" t="s">
        <v>426</v>
      </c>
      <c r="B162" s="65" t="s">
        <v>127</v>
      </c>
      <c r="C162" s="58"/>
      <c r="D162" s="59" t="s">
        <v>208</v>
      </c>
      <c r="E162" s="57">
        <v>2</v>
      </c>
      <c r="F162" s="58" t="s">
        <v>429</v>
      </c>
      <c r="G162" s="47" t="inlineStr">
        <is>
          <t>لجنة الجودة بالكلية</t>
        </is>
      </c>
      <c r="H162" s="46" t="str">
        <f>IFERROR(INDEX('الإعدادات واللجنة'!$C$24:$C$32,MATCH(LEFT(A162,3),'الإعدادات واللجنة'!$A$24:$A$32,0)),"")</f>
        <v>د. عبدالله بن محمد البركاتي</v>
      </c>
      <c r="I162" s="38"/>
      <c r="J162" s="38"/>
      <c r="K162" s="46" t="str">
        <f t="shared" si="2"/>
        <v/>
      </c>
      <c r="L162" s="48"/>
      <c r="M162" s="38"/>
      <c r="N162" s="48"/>
      <c r="O162" s="48"/>
      <c r="P162" s="38"/>
      <c r="Q162" s="48"/>
      <c r="R162" s="26" t="str">
        <f>IF($I162="","",$I162&amp;"#"&amp;COUNTIF($I$5:$I162,$I162))</f>
        <v/>
      </c>
    </row>
    <row r="163" spans="1:18" ht="44" hidden="1" x14ac:dyDescent="0.55000000000000004">
      <c r="A163" s="57" t="s">
        <v>426</v>
      </c>
      <c r="B163" s="65" t="s">
        <v>127</v>
      </c>
      <c r="C163" s="58"/>
      <c r="D163" s="59" t="s">
        <v>208</v>
      </c>
      <c r="E163" s="57">
        <v>3</v>
      </c>
      <c r="F163" s="58" t="s">
        <v>430</v>
      </c>
      <c r="G163" s="47" t="inlineStr">
        <is>
          <t>لجنة الجودة بالكلية</t>
        </is>
      </c>
      <c r="H163" s="46" t="str">
        <f>IFERROR(INDEX('الإعدادات واللجنة'!$C$24:$C$32,MATCH(LEFT(A163,3),'الإعدادات واللجنة'!$A$24:$A$32,0)),"")</f>
        <v>د. عبدالله بن محمد البركاتي</v>
      </c>
      <c r="I163" s="38"/>
      <c r="J163" s="38"/>
      <c r="K163" s="46" t="str">
        <f t="shared" si="2"/>
        <v/>
      </c>
      <c r="L163" s="48"/>
      <c r="M163" s="38"/>
      <c r="N163" s="48"/>
      <c r="O163" s="48"/>
      <c r="P163" s="38"/>
      <c r="Q163" s="48"/>
      <c r="R163" s="26" t="str">
        <f>IF($I163="","",$I163&amp;"#"&amp;COUNTIF($I$5:$I163,$I163))</f>
        <v/>
      </c>
    </row>
    <row r="164" spans="1:18" ht="66" hidden="1" x14ac:dyDescent="0.55000000000000004">
      <c r="A164" s="49" t="s">
        <v>431</v>
      </c>
      <c r="B164" s="64" t="s">
        <v>128</v>
      </c>
      <c r="C164" s="50" t="s">
        <v>432</v>
      </c>
      <c r="D164" s="51" t="s">
        <v>208</v>
      </c>
      <c r="E164" s="52">
        <v>1</v>
      </c>
      <c r="F164" s="50" t="s">
        <v>433</v>
      </c>
      <c r="G164" s="53" t="inlineStr">
        <is>
          <t>القسم العلمي</t>
        </is>
      </c>
      <c r="H164" s="54" t="str">
        <f>IFERROR(INDEX('الإعدادات واللجنة'!$C$24:$C$32,MATCH(LEFT(A164,3),'الإعدادات واللجنة'!$A$24:$A$32,0)),"")</f>
        <v>د. عمر بن محمد موسى</v>
      </c>
      <c r="I164" s="55"/>
      <c r="J164" s="55"/>
      <c r="K164" s="54" t="str">
        <f t="shared" si="2"/>
        <v/>
      </c>
      <c r="L164" s="56"/>
      <c r="M164" s="55"/>
      <c r="N164" s="56"/>
      <c r="O164" s="56"/>
      <c r="P164" s="55"/>
      <c r="Q164" s="56"/>
      <c r="R164" s="26" t="str">
        <f>IF($I164="","",$I164&amp;"#"&amp;COUNTIF($I$5:$I164,$I164))</f>
        <v/>
      </c>
    </row>
    <row r="165" spans="1:18" ht="26" hidden="1" x14ac:dyDescent="0.55000000000000004">
      <c r="A165" s="57" t="s">
        <v>431</v>
      </c>
      <c r="B165" s="65" t="s">
        <v>128</v>
      </c>
      <c r="C165" s="58"/>
      <c r="D165" s="59" t="s">
        <v>208</v>
      </c>
      <c r="E165" s="57">
        <v>2</v>
      </c>
      <c r="F165" s="58" t="s">
        <v>434</v>
      </c>
      <c r="G165" s="47" t="inlineStr">
        <is>
          <t>القسم العلمي</t>
        </is>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hidden="1" x14ac:dyDescent="0.55000000000000004">
      <c r="A166" s="57" t="s">
        <v>431</v>
      </c>
      <c r="B166" s="65" t="s">
        <v>128</v>
      </c>
      <c r="C166" s="58"/>
      <c r="D166" s="59" t="s">
        <v>208</v>
      </c>
      <c r="E166" s="57">
        <v>3</v>
      </c>
      <c r="F166" s="58" t="s">
        <v>435</v>
      </c>
      <c r="G166" s="47" t="inlineStr">
        <is>
          <t>لجنة الجودة بالكلية</t>
        </is>
      </c>
      <c r="H166" s="46" t="str">
        <f>IFERROR(INDEX('الإعدادات واللجنة'!$C$24:$C$32,MATCH(LEFT(A166,3),'الإعدادات واللجنة'!$A$24:$A$32,0)),"")</f>
        <v>د. عمر بن محمد موسى</v>
      </c>
      <c r="I166" s="38"/>
      <c r="J166" s="38"/>
      <c r="K166" s="46" t="str">
        <f t="shared" si="2"/>
        <v/>
      </c>
      <c r="L166" s="48"/>
      <c r="M166" s="38"/>
      <c r="N166" s="48"/>
      <c r="O166" s="48"/>
      <c r="P166" s="38"/>
      <c r="Q166" s="48"/>
      <c r="R166" s="26" t="str">
        <f>IF($I166="","",$I166&amp;"#"&amp;COUNTIF($I$5:$I166,$I166))</f>
        <v/>
      </c>
    </row>
    <row r="167" spans="1:18" ht="44" hidden="1" x14ac:dyDescent="0.55000000000000004">
      <c r="A167" s="57" t="s">
        <v>431</v>
      </c>
      <c r="B167" s="65" t="s">
        <v>128</v>
      </c>
      <c r="C167" s="58"/>
      <c r="D167" s="59" t="s">
        <v>208</v>
      </c>
      <c r="E167" s="57">
        <v>4</v>
      </c>
      <c r="F167" s="58" t="s">
        <v>436</v>
      </c>
      <c r="G167" s="47" t="inlineStr">
        <is>
          <t>القسم العلمي</t>
        </is>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hidden="1" x14ac:dyDescent="0.55000000000000004">
      <c r="A168" s="60" t="s">
        <v>437</v>
      </c>
      <c r="B168" s="66" t="s">
        <v>128</v>
      </c>
      <c r="C168" s="61" t="s">
        <v>438</v>
      </c>
      <c r="D168" s="62"/>
      <c r="E168" s="54">
        <v>1</v>
      </c>
      <c r="F168" s="61" t="s">
        <v>439</v>
      </c>
      <c r="G168" s="53" t="inlineStr">
        <is>
          <t>الموارد البشرية</t>
        </is>
      </c>
      <c r="H168" s="54" t="str">
        <f>IFERROR(INDEX('الإعدادات واللجنة'!$C$24:$C$32,MATCH(LEFT(A168,3),'الإعدادات واللجنة'!$A$24:$A$32,0)),"")</f>
        <v>د. عمر بن محمد موسى</v>
      </c>
      <c r="I168" s="55"/>
      <c r="J168" s="55"/>
      <c r="K168" s="54" t="str">
        <f t="shared" si="2"/>
        <v/>
      </c>
      <c r="L168" s="56"/>
      <c r="M168" s="55"/>
      <c r="N168" s="56"/>
      <c r="O168" s="56"/>
      <c r="P168" s="55"/>
      <c r="Q168" s="56"/>
      <c r="R168" s="26" t="str">
        <f>IF($I168="","",$I168&amp;"#"&amp;COUNTIF($I$5:$I168,$I168))</f>
        <v/>
      </c>
    </row>
    <row r="169" spans="1:18" ht="44" hidden="1" x14ac:dyDescent="0.55000000000000004">
      <c r="A169" s="46" t="s">
        <v>437</v>
      </c>
      <c r="B169" s="63" t="s">
        <v>128</v>
      </c>
      <c r="C169" s="44"/>
      <c r="D169" s="45"/>
      <c r="E169" s="46">
        <v>2</v>
      </c>
      <c r="F169" s="44" t="s">
        <v>440</v>
      </c>
      <c r="G169" s="47" t="inlineStr">
        <is>
          <t>القسم العلمي</t>
        </is>
      </c>
      <c r="H169" s="46" t="str">
        <f>IFERROR(INDEX('الإعدادات واللجنة'!$C$24:$C$32,MATCH(LEFT(A169,3),'الإعدادات واللجنة'!$A$24:$A$32,0)),"")</f>
        <v>د. عمر بن محمد موسى</v>
      </c>
      <c r="I169" s="38"/>
      <c r="J169" s="38"/>
      <c r="K169" s="46" t="str">
        <f t="shared" si="2"/>
        <v/>
      </c>
      <c r="L169" s="48"/>
      <c r="M169" s="38"/>
      <c r="N169" s="48"/>
      <c r="O169" s="48"/>
      <c r="P169" s="38"/>
      <c r="Q169" s="48"/>
      <c r="R169" s="26" t="str">
        <f>IF($I169="","",$I169&amp;"#"&amp;COUNTIF($I$5:$I169,$I169))</f>
        <v/>
      </c>
    </row>
    <row r="170" spans="1:18" ht="66" hidden="1" x14ac:dyDescent="0.55000000000000004">
      <c r="A170" s="60" t="s">
        <v>441</v>
      </c>
      <c r="B170" s="66" t="s">
        <v>128</v>
      </c>
      <c r="C170" s="61" t="s">
        <v>442</v>
      </c>
      <c r="D170" s="62"/>
      <c r="E170" s="54">
        <v>1</v>
      </c>
      <c r="F170" s="61" t="s">
        <v>443</v>
      </c>
      <c r="G170" s="53" t="inlineStr">
        <is>
          <t>القسم العلمي</t>
        </is>
      </c>
      <c r="H170" s="54" t="str">
        <f>IFERROR(INDEX('الإعدادات واللجنة'!$C$24:$C$32,MATCH(LEFT(A170,3),'الإعدادات واللجنة'!$A$24:$A$32,0)),"")</f>
        <v>د. عمر بن محمد موسى</v>
      </c>
      <c r="I170" s="55"/>
      <c r="J170" s="55"/>
      <c r="K170" s="54" t="str">
        <f t="shared" si="2"/>
        <v/>
      </c>
      <c r="L170" s="56"/>
      <c r="M170" s="55"/>
      <c r="N170" s="56"/>
      <c r="O170" s="56"/>
      <c r="P170" s="55"/>
      <c r="Q170" s="56"/>
      <c r="R170" s="26" t="str">
        <f>IF($I170="","",$I170&amp;"#"&amp;COUNTIF($I$5:$I170,$I170))</f>
        <v/>
      </c>
    </row>
    <row r="171" spans="1:18" ht="66" hidden="1" x14ac:dyDescent="0.55000000000000004">
      <c r="A171" s="46" t="s">
        <v>441</v>
      </c>
      <c r="B171" s="63" t="s">
        <v>128</v>
      </c>
      <c r="C171" s="44"/>
      <c r="D171" s="45"/>
      <c r="E171" s="46">
        <v>2</v>
      </c>
      <c r="F171" s="44" t="s">
        <v>444</v>
      </c>
      <c r="G171" s="47" t="inlineStr">
        <is>
          <t>إدارة الكلية</t>
        </is>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hidden="1" x14ac:dyDescent="0.55000000000000004">
      <c r="A172" s="46" t="s">
        <v>441</v>
      </c>
      <c r="B172" s="63" t="s">
        <v>128</v>
      </c>
      <c r="C172" s="44"/>
      <c r="D172" s="45"/>
      <c r="E172" s="46">
        <v>3</v>
      </c>
      <c r="F172" s="44" t="s">
        <v>445</v>
      </c>
      <c r="G172" s="47" t="inlineStr">
        <is>
          <t>القسم العلمي</t>
        </is>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44" hidden="1" x14ac:dyDescent="0.55000000000000004">
      <c r="A173" s="46" t="s">
        <v>441</v>
      </c>
      <c r="B173" s="63" t="s">
        <v>128</v>
      </c>
      <c r="C173" s="44"/>
      <c r="D173" s="45"/>
      <c r="E173" s="46">
        <v>4</v>
      </c>
      <c r="F173" s="44" t="s">
        <v>446</v>
      </c>
      <c r="G173" s="47" t="inlineStr">
        <is>
          <t>القسم العلمي</t>
        </is>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26" hidden="1" x14ac:dyDescent="0.55000000000000004">
      <c r="A174" s="46" t="s">
        <v>441</v>
      </c>
      <c r="B174" s="63" t="s">
        <v>128</v>
      </c>
      <c r="C174" s="44"/>
      <c r="D174" s="45"/>
      <c r="E174" s="46">
        <v>5</v>
      </c>
      <c r="F174" s="44" t="s">
        <v>447</v>
      </c>
      <c r="G174" s="47" t="inlineStr">
        <is>
          <t>البحث العلمي والدراسات العليا</t>
        </is>
      </c>
      <c r="H174" s="46" t="str">
        <f>IFERROR(INDEX('الإعدادات واللجنة'!$C$24:$C$32,MATCH(LEFT(A174,3),'الإعدادات واللجنة'!$A$24:$A$32,0)),"")</f>
        <v>د. عمر بن محمد موسى</v>
      </c>
      <c r="I174" s="38"/>
      <c r="J174" s="38"/>
      <c r="K174" s="46" t="str">
        <f t="shared" si="2"/>
        <v/>
      </c>
      <c r="L174" s="48"/>
      <c r="M174" s="38"/>
      <c r="N174" s="48"/>
      <c r="O174" s="48"/>
      <c r="P174" s="38"/>
      <c r="Q174" s="48"/>
      <c r="R174" s="26" t="str">
        <f>IF($I174="","",$I174&amp;"#"&amp;COUNTIF($I$5:$I174,$I174))</f>
        <v/>
      </c>
    </row>
    <row r="175" spans="1:18" ht="26" hidden="1" x14ac:dyDescent="0.55000000000000004">
      <c r="A175" s="46" t="s">
        <v>441</v>
      </c>
      <c r="B175" s="63" t="s">
        <v>128</v>
      </c>
      <c r="C175" s="44"/>
      <c r="D175" s="45"/>
      <c r="E175" s="46">
        <v>6</v>
      </c>
      <c r="F175" s="44" t="s">
        <v>448</v>
      </c>
      <c r="G175" s="47" t="inlineStr">
        <is>
          <t>لجنة الجودة بالكلية</t>
        </is>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44" hidden="1" x14ac:dyDescent="0.55000000000000004">
      <c r="A176" s="46" t="s">
        <v>441</v>
      </c>
      <c r="B176" s="63" t="s">
        <v>128</v>
      </c>
      <c r="C176" s="44"/>
      <c r="D176" s="45"/>
      <c r="E176" s="46">
        <v>7</v>
      </c>
      <c r="F176" s="44" t="s">
        <v>449</v>
      </c>
      <c r="G176" s="47" t="inlineStr">
        <is>
          <t>الموارد البشرية</t>
        </is>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44" hidden="1" x14ac:dyDescent="0.55000000000000004">
      <c r="A177" s="60" t="s">
        <v>450</v>
      </c>
      <c r="B177" s="66" t="s">
        <v>128</v>
      </c>
      <c r="C177" s="61" t="s">
        <v>451</v>
      </c>
      <c r="D177" s="62"/>
      <c r="E177" s="54">
        <v>1</v>
      </c>
      <c r="F177" s="61" t="s">
        <v>452</v>
      </c>
      <c r="G177" s="53" t="inlineStr">
        <is>
          <t>إدارة الكلية</t>
        </is>
      </c>
      <c r="H177" s="54" t="str">
        <f>IFERROR(INDEX('الإعدادات واللجنة'!$C$24:$C$32,MATCH(LEFT(A177,3),'الإعدادات واللجنة'!$A$24:$A$32,0)),"")</f>
        <v>د. عمر بن محمد موسى</v>
      </c>
      <c r="I177" s="55"/>
      <c r="J177" s="55"/>
      <c r="K177" s="54" t="str">
        <f t="shared" si="2"/>
        <v/>
      </c>
      <c r="L177" s="56"/>
      <c r="M177" s="55"/>
      <c r="N177" s="56"/>
      <c r="O177" s="56"/>
      <c r="P177" s="55"/>
      <c r="Q177" s="56"/>
      <c r="R177" s="26" t="str">
        <f>IF($I177="","",$I177&amp;"#"&amp;COUNTIF($I$5:$I177,$I177))</f>
        <v/>
      </c>
    </row>
    <row r="178" spans="1:18" ht="26" hidden="1" x14ac:dyDescent="0.55000000000000004">
      <c r="A178" s="46" t="s">
        <v>450</v>
      </c>
      <c r="B178" s="63" t="s">
        <v>128</v>
      </c>
      <c r="C178" s="44"/>
      <c r="D178" s="45"/>
      <c r="E178" s="46">
        <v>2</v>
      </c>
      <c r="F178" s="44" t="s">
        <v>453</v>
      </c>
      <c r="G178" s="47" t="inlineStr">
        <is>
          <t>إدارة الكلية</t>
        </is>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44" hidden="1" x14ac:dyDescent="0.55000000000000004">
      <c r="A179" s="46" t="s">
        <v>450</v>
      </c>
      <c r="B179" s="63" t="s">
        <v>128</v>
      </c>
      <c r="C179" s="44"/>
      <c r="D179" s="45"/>
      <c r="E179" s="46">
        <v>3</v>
      </c>
      <c r="F179" s="44" t="s">
        <v>454</v>
      </c>
      <c r="G179" s="47" t="inlineStr">
        <is>
          <t>الموارد البشرية</t>
        </is>
      </c>
      <c r="H179" s="46" t="str">
        <f>IFERROR(INDEX('الإعدادات واللجنة'!$C$24:$C$32,MATCH(LEFT(A179,3),'الإعدادات واللجنة'!$A$24:$A$32,0)),"")</f>
        <v>د. عمر بن محمد موسى</v>
      </c>
      <c r="I179" s="38"/>
      <c r="J179" s="38"/>
      <c r="K179" s="46" t="str">
        <f t="shared" si="2"/>
        <v/>
      </c>
      <c r="L179" s="48"/>
      <c r="M179" s="38"/>
      <c r="N179" s="48"/>
      <c r="O179" s="48"/>
      <c r="P179" s="38"/>
      <c r="Q179" s="48"/>
      <c r="R179" s="26" t="str">
        <f>IF($I179="","",$I179&amp;"#"&amp;COUNTIF($I$5:$I179,$I179))</f>
        <v/>
      </c>
    </row>
    <row r="180" spans="1:18" ht="66" hidden="1" x14ac:dyDescent="0.55000000000000004">
      <c r="A180" s="60" t="s">
        <v>455</v>
      </c>
      <c r="B180" s="66" t="s">
        <v>128</v>
      </c>
      <c r="C180" s="61" t="s">
        <v>456</v>
      </c>
      <c r="D180" s="62"/>
      <c r="E180" s="54">
        <v>1</v>
      </c>
      <c r="F180" s="61" t="s">
        <v>457</v>
      </c>
      <c r="G180" s="53" t="inlineStr">
        <is>
          <t>القسم العلمي</t>
        </is>
      </c>
      <c r="H180" s="54" t="str">
        <f>IFERROR(INDEX('الإعدادات واللجنة'!$C$24:$C$32,MATCH(LEFT(A180,3),'الإعدادات واللجنة'!$A$24:$A$32,0)),"")</f>
        <v>د. عمر بن محمد موسى</v>
      </c>
      <c r="I180" s="55"/>
      <c r="J180" s="55"/>
      <c r="K180" s="54" t="str">
        <f t="shared" si="2"/>
        <v/>
      </c>
      <c r="L180" s="56"/>
      <c r="M180" s="55"/>
      <c r="N180" s="56"/>
      <c r="O180" s="56"/>
      <c r="P180" s="55"/>
      <c r="Q180" s="56"/>
      <c r="R180" s="26" t="str">
        <f>IF($I180="","",$I180&amp;"#"&amp;COUNTIF($I$5:$I180,$I180))</f>
        <v/>
      </c>
    </row>
    <row r="181" spans="1:18" ht="26" hidden="1" x14ac:dyDescent="0.55000000000000004">
      <c r="A181" s="46" t="s">
        <v>455</v>
      </c>
      <c r="B181" s="63" t="s">
        <v>128</v>
      </c>
      <c r="C181" s="44"/>
      <c r="D181" s="45"/>
      <c r="E181" s="46">
        <v>2</v>
      </c>
      <c r="F181" s="44" t="s">
        <v>458</v>
      </c>
      <c r="G181" s="47" t="inlineStr">
        <is>
          <t>القسم العلمي</t>
        </is>
      </c>
      <c r="H181" s="46" t="str">
        <f>IFERROR(INDEX('الإعدادات واللجنة'!$C$24:$C$32,MATCH(LEFT(A181,3),'الإعدادات واللجنة'!$A$24:$A$32,0)),"")</f>
        <v>د. عمر بن محمد موسى</v>
      </c>
      <c r="I181" s="38"/>
      <c r="J181" s="38"/>
      <c r="K181" s="46" t="str">
        <f t="shared" si="2"/>
        <v/>
      </c>
      <c r="L181" s="48"/>
      <c r="M181" s="38"/>
      <c r="N181" s="48"/>
      <c r="O181" s="48"/>
      <c r="P181" s="38"/>
      <c r="Q181" s="48"/>
      <c r="R181" s="26" t="str">
        <f>IF($I181="","",$I181&amp;"#"&amp;COUNTIF($I$5:$I181,$I181))</f>
        <v/>
      </c>
    </row>
    <row r="182" spans="1:18" ht="44" hidden="1" x14ac:dyDescent="0.55000000000000004">
      <c r="A182" s="46" t="s">
        <v>455</v>
      </c>
      <c r="B182" s="63" t="s">
        <v>128</v>
      </c>
      <c r="C182" s="44"/>
      <c r="D182" s="45"/>
      <c r="E182" s="46">
        <v>3</v>
      </c>
      <c r="F182" s="44" t="s">
        <v>459</v>
      </c>
      <c r="G182" s="47" t="inlineStr">
        <is>
          <t>القسم العلمي</t>
        </is>
      </c>
      <c r="H182" s="46" t="str">
        <f>IFERROR(INDEX('الإعدادات واللجنة'!$C$24:$C$32,MATCH(LEFT(A182,3),'الإعدادات واللجنة'!$A$24:$A$32,0)),"")</f>
        <v>د. عمر بن محمد موسى</v>
      </c>
      <c r="I182" s="38"/>
      <c r="J182" s="38"/>
      <c r="K182" s="46" t="str">
        <f t="shared" si="2"/>
        <v/>
      </c>
      <c r="L182" s="48"/>
      <c r="M182" s="38"/>
      <c r="N182" s="48"/>
      <c r="O182" s="48"/>
      <c r="P182" s="38"/>
      <c r="Q182" s="48"/>
      <c r="R182" s="26" t="str">
        <f>IF($I182="","",$I182&amp;"#"&amp;COUNTIF($I$5:$I182,$I182))</f>
        <v/>
      </c>
    </row>
    <row r="183" spans="1:18" ht="44" hidden="1" x14ac:dyDescent="0.55000000000000004">
      <c r="A183" s="46" t="s">
        <v>455</v>
      </c>
      <c r="B183" s="63" t="s">
        <v>128</v>
      </c>
      <c r="C183" s="44"/>
      <c r="D183" s="45"/>
      <c r="E183" s="46">
        <v>4</v>
      </c>
      <c r="F183" s="44" t="s">
        <v>460</v>
      </c>
      <c r="G183" s="47" t="inlineStr">
        <is>
          <t>لجنة الجودة بالكلية</t>
        </is>
      </c>
      <c r="H183" s="46" t="str">
        <f>IFERROR(INDEX('الإعدادات واللجنة'!$C$24:$C$32,MATCH(LEFT(A183,3),'الإعدادات واللجنة'!$A$24:$A$32,0)),"")</f>
        <v>د. عمر بن محمد موسى</v>
      </c>
      <c r="I183" s="38"/>
      <c r="J183" s="38"/>
      <c r="K183" s="46" t="str">
        <f t="shared" si="2"/>
        <v/>
      </c>
      <c r="L183" s="48"/>
      <c r="M183" s="38"/>
      <c r="N183" s="48"/>
      <c r="O183" s="48"/>
      <c r="P183" s="38"/>
      <c r="Q183" s="48"/>
      <c r="R183" s="26" t="str">
        <f>IF($I183="","",$I183&amp;"#"&amp;COUNTIF($I$5:$I183,$I183))</f>
        <v/>
      </c>
    </row>
    <row r="184" spans="1:18" ht="26" hidden="1" x14ac:dyDescent="0.55000000000000004">
      <c r="A184" s="46" t="s">
        <v>455</v>
      </c>
      <c r="B184" s="63" t="s">
        <v>128</v>
      </c>
      <c r="C184" s="44"/>
      <c r="D184" s="45"/>
      <c r="E184" s="46">
        <v>5</v>
      </c>
      <c r="F184" s="44" t="s">
        <v>461</v>
      </c>
      <c r="G184" s="47" t="inlineStr">
        <is>
          <t>القسم العلمي</t>
        </is>
      </c>
      <c r="H184" s="46" t="str">
        <f>IFERROR(INDEX('الإعدادات واللجنة'!$C$24:$C$32,MATCH(LEFT(A184,3),'الإعدادات واللجنة'!$A$24:$A$32,0)),"")</f>
        <v>د. عمر بن محمد موسى</v>
      </c>
      <c r="I184" s="38"/>
      <c r="J184" s="38"/>
      <c r="K184" s="46" t="str">
        <f t="shared" si="2"/>
        <v/>
      </c>
      <c r="L184" s="48"/>
      <c r="M184" s="38"/>
      <c r="N184" s="48"/>
      <c r="O184" s="48"/>
      <c r="P184" s="38"/>
      <c r="Q184" s="48"/>
      <c r="R184" s="26" t="str">
        <f>IF($I184="","",$I184&amp;"#"&amp;COUNTIF($I$5:$I184,$I184))</f>
        <v/>
      </c>
    </row>
    <row r="185" spans="1:18" ht="66" hidden="1" x14ac:dyDescent="0.55000000000000004">
      <c r="A185" s="60" t="s">
        <v>462</v>
      </c>
      <c r="B185" s="66" t="s">
        <v>128</v>
      </c>
      <c r="C185" s="61" t="s">
        <v>463</v>
      </c>
      <c r="D185" s="62"/>
      <c r="E185" s="54">
        <v>1</v>
      </c>
      <c r="F185" s="61" t="s">
        <v>464</v>
      </c>
      <c r="G185" s="53" t="inlineStr">
        <is>
          <t>الموارد البشرية</t>
        </is>
      </c>
      <c r="H185" s="54" t="str">
        <f>IFERROR(INDEX('الإعدادات واللجنة'!$C$24:$C$32,MATCH(LEFT(A185,3),'الإعدادات واللجنة'!$A$24:$A$32,0)),"")</f>
        <v>د. عمر بن محمد موسى</v>
      </c>
      <c r="I185" s="55"/>
      <c r="J185" s="55"/>
      <c r="K185" s="54" t="str">
        <f t="shared" si="2"/>
        <v/>
      </c>
      <c r="L185" s="56"/>
      <c r="M185" s="55"/>
      <c r="N185" s="56"/>
      <c r="O185" s="56"/>
      <c r="P185" s="55"/>
      <c r="Q185" s="56"/>
      <c r="R185" s="26" t="str">
        <f>IF($I185="","",$I185&amp;"#"&amp;COUNTIF($I$5:$I185,$I185))</f>
        <v/>
      </c>
    </row>
    <row r="186" spans="1:18" ht="26" hidden="1" x14ac:dyDescent="0.55000000000000004">
      <c r="A186" s="46" t="s">
        <v>462</v>
      </c>
      <c r="B186" s="63" t="s">
        <v>128</v>
      </c>
      <c r="C186" s="44"/>
      <c r="D186" s="45"/>
      <c r="E186" s="46">
        <v>2</v>
      </c>
      <c r="F186" s="44" t="s">
        <v>465</v>
      </c>
      <c r="G186" s="47" t="inlineStr">
        <is>
          <t>القسم العلمي</t>
        </is>
      </c>
      <c r="H186" s="46" t="str">
        <f>IFERROR(INDEX('الإعدادات واللجنة'!$C$24:$C$32,MATCH(LEFT(A186,3),'الإعدادات واللجنة'!$A$24:$A$32,0)),"")</f>
        <v>د. عمر بن محمد موسى</v>
      </c>
      <c r="I186" s="38"/>
      <c r="J186" s="38"/>
      <c r="K186" s="46" t="str">
        <f t="shared" si="2"/>
        <v/>
      </c>
      <c r="L186" s="48"/>
      <c r="M186" s="38"/>
      <c r="N186" s="48"/>
      <c r="O186" s="48"/>
      <c r="P186" s="38"/>
      <c r="Q186" s="48"/>
      <c r="R186" s="26" t="str">
        <f>IF($I186="","",$I186&amp;"#"&amp;COUNTIF($I$5:$I186,$I186))</f>
        <v/>
      </c>
    </row>
    <row r="187" spans="1:18" ht="26" hidden="1" x14ac:dyDescent="0.55000000000000004">
      <c r="A187" s="46" t="s">
        <v>462</v>
      </c>
      <c r="B187" s="63" t="s">
        <v>128</v>
      </c>
      <c r="C187" s="44"/>
      <c r="D187" s="45"/>
      <c r="E187" s="46">
        <v>3</v>
      </c>
      <c r="F187" s="44" t="s">
        <v>466</v>
      </c>
      <c r="G187" s="47" t="inlineStr">
        <is>
          <t>القسم العلمي</t>
        </is>
      </c>
      <c r="H187" s="46" t="str">
        <f>IFERROR(INDEX('الإعدادات واللجنة'!$C$24:$C$32,MATCH(LEFT(A187,3),'الإعدادات واللجنة'!$A$24:$A$32,0)),"")</f>
        <v>د. عمر بن محمد موسى</v>
      </c>
      <c r="I187" s="38"/>
      <c r="J187" s="38"/>
      <c r="K187" s="46" t="str">
        <f t="shared" si="2"/>
        <v/>
      </c>
      <c r="L187" s="48"/>
      <c r="M187" s="38"/>
      <c r="N187" s="48"/>
      <c r="O187" s="48"/>
      <c r="P187" s="38"/>
      <c r="Q187" s="48"/>
      <c r="R187" s="26" t="str">
        <f>IF($I187="","",$I187&amp;"#"&amp;COUNTIF($I$5:$I187,$I187))</f>
        <v/>
      </c>
    </row>
    <row r="188" spans="1:18" ht="88" hidden="1" x14ac:dyDescent="0.55000000000000004">
      <c r="A188" s="46" t="s">
        <v>462</v>
      </c>
      <c r="B188" s="63" t="s">
        <v>128</v>
      </c>
      <c r="C188" s="44"/>
      <c r="D188" s="45"/>
      <c r="E188" s="46">
        <v>4</v>
      </c>
      <c r="F188" s="44" t="s">
        <v>467</v>
      </c>
      <c r="G188" s="47" t="inlineStr">
        <is>
          <t>إدارة الكلية</t>
        </is>
      </c>
      <c r="H188" s="46" t="str">
        <f>IFERROR(INDEX('الإعدادات واللجنة'!$C$24:$C$32,MATCH(LEFT(A188,3),'الإعدادات واللجنة'!$A$24:$A$32,0)),"")</f>
        <v>د. عمر بن محمد موسى</v>
      </c>
      <c r="I188" s="38"/>
      <c r="J188" s="38"/>
      <c r="K188" s="46" t="str">
        <f t="shared" si="2"/>
        <v/>
      </c>
      <c r="L188" s="48"/>
      <c r="M188" s="38"/>
      <c r="N188" s="48"/>
      <c r="O188" s="48"/>
      <c r="P188" s="38"/>
      <c r="Q188" s="48"/>
      <c r="R188" s="26" t="str">
        <f>IF($I188="","",$I188&amp;"#"&amp;COUNTIF($I$5:$I188,$I188))</f>
        <v/>
      </c>
    </row>
    <row r="189" spans="1:18" ht="26" hidden="1" x14ac:dyDescent="0.55000000000000004">
      <c r="A189" s="46" t="s">
        <v>462</v>
      </c>
      <c r="B189" s="63" t="s">
        <v>128</v>
      </c>
      <c r="C189" s="44"/>
      <c r="D189" s="45"/>
      <c r="E189" s="46">
        <v>5</v>
      </c>
      <c r="F189" s="44" t="s">
        <v>468</v>
      </c>
      <c r="G189" s="47" t="inlineStr">
        <is>
          <t>القسم العلمي</t>
        </is>
      </c>
      <c r="H189" s="46" t="str">
        <f>IFERROR(INDEX('الإعدادات واللجنة'!$C$24:$C$32,MATCH(LEFT(A189,3),'الإعدادات واللجنة'!$A$24:$A$32,0)),"")</f>
        <v>د. عمر بن محمد موسى</v>
      </c>
      <c r="I189" s="38"/>
      <c r="J189" s="38"/>
      <c r="K189" s="46" t="str">
        <f t="shared" si="2"/>
        <v/>
      </c>
      <c r="L189" s="48"/>
      <c r="M189" s="38"/>
      <c r="N189" s="48"/>
      <c r="O189" s="48"/>
      <c r="P189" s="38"/>
      <c r="Q189" s="48"/>
      <c r="R189" s="26" t="str">
        <f>IF($I189="","",$I189&amp;"#"&amp;COUNTIF($I$5:$I189,$I189))</f>
        <v/>
      </c>
    </row>
    <row r="190" spans="1:18" ht="66" hidden="1" x14ac:dyDescent="0.55000000000000004">
      <c r="A190" s="60" t="s">
        <v>469</v>
      </c>
      <c r="B190" s="66" t="s">
        <v>129</v>
      </c>
      <c r="C190" s="61" t="s">
        <v>470</v>
      </c>
      <c r="D190" s="62"/>
      <c r="E190" s="54">
        <v>1</v>
      </c>
      <c r="F190" s="61" t="s">
        <v>471</v>
      </c>
      <c r="G190" s="53" t="inlineStr">
        <is>
          <t>المكتبة ومصادر التعلم</t>
        </is>
      </c>
      <c r="H190" s="54" t="str">
        <f>IFERROR(INDEX('الإعدادات واللجنة'!$C$24:$C$32,MATCH(LEFT(A190,3),'الإعدادات واللجنة'!$A$24:$A$32,0)),"")</f>
        <v>د. حسن بن سعد القحطاني</v>
      </c>
      <c r="I190" s="55"/>
      <c r="J190" s="55"/>
      <c r="K190" s="54" t="str">
        <f t="shared" si="2"/>
        <v/>
      </c>
      <c r="L190" s="56"/>
      <c r="M190" s="55"/>
      <c r="N190" s="56"/>
      <c r="O190" s="56"/>
      <c r="P190" s="55"/>
      <c r="Q190" s="56"/>
      <c r="R190" s="26" t="str">
        <f>IF($I190="","",$I190&amp;"#"&amp;COUNTIF($I$5:$I190,$I190))</f>
        <v/>
      </c>
    </row>
    <row r="191" spans="1:18" ht="44" hidden="1" x14ac:dyDescent="0.55000000000000004">
      <c r="A191" s="46" t="s">
        <v>469</v>
      </c>
      <c r="B191" s="63" t="s">
        <v>129</v>
      </c>
      <c r="C191" s="44"/>
      <c r="D191" s="45"/>
      <c r="E191" s="46">
        <v>2</v>
      </c>
      <c r="F191" s="44" t="s">
        <v>472</v>
      </c>
      <c r="G191" s="47" t="inlineStr">
        <is>
          <t>المكتبة ومصادر التعلم</t>
        </is>
      </c>
      <c r="H191" s="46" t="str">
        <f>IFERROR(INDEX('الإعدادات واللجنة'!$C$24:$C$32,MATCH(LEFT(A191,3),'الإعدادات واللجنة'!$A$24:$A$32,0)),"")</f>
        <v>د. حسن بن سعد القحطاني</v>
      </c>
      <c r="I191" s="38"/>
      <c r="J191" s="38"/>
      <c r="K191" s="46" t="str">
        <f t="shared" si="2"/>
        <v/>
      </c>
      <c r="L191" s="48"/>
      <c r="M191" s="38"/>
      <c r="N191" s="48"/>
      <c r="O191" s="48"/>
      <c r="P191" s="38"/>
      <c r="Q191" s="48"/>
      <c r="R191" s="26" t="str">
        <f>IF($I191="","",$I191&amp;"#"&amp;COUNTIF($I$5:$I191,$I191))</f>
        <v/>
      </c>
    </row>
    <row r="192" spans="1:18" ht="44" hidden="1" x14ac:dyDescent="0.55000000000000004">
      <c r="A192" s="46" t="s">
        <v>469</v>
      </c>
      <c r="B192" s="63" t="s">
        <v>129</v>
      </c>
      <c r="C192" s="44"/>
      <c r="D192" s="45"/>
      <c r="E192" s="46">
        <v>3</v>
      </c>
      <c r="F192" s="44" t="s">
        <v>473</v>
      </c>
      <c r="G192" s="47" t="inlineStr">
        <is>
          <t>المكتبة ومصادر التعلم</t>
        </is>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66" hidden="1" x14ac:dyDescent="0.55000000000000004">
      <c r="A193" s="60" t="s">
        <v>474</v>
      </c>
      <c r="B193" s="66" t="s">
        <v>129</v>
      </c>
      <c r="C193" s="61" t="s">
        <v>475</v>
      </c>
      <c r="D193" s="62"/>
      <c r="E193" s="54">
        <v>1</v>
      </c>
      <c r="F193" s="61" t="s">
        <v>476</v>
      </c>
      <c r="G193" s="53" t="inlineStr">
        <is>
          <t>المكتبة ومصادر التعلم</t>
        </is>
      </c>
      <c r="H193" s="54" t="str">
        <f>IFERROR(INDEX('الإعدادات واللجنة'!$C$24:$C$32,MATCH(LEFT(A193,3),'الإعدادات واللجنة'!$A$24:$A$32,0)),"")</f>
        <v>د. حسن بن سعد القحطاني</v>
      </c>
      <c r="I193" s="55"/>
      <c r="J193" s="55"/>
      <c r="K193" s="54" t="str">
        <f t="shared" si="2"/>
        <v/>
      </c>
      <c r="L193" s="56"/>
      <c r="M193" s="55"/>
      <c r="N193" s="56"/>
      <c r="O193" s="56"/>
      <c r="P193" s="55"/>
      <c r="Q193" s="56"/>
      <c r="R193" s="26" t="str">
        <f>IF($I193="","",$I193&amp;"#"&amp;COUNTIF($I$5:$I193,$I193))</f>
        <v/>
      </c>
    </row>
    <row r="194" spans="1:18" ht="44" hidden="1" x14ac:dyDescent="0.55000000000000004">
      <c r="A194" s="46" t="s">
        <v>474</v>
      </c>
      <c r="B194" s="63" t="s">
        <v>129</v>
      </c>
      <c r="C194" s="44"/>
      <c r="D194" s="45"/>
      <c r="E194" s="46">
        <v>2</v>
      </c>
      <c r="F194" s="44" t="s">
        <v>477</v>
      </c>
      <c r="G194" s="47" t="inlineStr">
        <is>
          <t>المكتبة ومصادر التعلم</t>
        </is>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hidden="1" x14ac:dyDescent="0.55000000000000004">
      <c r="A195" s="46" t="s">
        <v>474</v>
      </c>
      <c r="B195" s="63" t="s">
        <v>129</v>
      </c>
      <c r="C195" s="44"/>
      <c r="D195" s="45"/>
      <c r="E195" s="46">
        <v>3</v>
      </c>
      <c r="F195" s="44" t="s">
        <v>478</v>
      </c>
      <c r="G195" s="47" t="inlineStr">
        <is>
          <t>المكتبة ومصادر التعلم</t>
        </is>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88" hidden="1" x14ac:dyDescent="0.55000000000000004">
      <c r="A196" s="49" t="s">
        <v>479</v>
      </c>
      <c r="B196" s="64" t="s">
        <v>129</v>
      </c>
      <c r="C196" s="50" t="s">
        <v>480</v>
      </c>
      <c r="D196" s="51" t="s">
        <v>208</v>
      </c>
      <c r="E196" s="52">
        <v>1</v>
      </c>
      <c r="F196" s="50" t="s">
        <v>481</v>
      </c>
      <c r="G196" s="53" t="inlineStr">
        <is>
          <t>الأمن والسلامة والمرافق</t>
        </is>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hidden="1" x14ac:dyDescent="0.55000000000000004">
      <c r="A197" s="57" t="s">
        <v>479</v>
      </c>
      <c r="B197" s="65" t="s">
        <v>129</v>
      </c>
      <c r="C197" s="58"/>
      <c r="D197" s="59" t="s">
        <v>208</v>
      </c>
      <c r="E197" s="57">
        <v>2</v>
      </c>
      <c r="F197" s="58" t="s">
        <v>482</v>
      </c>
      <c r="G197" s="47" t="inlineStr">
        <is>
          <t>الأمن والسلامة والمرافق</t>
        </is>
      </c>
      <c r="H197" s="46" t="str">
        <f>IFERROR(INDEX('الإعدادات واللجنة'!$C$24:$C$32,MATCH(LEFT(A197,3),'الإعدادات واللجنة'!$A$24:$A$32,0)),"")</f>
        <v>د. حسن بن سعد القحطاني</v>
      </c>
      <c r="I197" s="38"/>
      <c r="J197" s="38"/>
      <c r="K197" s="46" t="str">
        <f t="shared" ref="K197:K208" si="3">IF(OR(I197="",I197="متوفر ومكتمل"),"",IF(OR(D197="★",I197="غير متوفر"),"عالية","متوسطة"))</f>
        <v/>
      </c>
      <c r="L197" s="48"/>
      <c r="M197" s="38"/>
      <c r="N197" s="48"/>
      <c r="O197" s="48"/>
      <c r="P197" s="38"/>
      <c r="Q197" s="48"/>
      <c r="R197" s="26" t="str">
        <f>IF($I197="","",$I197&amp;"#"&amp;COUNTIF($I$5:$I197,$I197))</f>
        <v/>
      </c>
    </row>
    <row r="198" spans="1:18" ht="44" hidden="1" x14ac:dyDescent="0.55000000000000004">
      <c r="A198" s="57" t="s">
        <v>479</v>
      </c>
      <c r="B198" s="65" t="s">
        <v>129</v>
      </c>
      <c r="C198" s="58"/>
      <c r="D198" s="59" t="s">
        <v>208</v>
      </c>
      <c r="E198" s="57">
        <v>3</v>
      </c>
      <c r="F198" s="58" t="s">
        <v>483</v>
      </c>
      <c r="G198" s="47" t="inlineStr">
        <is>
          <t>الأمن والسلامة والمرافق</t>
        </is>
      </c>
      <c r="H198" s="46" t="str">
        <f>IFERROR(INDEX('الإعدادات واللجنة'!$C$24:$C$32,MATCH(LEFT(A198,3),'الإعدادات واللجنة'!$A$24:$A$32,0)),"")</f>
        <v>د. حسن بن سعد القحطاني</v>
      </c>
      <c r="I198" s="38"/>
      <c r="J198" s="38"/>
      <c r="K198" s="46" t="str">
        <f t="shared" si="3"/>
        <v/>
      </c>
      <c r="L198" s="48"/>
      <c r="M198" s="38"/>
      <c r="N198" s="48"/>
      <c r="O198" s="48"/>
      <c r="P198" s="38"/>
      <c r="Q198" s="48"/>
      <c r="R198" s="26" t="str">
        <f>IF($I198="","",$I198&amp;"#"&amp;COUNTIF($I$5:$I198,$I198))</f>
        <v/>
      </c>
    </row>
    <row r="199" spans="1:18" ht="44" hidden="1" x14ac:dyDescent="0.55000000000000004">
      <c r="A199" s="57" t="s">
        <v>479</v>
      </c>
      <c r="B199" s="65" t="s">
        <v>129</v>
      </c>
      <c r="C199" s="58"/>
      <c r="D199" s="59" t="s">
        <v>208</v>
      </c>
      <c r="E199" s="57">
        <v>4</v>
      </c>
      <c r="F199" s="58" t="s">
        <v>484</v>
      </c>
      <c r="G199" s="47" t="inlineStr">
        <is>
          <t>الأمن والسلامة والمرافق</t>
        </is>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hidden="1" x14ac:dyDescent="0.55000000000000004">
      <c r="A200" s="57" t="s">
        <v>479</v>
      </c>
      <c r="B200" s="65" t="s">
        <v>129</v>
      </c>
      <c r="C200" s="58"/>
      <c r="D200" s="59" t="s">
        <v>208</v>
      </c>
      <c r="E200" s="57">
        <v>5</v>
      </c>
      <c r="F200" s="58" t="s">
        <v>485</v>
      </c>
      <c r="G200" s="47" t="inlineStr">
        <is>
          <t>الأمن والسلامة والمرافق</t>
        </is>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hidden="1" x14ac:dyDescent="0.55000000000000004">
      <c r="A201" s="57" t="s">
        <v>479</v>
      </c>
      <c r="B201" s="65" t="s">
        <v>129</v>
      </c>
      <c r="C201" s="58"/>
      <c r="D201" s="59" t="s">
        <v>208</v>
      </c>
      <c r="E201" s="57">
        <v>6</v>
      </c>
      <c r="F201" s="58" t="s">
        <v>486</v>
      </c>
      <c r="G201" s="47" t="inlineStr">
        <is>
          <t>الأمن والسلامة والمرافق</t>
        </is>
      </c>
      <c r="H201" s="46" t="str">
        <f>IFERROR(INDEX('الإعدادات واللجنة'!$C$24:$C$32,MATCH(LEFT(A201,3),'الإعدادات واللجنة'!$A$24:$A$32,0)),"")</f>
        <v>د. حسن بن سعد القحطاني</v>
      </c>
      <c r="I201" s="38"/>
      <c r="J201" s="38"/>
      <c r="K201" s="46" t="str">
        <f t="shared" si="3"/>
        <v/>
      </c>
      <c r="L201" s="48"/>
      <c r="M201" s="38"/>
      <c r="N201" s="48"/>
      <c r="O201" s="48"/>
      <c r="P201" s="38"/>
      <c r="Q201" s="48"/>
      <c r="R201" s="26" t="str">
        <f>IF($I201="","",$I201&amp;"#"&amp;COUNTIF($I$5:$I201,$I201))</f>
        <v/>
      </c>
    </row>
    <row r="202" spans="1:18" ht="44" hidden="1" x14ac:dyDescent="0.55000000000000004">
      <c r="A202" s="60" t="s">
        <v>487</v>
      </c>
      <c r="B202" s="66" t="s">
        <v>129</v>
      </c>
      <c r="C202" s="61" t="s">
        <v>488</v>
      </c>
      <c r="D202" s="62"/>
      <c r="E202" s="54">
        <v>1</v>
      </c>
      <c r="F202" s="61" t="s">
        <v>489</v>
      </c>
      <c r="G202" s="53" t="inlineStr">
        <is>
          <t>التعليم الإلكتروني</t>
        </is>
      </c>
      <c r="H202" s="54" t="str">
        <f>IFERROR(INDEX('الإعدادات واللجنة'!$C$24:$C$32,MATCH(LEFT(A202,3),'الإعدادات واللجنة'!$A$24:$A$32,0)),"")</f>
        <v>د. حسن بن سعد القحطاني</v>
      </c>
      <c r="I202" s="55"/>
      <c r="J202" s="55"/>
      <c r="K202" s="54" t="str">
        <f t="shared" si="3"/>
        <v/>
      </c>
      <c r="L202" s="56"/>
      <c r="M202" s="55"/>
      <c r="N202" s="56"/>
      <c r="O202" s="56"/>
      <c r="P202" s="55"/>
      <c r="Q202" s="56"/>
      <c r="R202" s="26" t="str">
        <f>IF($I202="","",$I202&amp;"#"&amp;COUNTIF($I$5:$I202,$I202))</f>
        <v/>
      </c>
    </row>
    <row r="203" spans="1:18" ht="44" hidden="1" x14ac:dyDescent="0.55000000000000004">
      <c r="A203" s="46" t="s">
        <v>487</v>
      </c>
      <c r="B203" s="63" t="s">
        <v>129</v>
      </c>
      <c r="C203" s="44"/>
      <c r="D203" s="45"/>
      <c r="E203" s="46">
        <v>2</v>
      </c>
      <c r="F203" s="44" t="s">
        <v>490</v>
      </c>
      <c r="G203" s="47" t="inlineStr">
        <is>
          <t>التعليم الإلكتروني</t>
        </is>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hidden="1" x14ac:dyDescent="0.55000000000000004">
      <c r="A204" s="46" t="s">
        <v>487</v>
      </c>
      <c r="B204" s="63" t="s">
        <v>129</v>
      </c>
      <c r="C204" s="44"/>
      <c r="D204" s="45"/>
      <c r="E204" s="46">
        <v>3</v>
      </c>
      <c r="F204" s="44" t="s">
        <v>491</v>
      </c>
      <c r="G204" s="47" t="inlineStr">
        <is>
          <t>الأمن والسلامة والمرافق</t>
        </is>
      </c>
      <c r="H204" s="46" t="str">
        <f>IFERROR(INDEX('الإعدادات واللجنة'!$C$24:$C$32,MATCH(LEFT(A204,3),'الإعدادات واللجنة'!$A$24:$A$32,0)),"")</f>
        <v>د. حسن بن سعد القحطاني</v>
      </c>
      <c r="I204" s="38"/>
      <c r="J204" s="38"/>
      <c r="K204" s="46" t="str">
        <f t="shared" si="3"/>
        <v/>
      </c>
      <c r="L204" s="48"/>
      <c r="M204" s="38"/>
      <c r="N204" s="48"/>
      <c r="O204" s="48"/>
      <c r="P204" s="38"/>
      <c r="Q204" s="48"/>
      <c r="R204" s="26" t="str">
        <f>IF($I204="","",$I204&amp;"#"&amp;COUNTIF($I$5:$I204,$I204))</f>
        <v/>
      </c>
    </row>
    <row r="205" spans="1:18" ht="44" hidden="1" x14ac:dyDescent="0.55000000000000004">
      <c r="A205" s="46" t="s">
        <v>487</v>
      </c>
      <c r="B205" s="63" t="s">
        <v>129</v>
      </c>
      <c r="C205" s="44"/>
      <c r="D205" s="45"/>
      <c r="E205" s="46">
        <v>4</v>
      </c>
      <c r="F205" s="44" t="s">
        <v>492</v>
      </c>
      <c r="G205" s="47" t="inlineStr">
        <is>
          <t>المكتبة ومصادر التعلم</t>
        </is>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hidden="1" x14ac:dyDescent="0.55000000000000004">
      <c r="A206" s="46" t="s">
        <v>487</v>
      </c>
      <c r="B206" s="63" t="s">
        <v>129</v>
      </c>
      <c r="C206" s="44"/>
      <c r="D206" s="45"/>
      <c r="E206" s="46">
        <v>5</v>
      </c>
      <c r="F206" s="44" t="s">
        <v>493</v>
      </c>
      <c r="G206" s="47" t="inlineStr">
        <is>
          <t>التعليم الإلكتروني</t>
        </is>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44" hidden="1" x14ac:dyDescent="0.55000000000000004">
      <c r="A207" s="60" t="s">
        <v>494</v>
      </c>
      <c r="B207" s="66" t="s">
        <v>129</v>
      </c>
      <c r="C207" s="61" t="s">
        <v>495</v>
      </c>
      <c r="D207" s="62"/>
      <c r="E207" s="54">
        <v>1</v>
      </c>
      <c r="F207" s="61" t="s">
        <v>496</v>
      </c>
      <c r="G207" s="53" t="inlineStr">
        <is>
          <t>المكتبة ومصادر التعلم</t>
        </is>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hidden="1" x14ac:dyDescent="0.55000000000000004">
      <c r="A208" s="46" t="s">
        <v>494</v>
      </c>
      <c r="B208" s="63" t="s">
        <v>129</v>
      </c>
      <c r="C208" s="44"/>
      <c r="D208" s="45"/>
      <c r="E208" s="46">
        <v>2</v>
      </c>
      <c r="F208" s="44" t="s">
        <v>497</v>
      </c>
      <c r="G208" s="47" t="inlineStr">
        <is>
          <t>القسم العلمي</t>
        </is>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sheetData>
  <autoFilter ref="A4:R208" xr:uid="{75BEB1F6-92DE-B64A-9273-D3BCD9982A86}">
    <filterColumn colId="7">
      <filters>
        <filter val="د. سلطان بن سعيد الشمراني"/>
      </filters>
    </filterColumn>
  </autoFilter>
  <mergeCells count="2">
    <mergeCell ref="A1:H1"/>
    <mergeCell ref="A2:Q2"/>
  </mergeCells>
  <conditionalFormatting sqref="I5:I208">
    <cfRule type="cellIs" dxfId="26" priority="2" operator="equal">
      <formula>"متوفر ومكتمل"</formula>
    </cfRule>
    <cfRule type="cellIs" dxfId="25" priority="3" operator="equal">
      <formula>"متوفر ويحتاج تحسين"</formula>
    </cfRule>
    <cfRule type="cellIs" dxfId="24" priority="4" operator="equal">
      <formula>"غير متوفر"</formula>
    </cfRule>
  </conditionalFormatting>
  <conditionalFormatting sqref="J5:J208 L5:M208">
    <cfRule type="expression" dxfId="23" priority="101">
      <formula>AND($I5="متوفر ومكتمل",J5&lt;&gt;"")</formula>
    </cfRule>
    <cfRule type="expression" dxfId="22" priority="102">
      <formula>$I5="متوفر ومكتمل"</formula>
    </cfRule>
  </conditionalFormatting>
  <conditionalFormatting sqref="J5:J208">
    <cfRule type="expression" dxfId="21" priority="103">
      <formula>AND(OR($I5="متوفر ويحتاج تحسين",$I5="غير متوفر"),J5="")</formula>
    </cfRule>
  </conditionalFormatting>
  <conditionalFormatting sqref="K5:K208">
    <cfRule type="cellIs" dxfId="20" priority="5" operator="equal">
      <formula>"عالية"</formula>
    </cfRule>
  </conditionalFormatting>
  <conditionalFormatting sqref="P5:P208">
    <cfRule type="cellIs" dxfId="19" priority="6" operator="equal">
      <formula>"تمت"</formula>
    </cfRule>
    <cfRule type="cellIs" dxfId="18" priority="7" operator="equal">
      <formula>"تحتاج تعديل"</formula>
    </cfRule>
  </conditionalFormatting>
  <dataValidations count="5">
    <dataValidation type="list" allowBlank="1" sqref="G5:G208">
      <formula1>'الإعدادات واللجنة'!$A$35:$A$46</formula1>
    </dataValidation>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"فجوة توثيق,فجوة تطبيق"</formula1>
      <formula2>0</formula2>
    </dataValidation>
    <dataValidation type="list" allowBlank="1" sqref="M5:M208" xr:uid="{00000000-0002-0000-0500-000002000000}">
      <formula1>"خلال المرحلة الأولى,خلال فصل دراسي,خلال سنة دراسية"</formula1>
      <formula2>0</formula2>
    </dataValidation>
    <dataValidation type="list" allowBlank="1" sqref="P5:P208" xr:uid="{00000000-0002-0000-05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334FB-3D54-584D-B845-ECF832B068ED}">
  <sheetPr>
    <tabColor rgb="FF8EA9DB"/>
  </sheetPr>
  <dimension ref="A1:R208"/>
  <sheetViews>
    <sheetView rightToLeft="1" workbookViewId="0">
      <pane xSplit="6" ySplit="4" topLeftCell="G202" activePane="bottomRight" state="frozen"/>
      <selection pane="topRight"/>
      <selection pane="bottomLeft"/>
      <selection pane="bottomRight" activeCell="C217" sqref="C217"/>
    </sheetView>
  </sheetViews>
  <sheetFormatPr baseColWidth="10" defaultColWidth="8.6640625" defaultRowHeight="15" x14ac:dyDescent="0.2"/>
  <cols>
    <col min="1" max="1" width="8" customWidth="1"/>
    <col min="2" max="2" width="14" style="68" customWidth="1"/>
    <col min="3" max="3" width="40" customWidth="1"/>
    <col min="4" max="4" width="6" customWidth="1"/>
    <col min="5" max="5" width="4" customWidth="1"/>
    <col min="6" max="6" width="44" customWidth="1"/>
    <col min="7" max="7" width="2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واللجنة'!$B$6</f>
        <v>فحص الأدلة – بكالوريوس علوم البيانات</v>
      </c>
      <c r="B1" s="107"/>
      <c r="C1" s="107"/>
      <c r="D1" s="107"/>
      <c r="E1" s="107"/>
      <c r="F1" s="107"/>
      <c r="G1" s="107"/>
      <c r="H1" s="107"/>
    </row>
    <row r="2" spans="1:18" ht="15" customHeight="1" x14ac:dyDescent="0.2">
      <c r="A2" s="109"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67"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inlineStr">
        <is>
          <t>القسم العلمي</t>
        </is>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inlineStr">
        <is>
          <t>القسم العلمي</t>
        </is>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inlineStr">
        <is>
          <t>إدارة الكلية</t>
        </is>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inlineStr">
        <is>
          <t>لجنة الجودة بالكلية</t>
        </is>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inlineStr">
        <is>
          <t>الموارد البشرية</t>
        </is>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inlineStr">
        <is>
          <t>الموارد البشرية</t>
        </is>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inlineStr">
        <is>
          <t>إدارة الكلية</t>
        </is>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inlineStr">
        <is>
          <t>القسم العلمي</t>
        </is>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inlineStr">
        <is>
          <t>لجنة الجودة بالكلية</t>
        </is>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inlineStr">
        <is>
          <t>إدارة الكلية</t>
        </is>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inlineStr">
        <is>
          <t>القسم العلمي</t>
        </is>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inlineStr">
        <is>
          <t>الأمن والسلامة والمرافق</t>
        </is>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inlineStr">
        <is>
          <t>وحدة الأنشطة بالكلية / شؤون الطلاب</t>
        </is>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inlineStr">
        <is>
          <t>القسم العلمي</t>
        </is>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inlineStr">
        <is>
          <t>لجنة الجودة بالكلية</t>
        </is>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inlineStr">
        <is>
          <t>إدارة الكلية</t>
        </is>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inlineStr">
        <is>
          <t>القسم العلمي</t>
        </is>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inlineStr">
        <is>
          <t>لجنة الجودة بالكلية</t>
        </is>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inlineStr">
        <is>
          <t>القسم العلمي</t>
        </is>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inlineStr">
        <is>
          <t>إدارة الكلية</t>
        </is>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inlineStr">
        <is>
          <t>إدارة الكلية</t>
        </is>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inlineStr">
        <is>
          <t>إدارة الكلية</t>
        </is>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inlineStr">
        <is>
          <t>وحدة الخريجين</t>
        </is>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inlineStr">
        <is>
          <t>القسم العلمي</t>
        </is>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inlineStr">
        <is>
          <t>القسم العلمي</t>
        </is>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inlineStr">
        <is>
          <t>القسم العلمي</t>
        </is>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inlineStr">
        <is>
          <t>إدارة الكلية</t>
        </is>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inlineStr">
        <is>
          <t>القسم العلمي</t>
        </is>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inlineStr">
        <is>
          <t>لجنة الجودة بالكلية</t>
        </is>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inlineStr">
        <is>
          <t>القسم العلمي</t>
        </is>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inlineStr">
        <is>
          <t>إدارة الكلية</t>
        </is>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inlineStr">
        <is>
          <t>البحث العلمي والدراسات العليا</t>
        </is>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inlineStr">
        <is>
          <t>القسم العلمي</t>
        </is>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inlineStr">
        <is>
          <t>القسم العلمي</t>
        </is>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inlineStr">
        <is>
          <t>التعليم الإلكتروني</t>
        </is>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inlineStr">
        <is>
          <t>إدارة الكلية</t>
        </is>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inlineStr">
        <is>
          <t>إدارة الكلية</t>
        </is>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inlineStr">
        <is>
          <t>إدارة الكلية</t>
        </is>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inlineStr">
        <is>
          <t>إدارة الكلية</t>
        </is>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inlineStr">
        <is>
          <t>لجنة الجودة بالكلية</t>
        </is>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inlineStr">
        <is>
          <t>عمادة الجودة</t>
        </is>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inlineStr">
        <is>
          <t>إدارة الكلية</t>
        </is>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inlineStr">
        <is>
          <t>إدارة الكلية</t>
        </is>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inlineStr">
        <is>
          <t>لجنة الجودة بالكلية</t>
        </is>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inlineStr">
        <is>
          <t>القسم العلمي</t>
        </is>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inlineStr">
        <is>
          <t>لجنة الجودة بالكلية</t>
        </is>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inlineStr">
        <is>
          <t>لجنة الجودة بالكلية</t>
        </is>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inlineStr">
        <is>
          <t>لجنة الجودة بالكلية</t>
        </is>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inlineStr">
        <is>
          <t>لجنة الجودة بالكلية</t>
        </is>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inlineStr">
        <is>
          <t>القسم العلمي</t>
        </is>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inlineStr">
        <is>
          <t>القسم العلمي</t>
        </is>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inlineStr">
        <is>
          <t>القسم العلمي</t>
        </is>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inlineStr">
        <is>
          <t>القسم العلمي</t>
        </is>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inlineStr">
        <is>
          <t>عمادة الجودة</t>
        </is>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inlineStr">
        <is>
          <t>القسم العلمي</t>
        </is>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inlineStr">
        <is>
          <t>القسم العلمي</t>
        </is>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inlineStr">
        <is>
          <t>القسم العلمي</t>
        </is>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inlineStr">
        <is>
          <t>لجنة الجودة بالكلية</t>
        </is>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inlineStr">
        <is>
          <t>القسم العلمي</t>
        </is>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inlineStr">
        <is>
          <t>القسم العلمي</t>
        </is>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inlineStr">
        <is>
          <t>لجنة الجودة بالكلية</t>
        </is>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inlineStr">
        <is>
          <t>القسم العلمي</t>
        </is>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inlineStr">
        <is>
          <t>القسم العلمي</t>
        </is>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inlineStr">
        <is>
          <t>لجنة الجودة بالكلية</t>
        </is>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inlineStr">
        <is>
          <t>القسم العلمي</t>
        </is>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inlineStr">
        <is>
          <t>القسم العلمي</t>
        </is>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inlineStr">
        <is>
          <t>القسم العلمي</t>
        </is>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inlineStr">
        <is>
          <t>لجنة الجودة بالكلية</t>
        </is>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inlineStr">
        <is>
          <t>لجنة الجودة بالكلية</t>
        </is>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inlineStr">
        <is>
          <t>عمادة الجودة</t>
        </is>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inlineStr">
        <is>
          <t>القسم العلمي</t>
        </is>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inlineStr">
        <is>
          <t>لجنة الجودة بالكلية</t>
        </is>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inlineStr">
        <is>
          <t>القسم العلمي</t>
        </is>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inlineStr">
        <is>
          <t>القسم العلمي</t>
        </is>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inlineStr">
        <is>
          <t>القسم العلمي</t>
        </is>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inlineStr">
        <is>
          <t>القسم العلمي</t>
        </is>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inlineStr">
        <is>
          <t>لجنة الجودة بالكلية</t>
        </is>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inlineStr">
        <is>
          <t>القسم العلمي</t>
        </is>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inlineStr">
        <is>
          <t>القسم العلمي</t>
        </is>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inlineStr">
        <is>
          <t>القسم العلمي</t>
        </is>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inlineStr">
        <is>
          <t>القسم العلمي</t>
        </is>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inlineStr">
        <is>
          <t>لجنة الجودة بالكلية</t>
        </is>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inlineStr">
        <is>
          <t>إدارة الكلية</t>
        </is>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inlineStr">
        <is>
          <t>القسم العلمي</t>
        </is>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inlineStr">
        <is>
          <t>القسم العلمي</t>
        </is>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inlineStr">
        <is>
          <t>القسم العلمي</t>
        </is>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inlineStr">
        <is>
          <t>القسم العلمي</t>
        </is>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325</v>
      </c>
      <c r="D92" s="62"/>
      <c r="E92" s="54">
        <v>1</v>
      </c>
      <c r="F92" s="61" t="s">
        <v>326</v>
      </c>
      <c r="G92" s="53" t="inlineStr">
        <is>
          <t>القسم العلمي</t>
        </is>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327</v>
      </c>
      <c r="G93" s="47" t="inlineStr">
        <is>
          <t>القسم العلمي</t>
        </is>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328</v>
      </c>
      <c r="G94" s="47" t="inlineStr">
        <is>
          <t>القسم العلمي</t>
        </is>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44" x14ac:dyDescent="0.55000000000000004">
      <c r="A95" s="46" t="s">
        <v>324</v>
      </c>
      <c r="B95" s="63" t="s">
        <v>126</v>
      </c>
      <c r="C95" s="44"/>
      <c r="D95" s="45"/>
      <c r="E95" s="46">
        <v>4</v>
      </c>
      <c r="F95" s="44" t="s">
        <v>329</v>
      </c>
      <c r="G95" s="47" t="inlineStr">
        <is>
          <t>القسم العلمي</t>
        </is>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44" x14ac:dyDescent="0.55000000000000004">
      <c r="A96" s="60" t="s">
        <v>330</v>
      </c>
      <c r="B96" s="66" t="s">
        <v>126</v>
      </c>
      <c r="C96" s="61" t="s">
        <v>331</v>
      </c>
      <c r="D96" s="62"/>
      <c r="E96" s="54">
        <v>1</v>
      </c>
      <c r="F96" s="61" t="s">
        <v>314</v>
      </c>
      <c r="G96" s="53" t="inlineStr">
        <is>
          <t>القسم العلمي</t>
        </is>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46" t="s">
        <v>330</v>
      </c>
      <c r="B97" s="63" t="s">
        <v>126</v>
      </c>
      <c r="C97" s="44"/>
      <c r="D97" s="45"/>
      <c r="E97" s="46">
        <v>2</v>
      </c>
      <c r="F97" s="44" t="s">
        <v>332</v>
      </c>
      <c r="G97" s="47" t="inlineStr">
        <is>
          <t>القسم العلمي</t>
        </is>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44" x14ac:dyDescent="0.55000000000000004">
      <c r="A98" s="46" t="s">
        <v>330</v>
      </c>
      <c r="B98" s="63" t="s">
        <v>126</v>
      </c>
      <c r="C98" s="44"/>
      <c r="D98" s="45"/>
      <c r="E98" s="46">
        <v>3</v>
      </c>
      <c r="F98" s="44" t="s">
        <v>333</v>
      </c>
      <c r="G98" s="47" t="inlineStr">
        <is>
          <t>القسم العلمي</t>
        </is>
      </c>
      <c r="H98" s="46" t="str">
        <f>IFERROR(INDEX('الإعدادات واللجنة'!$C$24:$C$32,MATCH(LEFT(A98,3),'الإعدادات واللجنة'!$A$24:$A$32,0)),"")</f>
        <v>د. احمد بن عوض البشري</v>
      </c>
      <c r="I98" s="38"/>
      <c r="J98" s="38"/>
      <c r="K98" s="46" t="str">
        <f t="shared" si="1"/>
        <v/>
      </c>
      <c r="L98" s="48"/>
      <c r="M98" s="38"/>
      <c r="N98" s="48"/>
      <c r="O98" s="48"/>
      <c r="P98" s="38"/>
      <c r="Q98" s="48"/>
      <c r="R98" s="26" t="str">
        <f>IF($I98="","",$I98&amp;"#"&amp;COUNTIF($I$5:$I98,$I98))</f>
        <v/>
      </c>
    </row>
    <row r="99" spans="1:18" ht="66" x14ac:dyDescent="0.55000000000000004">
      <c r="A99" s="46" t="s">
        <v>330</v>
      </c>
      <c r="B99" s="63" t="s">
        <v>126</v>
      </c>
      <c r="C99" s="44"/>
      <c r="D99" s="45"/>
      <c r="E99" s="46">
        <v>4</v>
      </c>
      <c r="F99" s="44" t="s">
        <v>334</v>
      </c>
      <c r="G99" s="47" t="inlineStr">
        <is>
          <t>القسم العلمي</t>
        </is>
      </c>
      <c r="H99" s="46" t="str">
        <f>IFERROR(INDEX('الإعدادات واللجنة'!$C$24:$C$32,MATCH(LEFT(A99,3),'الإعدادات واللجنة'!$A$24:$A$32,0)),"")</f>
        <v>د. احمد بن عوض البشري</v>
      </c>
      <c r="I99" s="38"/>
      <c r="J99" s="38"/>
      <c r="K99" s="46" t="str">
        <f t="shared" si="1"/>
        <v/>
      </c>
      <c r="L99" s="48"/>
      <c r="M99" s="38"/>
      <c r="N99" s="48"/>
      <c r="O99" s="48"/>
      <c r="P99" s="38"/>
      <c r="Q99" s="48"/>
      <c r="R99" s="26" t="str">
        <f>IF($I99="","",$I99&amp;"#"&amp;COUNTIF($I$5:$I99,$I99))</f>
        <v/>
      </c>
    </row>
    <row r="100" spans="1:18" ht="66" x14ac:dyDescent="0.55000000000000004">
      <c r="A100" s="60" t="s">
        <v>335</v>
      </c>
      <c r="B100" s="66" t="s">
        <v>126</v>
      </c>
      <c r="C100" s="61" t="s">
        <v>336</v>
      </c>
      <c r="D100" s="62"/>
      <c r="E100" s="54">
        <v>1</v>
      </c>
      <c r="F100" s="61" t="s">
        <v>337</v>
      </c>
      <c r="G100" s="53" t="inlineStr">
        <is>
          <t>القسم العلمي</t>
        </is>
      </c>
      <c r="H100" s="54" t="str">
        <f>IFERROR(INDEX('الإعدادات واللجنة'!$C$24:$C$32,MATCH(LEFT(A100,3),'الإعدادات واللجنة'!$A$24:$A$32,0)),"")</f>
        <v>د. احمد بن عوض البشري</v>
      </c>
      <c r="I100" s="55"/>
      <c r="J100" s="55"/>
      <c r="K100" s="54" t="str">
        <f t="shared" si="1"/>
        <v/>
      </c>
      <c r="L100" s="56"/>
      <c r="M100" s="55"/>
      <c r="N100" s="56"/>
      <c r="O100" s="56"/>
      <c r="P100" s="55"/>
      <c r="Q100" s="56"/>
      <c r="R100" s="26" t="str">
        <f>IF($I100="","",$I100&amp;"#"&amp;COUNTIF($I$5:$I100,$I100))</f>
        <v/>
      </c>
    </row>
    <row r="101" spans="1:18" ht="44" x14ac:dyDescent="0.55000000000000004">
      <c r="A101" s="46" t="s">
        <v>335</v>
      </c>
      <c r="B101" s="63" t="s">
        <v>126</v>
      </c>
      <c r="C101" s="44"/>
      <c r="D101" s="45"/>
      <c r="E101" s="46">
        <v>2</v>
      </c>
      <c r="F101" s="44" t="s">
        <v>338</v>
      </c>
      <c r="G101" s="47" t="inlineStr">
        <is>
          <t>لجنة الجودة بالكلية</t>
        </is>
      </c>
      <c r="H101" s="46" t="str">
        <f>IFERROR(INDEX('الإعدادات واللجنة'!$C$24:$C$32,MATCH(LEFT(A101,3),'الإعدادات واللجنة'!$A$24:$A$32,0)),"")</f>
        <v>د. احمد بن عوض البشري</v>
      </c>
      <c r="I101" s="38"/>
      <c r="J101" s="38"/>
      <c r="K101" s="46" t="str">
        <f t="shared" si="1"/>
        <v/>
      </c>
      <c r="L101" s="48"/>
      <c r="M101" s="38"/>
      <c r="N101" s="48"/>
      <c r="O101" s="48"/>
      <c r="P101" s="38"/>
      <c r="Q101" s="48"/>
      <c r="R101" s="26" t="str">
        <f>IF($I101="","",$I101&amp;"#"&amp;COUNTIF($I$5:$I101,$I101))</f>
        <v/>
      </c>
    </row>
    <row r="102" spans="1:18" ht="66" x14ac:dyDescent="0.55000000000000004">
      <c r="A102" s="60" t="s">
        <v>339</v>
      </c>
      <c r="B102" s="66" t="s">
        <v>126</v>
      </c>
      <c r="C102" s="61" t="s">
        <v>340</v>
      </c>
      <c r="D102" s="62"/>
      <c r="E102" s="54">
        <v>1</v>
      </c>
      <c r="F102" s="61" t="s">
        <v>341</v>
      </c>
      <c r="G102" s="53" t="inlineStr">
        <is>
          <t>القسم العلمي</t>
        </is>
      </c>
      <c r="H102" s="54" t="str">
        <f>IFERROR(INDEX('الإعدادات واللجنة'!$C$24:$C$32,MATCH(LEFT(A102,3),'الإعدادات واللجنة'!$A$24:$A$32,0)),"")</f>
        <v>د. احمد بن عوض البشري</v>
      </c>
      <c r="I102" s="55"/>
      <c r="J102" s="55"/>
      <c r="K102" s="54" t="str">
        <f t="shared" si="1"/>
        <v/>
      </c>
      <c r="L102" s="56"/>
      <c r="M102" s="55"/>
      <c r="N102" s="56"/>
      <c r="O102" s="56"/>
      <c r="P102" s="55"/>
      <c r="Q102" s="56"/>
      <c r="R102" s="26" t="str">
        <f>IF($I102="","",$I102&amp;"#"&amp;COUNTIF($I$5:$I102,$I102))</f>
        <v/>
      </c>
    </row>
    <row r="103" spans="1:18" ht="44" x14ac:dyDescent="0.55000000000000004">
      <c r="A103" s="46" t="s">
        <v>339</v>
      </c>
      <c r="B103" s="63" t="s">
        <v>126</v>
      </c>
      <c r="C103" s="44"/>
      <c r="D103" s="45"/>
      <c r="E103" s="46">
        <v>2</v>
      </c>
      <c r="F103" s="44" t="s">
        <v>342</v>
      </c>
      <c r="G103" s="47" t="inlineStr">
        <is>
          <t>القسم العلمي</t>
        </is>
      </c>
      <c r="H103" s="46" t="str">
        <f>IFERROR(INDEX('الإعدادات واللجنة'!$C$24:$C$32,MATCH(LEFT(A103,3),'الإعدادات واللجنة'!$A$24:$A$32,0)),"")</f>
        <v>د. احمد بن عوض البشري</v>
      </c>
      <c r="I103" s="38"/>
      <c r="J103" s="38"/>
      <c r="K103" s="46" t="str">
        <f t="shared" si="1"/>
        <v/>
      </c>
      <c r="L103" s="48"/>
      <c r="M103" s="38"/>
      <c r="N103" s="48"/>
      <c r="O103" s="48"/>
      <c r="P103" s="38"/>
      <c r="Q103" s="48"/>
      <c r="R103" s="26" t="str">
        <f>IF($I103="","",$I103&amp;"#"&amp;COUNTIF($I$5:$I103,$I103))</f>
        <v/>
      </c>
    </row>
    <row r="104" spans="1:18" ht="44" x14ac:dyDescent="0.55000000000000004">
      <c r="A104" s="46" t="s">
        <v>339</v>
      </c>
      <c r="B104" s="63" t="s">
        <v>126</v>
      </c>
      <c r="C104" s="44"/>
      <c r="D104" s="45"/>
      <c r="E104" s="46">
        <v>3</v>
      </c>
      <c r="F104" s="44" t="s">
        <v>343</v>
      </c>
      <c r="G104" s="47" t="inlineStr">
        <is>
          <t>لجنة الجودة بالكلية</t>
        </is>
      </c>
      <c r="H104" s="46" t="str">
        <f>IFERROR(INDEX('الإعدادات واللجنة'!$C$24:$C$32,MATCH(LEFT(A104,3),'الإعدادات واللجنة'!$A$24:$A$32,0)),"")</f>
        <v>د. احمد بن عوض البشري</v>
      </c>
      <c r="I104" s="38"/>
      <c r="J104" s="38"/>
      <c r="K104" s="46" t="str">
        <f t="shared" si="1"/>
        <v/>
      </c>
      <c r="L104" s="48"/>
      <c r="M104" s="38"/>
      <c r="N104" s="48"/>
      <c r="O104" s="48"/>
      <c r="P104" s="38"/>
      <c r="Q104" s="48"/>
      <c r="R104" s="26" t="str">
        <f>IF($I104="","",$I104&amp;"#"&amp;COUNTIF($I$5:$I104,$I104))</f>
        <v/>
      </c>
    </row>
    <row r="105" spans="1:18" ht="66" x14ac:dyDescent="0.55000000000000004">
      <c r="A105" s="49" t="s">
        <v>344</v>
      </c>
      <c r="B105" s="64" t="s">
        <v>126</v>
      </c>
      <c r="C105" s="50" t="s">
        <v>345</v>
      </c>
      <c r="D105" s="51" t="s">
        <v>208</v>
      </c>
      <c r="E105" s="52">
        <v>1</v>
      </c>
      <c r="F105" s="50" t="s">
        <v>346</v>
      </c>
      <c r="G105" s="53" t="inlineStr">
        <is>
          <t>القسم العلمي</t>
        </is>
      </c>
      <c r="H105" s="54" t="str">
        <f>IFERROR(INDEX('الإعدادات واللجنة'!$C$24:$C$32,MATCH(LEFT(A105,3),'الإعدادات واللجنة'!$A$24:$A$32,0)),"")</f>
        <v>د. احمد بن عوض البشري</v>
      </c>
      <c r="I105" s="55"/>
      <c r="J105" s="55"/>
      <c r="K105" s="54" t="str">
        <f t="shared" si="1"/>
        <v/>
      </c>
      <c r="L105" s="56"/>
      <c r="M105" s="55"/>
      <c r="N105" s="56"/>
      <c r="O105" s="56"/>
      <c r="P105" s="55"/>
      <c r="Q105" s="56"/>
      <c r="R105" s="26" t="str">
        <f>IF($I105="","",$I105&amp;"#"&amp;COUNTIF($I$5:$I105,$I105))</f>
        <v/>
      </c>
    </row>
    <row r="106" spans="1:18" ht="44" x14ac:dyDescent="0.55000000000000004">
      <c r="A106" s="57" t="s">
        <v>344</v>
      </c>
      <c r="B106" s="65" t="s">
        <v>126</v>
      </c>
      <c r="C106" s="58"/>
      <c r="D106" s="59" t="s">
        <v>208</v>
      </c>
      <c r="E106" s="57">
        <v>2</v>
      </c>
      <c r="F106" s="58" t="s">
        <v>347</v>
      </c>
      <c r="G106" s="47" t="inlineStr">
        <is>
          <t>القسم العلمي</t>
        </is>
      </c>
      <c r="H106" s="46" t="str">
        <f>IFERROR(INDEX('الإعدادات واللجنة'!$C$24:$C$32,MATCH(LEFT(A106,3),'الإعدادات واللجنة'!$A$24:$A$32,0)),"")</f>
        <v>د. احمد بن عوض البشري</v>
      </c>
      <c r="I106" s="38"/>
      <c r="J106" s="38"/>
      <c r="K106" s="46" t="str">
        <f t="shared" si="1"/>
        <v/>
      </c>
      <c r="L106" s="48"/>
      <c r="M106" s="38"/>
      <c r="N106" s="48"/>
      <c r="O106" s="48"/>
      <c r="P106" s="38"/>
      <c r="Q106" s="48"/>
      <c r="R106" s="26" t="str">
        <f>IF($I106="","",$I106&amp;"#"&amp;COUNTIF($I$5:$I106,$I106))</f>
        <v/>
      </c>
    </row>
    <row r="107" spans="1:18" ht="66" x14ac:dyDescent="0.55000000000000004">
      <c r="A107" s="49" t="s">
        <v>348</v>
      </c>
      <c r="B107" s="64" t="s">
        <v>126</v>
      </c>
      <c r="C107" s="50" t="s">
        <v>349</v>
      </c>
      <c r="D107" s="51" t="s">
        <v>208</v>
      </c>
      <c r="E107" s="52">
        <v>1</v>
      </c>
      <c r="F107" s="50" t="s">
        <v>350</v>
      </c>
      <c r="G107" s="53" t="inlineStr">
        <is>
          <t>القسم العلمي</t>
        </is>
      </c>
      <c r="H107" s="54" t="str">
        <f>IFERROR(INDEX('الإعدادات واللجنة'!$C$24:$C$32,MATCH(LEFT(A107,3),'الإعدادات واللجنة'!$A$24:$A$32,0)),"")</f>
        <v>د. يثرب بنت سعد القحطاني</v>
      </c>
      <c r="I107" s="55"/>
      <c r="J107" s="55"/>
      <c r="K107" s="54" t="str">
        <f t="shared" si="1"/>
        <v/>
      </c>
      <c r="L107" s="56"/>
      <c r="M107" s="55"/>
      <c r="N107" s="56"/>
      <c r="O107" s="56"/>
      <c r="P107" s="55"/>
      <c r="Q107" s="56"/>
      <c r="R107" s="26" t="str">
        <f>IF($I107="","",$I107&amp;"#"&amp;COUNTIF($I$5:$I107,$I107))</f>
        <v/>
      </c>
    </row>
    <row r="108" spans="1:18" ht="44" x14ac:dyDescent="0.55000000000000004">
      <c r="A108" s="57" t="s">
        <v>348</v>
      </c>
      <c r="B108" s="65" t="s">
        <v>126</v>
      </c>
      <c r="C108" s="58"/>
      <c r="D108" s="59" t="s">
        <v>208</v>
      </c>
      <c r="E108" s="57">
        <v>2</v>
      </c>
      <c r="F108" s="58" t="s">
        <v>351</v>
      </c>
      <c r="G108" s="47" t="inlineStr">
        <is>
          <t>القسم العلمي</t>
        </is>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66" x14ac:dyDescent="0.55000000000000004">
      <c r="A109" s="57" t="s">
        <v>348</v>
      </c>
      <c r="B109" s="65" t="s">
        <v>126</v>
      </c>
      <c r="C109" s="58"/>
      <c r="D109" s="59" t="s">
        <v>208</v>
      </c>
      <c r="E109" s="57">
        <v>3</v>
      </c>
      <c r="F109" s="58" t="s">
        <v>352</v>
      </c>
      <c r="G109" s="47" t="inlineStr">
        <is>
          <t>القسم العلمي</t>
        </is>
      </c>
      <c r="H109" s="46" t="str">
        <f>IFERROR(INDEX('الإعدادات واللجنة'!$C$24:$C$32,MATCH(LEFT(A109,3),'الإعدادات واللجنة'!$A$24:$A$32,0)),"")</f>
        <v>د. يثرب بنت سعد القحطاني</v>
      </c>
      <c r="I109" s="38"/>
      <c r="J109" s="38"/>
      <c r="K109" s="46" t="str">
        <f t="shared" si="1"/>
        <v/>
      </c>
      <c r="L109" s="48"/>
      <c r="M109" s="38"/>
      <c r="N109" s="48"/>
      <c r="O109" s="48"/>
      <c r="P109" s="38"/>
      <c r="Q109" s="48"/>
      <c r="R109" s="26" t="str">
        <f>IF($I109="","",$I109&amp;"#"&amp;COUNTIF($I$5:$I109,$I109))</f>
        <v/>
      </c>
    </row>
    <row r="110" spans="1:18" ht="44" x14ac:dyDescent="0.55000000000000004">
      <c r="A110" s="57" t="s">
        <v>348</v>
      </c>
      <c r="B110" s="65" t="s">
        <v>126</v>
      </c>
      <c r="C110" s="58"/>
      <c r="D110" s="59" t="s">
        <v>208</v>
      </c>
      <c r="E110" s="57">
        <v>4</v>
      </c>
      <c r="F110" s="58" t="s">
        <v>353</v>
      </c>
      <c r="G110" s="47" t="inlineStr">
        <is>
          <t>القسم العلمي</t>
        </is>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57" t="s">
        <v>348</v>
      </c>
      <c r="B111" s="65" t="s">
        <v>126</v>
      </c>
      <c r="C111" s="58"/>
      <c r="D111" s="59" t="s">
        <v>208</v>
      </c>
      <c r="E111" s="57">
        <v>5</v>
      </c>
      <c r="F111" s="58" t="s">
        <v>354</v>
      </c>
      <c r="G111" s="47" t="inlineStr">
        <is>
          <t>القسم العلمي</t>
        </is>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66" x14ac:dyDescent="0.55000000000000004">
      <c r="A112" s="60" t="s">
        <v>355</v>
      </c>
      <c r="B112" s="66" t="s">
        <v>126</v>
      </c>
      <c r="C112" s="61" t="s">
        <v>356</v>
      </c>
      <c r="D112" s="62"/>
      <c r="E112" s="54">
        <v>1</v>
      </c>
      <c r="F112" s="61" t="s">
        <v>357</v>
      </c>
      <c r="G112" s="53" t="inlineStr">
        <is>
          <t>القسم العلمي</t>
        </is>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355</v>
      </c>
      <c r="B113" s="63" t="s">
        <v>126</v>
      </c>
      <c r="C113" s="44"/>
      <c r="D113" s="45"/>
      <c r="E113" s="46">
        <v>2</v>
      </c>
      <c r="F113" s="44" t="s">
        <v>358</v>
      </c>
      <c r="G113" s="47" t="inlineStr">
        <is>
          <t>القسم العلمي</t>
        </is>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355</v>
      </c>
      <c r="B114" s="63" t="s">
        <v>126</v>
      </c>
      <c r="C114" s="44"/>
      <c r="D114" s="45"/>
      <c r="E114" s="46">
        <v>3</v>
      </c>
      <c r="F114" s="44" t="s">
        <v>359</v>
      </c>
      <c r="G114" s="47" t="inlineStr">
        <is>
          <t>التعليم الإلكتروني</t>
        </is>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46" t="s">
        <v>355</v>
      </c>
      <c r="B115" s="63" t="s">
        <v>126</v>
      </c>
      <c r="C115" s="44"/>
      <c r="D115" s="45"/>
      <c r="E115" s="46">
        <v>4</v>
      </c>
      <c r="F115" s="44" t="s">
        <v>360</v>
      </c>
      <c r="G115" s="47" t="inlineStr">
        <is>
          <t>القسم العلمي</t>
        </is>
      </c>
      <c r="H115" s="46" t="str">
        <f>IFERROR(INDEX('الإعدادات واللجنة'!$C$24:$C$32,MATCH(LEFT(A115,3),'الإعدادات واللجنة'!$A$24:$A$32,0)),"")</f>
        <v>د. يثرب بنت سعد القحطاني</v>
      </c>
      <c r="I115" s="38"/>
      <c r="J115" s="38"/>
      <c r="K115" s="46" t="str">
        <f t="shared" si="1"/>
        <v/>
      </c>
      <c r="L115" s="48"/>
      <c r="M115" s="38"/>
      <c r="N115" s="48"/>
      <c r="O115" s="48"/>
      <c r="P115" s="38"/>
      <c r="Q115" s="48"/>
      <c r="R115" s="26" t="str">
        <f>IF($I115="","",$I115&amp;"#"&amp;COUNTIF($I$5:$I115,$I115))</f>
        <v/>
      </c>
    </row>
    <row r="116" spans="1:18" ht="88" x14ac:dyDescent="0.55000000000000004">
      <c r="A116" s="60" t="s">
        <v>361</v>
      </c>
      <c r="B116" s="66" t="s">
        <v>126</v>
      </c>
      <c r="C116" s="61" t="s">
        <v>362</v>
      </c>
      <c r="D116" s="62"/>
      <c r="E116" s="54">
        <v>1</v>
      </c>
      <c r="F116" s="61" t="s">
        <v>363</v>
      </c>
      <c r="G116" s="53" t="inlineStr">
        <is>
          <t>القسم العلمي</t>
        </is>
      </c>
      <c r="H116" s="54" t="str">
        <f>IFERROR(INDEX('الإعدادات واللجنة'!$C$24:$C$32,MATCH(LEFT(A116,3),'الإعدادات واللجنة'!$A$24:$A$32,0)),"")</f>
        <v>د. يثرب بنت سعد القحطاني</v>
      </c>
      <c r="I116" s="55"/>
      <c r="J116" s="55"/>
      <c r="K116" s="54" t="str">
        <f t="shared" si="1"/>
        <v/>
      </c>
      <c r="L116" s="56"/>
      <c r="M116" s="55"/>
      <c r="N116" s="56"/>
      <c r="O116" s="56"/>
      <c r="P116" s="55"/>
      <c r="Q116" s="56"/>
      <c r="R116" s="26" t="str">
        <f>IF($I116="","",$I116&amp;"#"&amp;COUNTIF($I$5:$I116,$I116))</f>
        <v/>
      </c>
    </row>
    <row r="117" spans="1:18" ht="66" x14ac:dyDescent="0.55000000000000004">
      <c r="A117" s="46" t="s">
        <v>361</v>
      </c>
      <c r="B117" s="63" t="s">
        <v>126</v>
      </c>
      <c r="C117" s="44"/>
      <c r="D117" s="45"/>
      <c r="E117" s="46">
        <v>2</v>
      </c>
      <c r="F117" s="44" t="s">
        <v>364</v>
      </c>
      <c r="G117" s="47" t="inlineStr">
        <is>
          <t>القسم العلمي</t>
        </is>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361</v>
      </c>
      <c r="B118" s="63" t="s">
        <v>126</v>
      </c>
      <c r="C118" s="44"/>
      <c r="D118" s="45"/>
      <c r="E118" s="46">
        <v>3</v>
      </c>
      <c r="F118" s="44" t="s">
        <v>365</v>
      </c>
      <c r="G118" s="47" t="inlineStr">
        <is>
          <t>القسم العلمي</t>
        </is>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60" t="s">
        <v>366</v>
      </c>
      <c r="B119" s="66" t="s">
        <v>126</v>
      </c>
      <c r="C119" s="61" t="s">
        <v>367</v>
      </c>
      <c r="D119" s="62"/>
      <c r="E119" s="54">
        <v>1</v>
      </c>
      <c r="F119" s="61" t="s">
        <v>368</v>
      </c>
      <c r="G119" s="53" t="inlineStr">
        <is>
          <t>إدارة الكلية</t>
        </is>
      </c>
      <c r="H119" s="54" t="str">
        <f>IFERROR(INDEX('الإعدادات واللجنة'!$C$24:$C$32,MATCH(LEFT(A119,3),'الإعدادات واللجنة'!$A$24:$A$32,0)),"")</f>
        <v>د. يثرب بنت سعد القحطاني</v>
      </c>
      <c r="I119" s="55"/>
      <c r="J119" s="55"/>
      <c r="K119" s="54" t="str">
        <f t="shared" si="1"/>
        <v/>
      </c>
      <c r="L119" s="56"/>
      <c r="M119" s="55"/>
      <c r="N119" s="56"/>
      <c r="O119" s="56"/>
      <c r="P119" s="55"/>
      <c r="Q119" s="56"/>
      <c r="R119" s="26" t="str">
        <f>IF($I119="","",$I119&amp;"#"&amp;COUNTIF($I$5:$I119,$I119))</f>
        <v/>
      </c>
    </row>
    <row r="120" spans="1:18" ht="44" x14ac:dyDescent="0.55000000000000004">
      <c r="A120" s="46" t="s">
        <v>366</v>
      </c>
      <c r="B120" s="63" t="s">
        <v>126</v>
      </c>
      <c r="C120" s="44"/>
      <c r="D120" s="45"/>
      <c r="E120" s="46">
        <v>2</v>
      </c>
      <c r="F120" s="44" t="s">
        <v>369</v>
      </c>
      <c r="G120" s="47" t="inlineStr">
        <is>
          <t>الموارد البشرية</t>
        </is>
      </c>
      <c r="H120" s="46" t="str">
        <f>IFERROR(INDEX('الإعدادات واللجنة'!$C$24:$C$32,MATCH(LEFT(A120,3),'الإعدادات واللجنة'!$A$24:$A$32,0)),"")</f>
        <v>د. يثرب بنت سعد القحطاني</v>
      </c>
      <c r="I120" s="38"/>
      <c r="J120" s="38"/>
      <c r="K120" s="46" t="str">
        <f t="shared" si="1"/>
        <v/>
      </c>
      <c r="L120" s="48"/>
      <c r="M120" s="38"/>
      <c r="N120" s="48"/>
      <c r="O120" s="48"/>
      <c r="P120" s="38"/>
      <c r="Q120" s="48"/>
      <c r="R120" s="26" t="str">
        <f>IF($I120="","",$I120&amp;"#"&amp;COUNTIF($I$5:$I120,$I120))</f>
        <v/>
      </c>
    </row>
    <row r="121" spans="1:18" ht="44" x14ac:dyDescent="0.55000000000000004">
      <c r="A121" s="46" t="s">
        <v>366</v>
      </c>
      <c r="B121" s="63" t="s">
        <v>126</v>
      </c>
      <c r="C121" s="44"/>
      <c r="D121" s="45"/>
      <c r="E121" s="46">
        <v>3</v>
      </c>
      <c r="F121" s="44" t="s">
        <v>370</v>
      </c>
      <c r="G121" s="47" t="inlineStr">
        <is>
          <t>لجنة الجودة بالكلية</t>
        </is>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60" t="s">
        <v>371</v>
      </c>
      <c r="B122" s="66" t="s">
        <v>126</v>
      </c>
      <c r="C122" s="61" t="s">
        <v>372</v>
      </c>
      <c r="D122" s="62"/>
      <c r="E122" s="54">
        <v>1</v>
      </c>
      <c r="F122" s="61" t="s">
        <v>373</v>
      </c>
      <c r="G122" s="53" t="inlineStr">
        <is>
          <t>القسم العلمي</t>
        </is>
      </c>
      <c r="H122" s="54" t="str">
        <f>IFERROR(INDEX('الإعدادات واللجنة'!$C$24:$C$32,MATCH(LEFT(A122,3),'الإعدادات واللجنة'!$A$24:$A$32,0)),"")</f>
        <v>د. يثرب بنت سعد القحطاني</v>
      </c>
      <c r="I122" s="55"/>
      <c r="J122" s="55"/>
      <c r="K122" s="54" t="str">
        <f t="shared" si="1"/>
        <v/>
      </c>
      <c r="L122" s="56"/>
      <c r="M122" s="55"/>
      <c r="N122" s="56"/>
      <c r="O122" s="56"/>
      <c r="P122" s="55"/>
      <c r="Q122" s="56"/>
      <c r="R122" s="26" t="str">
        <f>IF($I122="","",$I122&amp;"#"&amp;COUNTIF($I$5:$I122,$I122))</f>
        <v/>
      </c>
    </row>
    <row r="123" spans="1:18" ht="44" x14ac:dyDescent="0.55000000000000004">
      <c r="A123" s="46" t="s">
        <v>371</v>
      </c>
      <c r="B123" s="63" t="s">
        <v>126</v>
      </c>
      <c r="C123" s="44"/>
      <c r="D123" s="45"/>
      <c r="E123" s="46">
        <v>2</v>
      </c>
      <c r="F123" s="44" t="s">
        <v>374</v>
      </c>
      <c r="G123" s="47" t="inlineStr">
        <is>
          <t>القسم العلمي</t>
        </is>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46" t="s">
        <v>371</v>
      </c>
      <c r="B124" s="63" t="s">
        <v>126</v>
      </c>
      <c r="C124" s="44"/>
      <c r="D124" s="45"/>
      <c r="E124" s="46">
        <v>3</v>
      </c>
      <c r="F124" s="44" t="s">
        <v>375</v>
      </c>
      <c r="G124" s="47" t="inlineStr">
        <is>
          <t>لجنة الجودة بالكلية</t>
        </is>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44" x14ac:dyDescent="0.55000000000000004">
      <c r="A125" s="46" t="s">
        <v>371</v>
      </c>
      <c r="B125" s="63" t="s">
        <v>126</v>
      </c>
      <c r="C125" s="44"/>
      <c r="D125" s="45"/>
      <c r="E125" s="46">
        <v>4</v>
      </c>
      <c r="F125" s="44" t="s">
        <v>376</v>
      </c>
      <c r="G125" s="47" t="inlineStr">
        <is>
          <t>القسم العلمي</t>
        </is>
      </c>
      <c r="H125" s="46" t="str">
        <f>IFERROR(INDEX('الإعدادات واللجنة'!$C$24:$C$32,MATCH(LEFT(A125,3),'الإعدادات واللجنة'!$A$24:$A$32,0)),"")</f>
        <v>د. يثرب بنت سعد القحطاني</v>
      </c>
      <c r="I125" s="38"/>
      <c r="J125" s="38"/>
      <c r="K125" s="46" t="str">
        <f t="shared" si="1"/>
        <v/>
      </c>
      <c r="L125" s="48"/>
      <c r="M125" s="38"/>
      <c r="N125" s="48"/>
      <c r="O125" s="48"/>
      <c r="P125" s="38"/>
      <c r="Q125" s="48"/>
      <c r="R125" s="26" t="str">
        <f>IF($I125="","",$I125&amp;"#"&amp;COUNTIF($I$5:$I125,$I125))</f>
        <v/>
      </c>
    </row>
    <row r="126" spans="1:18" ht="44" x14ac:dyDescent="0.55000000000000004">
      <c r="A126" s="46" t="s">
        <v>371</v>
      </c>
      <c r="B126" s="63" t="s">
        <v>126</v>
      </c>
      <c r="C126" s="44"/>
      <c r="D126" s="45"/>
      <c r="E126" s="46">
        <v>5</v>
      </c>
      <c r="F126" s="44" t="s">
        <v>377</v>
      </c>
      <c r="G126" s="47" t="inlineStr">
        <is>
          <t>القسم العلمي</t>
        </is>
      </c>
      <c r="H126" s="46" t="str">
        <f>IFERROR(INDEX('الإعدادات واللجنة'!$C$24:$C$32,MATCH(LEFT(A126,3),'الإعدادات واللجنة'!$A$24:$A$32,0)),"")</f>
        <v>د. يثرب بنت سعد القحطاني</v>
      </c>
      <c r="I126" s="38"/>
      <c r="J126" s="38"/>
      <c r="K126" s="46" t="str">
        <f t="shared" si="1"/>
        <v/>
      </c>
      <c r="L126" s="48"/>
      <c r="M126" s="38"/>
      <c r="N126" s="48"/>
      <c r="O126" s="48"/>
      <c r="P126" s="38"/>
      <c r="Q126" s="48"/>
      <c r="R126" s="26" t="str">
        <f>IF($I126="","",$I126&amp;"#"&amp;COUNTIF($I$5:$I126,$I126))</f>
        <v/>
      </c>
    </row>
    <row r="127" spans="1:18" ht="66" x14ac:dyDescent="0.55000000000000004">
      <c r="A127" s="49" t="s">
        <v>378</v>
      </c>
      <c r="B127" s="64" t="s">
        <v>126</v>
      </c>
      <c r="C127" s="50" t="s">
        <v>379</v>
      </c>
      <c r="D127" s="51" t="s">
        <v>208</v>
      </c>
      <c r="E127" s="52">
        <v>1</v>
      </c>
      <c r="F127" s="50" t="s">
        <v>380</v>
      </c>
      <c r="G127" s="53" t="inlineStr">
        <is>
          <t>القسم العلمي</t>
        </is>
      </c>
      <c r="H127" s="54" t="str">
        <f>IFERROR(INDEX('الإعدادات واللجنة'!$C$24:$C$32,MATCH(LEFT(A127,3),'الإعدادات واللجنة'!$A$24:$A$32,0)),"")</f>
        <v>د. يثرب بنت سعد القحطاني</v>
      </c>
      <c r="I127" s="55"/>
      <c r="J127" s="55"/>
      <c r="K127" s="54" t="str">
        <f t="shared" si="1"/>
        <v/>
      </c>
      <c r="L127" s="56"/>
      <c r="M127" s="55"/>
      <c r="N127" s="56"/>
      <c r="O127" s="56"/>
      <c r="P127" s="55"/>
      <c r="Q127" s="56"/>
      <c r="R127" s="26" t="str">
        <f>IF($I127="","",$I127&amp;"#"&amp;COUNTIF($I$5:$I127,$I127))</f>
        <v/>
      </c>
    </row>
    <row r="128" spans="1:18" ht="44" x14ac:dyDescent="0.55000000000000004">
      <c r="A128" s="57" t="s">
        <v>378</v>
      </c>
      <c r="B128" s="65" t="s">
        <v>126</v>
      </c>
      <c r="C128" s="58"/>
      <c r="D128" s="59" t="s">
        <v>208</v>
      </c>
      <c r="E128" s="57">
        <v>2</v>
      </c>
      <c r="F128" s="58" t="s">
        <v>381</v>
      </c>
      <c r="G128" s="47" t="inlineStr">
        <is>
          <t>التعليم الإلكتروني</t>
        </is>
      </c>
      <c r="H128" s="46" t="str">
        <f>IFERROR(INDEX('الإعدادات واللجنة'!$C$24:$C$32,MATCH(LEFT(A128,3),'الإعدادات واللجنة'!$A$24:$A$32,0)),"")</f>
        <v>د. يثرب بنت سعد القحطاني</v>
      </c>
      <c r="I128" s="38"/>
      <c r="J128" s="38"/>
      <c r="K128" s="46" t="str">
        <f t="shared" si="1"/>
        <v/>
      </c>
      <c r="L128" s="48"/>
      <c r="M128" s="38"/>
      <c r="N128" s="48"/>
      <c r="O128" s="48"/>
      <c r="P128" s="38"/>
      <c r="Q128" s="48"/>
      <c r="R128" s="26" t="str">
        <f>IF($I128="","",$I128&amp;"#"&amp;COUNTIF($I$5:$I128,$I128))</f>
        <v/>
      </c>
    </row>
    <row r="129" spans="1:18" ht="44" x14ac:dyDescent="0.55000000000000004">
      <c r="A129" s="57" t="s">
        <v>378</v>
      </c>
      <c r="B129" s="65" t="s">
        <v>126</v>
      </c>
      <c r="C129" s="58"/>
      <c r="D129" s="59" t="s">
        <v>208</v>
      </c>
      <c r="E129" s="57">
        <v>3</v>
      </c>
      <c r="F129" s="58" t="s">
        <v>382</v>
      </c>
      <c r="G129" s="47" t="inlineStr">
        <is>
          <t>التعليم الإلكتروني</t>
        </is>
      </c>
      <c r="H129" s="46" t="str">
        <f>IFERROR(INDEX('الإعدادات واللجنة'!$C$24:$C$32,MATCH(LEFT(A129,3),'الإعدادات واللجنة'!$A$24:$A$32,0)),"")</f>
        <v>د. يثرب بنت سعد القحطاني</v>
      </c>
      <c r="I129" s="38"/>
      <c r="J129" s="38"/>
      <c r="K129" s="46" t="str">
        <f t="shared" si="1"/>
        <v/>
      </c>
      <c r="L129" s="48"/>
      <c r="M129" s="38"/>
      <c r="N129" s="48"/>
      <c r="O129" s="48"/>
      <c r="P129" s="38"/>
      <c r="Q129" s="48"/>
      <c r="R129" s="26" t="str">
        <f>IF($I129="","",$I129&amp;"#"&amp;COUNTIF($I$5:$I129,$I129))</f>
        <v/>
      </c>
    </row>
    <row r="130" spans="1:18" ht="44" x14ac:dyDescent="0.55000000000000004">
      <c r="A130" s="57" t="s">
        <v>378</v>
      </c>
      <c r="B130" s="65" t="s">
        <v>126</v>
      </c>
      <c r="C130" s="58"/>
      <c r="D130" s="59" t="s">
        <v>208</v>
      </c>
      <c r="E130" s="57">
        <v>4</v>
      </c>
      <c r="F130" s="58" t="s">
        <v>383</v>
      </c>
      <c r="G130" s="47" t="inlineStr">
        <is>
          <t>القسم العلمي</t>
        </is>
      </c>
      <c r="H130" s="46" t="str">
        <f>IFERROR(INDEX('الإعدادات واللجنة'!$C$24:$C$32,MATCH(LEFT(A130,3),'الإعدادات واللجنة'!$A$24:$A$32,0)),"")</f>
        <v>د. يثرب بنت سعد القحطاني</v>
      </c>
      <c r="I130" s="38"/>
      <c r="J130" s="38"/>
      <c r="K130" s="46" t="str">
        <f t="shared" si="1"/>
        <v/>
      </c>
      <c r="L130" s="48"/>
      <c r="M130" s="38"/>
      <c r="N130" s="48"/>
      <c r="O130" s="48"/>
      <c r="P130" s="38"/>
      <c r="Q130" s="48"/>
      <c r="R130" s="26" t="str">
        <f>IF($I130="","",$I130&amp;"#"&amp;COUNTIF($I$5:$I130,$I130))</f>
        <v/>
      </c>
    </row>
    <row r="131" spans="1:18" ht="44" x14ac:dyDescent="0.55000000000000004">
      <c r="A131" s="57" t="s">
        <v>378</v>
      </c>
      <c r="B131" s="65" t="s">
        <v>126</v>
      </c>
      <c r="C131" s="58"/>
      <c r="D131" s="59" t="s">
        <v>208</v>
      </c>
      <c r="E131" s="57">
        <v>5</v>
      </c>
      <c r="F131" s="58" t="s">
        <v>384</v>
      </c>
      <c r="G131" s="47" t="inlineStr">
        <is>
          <t>التعليم الإلكتروني</t>
        </is>
      </c>
      <c r="H131" s="46" t="str">
        <f>IFERROR(INDEX('الإعدادات واللجنة'!$C$24:$C$32,MATCH(LEFT(A131,3),'الإعدادات واللجنة'!$A$24:$A$32,0)),"")</f>
        <v>د. يثرب بنت سعد القحطاني</v>
      </c>
      <c r="I131" s="38"/>
      <c r="J131" s="38"/>
      <c r="K131" s="46" t="str">
        <f t="shared" si="1"/>
        <v/>
      </c>
      <c r="L131" s="48"/>
      <c r="M131" s="38"/>
      <c r="N131" s="48"/>
      <c r="O131" s="48"/>
      <c r="P131" s="38"/>
      <c r="Q131" s="48"/>
      <c r="R131" s="26" t="str">
        <f>IF($I131="","",$I131&amp;"#"&amp;COUNTIF($I$5:$I131,$I131))</f>
        <v/>
      </c>
    </row>
    <row r="132" spans="1:18" ht="66" x14ac:dyDescent="0.55000000000000004">
      <c r="A132" s="60" t="s">
        <v>385</v>
      </c>
      <c r="B132" s="66" t="s">
        <v>127</v>
      </c>
      <c r="C132" s="61" t="s">
        <v>386</v>
      </c>
      <c r="D132" s="62"/>
      <c r="E132" s="54">
        <v>1</v>
      </c>
      <c r="F132" s="61" t="s">
        <v>387</v>
      </c>
      <c r="G132" s="53" t="inlineStr">
        <is>
          <t>القبول والتسجيل (وحدة البانر)</t>
        </is>
      </c>
      <c r="H132" s="54" t="str">
        <f>IFERROR(INDEX('الإعدادات واللجنة'!$C$24:$C$32,MATCH(LEFT(A132,3),'الإعدادات واللجنة'!$A$24:$A$32,0)),"")</f>
        <v>د. عبدالله بن محمد البركاتي</v>
      </c>
      <c r="I132" s="55"/>
      <c r="J132" s="55"/>
      <c r="K132" s="54" t="str">
        <f t="shared" si="1"/>
        <v/>
      </c>
      <c r="L132" s="56"/>
      <c r="M132" s="55"/>
      <c r="N132" s="56"/>
      <c r="O132" s="56"/>
      <c r="P132" s="55"/>
      <c r="Q132" s="56"/>
      <c r="R132" s="26" t="str">
        <f>IF($I132="","",$I132&amp;"#"&amp;COUNTIF($I$5:$I132,$I132))</f>
        <v/>
      </c>
    </row>
    <row r="133" spans="1:18" ht="44" x14ac:dyDescent="0.55000000000000004">
      <c r="A133" s="46" t="s">
        <v>385</v>
      </c>
      <c r="B133" s="63" t="s">
        <v>127</v>
      </c>
      <c r="C133" s="44"/>
      <c r="D133" s="45"/>
      <c r="E133" s="46">
        <v>2</v>
      </c>
      <c r="F133" s="44" t="s">
        <v>388</v>
      </c>
      <c r="G133" s="47" t="inlineStr">
        <is>
          <t>القبول والتسجيل (وحدة البانر)</t>
        </is>
      </c>
      <c r="H133" s="46" t="str">
        <f>IFERROR(INDEX('الإعدادات واللجنة'!$C$24:$C$32,MATCH(LEFT(A133,3),'الإعدادات واللجنة'!$A$24:$A$32,0)),"")</f>
        <v>د. عبدالله بن محمد البركاتي</v>
      </c>
      <c r="I133" s="38"/>
      <c r="J133" s="38"/>
      <c r="K133" s="46" t="str">
        <f t="shared" ref="K133:K196" si="2">IF(OR(I133="",I133="متوفر ومكتمل"),"",IF(OR(D133="★",I133="غير متوفر"),"عالية","متوسطة"))</f>
        <v/>
      </c>
      <c r="L133" s="48"/>
      <c r="M133" s="38"/>
      <c r="N133" s="48"/>
      <c r="O133" s="48"/>
      <c r="P133" s="38"/>
      <c r="Q133" s="48"/>
      <c r="R133" s="26" t="str">
        <f>IF($I133="","",$I133&amp;"#"&amp;COUNTIF($I$5:$I133,$I133))</f>
        <v/>
      </c>
    </row>
    <row r="134" spans="1:18" ht="44" x14ac:dyDescent="0.55000000000000004">
      <c r="A134" s="46" t="s">
        <v>385</v>
      </c>
      <c r="B134" s="63" t="s">
        <v>127</v>
      </c>
      <c r="C134" s="44"/>
      <c r="D134" s="45"/>
      <c r="E134" s="46">
        <v>3</v>
      </c>
      <c r="F134" s="44" t="s">
        <v>389</v>
      </c>
      <c r="G134" s="47" t="inlineStr">
        <is>
          <t>القبول والتسجيل (وحدة البانر)</t>
        </is>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46" t="s">
        <v>385</v>
      </c>
      <c r="B135" s="63" t="s">
        <v>127</v>
      </c>
      <c r="C135" s="44"/>
      <c r="D135" s="45"/>
      <c r="E135" s="46">
        <v>4</v>
      </c>
      <c r="F135" s="44" t="s">
        <v>390</v>
      </c>
      <c r="G135" s="47" t="inlineStr">
        <is>
          <t>القبول والتسجيل (وحدة البانر)</t>
        </is>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46" t="s">
        <v>385</v>
      </c>
      <c r="B136" s="63" t="s">
        <v>127</v>
      </c>
      <c r="C136" s="44"/>
      <c r="D136" s="45"/>
      <c r="E136" s="46">
        <v>5</v>
      </c>
      <c r="F136" s="44" t="s">
        <v>391</v>
      </c>
      <c r="G136" s="47" t="inlineStr">
        <is>
          <t>القسم العلمي</t>
        </is>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60" t="s">
        <v>392</v>
      </c>
      <c r="B137" s="66" t="s">
        <v>127</v>
      </c>
      <c r="C137" s="61" t="s">
        <v>393</v>
      </c>
      <c r="D137" s="62"/>
      <c r="E137" s="54">
        <v>1</v>
      </c>
      <c r="F137" s="61" t="s">
        <v>394</v>
      </c>
      <c r="G137" s="53" t="inlineStr">
        <is>
          <t>القسم العلمي</t>
        </is>
      </c>
      <c r="H137" s="54" t="str">
        <f>IFERROR(INDEX('الإعدادات واللجنة'!$C$24:$C$32,MATCH(LEFT(A137,3),'الإعدادات واللجنة'!$A$24:$A$32,0)),"")</f>
        <v>د. عبدالله بن محمد البركاتي</v>
      </c>
      <c r="I137" s="55"/>
      <c r="J137" s="55"/>
      <c r="K137" s="54" t="str">
        <f t="shared" si="2"/>
        <v/>
      </c>
      <c r="L137" s="56"/>
      <c r="M137" s="55"/>
      <c r="N137" s="56"/>
      <c r="O137" s="56"/>
      <c r="P137" s="55"/>
      <c r="Q137" s="56"/>
      <c r="R137" s="26" t="str">
        <f>IF($I137="","",$I137&amp;"#"&amp;COUNTIF($I$5:$I137,$I137))</f>
        <v/>
      </c>
    </row>
    <row r="138" spans="1:18" ht="44" x14ac:dyDescent="0.55000000000000004">
      <c r="A138" s="46" t="s">
        <v>392</v>
      </c>
      <c r="B138" s="63" t="s">
        <v>127</v>
      </c>
      <c r="C138" s="44"/>
      <c r="D138" s="45"/>
      <c r="E138" s="46">
        <v>2</v>
      </c>
      <c r="F138" s="44" t="s">
        <v>395</v>
      </c>
      <c r="G138" s="47" t="inlineStr">
        <is>
          <t>القسم العلمي</t>
        </is>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46" t="s">
        <v>392</v>
      </c>
      <c r="B139" s="63" t="s">
        <v>127</v>
      </c>
      <c r="C139" s="44"/>
      <c r="D139" s="45"/>
      <c r="E139" s="46">
        <v>3</v>
      </c>
      <c r="F139" s="44" t="s">
        <v>396</v>
      </c>
      <c r="G139" s="47" t="inlineStr">
        <is>
          <t>القسم العلمي</t>
        </is>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49" t="s">
        <v>397</v>
      </c>
      <c r="B140" s="64" t="s">
        <v>127</v>
      </c>
      <c r="C140" s="50" t="s">
        <v>398</v>
      </c>
      <c r="D140" s="51" t="s">
        <v>208</v>
      </c>
      <c r="E140" s="52">
        <v>1</v>
      </c>
      <c r="F140" s="50" t="s">
        <v>399</v>
      </c>
      <c r="G140" s="53" t="inlineStr">
        <is>
          <t>إدارة الكلية</t>
        </is>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57" t="s">
        <v>397</v>
      </c>
      <c r="B141" s="65" t="s">
        <v>127</v>
      </c>
      <c r="C141" s="58"/>
      <c r="D141" s="59" t="s">
        <v>208</v>
      </c>
      <c r="E141" s="57">
        <v>2</v>
      </c>
      <c r="F141" s="58" t="s">
        <v>400</v>
      </c>
      <c r="G141" s="47" t="inlineStr">
        <is>
          <t>القسم العلمي</t>
        </is>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57" t="s">
        <v>397</v>
      </c>
      <c r="B142" s="65" t="s">
        <v>127</v>
      </c>
      <c r="C142" s="58"/>
      <c r="D142" s="59" t="s">
        <v>208</v>
      </c>
      <c r="E142" s="57">
        <v>3</v>
      </c>
      <c r="F142" s="58" t="s">
        <v>401</v>
      </c>
      <c r="G142" s="47" t="inlineStr">
        <is>
          <t>الموارد البشرية</t>
        </is>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57" t="s">
        <v>397</v>
      </c>
      <c r="B143" s="65" t="s">
        <v>127</v>
      </c>
      <c r="C143" s="58"/>
      <c r="D143" s="59" t="s">
        <v>208</v>
      </c>
      <c r="E143" s="57">
        <v>4</v>
      </c>
      <c r="F143" s="58" t="s">
        <v>402</v>
      </c>
      <c r="G143" s="47" t="inlineStr">
        <is>
          <t>القسم العلمي</t>
        </is>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57" t="s">
        <v>397</v>
      </c>
      <c r="B144" s="65" t="s">
        <v>127</v>
      </c>
      <c r="C144" s="58"/>
      <c r="D144" s="59" t="s">
        <v>208</v>
      </c>
      <c r="E144" s="57">
        <v>5</v>
      </c>
      <c r="F144" s="58" t="s">
        <v>403</v>
      </c>
      <c r="G144" s="47" t="inlineStr">
        <is>
          <t>وحدة الخريجين</t>
        </is>
      </c>
      <c r="H144" s="46" t="str">
        <f>IFERROR(INDEX('الإعدادات واللجنة'!$C$24:$C$32,MATCH(LEFT(A144,3),'الإعدادات واللجنة'!$A$24:$A$32,0)),"")</f>
        <v>د. عبدالله بن محمد البركاتي</v>
      </c>
      <c r="I144" s="38"/>
      <c r="J144" s="38"/>
      <c r="K144" s="46" t="str">
        <f t="shared" si="2"/>
        <v/>
      </c>
      <c r="L144" s="48"/>
      <c r="M144" s="38"/>
      <c r="N144" s="48"/>
      <c r="O144" s="48"/>
      <c r="P144" s="38"/>
      <c r="Q144" s="48"/>
      <c r="R144" s="26" t="str">
        <f>IF($I144="","",$I144&amp;"#"&amp;COUNTIF($I$5:$I144,$I144))</f>
        <v/>
      </c>
    </row>
    <row r="145" spans="1:18" ht="44" x14ac:dyDescent="0.55000000000000004">
      <c r="A145" s="57" t="s">
        <v>397</v>
      </c>
      <c r="B145" s="65" t="s">
        <v>127</v>
      </c>
      <c r="C145" s="58"/>
      <c r="D145" s="59" t="s">
        <v>208</v>
      </c>
      <c r="E145" s="57">
        <v>6</v>
      </c>
      <c r="F145" s="58" t="s">
        <v>404</v>
      </c>
      <c r="G145" s="47" t="inlineStr">
        <is>
          <t>وحدة الأنشطة بالكلية / شؤون الطلاب</t>
        </is>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57" t="s">
        <v>397</v>
      </c>
      <c r="B146" s="65" t="s">
        <v>127</v>
      </c>
      <c r="C146" s="58"/>
      <c r="D146" s="59" t="s">
        <v>208</v>
      </c>
      <c r="E146" s="57">
        <v>7</v>
      </c>
      <c r="F146" s="58" t="s">
        <v>405</v>
      </c>
      <c r="G146" s="47" t="inlineStr">
        <is>
          <t>وحدة الخريجين</t>
        </is>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66" x14ac:dyDescent="0.55000000000000004">
      <c r="A147" s="60" t="s">
        <v>406</v>
      </c>
      <c r="B147" s="66" t="s">
        <v>127</v>
      </c>
      <c r="C147" s="61" t="s">
        <v>407</v>
      </c>
      <c r="D147" s="62"/>
      <c r="E147" s="54">
        <v>1</v>
      </c>
      <c r="F147" s="61" t="s">
        <v>408</v>
      </c>
      <c r="G147" s="53" t="inlineStr">
        <is>
          <t>وحدة الأنشطة بالكلية / شؤون الطلاب</t>
        </is>
      </c>
      <c r="H147" s="54" t="str">
        <f>IFERROR(INDEX('الإعدادات واللجنة'!$C$24:$C$32,MATCH(LEFT(A147,3),'الإعدادات واللجنة'!$A$24:$A$32,0)),"")</f>
        <v>د. عبدالله بن محمد البركاتي</v>
      </c>
      <c r="I147" s="55"/>
      <c r="J147" s="55"/>
      <c r="K147" s="54" t="str">
        <f t="shared" si="2"/>
        <v/>
      </c>
      <c r="L147" s="56"/>
      <c r="M147" s="55"/>
      <c r="N147" s="56"/>
      <c r="O147" s="56"/>
      <c r="P147" s="55"/>
      <c r="Q147" s="56"/>
      <c r="R147" s="26" t="str">
        <f>IF($I147="","",$I147&amp;"#"&amp;COUNTIF($I$5:$I147,$I147))</f>
        <v/>
      </c>
    </row>
    <row r="148" spans="1:18" ht="44" x14ac:dyDescent="0.55000000000000004">
      <c r="A148" s="46" t="s">
        <v>406</v>
      </c>
      <c r="B148" s="63" t="s">
        <v>127</v>
      </c>
      <c r="C148" s="44"/>
      <c r="D148" s="45"/>
      <c r="E148" s="46">
        <v>2</v>
      </c>
      <c r="F148" s="44" t="s">
        <v>409</v>
      </c>
      <c r="G148" s="47" t="inlineStr">
        <is>
          <t>وحدة الأنشطة بالكلية / شؤون الطلاب</t>
        </is>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406</v>
      </c>
      <c r="B149" s="63" t="s">
        <v>127</v>
      </c>
      <c r="C149" s="44"/>
      <c r="D149" s="45"/>
      <c r="E149" s="46">
        <v>3</v>
      </c>
      <c r="F149" s="44" t="s">
        <v>410</v>
      </c>
      <c r="G149" s="47" t="inlineStr">
        <is>
          <t>القسم العلمي</t>
        </is>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44" x14ac:dyDescent="0.55000000000000004">
      <c r="A150" s="46" t="s">
        <v>406</v>
      </c>
      <c r="B150" s="63" t="s">
        <v>127</v>
      </c>
      <c r="C150" s="44"/>
      <c r="D150" s="45"/>
      <c r="E150" s="46">
        <v>4</v>
      </c>
      <c r="F150" s="44" t="s">
        <v>411</v>
      </c>
      <c r="G150" s="47" t="inlineStr">
        <is>
          <t>وحدة الأنشطة بالكلية / شؤون الطلاب</t>
        </is>
      </c>
      <c r="H150" s="46" t="str">
        <f>IFERROR(INDEX('الإعدادات واللجنة'!$C$24:$C$32,MATCH(LEFT(A150,3),'الإعدادات واللجنة'!$A$24:$A$32,0)),"")</f>
        <v>د. عبدالله بن محمد البركاتي</v>
      </c>
      <c r="I150" s="38"/>
      <c r="J150" s="38"/>
      <c r="K150" s="46" t="str">
        <f t="shared" si="2"/>
        <v/>
      </c>
      <c r="L150" s="48"/>
      <c r="M150" s="38"/>
      <c r="N150" s="48"/>
      <c r="O150" s="48"/>
      <c r="P150" s="38"/>
      <c r="Q150" s="48"/>
      <c r="R150" s="26" t="str">
        <f>IF($I150="","",$I150&amp;"#"&amp;COUNTIF($I$5:$I150,$I150))</f>
        <v/>
      </c>
    </row>
    <row r="151" spans="1:18" ht="66" x14ac:dyDescent="0.55000000000000004">
      <c r="A151" s="60" t="s">
        <v>412</v>
      </c>
      <c r="B151" s="66" t="s">
        <v>127</v>
      </c>
      <c r="C151" s="61" t="s">
        <v>413</v>
      </c>
      <c r="D151" s="62"/>
      <c r="E151" s="54">
        <v>1</v>
      </c>
      <c r="F151" s="61" t="s">
        <v>414</v>
      </c>
      <c r="G151" s="53" t="inlineStr">
        <is>
          <t>وحدة الأنشطة بالكلية / شؤون الطلاب</t>
        </is>
      </c>
      <c r="H151" s="54" t="str">
        <f>IFERROR(INDEX('الإعدادات واللجنة'!$C$24:$C$32,MATCH(LEFT(A151,3),'الإعدادات واللجنة'!$A$24:$A$32,0)),"")</f>
        <v>د. عبدالله بن محمد البركاتي</v>
      </c>
      <c r="I151" s="55"/>
      <c r="J151" s="55"/>
      <c r="K151" s="54" t="str">
        <f t="shared" si="2"/>
        <v/>
      </c>
      <c r="L151" s="56"/>
      <c r="M151" s="55"/>
      <c r="N151" s="56"/>
      <c r="O151" s="56"/>
      <c r="P151" s="55"/>
      <c r="Q151" s="56"/>
      <c r="R151" s="26" t="str">
        <f>IF($I151="","",$I151&amp;"#"&amp;COUNTIF($I$5:$I151,$I151))</f>
        <v/>
      </c>
    </row>
    <row r="152" spans="1:18" ht="44" x14ac:dyDescent="0.55000000000000004">
      <c r="A152" s="46" t="s">
        <v>412</v>
      </c>
      <c r="B152" s="63" t="s">
        <v>127</v>
      </c>
      <c r="C152" s="44"/>
      <c r="D152" s="45"/>
      <c r="E152" s="46">
        <v>2</v>
      </c>
      <c r="F152" s="44" t="s">
        <v>415</v>
      </c>
      <c r="G152" s="47" t="inlineStr">
        <is>
          <t>وحدة الأنشطة بالكلية / شؤون الطلاب</t>
        </is>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44" x14ac:dyDescent="0.55000000000000004">
      <c r="A153" s="46" t="s">
        <v>412</v>
      </c>
      <c r="B153" s="63" t="s">
        <v>127</v>
      </c>
      <c r="C153" s="44"/>
      <c r="D153" s="45"/>
      <c r="E153" s="46">
        <v>3</v>
      </c>
      <c r="F153" s="44" t="s">
        <v>416</v>
      </c>
      <c r="G153" s="47" t="inlineStr">
        <is>
          <t>وحدة الأنشطة بالكلية / شؤون الطلاب</t>
        </is>
      </c>
      <c r="H153" s="46" t="str">
        <f>IFERROR(INDEX('الإعدادات واللجنة'!$C$24:$C$32,MATCH(LEFT(A153,3),'الإعدادات واللجنة'!$A$24:$A$32,0)),"")</f>
        <v>د. عبدالله بن محمد البركاتي</v>
      </c>
      <c r="I153" s="38"/>
      <c r="J153" s="38"/>
      <c r="K153" s="46" t="str">
        <f t="shared" si="2"/>
        <v/>
      </c>
      <c r="L153" s="48"/>
      <c r="M153" s="38"/>
      <c r="N153" s="48"/>
      <c r="O153" s="48"/>
      <c r="P153" s="38"/>
      <c r="Q153" s="48"/>
      <c r="R153" s="26" t="str">
        <f>IF($I153="","",$I153&amp;"#"&amp;COUNTIF($I$5:$I153,$I153))</f>
        <v/>
      </c>
    </row>
    <row r="154" spans="1:18" ht="44" x14ac:dyDescent="0.55000000000000004">
      <c r="A154" s="46" t="s">
        <v>412</v>
      </c>
      <c r="B154" s="63" t="s">
        <v>127</v>
      </c>
      <c r="C154" s="44"/>
      <c r="D154" s="45"/>
      <c r="E154" s="46">
        <v>4</v>
      </c>
      <c r="F154" s="44" t="s">
        <v>417</v>
      </c>
      <c r="G154" s="47" t="inlineStr">
        <is>
          <t>وحدة الأنشطة بالكلية / شؤون الطلاب</t>
        </is>
      </c>
      <c r="H154" s="46" t="str">
        <f>IFERROR(INDEX('الإعدادات واللجنة'!$C$24:$C$32,MATCH(LEFT(A154,3),'الإعدادات واللجنة'!$A$24:$A$32,0)),"")</f>
        <v>د. عبدالله بن محمد البركاتي</v>
      </c>
      <c r="I154" s="38"/>
      <c r="J154" s="38"/>
      <c r="K154" s="46" t="str">
        <f t="shared" si="2"/>
        <v/>
      </c>
      <c r="L154" s="48"/>
      <c r="M154" s="38"/>
      <c r="N154" s="48"/>
      <c r="O154" s="48"/>
      <c r="P154" s="38"/>
      <c r="Q154" s="48"/>
      <c r="R154" s="26" t="str">
        <f>IF($I154="","",$I154&amp;"#"&amp;COUNTIF($I$5:$I154,$I154))</f>
        <v/>
      </c>
    </row>
    <row r="155" spans="1:18" ht="66" x14ac:dyDescent="0.55000000000000004">
      <c r="A155" s="60" t="s">
        <v>418</v>
      </c>
      <c r="B155" s="66" t="s">
        <v>127</v>
      </c>
      <c r="C155" s="61" t="s">
        <v>419</v>
      </c>
      <c r="D155" s="62"/>
      <c r="E155" s="54">
        <v>1</v>
      </c>
      <c r="F155" s="61" t="s">
        <v>420</v>
      </c>
      <c r="G155" s="53" t="inlineStr">
        <is>
          <t>وحدة الخريجين</t>
        </is>
      </c>
      <c r="H155" s="54" t="str">
        <f>IFERROR(INDEX('الإعدادات واللجنة'!$C$24:$C$32,MATCH(LEFT(A155,3),'الإعدادات واللجنة'!$A$24:$A$32,0)),"")</f>
        <v>د. عبدالله بن محمد البركاتي</v>
      </c>
      <c r="I155" s="55"/>
      <c r="J155" s="55"/>
      <c r="K155" s="54" t="str">
        <f t="shared" si="2"/>
        <v/>
      </c>
      <c r="L155" s="56"/>
      <c r="M155" s="55"/>
      <c r="N155" s="56"/>
      <c r="O155" s="56"/>
      <c r="P155" s="55"/>
      <c r="Q155" s="56"/>
      <c r="R155" s="26" t="str">
        <f>IF($I155="","",$I155&amp;"#"&amp;COUNTIF($I$5:$I155,$I155))</f>
        <v/>
      </c>
    </row>
    <row r="156" spans="1:18" ht="44" x14ac:dyDescent="0.55000000000000004">
      <c r="A156" s="46" t="s">
        <v>418</v>
      </c>
      <c r="B156" s="63" t="s">
        <v>127</v>
      </c>
      <c r="C156" s="44"/>
      <c r="D156" s="45"/>
      <c r="E156" s="46">
        <v>2</v>
      </c>
      <c r="F156" s="44" t="s">
        <v>421</v>
      </c>
      <c r="G156" s="47" t="inlineStr">
        <is>
          <t>وحدة الخريجين</t>
        </is>
      </c>
      <c r="H156" s="46" t="str">
        <f>IFERROR(INDEX('الإعدادات واللجنة'!$C$24:$C$32,MATCH(LEFT(A156,3),'الإعدادات واللجنة'!$A$24:$A$32,0)),"")</f>
        <v>د. عبدالله بن محمد البركاتي</v>
      </c>
      <c r="I156" s="38"/>
      <c r="J156" s="38"/>
      <c r="K156" s="46" t="str">
        <f t="shared" si="2"/>
        <v/>
      </c>
      <c r="L156" s="48"/>
      <c r="M156" s="38"/>
      <c r="N156" s="48"/>
      <c r="O156" s="48"/>
      <c r="P156" s="38"/>
      <c r="Q156" s="48"/>
      <c r="R156" s="26" t="str">
        <f>IF($I156="","",$I156&amp;"#"&amp;COUNTIF($I$5:$I156,$I156))</f>
        <v/>
      </c>
    </row>
    <row r="157" spans="1:18" ht="44" x14ac:dyDescent="0.55000000000000004">
      <c r="A157" s="46" t="s">
        <v>418</v>
      </c>
      <c r="B157" s="63" t="s">
        <v>127</v>
      </c>
      <c r="C157" s="44"/>
      <c r="D157" s="45"/>
      <c r="E157" s="46">
        <v>3</v>
      </c>
      <c r="F157" s="44" t="s">
        <v>422</v>
      </c>
      <c r="G157" s="47" t="inlineStr">
        <is>
          <t>القسم العلمي</t>
        </is>
      </c>
      <c r="H157" s="46" t="str">
        <f>IFERROR(INDEX('الإعدادات واللجنة'!$C$24:$C$32,MATCH(LEFT(A157,3),'الإعدادات واللجنة'!$A$24:$A$32,0)),"")</f>
        <v>د. عبدالله بن محمد البركاتي</v>
      </c>
      <c r="I157" s="38"/>
      <c r="J157" s="38"/>
      <c r="K157" s="46" t="str">
        <f t="shared" si="2"/>
        <v/>
      </c>
      <c r="L157" s="48"/>
      <c r="M157" s="38"/>
      <c r="N157" s="48"/>
      <c r="O157" s="48"/>
      <c r="P157" s="38"/>
      <c r="Q157" s="48"/>
      <c r="R157" s="26" t="str">
        <f>IF($I157="","",$I157&amp;"#"&amp;COUNTIF($I$5:$I157,$I157))</f>
        <v/>
      </c>
    </row>
    <row r="158" spans="1:18" ht="44" x14ac:dyDescent="0.55000000000000004">
      <c r="A158" s="46" t="s">
        <v>418</v>
      </c>
      <c r="B158" s="63" t="s">
        <v>127</v>
      </c>
      <c r="C158" s="44"/>
      <c r="D158" s="45"/>
      <c r="E158" s="46">
        <v>4</v>
      </c>
      <c r="F158" s="44" t="s">
        <v>423</v>
      </c>
      <c r="G158" s="47" t="inlineStr">
        <is>
          <t>وحدة الخريجين</t>
        </is>
      </c>
      <c r="H158" s="46" t="str">
        <f>IFERROR(INDEX('الإعدادات واللجنة'!$C$24:$C$32,MATCH(LEFT(A158,3),'الإعدادات واللجنة'!$A$24:$A$32,0)),"")</f>
        <v>د. عبدالله بن محمد البركاتي</v>
      </c>
      <c r="I158" s="38"/>
      <c r="J158" s="38"/>
      <c r="K158" s="46" t="str">
        <f t="shared" si="2"/>
        <v/>
      </c>
      <c r="L158" s="48"/>
      <c r="M158" s="38"/>
      <c r="N158" s="48"/>
      <c r="O158" s="48"/>
      <c r="P158" s="38"/>
      <c r="Q158" s="48"/>
      <c r="R158" s="26" t="str">
        <f>IF($I158="","",$I158&amp;"#"&amp;COUNTIF($I$5:$I158,$I158))</f>
        <v/>
      </c>
    </row>
    <row r="159" spans="1:18" ht="44" x14ac:dyDescent="0.55000000000000004">
      <c r="A159" s="46" t="s">
        <v>418</v>
      </c>
      <c r="B159" s="63" t="s">
        <v>127</v>
      </c>
      <c r="C159" s="44"/>
      <c r="D159" s="45"/>
      <c r="E159" s="46">
        <v>5</v>
      </c>
      <c r="F159" s="44" t="s">
        <v>424</v>
      </c>
      <c r="G159" s="47" t="inlineStr">
        <is>
          <t>وحدة الخريجين</t>
        </is>
      </c>
      <c r="H159" s="46" t="str">
        <f>IFERROR(INDEX('الإعدادات واللجنة'!$C$24:$C$32,MATCH(LEFT(A159,3),'الإعدادات واللجنة'!$A$24:$A$32,0)),"")</f>
        <v>د. عبدالله بن محمد البركاتي</v>
      </c>
      <c r="I159" s="38"/>
      <c r="J159" s="38"/>
      <c r="K159" s="46" t="str">
        <f t="shared" si="2"/>
        <v/>
      </c>
      <c r="L159" s="48"/>
      <c r="M159" s="38"/>
      <c r="N159" s="48"/>
      <c r="O159" s="48"/>
      <c r="P159" s="38"/>
      <c r="Q159" s="48"/>
      <c r="R159" s="26" t="str">
        <f>IF($I159="","",$I159&amp;"#"&amp;COUNTIF($I$5:$I159,$I159))</f>
        <v/>
      </c>
    </row>
    <row r="160" spans="1:18" ht="44" x14ac:dyDescent="0.55000000000000004">
      <c r="A160" s="46" t="s">
        <v>418</v>
      </c>
      <c r="B160" s="63" t="s">
        <v>127</v>
      </c>
      <c r="C160" s="44"/>
      <c r="D160" s="45"/>
      <c r="E160" s="46">
        <v>6</v>
      </c>
      <c r="F160" s="44" t="s">
        <v>425</v>
      </c>
      <c r="G160" s="47" t="inlineStr">
        <is>
          <t>إدارة الكلية</t>
        </is>
      </c>
      <c r="H160" s="46" t="str">
        <f>IFERROR(INDEX('الإعدادات واللجنة'!$C$24:$C$32,MATCH(LEFT(A160,3),'الإعدادات واللجنة'!$A$24:$A$32,0)),"")</f>
        <v>د. عبدالله بن محمد البركاتي</v>
      </c>
      <c r="I160" s="38"/>
      <c r="J160" s="38"/>
      <c r="K160" s="46" t="str">
        <f t="shared" si="2"/>
        <v/>
      </c>
      <c r="L160" s="48"/>
      <c r="M160" s="38"/>
      <c r="N160" s="48"/>
      <c r="O160" s="48"/>
      <c r="P160" s="38"/>
      <c r="Q160" s="48"/>
      <c r="R160" s="26" t="str">
        <f>IF($I160="","",$I160&amp;"#"&amp;COUNTIF($I$5:$I160,$I160))</f>
        <v/>
      </c>
    </row>
    <row r="161" spans="1:18" ht="66" x14ac:dyDescent="0.55000000000000004">
      <c r="A161" s="49" t="s">
        <v>426</v>
      </c>
      <c r="B161" s="64" t="s">
        <v>127</v>
      </c>
      <c r="C161" s="50" t="s">
        <v>427</v>
      </c>
      <c r="D161" s="51" t="s">
        <v>208</v>
      </c>
      <c r="E161" s="52">
        <v>1</v>
      </c>
      <c r="F161" s="50" t="s">
        <v>428</v>
      </c>
      <c r="G161" s="53" t="inlineStr">
        <is>
          <t>وحدة الأنشطة بالكلية / شؤون الطلاب</t>
        </is>
      </c>
      <c r="H161" s="54" t="str">
        <f>IFERROR(INDEX('الإعدادات واللجنة'!$C$24:$C$32,MATCH(LEFT(A161,3),'الإعدادات واللجنة'!$A$24:$A$32,0)),"")</f>
        <v>د. عبدالله بن محمد البركاتي</v>
      </c>
      <c r="I161" s="55"/>
      <c r="J161" s="55"/>
      <c r="K161" s="54" t="str">
        <f t="shared" si="2"/>
        <v/>
      </c>
      <c r="L161" s="56"/>
      <c r="M161" s="55"/>
      <c r="N161" s="56"/>
      <c r="O161" s="56"/>
      <c r="P161" s="55"/>
      <c r="Q161" s="56"/>
      <c r="R161" s="26" t="str">
        <f>IF($I161="","",$I161&amp;"#"&amp;COUNTIF($I$5:$I161,$I161))</f>
        <v/>
      </c>
    </row>
    <row r="162" spans="1:18" ht="44" x14ac:dyDescent="0.55000000000000004">
      <c r="A162" s="57" t="s">
        <v>426</v>
      </c>
      <c r="B162" s="65" t="s">
        <v>127</v>
      </c>
      <c r="C162" s="58"/>
      <c r="D162" s="59" t="s">
        <v>208</v>
      </c>
      <c r="E162" s="57">
        <v>2</v>
      </c>
      <c r="F162" s="58" t="s">
        <v>429</v>
      </c>
      <c r="G162" s="47" t="inlineStr">
        <is>
          <t>لجنة الجودة بالكلية</t>
        </is>
      </c>
      <c r="H162" s="46" t="str">
        <f>IFERROR(INDEX('الإعدادات واللجنة'!$C$24:$C$32,MATCH(LEFT(A162,3),'الإعدادات واللجنة'!$A$24:$A$32,0)),"")</f>
        <v>د. عبدالله بن محمد البركاتي</v>
      </c>
      <c r="I162" s="38"/>
      <c r="J162" s="38"/>
      <c r="K162" s="46" t="str">
        <f t="shared" si="2"/>
        <v/>
      </c>
      <c r="L162" s="48"/>
      <c r="M162" s="38"/>
      <c r="N162" s="48"/>
      <c r="O162" s="48"/>
      <c r="P162" s="38"/>
      <c r="Q162" s="48"/>
      <c r="R162" s="26" t="str">
        <f>IF($I162="","",$I162&amp;"#"&amp;COUNTIF($I$5:$I162,$I162))</f>
        <v/>
      </c>
    </row>
    <row r="163" spans="1:18" ht="44" x14ac:dyDescent="0.55000000000000004">
      <c r="A163" s="57" t="s">
        <v>426</v>
      </c>
      <c r="B163" s="65" t="s">
        <v>127</v>
      </c>
      <c r="C163" s="58"/>
      <c r="D163" s="59" t="s">
        <v>208</v>
      </c>
      <c r="E163" s="57">
        <v>3</v>
      </c>
      <c r="F163" s="58" t="s">
        <v>430</v>
      </c>
      <c r="G163" s="47" t="inlineStr">
        <is>
          <t>لجنة الجودة بالكلية</t>
        </is>
      </c>
      <c r="H163" s="46" t="str">
        <f>IFERROR(INDEX('الإعدادات واللجنة'!$C$24:$C$32,MATCH(LEFT(A163,3),'الإعدادات واللجنة'!$A$24:$A$32,0)),"")</f>
        <v>د. عبدالله بن محمد البركاتي</v>
      </c>
      <c r="I163" s="38"/>
      <c r="J163" s="38"/>
      <c r="K163" s="46" t="str">
        <f t="shared" si="2"/>
        <v/>
      </c>
      <c r="L163" s="48"/>
      <c r="M163" s="38"/>
      <c r="N163" s="48"/>
      <c r="O163" s="48"/>
      <c r="P163" s="38"/>
      <c r="Q163" s="48"/>
      <c r="R163" s="26" t="str">
        <f>IF($I163="","",$I163&amp;"#"&amp;COUNTIF($I$5:$I163,$I163))</f>
        <v/>
      </c>
    </row>
    <row r="164" spans="1:18" ht="66" x14ac:dyDescent="0.55000000000000004">
      <c r="A164" s="49" t="s">
        <v>431</v>
      </c>
      <c r="B164" s="64" t="s">
        <v>128</v>
      </c>
      <c r="C164" s="50" t="s">
        <v>432</v>
      </c>
      <c r="D164" s="51" t="s">
        <v>208</v>
      </c>
      <c r="E164" s="52">
        <v>1</v>
      </c>
      <c r="F164" s="50" t="s">
        <v>433</v>
      </c>
      <c r="G164" s="53" t="inlineStr">
        <is>
          <t>القسم العلمي</t>
        </is>
      </c>
      <c r="H164" s="54" t="str">
        <f>IFERROR(INDEX('الإعدادات واللجنة'!$C$24:$C$32,MATCH(LEFT(A164,3),'الإعدادات واللجنة'!$A$24:$A$32,0)),"")</f>
        <v>د. عمر بن محمد موسى</v>
      </c>
      <c r="I164" s="55"/>
      <c r="J164" s="55"/>
      <c r="K164" s="54" t="str">
        <f t="shared" si="2"/>
        <v/>
      </c>
      <c r="L164" s="56"/>
      <c r="M164" s="55"/>
      <c r="N164" s="56"/>
      <c r="O164" s="56"/>
      <c r="P164" s="55"/>
      <c r="Q164" s="56"/>
      <c r="R164" s="26" t="str">
        <f>IF($I164="","",$I164&amp;"#"&amp;COUNTIF($I$5:$I164,$I164))</f>
        <v/>
      </c>
    </row>
    <row r="165" spans="1:18" ht="26" x14ac:dyDescent="0.55000000000000004">
      <c r="A165" s="57" t="s">
        <v>431</v>
      </c>
      <c r="B165" s="65" t="s">
        <v>128</v>
      </c>
      <c r="C165" s="58"/>
      <c r="D165" s="59" t="s">
        <v>208</v>
      </c>
      <c r="E165" s="57">
        <v>2</v>
      </c>
      <c r="F165" s="58" t="s">
        <v>434</v>
      </c>
      <c r="G165" s="47" t="inlineStr">
        <is>
          <t>القسم العلمي</t>
        </is>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57" t="s">
        <v>431</v>
      </c>
      <c r="B166" s="65" t="s">
        <v>128</v>
      </c>
      <c r="C166" s="58"/>
      <c r="D166" s="59" t="s">
        <v>208</v>
      </c>
      <c r="E166" s="57">
        <v>3</v>
      </c>
      <c r="F166" s="58" t="s">
        <v>435</v>
      </c>
      <c r="G166" s="47" t="inlineStr">
        <is>
          <t>لجنة الجودة بالكلية</t>
        </is>
      </c>
      <c r="H166" s="46" t="str">
        <f>IFERROR(INDEX('الإعدادات واللجنة'!$C$24:$C$32,MATCH(LEFT(A166,3),'الإعدادات واللجنة'!$A$24:$A$32,0)),"")</f>
        <v>د. عمر بن محمد موسى</v>
      </c>
      <c r="I166" s="38"/>
      <c r="J166" s="38"/>
      <c r="K166" s="46" t="str">
        <f t="shared" si="2"/>
        <v/>
      </c>
      <c r="L166" s="48"/>
      <c r="M166" s="38"/>
      <c r="N166" s="48"/>
      <c r="O166" s="48"/>
      <c r="P166" s="38"/>
      <c r="Q166" s="48"/>
      <c r="R166" s="26" t="str">
        <f>IF($I166="","",$I166&amp;"#"&amp;COUNTIF($I$5:$I166,$I166))</f>
        <v/>
      </c>
    </row>
    <row r="167" spans="1:18" ht="44" x14ac:dyDescent="0.55000000000000004">
      <c r="A167" s="57" t="s">
        <v>431</v>
      </c>
      <c r="B167" s="65" t="s">
        <v>128</v>
      </c>
      <c r="C167" s="58"/>
      <c r="D167" s="59" t="s">
        <v>208</v>
      </c>
      <c r="E167" s="57">
        <v>4</v>
      </c>
      <c r="F167" s="58" t="s">
        <v>436</v>
      </c>
      <c r="G167" s="47" t="inlineStr">
        <is>
          <t>القسم العلمي</t>
        </is>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60" t="s">
        <v>437</v>
      </c>
      <c r="B168" s="66" t="s">
        <v>128</v>
      </c>
      <c r="C168" s="61" t="s">
        <v>438</v>
      </c>
      <c r="D168" s="62"/>
      <c r="E168" s="54">
        <v>1</v>
      </c>
      <c r="F168" s="61" t="s">
        <v>439</v>
      </c>
      <c r="G168" s="53" t="inlineStr">
        <is>
          <t>الموارد البشرية</t>
        </is>
      </c>
      <c r="H168" s="54" t="str">
        <f>IFERROR(INDEX('الإعدادات واللجنة'!$C$24:$C$32,MATCH(LEFT(A168,3),'الإعدادات واللجنة'!$A$24:$A$32,0)),"")</f>
        <v>د. عمر بن محمد موسى</v>
      </c>
      <c r="I168" s="55"/>
      <c r="J168" s="55"/>
      <c r="K168" s="54" t="str">
        <f t="shared" si="2"/>
        <v/>
      </c>
      <c r="L168" s="56"/>
      <c r="M168" s="55"/>
      <c r="N168" s="56"/>
      <c r="O168" s="56"/>
      <c r="P168" s="55"/>
      <c r="Q168" s="56"/>
      <c r="R168" s="26" t="str">
        <f>IF($I168="","",$I168&amp;"#"&amp;COUNTIF($I$5:$I168,$I168))</f>
        <v/>
      </c>
    </row>
    <row r="169" spans="1:18" ht="44" x14ac:dyDescent="0.55000000000000004">
      <c r="A169" s="46" t="s">
        <v>437</v>
      </c>
      <c r="B169" s="63" t="s">
        <v>128</v>
      </c>
      <c r="C169" s="44"/>
      <c r="D169" s="45"/>
      <c r="E169" s="46">
        <v>2</v>
      </c>
      <c r="F169" s="44" t="s">
        <v>440</v>
      </c>
      <c r="G169" s="47" t="inlineStr">
        <is>
          <t>القسم العلمي</t>
        </is>
      </c>
      <c r="H169" s="46" t="str">
        <f>IFERROR(INDEX('الإعدادات واللجنة'!$C$24:$C$32,MATCH(LEFT(A169,3),'الإعدادات واللجنة'!$A$24:$A$32,0)),"")</f>
        <v>د. عمر بن محمد موسى</v>
      </c>
      <c r="I169" s="38"/>
      <c r="J169" s="38"/>
      <c r="K169" s="46" t="str">
        <f t="shared" si="2"/>
        <v/>
      </c>
      <c r="L169" s="48"/>
      <c r="M169" s="38"/>
      <c r="N169" s="48"/>
      <c r="O169" s="48"/>
      <c r="P169" s="38"/>
      <c r="Q169" s="48"/>
      <c r="R169" s="26" t="str">
        <f>IF($I169="","",$I169&amp;"#"&amp;COUNTIF($I$5:$I169,$I169))</f>
        <v/>
      </c>
    </row>
    <row r="170" spans="1:18" ht="66" x14ac:dyDescent="0.55000000000000004">
      <c r="A170" s="60" t="s">
        <v>441</v>
      </c>
      <c r="B170" s="66" t="s">
        <v>128</v>
      </c>
      <c r="C170" s="61" t="s">
        <v>442</v>
      </c>
      <c r="D170" s="62"/>
      <c r="E170" s="54">
        <v>1</v>
      </c>
      <c r="F170" s="61" t="s">
        <v>443</v>
      </c>
      <c r="G170" s="53" t="inlineStr">
        <is>
          <t>القسم العلمي</t>
        </is>
      </c>
      <c r="H170" s="54" t="str">
        <f>IFERROR(INDEX('الإعدادات واللجنة'!$C$24:$C$32,MATCH(LEFT(A170,3),'الإعدادات واللجنة'!$A$24:$A$32,0)),"")</f>
        <v>د. عمر بن محمد موسى</v>
      </c>
      <c r="I170" s="55"/>
      <c r="J170" s="55"/>
      <c r="K170" s="54" t="str">
        <f t="shared" si="2"/>
        <v/>
      </c>
      <c r="L170" s="56"/>
      <c r="M170" s="55"/>
      <c r="N170" s="56"/>
      <c r="O170" s="56"/>
      <c r="P170" s="55"/>
      <c r="Q170" s="56"/>
      <c r="R170" s="26" t="str">
        <f>IF($I170="","",$I170&amp;"#"&amp;COUNTIF($I$5:$I170,$I170))</f>
        <v/>
      </c>
    </row>
    <row r="171" spans="1:18" ht="66" x14ac:dyDescent="0.55000000000000004">
      <c r="A171" s="46" t="s">
        <v>441</v>
      </c>
      <c r="B171" s="63" t="s">
        <v>128</v>
      </c>
      <c r="C171" s="44"/>
      <c r="D171" s="45"/>
      <c r="E171" s="46">
        <v>2</v>
      </c>
      <c r="F171" s="44" t="s">
        <v>444</v>
      </c>
      <c r="G171" s="47" t="inlineStr">
        <is>
          <t>إدارة الكلية</t>
        </is>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441</v>
      </c>
      <c r="B172" s="63" t="s">
        <v>128</v>
      </c>
      <c r="C172" s="44"/>
      <c r="D172" s="45"/>
      <c r="E172" s="46">
        <v>3</v>
      </c>
      <c r="F172" s="44" t="s">
        <v>445</v>
      </c>
      <c r="G172" s="47" t="inlineStr">
        <is>
          <t>القسم العلمي</t>
        </is>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44" x14ac:dyDescent="0.55000000000000004">
      <c r="A173" s="46" t="s">
        <v>441</v>
      </c>
      <c r="B173" s="63" t="s">
        <v>128</v>
      </c>
      <c r="C173" s="44"/>
      <c r="D173" s="45"/>
      <c r="E173" s="46">
        <v>4</v>
      </c>
      <c r="F173" s="44" t="s">
        <v>446</v>
      </c>
      <c r="G173" s="47" t="inlineStr">
        <is>
          <t>القسم العلمي</t>
        </is>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26" x14ac:dyDescent="0.55000000000000004">
      <c r="A174" s="46" t="s">
        <v>441</v>
      </c>
      <c r="B174" s="63" t="s">
        <v>128</v>
      </c>
      <c r="C174" s="44"/>
      <c r="D174" s="45"/>
      <c r="E174" s="46">
        <v>5</v>
      </c>
      <c r="F174" s="44" t="s">
        <v>447</v>
      </c>
      <c r="G174" s="47" t="inlineStr">
        <is>
          <t>البحث العلمي والدراسات العليا</t>
        </is>
      </c>
      <c r="H174" s="46" t="str">
        <f>IFERROR(INDEX('الإعدادات واللجنة'!$C$24:$C$32,MATCH(LEFT(A174,3),'الإعدادات واللجنة'!$A$24:$A$32,0)),"")</f>
        <v>د. عمر بن محمد موسى</v>
      </c>
      <c r="I174" s="38"/>
      <c r="J174" s="38"/>
      <c r="K174" s="46" t="str">
        <f t="shared" si="2"/>
        <v/>
      </c>
      <c r="L174" s="48"/>
      <c r="M174" s="38"/>
      <c r="N174" s="48"/>
      <c r="O174" s="48"/>
      <c r="P174" s="38"/>
      <c r="Q174" s="48"/>
      <c r="R174" s="26" t="str">
        <f>IF($I174="","",$I174&amp;"#"&amp;COUNTIF($I$5:$I174,$I174))</f>
        <v/>
      </c>
    </row>
    <row r="175" spans="1:18" ht="26" x14ac:dyDescent="0.55000000000000004">
      <c r="A175" s="46" t="s">
        <v>441</v>
      </c>
      <c r="B175" s="63" t="s">
        <v>128</v>
      </c>
      <c r="C175" s="44"/>
      <c r="D175" s="45"/>
      <c r="E175" s="46">
        <v>6</v>
      </c>
      <c r="F175" s="44" t="s">
        <v>448</v>
      </c>
      <c r="G175" s="47" t="inlineStr">
        <is>
          <t>لجنة الجودة بالكلية</t>
        </is>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44" x14ac:dyDescent="0.55000000000000004">
      <c r="A176" s="46" t="s">
        <v>441</v>
      </c>
      <c r="B176" s="63" t="s">
        <v>128</v>
      </c>
      <c r="C176" s="44"/>
      <c r="D176" s="45"/>
      <c r="E176" s="46">
        <v>7</v>
      </c>
      <c r="F176" s="44" t="s">
        <v>449</v>
      </c>
      <c r="G176" s="47" t="inlineStr">
        <is>
          <t>الموارد البشرية</t>
        </is>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44" x14ac:dyDescent="0.55000000000000004">
      <c r="A177" s="60" t="s">
        <v>450</v>
      </c>
      <c r="B177" s="66" t="s">
        <v>128</v>
      </c>
      <c r="C177" s="61" t="s">
        <v>451</v>
      </c>
      <c r="D177" s="62"/>
      <c r="E177" s="54">
        <v>1</v>
      </c>
      <c r="F177" s="61" t="s">
        <v>452</v>
      </c>
      <c r="G177" s="53" t="inlineStr">
        <is>
          <t>إدارة الكلية</t>
        </is>
      </c>
      <c r="H177" s="54" t="str">
        <f>IFERROR(INDEX('الإعدادات واللجنة'!$C$24:$C$32,MATCH(LEFT(A177,3),'الإعدادات واللجنة'!$A$24:$A$32,0)),"")</f>
        <v>د. عمر بن محمد موسى</v>
      </c>
      <c r="I177" s="55"/>
      <c r="J177" s="55"/>
      <c r="K177" s="54" t="str">
        <f t="shared" si="2"/>
        <v/>
      </c>
      <c r="L177" s="56"/>
      <c r="M177" s="55"/>
      <c r="N177" s="56"/>
      <c r="O177" s="56"/>
      <c r="P177" s="55"/>
      <c r="Q177" s="56"/>
      <c r="R177" s="26" t="str">
        <f>IF($I177="","",$I177&amp;"#"&amp;COUNTIF($I$5:$I177,$I177))</f>
        <v/>
      </c>
    </row>
    <row r="178" spans="1:18" ht="26" x14ac:dyDescent="0.55000000000000004">
      <c r="A178" s="46" t="s">
        <v>450</v>
      </c>
      <c r="B178" s="63" t="s">
        <v>128</v>
      </c>
      <c r="C178" s="44"/>
      <c r="D178" s="45"/>
      <c r="E178" s="46">
        <v>2</v>
      </c>
      <c r="F178" s="44" t="s">
        <v>453</v>
      </c>
      <c r="G178" s="47" t="inlineStr">
        <is>
          <t>إدارة الكلية</t>
        </is>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44" x14ac:dyDescent="0.55000000000000004">
      <c r="A179" s="46" t="s">
        <v>450</v>
      </c>
      <c r="B179" s="63" t="s">
        <v>128</v>
      </c>
      <c r="C179" s="44"/>
      <c r="D179" s="45"/>
      <c r="E179" s="46">
        <v>3</v>
      </c>
      <c r="F179" s="44" t="s">
        <v>454</v>
      </c>
      <c r="G179" s="47" t="inlineStr">
        <is>
          <t>الموارد البشرية</t>
        </is>
      </c>
      <c r="H179" s="46" t="str">
        <f>IFERROR(INDEX('الإعدادات واللجنة'!$C$24:$C$32,MATCH(LEFT(A179,3),'الإعدادات واللجنة'!$A$24:$A$32,0)),"")</f>
        <v>د. عمر بن محمد موسى</v>
      </c>
      <c r="I179" s="38"/>
      <c r="J179" s="38"/>
      <c r="K179" s="46" t="str">
        <f t="shared" si="2"/>
        <v/>
      </c>
      <c r="L179" s="48"/>
      <c r="M179" s="38"/>
      <c r="N179" s="48"/>
      <c r="O179" s="48"/>
      <c r="P179" s="38"/>
      <c r="Q179" s="48"/>
      <c r="R179" s="26" t="str">
        <f>IF($I179="","",$I179&amp;"#"&amp;COUNTIF($I$5:$I179,$I179))</f>
        <v/>
      </c>
    </row>
    <row r="180" spans="1:18" ht="66" x14ac:dyDescent="0.55000000000000004">
      <c r="A180" s="60" t="s">
        <v>455</v>
      </c>
      <c r="B180" s="66" t="s">
        <v>128</v>
      </c>
      <c r="C180" s="61" t="s">
        <v>456</v>
      </c>
      <c r="D180" s="62"/>
      <c r="E180" s="54">
        <v>1</v>
      </c>
      <c r="F180" s="61" t="s">
        <v>457</v>
      </c>
      <c r="G180" s="53" t="inlineStr">
        <is>
          <t>القسم العلمي</t>
        </is>
      </c>
      <c r="H180" s="54" t="str">
        <f>IFERROR(INDEX('الإعدادات واللجنة'!$C$24:$C$32,MATCH(LEFT(A180,3),'الإعدادات واللجنة'!$A$24:$A$32,0)),"")</f>
        <v>د. عمر بن محمد موسى</v>
      </c>
      <c r="I180" s="55"/>
      <c r="J180" s="55"/>
      <c r="K180" s="54" t="str">
        <f t="shared" si="2"/>
        <v/>
      </c>
      <c r="L180" s="56"/>
      <c r="M180" s="55"/>
      <c r="N180" s="56"/>
      <c r="O180" s="56"/>
      <c r="P180" s="55"/>
      <c r="Q180" s="56"/>
      <c r="R180" s="26" t="str">
        <f>IF($I180="","",$I180&amp;"#"&amp;COUNTIF($I$5:$I180,$I180))</f>
        <v/>
      </c>
    </row>
    <row r="181" spans="1:18" ht="26" x14ac:dyDescent="0.55000000000000004">
      <c r="A181" s="46" t="s">
        <v>455</v>
      </c>
      <c r="B181" s="63" t="s">
        <v>128</v>
      </c>
      <c r="C181" s="44"/>
      <c r="D181" s="45"/>
      <c r="E181" s="46">
        <v>2</v>
      </c>
      <c r="F181" s="44" t="s">
        <v>458</v>
      </c>
      <c r="G181" s="47" t="inlineStr">
        <is>
          <t>القسم العلمي</t>
        </is>
      </c>
      <c r="H181" s="46" t="str">
        <f>IFERROR(INDEX('الإعدادات واللجنة'!$C$24:$C$32,MATCH(LEFT(A181,3),'الإعدادات واللجنة'!$A$24:$A$32,0)),"")</f>
        <v>د. عمر بن محمد موسى</v>
      </c>
      <c r="I181" s="38"/>
      <c r="J181" s="38"/>
      <c r="K181" s="46" t="str">
        <f t="shared" si="2"/>
        <v/>
      </c>
      <c r="L181" s="48"/>
      <c r="M181" s="38"/>
      <c r="N181" s="48"/>
      <c r="O181" s="48"/>
      <c r="P181" s="38"/>
      <c r="Q181" s="48"/>
      <c r="R181" s="26" t="str">
        <f>IF($I181="","",$I181&amp;"#"&amp;COUNTIF($I$5:$I181,$I181))</f>
        <v/>
      </c>
    </row>
    <row r="182" spans="1:18" ht="44" x14ac:dyDescent="0.55000000000000004">
      <c r="A182" s="46" t="s">
        <v>455</v>
      </c>
      <c r="B182" s="63" t="s">
        <v>128</v>
      </c>
      <c r="C182" s="44"/>
      <c r="D182" s="45"/>
      <c r="E182" s="46">
        <v>3</v>
      </c>
      <c r="F182" s="44" t="s">
        <v>459</v>
      </c>
      <c r="G182" s="47" t="inlineStr">
        <is>
          <t>القسم العلمي</t>
        </is>
      </c>
      <c r="H182" s="46" t="str">
        <f>IFERROR(INDEX('الإعدادات واللجنة'!$C$24:$C$32,MATCH(LEFT(A182,3),'الإعدادات واللجنة'!$A$24:$A$32,0)),"")</f>
        <v>د. عمر بن محمد موسى</v>
      </c>
      <c r="I182" s="38"/>
      <c r="J182" s="38"/>
      <c r="K182" s="46" t="str">
        <f t="shared" si="2"/>
        <v/>
      </c>
      <c r="L182" s="48"/>
      <c r="M182" s="38"/>
      <c r="N182" s="48"/>
      <c r="O182" s="48"/>
      <c r="P182" s="38"/>
      <c r="Q182" s="48"/>
      <c r="R182" s="26" t="str">
        <f>IF($I182="","",$I182&amp;"#"&amp;COUNTIF($I$5:$I182,$I182))</f>
        <v/>
      </c>
    </row>
    <row r="183" spans="1:18" ht="44" x14ac:dyDescent="0.55000000000000004">
      <c r="A183" s="46" t="s">
        <v>455</v>
      </c>
      <c r="B183" s="63" t="s">
        <v>128</v>
      </c>
      <c r="C183" s="44"/>
      <c r="D183" s="45"/>
      <c r="E183" s="46">
        <v>4</v>
      </c>
      <c r="F183" s="44" t="s">
        <v>460</v>
      </c>
      <c r="G183" s="47" t="inlineStr">
        <is>
          <t>لجنة الجودة بالكلية</t>
        </is>
      </c>
      <c r="H183" s="46" t="str">
        <f>IFERROR(INDEX('الإعدادات واللجنة'!$C$24:$C$32,MATCH(LEFT(A183,3),'الإعدادات واللجنة'!$A$24:$A$32,0)),"")</f>
        <v>د. عمر بن محمد موسى</v>
      </c>
      <c r="I183" s="38"/>
      <c r="J183" s="38"/>
      <c r="K183" s="46" t="str">
        <f t="shared" si="2"/>
        <v/>
      </c>
      <c r="L183" s="48"/>
      <c r="M183" s="38"/>
      <c r="N183" s="48"/>
      <c r="O183" s="48"/>
      <c r="P183" s="38"/>
      <c r="Q183" s="48"/>
      <c r="R183" s="26" t="str">
        <f>IF($I183="","",$I183&amp;"#"&amp;COUNTIF($I$5:$I183,$I183))</f>
        <v/>
      </c>
    </row>
    <row r="184" spans="1:18" ht="26" x14ac:dyDescent="0.55000000000000004">
      <c r="A184" s="46" t="s">
        <v>455</v>
      </c>
      <c r="B184" s="63" t="s">
        <v>128</v>
      </c>
      <c r="C184" s="44"/>
      <c r="D184" s="45"/>
      <c r="E184" s="46">
        <v>5</v>
      </c>
      <c r="F184" s="44" t="s">
        <v>461</v>
      </c>
      <c r="G184" s="47" t="inlineStr">
        <is>
          <t>القسم العلمي</t>
        </is>
      </c>
      <c r="H184" s="46" t="str">
        <f>IFERROR(INDEX('الإعدادات واللجنة'!$C$24:$C$32,MATCH(LEFT(A184,3),'الإعدادات واللجنة'!$A$24:$A$32,0)),"")</f>
        <v>د. عمر بن محمد موسى</v>
      </c>
      <c r="I184" s="38"/>
      <c r="J184" s="38"/>
      <c r="K184" s="46" t="str">
        <f t="shared" si="2"/>
        <v/>
      </c>
      <c r="L184" s="48"/>
      <c r="M184" s="38"/>
      <c r="N184" s="48"/>
      <c r="O184" s="48"/>
      <c r="P184" s="38"/>
      <c r="Q184" s="48"/>
      <c r="R184" s="26" t="str">
        <f>IF($I184="","",$I184&amp;"#"&amp;COUNTIF($I$5:$I184,$I184))</f>
        <v/>
      </c>
    </row>
    <row r="185" spans="1:18" ht="66" x14ac:dyDescent="0.55000000000000004">
      <c r="A185" s="60" t="s">
        <v>462</v>
      </c>
      <c r="B185" s="66" t="s">
        <v>128</v>
      </c>
      <c r="C185" s="61" t="s">
        <v>463</v>
      </c>
      <c r="D185" s="62"/>
      <c r="E185" s="54">
        <v>1</v>
      </c>
      <c r="F185" s="61" t="s">
        <v>464</v>
      </c>
      <c r="G185" s="53" t="inlineStr">
        <is>
          <t>الموارد البشرية</t>
        </is>
      </c>
      <c r="H185" s="54" t="str">
        <f>IFERROR(INDEX('الإعدادات واللجنة'!$C$24:$C$32,MATCH(LEFT(A185,3),'الإعدادات واللجنة'!$A$24:$A$32,0)),"")</f>
        <v>د. عمر بن محمد موسى</v>
      </c>
      <c r="I185" s="55"/>
      <c r="J185" s="55"/>
      <c r="K185" s="54" t="str">
        <f t="shared" si="2"/>
        <v/>
      </c>
      <c r="L185" s="56"/>
      <c r="M185" s="55"/>
      <c r="N185" s="56"/>
      <c r="O185" s="56"/>
      <c r="P185" s="55"/>
      <c r="Q185" s="56"/>
      <c r="R185" s="26" t="str">
        <f>IF($I185="","",$I185&amp;"#"&amp;COUNTIF($I$5:$I185,$I185))</f>
        <v/>
      </c>
    </row>
    <row r="186" spans="1:18" ht="26" x14ac:dyDescent="0.55000000000000004">
      <c r="A186" s="46" t="s">
        <v>462</v>
      </c>
      <c r="B186" s="63" t="s">
        <v>128</v>
      </c>
      <c r="C186" s="44"/>
      <c r="D186" s="45"/>
      <c r="E186" s="46">
        <v>2</v>
      </c>
      <c r="F186" s="44" t="s">
        <v>465</v>
      </c>
      <c r="G186" s="47" t="inlineStr">
        <is>
          <t>القسم العلمي</t>
        </is>
      </c>
      <c r="H186" s="46" t="str">
        <f>IFERROR(INDEX('الإعدادات واللجنة'!$C$24:$C$32,MATCH(LEFT(A186,3),'الإعدادات واللجنة'!$A$24:$A$32,0)),"")</f>
        <v>د. عمر بن محمد موسى</v>
      </c>
      <c r="I186" s="38"/>
      <c r="J186" s="38"/>
      <c r="K186" s="46" t="str">
        <f t="shared" si="2"/>
        <v/>
      </c>
      <c r="L186" s="48"/>
      <c r="M186" s="38"/>
      <c r="N186" s="48"/>
      <c r="O186" s="48"/>
      <c r="P186" s="38"/>
      <c r="Q186" s="48"/>
      <c r="R186" s="26" t="str">
        <f>IF($I186="","",$I186&amp;"#"&amp;COUNTIF($I$5:$I186,$I186))</f>
        <v/>
      </c>
    </row>
    <row r="187" spans="1:18" ht="26" x14ac:dyDescent="0.55000000000000004">
      <c r="A187" s="46" t="s">
        <v>462</v>
      </c>
      <c r="B187" s="63" t="s">
        <v>128</v>
      </c>
      <c r="C187" s="44"/>
      <c r="D187" s="45"/>
      <c r="E187" s="46">
        <v>3</v>
      </c>
      <c r="F187" s="44" t="s">
        <v>466</v>
      </c>
      <c r="G187" s="47" t="inlineStr">
        <is>
          <t>القسم العلمي</t>
        </is>
      </c>
      <c r="H187" s="46" t="str">
        <f>IFERROR(INDEX('الإعدادات واللجنة'!$C$24:$C$32,MATCH(LEFT(A187,3),'الإعدادات واللجنة'!$A$24:$A$32,0)),"")</f>
        <v>د. عمر بن محمد موسى</v>
      </c>
      <c r="I187" s="38"/>
      <c r="J187" s="38"/>
      <c r="K187" s="46" t="str">
        <f t="shared" si="2"/>
        <v/>
      </c>
      <c r="L187" s="48"/>
      <c r="M187" s="38"/>
      <c r="N187" s="48"/>
      <c r="O187" s="48"/>
      <c r="P187" s="38"/>
      <c r="Q187" s="48"/>
      <c r="R187" s="26" t="str">
        <f>IF($I187="","",$I187&amp;"#"&amp;COUNTIF($I$5:$I187,$I187))</f>
        <v/>
      </c>
    </row>
    <row r="188" spans="1:18" ht="88" x14ac:dyDescent="0.55000000000000004">
      <c r="A188" s="46" t="s">
        <v>462</v>
      </c>
      <c r="B188" s="63" t="s">
        <v>128</v>
      </c>
      <c r="C188" s="44"/>
      <c r="D188" s="45"/>
      <c r="E188" s="46">
        <v>4</v>
      </c>
      <c r="F188" s="44" t="s">
        <v>467</v>
      </c>
      <c r="G188" s="47" t="inlineStr">
        <is>
          <t>إدارة الكلية</t>
        </is>
      </c>
      <c r="H188" s="46" t="str">
        <f>IFERROR(INDEX('الإعدادات واللجنة'!$C$24:$C$32,MATCH(LEFT(A188,3),'الإعدادات واللجنة'!$A$24:$A$32,0)),"")</f>
        <v>د. عمر بن محمد موسى</v>
      </c>
      <c r="I188" s="38"/>
      <c r="J188" s="38"/>
      <c r="K188" s="46" t="str">
        <f t="shared" si="2"/>
        <v/>
      </c>
      <c r="L188" s="48"/>
      <c r="M188" s="38"/>
      <c r="N188" s="48"/>
      <c r="O188" s="48"/>
      <c r="P188" s="38"/>
      <c r="Q188" s="48"/>
      <c r="R188" s="26" t="str">
        <f>IF($I188="","",$I188&amp;"#"&amp;COUNTIF($I$5:$I188,$I188))</f>
        <v/>
      </c>
    </row>
    <row r="189" spans="1:18" ht="26" x14ac:dyDescent="0.55000000000000004">
      <c r="A189" s="46" t="s">
        <v>462</v>
      </c>
      <c r="B189" s="63" t="s">
        <v>128</v>
      </c>
      <c r="C189" s="44"/>
      <c r="D189" s="45"/>
      <c r="E189" s="46">
        <v>5</v>
      </c>
      <c r="F189" s="44" t="s">
        <v>468</v>
      </c>
      <c r="G189" s="47" t="inlineStr">
        <is>
          <t>القسم العلمي</t>
        </is>
      </c>
      <c r="H189" s="46" t="str">
        <f>IFERROR(INDEX('الإعدادات واللجنة'!$C$24:$C$32,MATCH(LEFT(A189,3),'الإعدادات واللجنة'!$A$24:$A$32,0)),"")</f>
        <v>د. عمر بن محمد موسى</v>
      </c>
      <c r="I189" s="38"/>
      <c r="J189" s="38"/>
      <c r="K189" s="46" t="str">
        <f t="shared" si="2"/>
        <v/>
      </c>
      <c r="L189" s="48"/>
      <c r="M189" s="38"/>
      <c r="N189" s="48"/>
      <c r="O189" s="48"/>
      <c r="P189" s="38"/>
      <c r="Q189" s="48"/>
      <c r="R189" s="26" t="str">
        <f>IF($I189="","",$I189&amp;"#"&amp;COUNTIF($I$5:$I189,$I189))</f>
        <v/>
      </c>
    </row>
    <row r="190" spans="1:18" ht="66" x14ac:dyDescent="0.55000000000000004">
      <c r="A190" s="60" t="s">
        <v>469</v>
      </c>
      <c r="B190" s="66" t="s">
        <v>129</v>
      </c>
      <c r="C190" s="61" t="s">
        <v>470</v>
      </c>
      <c r="D190" s="62"/>
      <c r="E190" s="54">
        <v>1</v>
      </c>
      <c r="F190" s="61" t="s">
        <v>471</v>
      </c>
      <c r="G190" s="53" t="inlineStr">
        <is>
          <t>المكتبة ومصادر التعلم</t>
        </is>
      </c>
      <c r="H190" s="54" t="str">
        <f>IFERROR(INDEX('الإعدادات واللجنة'!$C$24:$C$32,MATCH(LEFT(A190,3),'الإعدادات واللجنة'!$A$24:$A$32,0)),"")</f>
        <v>د. حسن بن سعد القحطاني</v>
      </c>
      <c r="I190" s="55"/>
      <c r="J190" s="55"/>
      <c r="K190" s="54" t="str">
        <f t="shared" si="2"/>
        <v/>
      </c>
      <c r="L190" s="56"/>
      <c r="M190" s="55"/>
      <c r="N190" s="56"/>
      <c r="O190" s="56"/>
      <c r="P190" s="55"/>
      <c r="Q190" s="56"/>
      <c r="R190" s="26" t="str">
        <f>IF($I190="","",$I190&amp;"#"&amp;COUNTIF($I$5:$I190,$I190))</f>
        <v/>
      </c>
    </row>
    <row r="191" spans="1:18" ht="44" x14ac:dyDescent="0.55000000000000004">
      <c r="A191" s="46" t="s">
        <v>469</v>
      </c>
      <c r="B191" s="63" t="s">
        <v>129</v>
      </c>
      <c r="C191" s="44"/>
      <c r="D191" s="45"/>
      <c r="E191" s="46">
        <v>2</v>
      </c>
      <c r="F191" s="44" t="s">
        <v>472</v>
      </c>
      <c r="G191" s="47" t="inlineStr">
        <is>
          <t>المكتبة ومصادر التعلم</t>
        </is>
      </c>
      <c r="H191" s="46" t="str">
        <f>IFERROR(INDEX('الإعدادات واللجنة'!$C$24:$C$32,MATCH(LEFT(A191,3),'الإعدادات واللجنة'!$A$24:$A$32,0)),"")</f>
        <v>د. حسن بن سعد القحطاني</v>
      </c>
      <c r="I191" s="38"/>
      <c r="J191" s="38"/>
      <c r="K191" s="46" t="str">
        <f t="shared" si="2"/>
        <v/>
      </c>
      <c r="L191" s="48"/>
      <c r="M191" s="38"/>
      <c r="N191" s="48"/>
      <c r="O191" s="48"/>
      <c r="P191" s="38"/>
      <c r="Q191" s="48"/>
      <c r="R191" s="26" t="str">
        <f>IF($I191="","",$I191&amp;"#"&amp;COUNTIF($I$5:$I191,$I191))</f>
        <v/>
      </c>
    </row>
    <row r="192" spans="1:18" ht="44" x14ac:dyDescent="0.55000000000000004">
      <c r="A192" s="46" t="s">
        <v>469</v>
      </c>
      <c r="B192" s="63" t="s">
        <v>129</v>
      </c>
      <c r="C192" s="44"/>
      <c r="D192" s="45"/>
      <c r="E192" s="46">
        <v>3</v>
      </c>
      <c r="F192" s="44" t="s">
        <v>473</v>
      </c>
      <c r="G192" s="47" t="inlineStr">
        <is>
          <t>المكتبة ومصادر التعلم</t>
        </is>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66" x14ac:dyDescent="0.55000000000000004">
      <c r="A193" s="60" t="s">
        <v>474</v>
      </c>
      <c r="B193" s="66" t="s">
        <v>129</v>
      </c>
      <c r="C193" s="61" t="s">
        <v>475</v>
      </c>
      <c r="D193" s="62"/>
      <c r="E193" s="54">
        <v>1</v>
      </c>
      <c r="F193" s="61" t="s">
        <v>476</v>
      </c>
      <c r="G193" s="53" t="inlineStr">
        <is>
          <t>المكتبة ومصادر التعلم</t>
        </is>
      </c>
      <c r="H193" s="54" t="str">
        <f>IFERROR(INDEX('الإعدادات واللجنة'!$C$24:$C$32,MATCH(LEFT(A193,3),'الإعدادات واللجنة'!$A$24:$A$32,0)),"")</f>
        <v>د. حسن بن سعد القحطاني</v>
      </c>
      <c r="I193" s="55"/>
      <c r="J193" s="55"/>
      <c r="K193" s="54" t="str">
        <f t="shared" si="2"/>
        <v/>
      </c>
      <c r="L193" s="56"/>
      <c r="M193" s="55"/>
      <c r="N193" s="56"/>
      <c r="O193" s="56"/>
      <c r="P193" s="55"/>
      <c r="Q193" s="56"/>
      <c r="R193" s="26" t="str">
        <f>IF($I193="","",$I193&amp;"#"&amp;COUNTIF($I$5:$I193,$I193))</f>
        <v/>
      </c>
    </row>
    <row r="194" spans="1:18" ht="44" x14ac:dyDescent="0.55000000000000004">
      <c r="A194" s="46" t="s">
        <v>474</v>
      </c>
      <c r="B194" s="63" t="s">
        <v>129</v>
      </c>
      <c r="C194" s="44"/>
      <c r="D194" s="45"/>
      <c r="E194" s="46">
        <v>2</v>
      </c>
      <c r="F194" s="44" t="s">
        <v>477</v>
      </c>
      <c r="G194" s="47" t="inlineStr">
        <is>
          <t>المكتبة ومصادر التعلم</t>
        </is>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474</v>
      </c>
      <c r="B195" s="63" t="s">
        <v>129</v>
      </c>
      <c r="C195" s="44"/>
      <c r="D195" s="45"/>
      <c r="E195" s="46">
        <v>3</v>
      </c>
      <c r="F195" s="44" t="s">
        <v>478</v>
      </c>
      <c r="G195" s="47" t="inlineStr">
        <is>
          <t>المكتبة ومصادر التعلم</t>
        </is>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88" x14ac:dyDescent="0.55000000000000004">
      <c r="A196" s="49" t="s">
        <v>479</v>
      </c>
      <c r="B196" s="64" t="s">
        <v>129</v>
      </c>
      <c r="C196" s="50" t="s">
        <v>480</v>
      </c>
      <c r="D196" s="51" t="s">
        <v>208</v>
      </c>
      <c r="E196" s="52">
        <v>1</v>
      </c>
      <c r="F196" s="50" t="s">
        <v>481</v>
      </c>
      <c r="G196" s="53" t="inlineStr">
        <is>
          <t>الأمن والسلامة والمرافق</t>
        </is>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57" t="s">
        <v>479</v>
      </c>
      <c r="B197" s="65" t="s">
        <v>129</v>
      </c>
      <c r="C197" s="58"/>
      <c r="D197" s="59" t="s">
        <v>208</v>
      </c>
      <c r="E197" s="57">
        <v>2</v>
      </c>
      <c r="F197" s="58" t="s">
        <v>482</v>
      </c>
      <c r="G197" s="47" t="inlineStr">
        <is>
          <t>الأمن والسلامة والمرافق</t>
        </is>
      </c>
      <c r="H197" s="46" t="str">
        <f>IFERROR(INDEX('الإعدادات واللجنة'!$C$24:$C$32,MATCH(LEFT(A197,3),'الإعدادات واللجنة'!$A$24:$A$32,0)),"")</f>
        <v>د. حسن بن سعد القحطاني</v>
      </c>
      <c r="I197" s="38"/>
      <c r="J197" s="38"/>
      <c r="K197" s="46" t="str">
        <f t="shared" ref="K197:K208" si="3">IF(OR(I197="",I197="متوفر ومكتمل"),"",IF(OR(D197="★",I197="غير متوفر"),"عالية","متوسطة"))</f>
        <v/>
      </c>
      <c r="L197" s="48"/>
      <c r="M197" s="38"/>
      <c r="N197" s="48"/>
      <c r="O197" s="48"/>
      <c r="P197" s="38"/>
      <c r="Q197" s="48"/>
      <c r="R197" s="26" t="str">
        <f>IF($I197="","",$I197&amp;"#"&amp;COUNTIF($I$5:$I197,$I197))</f>
        <v/>
      </c>
    </row>
    <row r="198" spans="1:18" ht="44" x14ac:dyDescent="0.55000000000000004">
      <c r="A198" s="57" t="s">
        <v>479</v>
      </c>
      <c r="B198" s="65" t="s">
        <v>129</v>
      </c>
      <c r="C198" s="58"/>
      <c r="D198" s="59" t="s">
        <v>208</v>
      </c>
      <c r="E198" s="57">
        <v>3</v>
      </c>
      <c r="F198" s="58" t="s">
        <v>483</v>
      </c>
      <c r="G198" s="47" t="inlineStr">
        <is>
          <t>الأمن والسلامة والمرافق</t>
        </is>
      </c>
      <c r="H198" s="46" t="str">
        <f>IFERROR(INDEX('الإعدادات واللجنة'!$C$24:$C$32,MATCH(LEFT(A198,3),'الإعدادات واللجنة'!$A$24:$A$32,0)),"")</f>
        <v>د. حسن بن سعد القحطاني</v>
      </c>
      <c r="I198" s="38"/>
      <c r="J198" s="38"/>
      <c r="K198" s="46" t="str">
        <f t="shared" si="3"/>
        <v/>
      </c>
      <c r="L198" s="48"/>
      <c r="M198" s="38"/>
      <c r="N198" s="48"/>
      <c r="O198" s="48"/>
      <c r="P198" s="38"/>
      <c r="Q198" s="48"/>
      <c r="R198" s="26" t="str">
        <f>IF($I198="","",$I198&amp;"#"&amp;COUNTIF($I$5:$I198,$I198))</f>
        <v/>
      </c>
    </row>
    <row r="199" spans="1:18" ht="44" x14ac:dyDescent="0.55000000000000004">
      <c r="A199" s="57" t="s">
        <v>479</v>
      </c>
      <c r="B199" s="65" t="s">
        <v>129</v>
      </c>
      <c r="C199" s="58"/>
      <c r="D199" s="59" t="s">
        <v>208</v>
      </c>
      <c r="E199" s="57">
        <v>4</v>
      </c>
      <c r="F199" s="58" t="s">
        <v>484</v>
      </c>
      <c r="G199" s="47" t="inlineStr">
        <is>
          <t>الأمن والسلامة والمرافق</t>
        </is>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479</v>
      </c>
      <c r="B200" s="65" t="s">
        <v>129</v>
      </c>
      <c r="C200" s="58"/>
      <c r="D200" s="59" t="s">
        <v>208</v>
      </c>
      <c r="E200" s="57">
        <v>5</v>
      </c>
      <c r="F200" s="58" t="s">
        <v>485</v>
      </c>
      <c r="G200" s="47" t="inlineStr">
        <is>
          <t>الأمن والسلامة والمرافق</t>
        </is>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57" t="s">
        <v>479</v>
      </c>
      <c r="B201" s="65" t="s">
        <v>129</v>
      </c>
      <c r="C201" s="58"/>
      <c r="D201" s="59" t="s">
        <v>208</v>
      </c>
      <c r="E201" s="57">
        <v>6</v>
      </c>
      <c r="F201" s="58" t="s">
        <v>486</v>
      </c>
      <c r="G201" s="47" t="inlineStr">
        <is>
          <t>الأمن والسلامة والمرافق</t>
        </is>
      </c>
      <c r="H201" s="46" t="str">
        <f>IFERROR(INDEX('الإعدادات واللجنة'!$C$24:$C$32,MATCH(LEFT(A201,3),'الإعدادات واللجنة'!$A$24:$A$32,0)),"")</f>
        <v>د. حسن بن سعد القحطاني</v>
      </c>
      <c r="I201" s="38"/>
      <c r="J201" s="38"/>
      <c r="K201" s="46" t="str">
        <f t="shared" si="3"/>
        <v/>
      </c>
      <c r="L201" s="48"/>
      <c r="M201" s="38"/>
      <c r="N201" s="48"/>
      <c r="O201" s="48"/>
      <c r="P201" s="38"/>
      <c r="Q201" s="48"/>
      <c r="R201" s="26" t="str">
        <f>IF($I201="","",$I201&amp;"#"&amp;COUNTIF($I$5:$I201,$I201))</f>
        <v/>
      </c>
    </row>
    <row r="202" spans="1:18" ht="44" x14ac:dyDescent="0.55000000000000004">
      <c r="A202" s="60" t="s">
        <v>487</v>
      </c>
      <c r="B202" s="66" t="s">
        <v>129</v>
      </c>
      <c r="C202" s="61" t="s">
        <v>488</v>
      </c>
      <c r="D202" s="62"/>
      <c r="E202" s="54">
        <v>1</v>
      </c>
      <c r="F202" s="61" t="s">
        <v>489</v>
      </c>
      <c r="G202" s="53" t="inlineStr">
        <is>
          <t>التعليم الإلكتروني</t>
        </is>
      </c>
      <c r="H202" s="54" t="str">
        <f>IFERROR(INDEX('الإعدادات واللجنة'!$C$24:$C$32,MATCH(LEFT(A202,3),'الإعدادات واللجنة'!$A$24:$A$32,0)),"")</f>
        <v>د. حسن بن سعد القحطاني</v>
      </c>
      <c r="I202" s="55"/>
      <c r="J202" s="55"/>
      <c r="K202" s="54" t="str">
        <f t="shared" si="3"/>
        <v/>
      </c>
      <c r="L202" s="56"/>
      <c r="M202" s="55"/>
      <c r="N202" s="56"/>
      <c r="O202" s="56"/>
      <c r="P202" s="55"/>
      <c r="Q202" s="56"/>
      <c r="R202" s="26" t="str">
        <f>IF($I202="","",$I202&amp;"#"&amp;COUNTIF($I$5:$I202,$I202))</f>
        <v/>
      </c>
    </row>
    <row r="203" spans="1:18" ht="44" x14ac:dyDescent="0.55000000000000004">
      <c r="A203" s="46" t="s">
        <v>487</v>
      </c>
      <c r="B203" s="63" t="s">
        <v>129</v>
      </c>
      <c r="C203" s="44"/>
      <c r="D203" s="45"/>
      <c r="E203" s="46">
        <v>2</v>
      </c>
      <c r="F203" s="44" t="s">
        <v>490</v>
      </c>
      <c r="G203" s="47" t="inlineStr">
        <is>
          <t>التعليم الإلكتروني</t>
        </is>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46" t="s">
        <v>487</v>
      </c>
      <c r="B204" s="63" t="s">
        <v>129</v>
      </c>
      <c r="C204" s="44"/>
      <c r="D204" s="45"/>
      <c r="E204" s="46">
        <v>3</v>
      </c>
      <c r="F204" s="44" t="s">
        <v>491</v>
      </c>
      <c r="G204" s="47" t="inlineStr">
        <is>
          <t>الأمن والسلامة والمرافق</t>
        </is>
      </c>
      <c r="H204" s="46" t="str">
        <f>IFERROR(INDEX('الإعدادات واللجنة'!$C$24:$C$32,MATCH(LEFT(A204,3),'الإعدادات واللجنة'!$A$24:$A$32,0)),"")</f>
        <v>د. حسن بن سعد القحطاني</v>
      </c>
      <c r="I204" s="38"/>
      <c r="J204" s="38"/>
      <c r="K204" s="46" t="str">
        <f t="shared" si="3"/>
        <v/>
      </c>
      <c r="L204" s="48"/>
      <c r="M204" s="38"/>
      <c r="N204" s="48"/>
      <c r="O204" s="48"/>
      <c r="P204" s="38"/>
      <c r="Q204" s="48"/>
      <c r="R204" s="26" t="str">
        <f>IF($I204="","",$I204&amp;"#"&amp;COUNTIF($I$5:$I204,$I204))</f>
        <v/>
      </c>
    </row>
    <row r="205" spans="1:18" ht="44" x14ac:dyDescent="0.55000000000000004">
      <c r="A205" s="46" t="s">
        <v>487</v>
      </c>
      <c r="B205" s="63" t="s">
        <v>129</v>
      </c>
      <c r="C205" s="44"/>
      <c r="D205" s="45"/>
      <c r="E205" s="46">
        <v>4</v>
      </c>
      <c r="F205" s="44" t="s">
        <v>492</v>
      </c>
      <c r="G205" s="47" t="inlineStr">
        <is>
          <t>المكتبة ومصادر التعلم</t>
        </is>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487</v>
      </c>
      <c r="B206" s="63" t="s">
        <v>129</v>
      </c>
      <c r="C206" s="44"/>
      <c r="D206" s="45"/>
      <c r="E206" s="46">
        <v>5</v>
      </c>
      <c r="F206" s="44" t="s">
        <v>493</v>
      </c>
      <c r="G206" s="47" t="inlineStr">
        <is>
          <t>التعليم الإلكتروني</t>
        </is>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44" x14ac:dyDescent="0.55000000000000004">
      <c r="A207" s="60" t="s">
        <v>494</v>
      </c>
      <c r="B207" s="66" t="s">
        <v>129</v>
      </c>
      <c r="C207" s="61" t="s">
        <v>495</v>
      </c>
      <c r="D207" s="62"/>
      <c r="E207" s="54">
        <v>1</v>
      </c>
      <c r="F207" s="61" t="s">
        <v>496</v>
      </c>
      <c r="G207" s="53" t="inlineStr">
        <is>
          <t>المكتبة ومصادر التعلم</t>
        </is>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494</v>
      </c>
      <c r="B208" s="63" t="s">
        <v>129</v>
      </c>
      <c r="C208" s="44"/>
      <c r="D208" s="45"/>
      <c r="E208" s="46">
        <v>2</v>
      </c>
      <c r="F208" s="44" t="s">
        <v>497</v>
      </c>
      <c r="G208" s="47" t="inlineStr">
        <is>
          <t>القسم العلمي</t>
        </is>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sheetData>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J5:J208 L5:M208">
    <cfRule type="expression" dxfId="14" priority="101">
      <formula>AND($I5="متوفر ومكتمل",J5&lt;&gt;"")</formula>
    </cfRule>
    <cfRule type="expression" dxfId="13" priority="102">
      <formula>$I5="متوفر ومكتمل"</formula>
    </cfRule>
  </conditionalFormatting>
  <conditionalFormatting sqref="J5:J208">
    <cfRule type="expression" dxfId="12" priority="103">
      <formula>AND(OR($I5="متوفر ويحتاج تحسين",$I5="غير متوفر"),J5="")</formula>
    </cfRule>
  </conditionalFormatting>
  <conditionalFormatting sqref="K5:K208">
    <cfRule type="cellIs" dxfId="11" priority="5" operator="equal">
      <formula>"عالية"</formula>
    </cfRule>
  </conditionalFormatting>
  <conditionalFormatting sqref="P5:P208">
    <cfRule type="cellIs" dxfId="10" priority="6" operator="equal">
      <formula>"تمت"</formula>
    </cfRule>
    <cfRule type="cellIs" dxfId="9" priority="7" operator="equal">
      <formula>"تحتاج تعديل"</formula>
    </cfRule>
  </conditionalFormatting>
  <dataValidations count="5">
    <dataValidation type="list" allowBlank="1" sqref="G5:G208">
      <formula1>'الإعدادات واللجنة'!$A$35:$A$46</formula1>
    </dataValidation>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"فجوة توثيق,فجوة تطبيق"</formula1>
      <formula2>0</formula2>
    </dataValidation>
    <dataValidation type="list" allowBlank="1" sqref="M5:M208" xr:uid="{00000000-0002-0000-0600-000002000000}">
      <formula1>"خلال المرحلة الأولى,خلال فصل دراسي,خلال سنة دراسية"</formula1>
      <formula2>0</formula2>
    </dataValidation>
    <dataValidation type="list" allowBlank="1" sqref="P5:P208" xr:uid="{00000000-0002-0000-06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488E9-49AF-E34B-BDFB-A5304AAA586A}">
  <sheetPr>
    <tabColor rgb="FF8EA9DB"/>
  </sheetPr>
  <dimension ref="A1:R230"/>
  <sheetViews>
    <sheetView rightToLeft="1" workbookViewId="0">
      <pane xSplit="6" ySplit="4" topLeftCell="G5" activePane="bottomRight" state="frozen"/>
      <selection pane="topRight"/>
      <selection pane="bottomLeft"/>
      <selection pane="bottomRight" activeCell="B8" sqref="A1:Q8"/>
    </sheetView>
  </sheetViews>
  <sheetFormatPr baseColWidth="10" defaultColWidth="8.6640625" defaultRowHeight="15" x14ac:dyDescent="0.2"/>
  <cols>
    <col min="1" max="1" width="8" customWidth="1"/>
    <col min="2" max="2" width="14" style="68" customWidth="1"/>
    <col min="3" max="3" width="40" customWidth="1"/>
    <col min="4" max="4" width="6" customWidth="1"/>
    <col min="5" max="5" width="4" customWidth="1"/>
    <col min="6" max="6" width="44" customWidth="1"/>
    <col min="7" max="7" width="2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واللجنة'!$B$7</f>
        <v>فحص الأدلة – ماجستير علوم البيانات</v>
      </c>
      <c r="B1" s="107"/>
      <c r="C1" s="107"/>
      <c r="D1" s="107"/>
      <c r="E1" s="107"/>
      <c r="F1" s="107"/>
      <c r="G1" s="107"/>
      <c r="H1" s="107"/>
    </row>
    <row r="2" spans="1:18" ht="15" customHeight="1" x14ac:dyDescent="0.2">
      <c r="A2" s="109"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67"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inlineStr">
        <is>
          <t>القسم العلمي</t>
        </is>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inlineStr">
        <is>
          <t>القسم العلمي</t>
        </is>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inlineStr">
        <is>
          <t>إدارة الكلية</t>
        </is>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inlineStr">
        <is>
          <t>لجنة الجودة بالكلية</t>
        </is>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inlineStr">
        <is>
          <t>الموارد البشرية</t>
        </is>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inlineStr">
        <is>
          <t>الموارد البشرية</t>
        </is>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inlineStr">
        <is>
          <t>إدارة الكلية</t>
        </is>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inlineStr">
        <is>
          <t>القسم العلمي</t>
        </is>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inlineStr">
        <is>
          <t>لجنة الجودة بالكلية</t>
        </is>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inlineStr">
        <is>
          <t>إدارة الكلية</t>
        </is>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inlineStr">
        <is>
          <t>القسم العلمي</t>
        </is>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inlineStr">
        <is>
          <t>الأمن والسلامة والمرافق</t>
        </is>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inlineStr">
        <is>
          <t>وحدة الأنشطة بالكلية / شؤون الطلاب</t>
        </is>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inlineStr">
        <is>
          <t>القسم العلمي</t>
        </is>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inlineStr">
        <is>
          <t>لجنة الجودة بالكلية</t>
        </is>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inlineStr">
        <is>
          <t>إدارة الكلية</t>
        </is>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inlineStr">
        <is>
          <t>القسم العلمي</t>
        </is>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inlineStr">
        <is>
          <t>لجنة الجودة بالكلية</t>
        </is>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inlineStr">
        <is>
          <t>القسم العلمي</t>
        </is>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inlineStr">
        <is>
          <t>إدارة الكلية</t>
        </is>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inlineStr">
        <is>
          <t>إدارة الكلية</t>
        </is>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inlineStr">
        <is>
          <t>إدارة الكلية</t>
        </is>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inlineStr">
        <is>
          <t>وحدة الخريجين</t>
        </is>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inlineStr">
        <is>
          <t>القسم العلمي</t>
        </is>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inlineStr">
        <is>
          <t>القسم العلمي</t>
        </is>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inlineStr">
        <is>
          <t>القسم العلمي</t>
        </is>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inlineStr">
        <is>
          <t>إدارة الكلية</t>
        </is>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inlineStr">
        <is>
          <t>القسم العلمي</t>
        </is>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inlineStr">
        <is>
          <t>لجنة الجودة بالكلية</t>
        </is>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inlineStr">
        <is>
          <t>القسم العلمي</t>
        </is>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inlineStr">
        <is>
          <t>إدارة الكلية</t>
        </is>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inlineStr">
        <is>
          <t>البحث العلمي والدراسات العليا</t>
        </is>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inlineStr">
        <is>
          <t>القسم العلمي</t>
        </is>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inlineStr">
        <is>
          <t>القسم العلمي</t>
        </is>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inlineStr">
        <is>
          <t>التعليم الإلكتروني</t>
        </is>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inlineStr">
        <is>
          <t>إدارة الكلية</t>
        </is>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inlineStr">
        <is>
          <t>إدارة الكلية</t>
        </is>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inlineStr">
        <is>
          <t>إدارة الكلية</t>
        </is>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inlineStr">
        <is>
          <t>إدارة الكلية</t>
        </is>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inlineStr">
        <is>
          <t>لجنة الجودة بالكلية</t>
        </is>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inlineStr">
        <is>
          <t>عمادة الجودة</t>
        </is>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inlineStr">
        <is>
          <t>إدارة الكلية</t>
        </is>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inlineStr">
        <is>
          <t>إدارة الكلية</t>
        </is>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inlineStr">
        <is>
          <t>لجنة الجودة بالكلية</t>
        </is>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inlineStr">
        <is>
          <t>القسم العلمي</t>
        </is>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inlineStr">
        <is>
          <t>لجنة الجودة بالكلية</t>
        </is>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inlineStr">
        <is>
          <t>لجنة الجودة بالكلية</t>
        </is>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inlineStr">
        <is>
          <t>لجنة الجودة بالكلية</t>
        </is>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inlineStr">
        <is>
          <t>لجنة الجودة بالكلية</t>
        </is>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inlineStr">
        <is>
          <t>القسم العلمي</t>
        </is>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inlineStr">
        <is>
          <t>القسم العلمي</t>
        </is>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inlineStr">
        <is>
          <t>القسم العلمي</t>
        </is>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inlineStr">
        <is>
          <t>القسم العلمي</t>
        </is>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inlineStr">
        <is>
          <t>عمادة الجودة</t>
        </is>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inlineStr">
        <is>
          <t>القسم العلمي</t>
        </is>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inlineStr">
        <is>
          <t>القسم العلمي</t>
        </is>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inlineStr">
        <is>
          <t>القسم العلمي</t>
        </is>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inlineStr">
        <is>
          <t>لجنة الجودة بالكلية</t>
        </is>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inlineStr">
        <is>
          <t>القسم العلمي</t>
        </is>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inlineStr">
        <is>
          <t>القسم العلمي</t>
        </is>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inlineStr">
        <is>
          <t>لجنة الجودة بالكلية</t>
        </is>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inlineStr">
        <is>
          <t>القسم العلمي</t>
        </is>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inlineStr">
        <is>
          <t>القسم العلمي</t>
        </is>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inlineStr">
        <is>
          <t>لجنة الجودة بالكلية</t>
        </is>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inlineStr">
        <is>
          <t>القسم العلمي</t>
        </is>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inlineStr">
        <is>
          <t>القسم العلمي</t>
        </is>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inlineStr">
        <is>
          <t>القسم العلمي</t>
        </is>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inlineStr">
        <is>
          <t>لجنة الجودة بالكلية</t>
        </is>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inlineStr">
        <is>
          <t>لجنة الجودة بالكلية</t>
        </is>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inlineStr">
        <is>
          <t>عمادة الجودة</t>
        </is>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inlineStr">
        <is>
          <t>القسم العلمي</t>
        </is>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inlineStr">
        <is>
          <t>لجنة الجودة بالكلية</t>
        </is>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inlineStr">
        <is>
          <t>القسم العلمي</t>
        </is>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inlineStr">
        <is>
          <t>القسم العلمي</t>
        </is>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inlineStr">
        <is>
          <t>القسم العلمي</t>
        </is>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inlineStr">
        <is>
          <t>القسم العلمي</t>
        </is>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inlineStr">
        <is>
          <t>لجنة الجودة بالكلية</t>
        </is>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inlineStr">
        <is>
          <t>القسم العلمي</t>
        </is>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inlineStr">
        <is>
          <t>القسم العلمي</t>
        </is>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inlineStr">
        <is>
          <t>القسم العلمي</t>
        </is>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inlineStr">
        <is>
          <t>القسم العلمي</t>
        </is>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inlineStr">
        <is>
          <t>لجنة الجودة بالكلية</t>
        </is>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inlineStr">
        <is>
          <t>إدارة الكلية</t>
        </is>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inlineStr">
        <is>
          <t>القسم العلمي</t>
        </is>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inlineStr">
        <is>
          <t>القسم العلمي</t>
        </is>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inlineStr">
        <is>
          <t>القسم العلمي</t>
        </is>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inlineStr">
        <is>
          <t>القسم العلمي</t>
        </is>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331</v>
      </c>
      <c r="D92" s="62"/>
      <c r="E92" s="54">
        <v>1</v>
      </c>
      <c r="F92" s="61" t="s">
        <v>314</v>
      </c>
      <c r="G92" s="53" t="inlineStr">
        <is>
          <t>القسم العلمي</t>
        </is>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332</v>
      </c>
      <c r="G93" s="47" t="inlineStr">
        <is>
          <t>القسم العلمي</t>
        </is>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333</v>
      </c>
      <c r="G94" s="47" t="inlineStr">
        <is>
          <t>القسم العلمي</t>
        </is>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66" x14ac:dyDescent="0.55000000000000004">
      <c r="A95" s="46" t="s">
        <v>324</v>
      </c>
      <c r="B95" s="63" t="s">
        <v>126</v>
      </c>
      <c r="C95" s="44"/>
      <c r="D95" s="45"/>
      <c r="E95" s="46">
        <v>4</v>
      </c>
      <c r="F95" s="44" t="s">
        <v>334</v>
      </c>
      <c r="G95" s="47" t="inlineStr">
        <is>
          <t>القسم العلمي</t>
        </is>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66" x14ac:dyDescent="0.55000000000000004">
      <c r="A96" s="49" t="s">
        <v>330</v>
      </c>
      <c r="B96" s="64" t="s">
        <v>126</v>
      </c>
      <c r="C96" s="50" t="s">
        <v>345</v>
      </c>
      <c r="D96" s="51" t="s">
        <v>208</v>
      </c>
      <c r="E96" s="52">
        <v>1</v>
      </c>
      <c r="F96" s="50" t="s">
        <v>346</v>
      </c>
      <c r="G96" s="53" t="inlineStr">
        <is>
          <t>القسم العلمي</t>
        </is>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57" t="s">
        <v>330</v>
      </c>
      <c r="B97" s="65" t="s">
        <v>126</v>
      </c>
      <c r="C97" s="58"/>
      <c r="D97" s="59" t="s">
        <v>208</v>
      </c>
      <c r="E97" s="57">
        <v>2</v>
      </c>
      <c r="F97" s="58" t="s">
        <v>347</v>
      </c>
      <c r="G97" s="47" t="inlineStr">
        <is>
          <t>القسم العلمي</t>
        </is>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66" x14ac:dyDescent="0.55000000000000004">
      <c r="A98" s="49" t="s">
        <v>348</v>
      </c>
      <c r="B98" s="64" t="s">
        <v>126</v>
      </c>
      <c r="C98" s="50" t="s">
        <v>499</v>
      </c>
      <c r="D98" s="51" t="s">
        <v>208</v>
      </c>
      <c r="E98" s="52">
        <v>1</v>
      </c>
      <c r="F98" s="50" t="s">
        <v>350</v>
      </c>
      <c r="G98" s="53" t="inlineStr">
        <is>
          <t>القسم العلمي</t>
        </is>
      </c>
      <c r="H98" s="54" t="str">
        <f>IFERROR(INDEX('الإعدادات واللجنة'!$C$24:$C$32,MATCH(LEFT(A98,3),'الإعدادات واللجنة'!$A$24:$A$32,0)),"")</f>
        <v>د. يثرب بنت سعد القحطاني</v>
      </c>
      <c r="I98" s="55"/>
      <c r="J98" s="55"/>
      <c r="K98" s="54" t="str">
        <f t="shared" si="1"/>
        <v/>
      </c>
      <c r="L98" s="56"/>
      <c r="M98" s="55"/>
      <c r="N98" s="56"/>
      <c r="O98" s="56"/>
      <c r="P98" s="55"/>
      <c r="Q98" s="56"/>
      <c r="R98" s="26" t="str">
        <f>IF($I98="","",$I98&amp;"#"&amp;COUNTIF($I$5:$I98,$I98))</f>
        <v/>
      </c>
    </row>
    <row r="99" spans="1:18" ht="44" x14ac:dyDescent="0.55000000000000004">
      <c r="A99" s="57" t="s">
        <v>348</v>
      </c>
      <c r="B99" s="65" t="s">
        <v>126</v>
      </c>
      <c r="C99" s="58"/>
      <c r="D99" s="59" t="s">
        <v>208</v>
      </c>
      <c r="E99" s="57">
        <v>2</v>
      </c>
      <c r="F99" s="58" t="s">
        <v>351</v>
      </c>
      <c r="G99" s="47" t="inlineStr">
        <is>
          <t>القسم العلمي</t>
        </is>
      </c>
      <c r="H99" s="46" t="str">
        <f>IFERROR(INDEX('الإعدادات واللجنة'!$C$24:$C$32,MATCH(LEFT(A99,3),'الإعدادات واللجنة'!$A$24:$A$32,0)),"")</f>
        <v>د. يثرب بنت سعد القحطاني</v>
      </c>
      <c r="I99" s="38"/>
      <c r="J99" s="38"/>
      <c r="K99" s="46" t="str">
        <f t="shared" si="1"/>
        <v/>
      </c>
      <c r="L99" s="48"/>
      <c r="M99" s="38"/>
      <c r="N99" s="48"/>
      <c r="O99" s="48"/>
      <c r="P99" s="38"/>
      <c r="Q99" s="48"/>
      <c r="R99" s="26" t="str">
        <f>IF($I99="","",$I99&amp;"#"&amp;COUNTIF($I$5:$I99,$I99))</f>
        <v/>
      </c>
    </row>
    <row r="100" spans="1:18" ht="66" x14ac:dyDescent="0.55000000000000004">
      <c r="A100" s="57" t="s">
        <v>348</v>
      </c>
      <c r="B100" s="65" t="s">
        <v>126</v>
      </c>
      <c r="C100" s="58"/>
      <c r="D100" s="59" t="s">
        <v>208</v>
      </c>
      <c r="E100" s="57">
        <v>3</v>
      </c>
      <c r="F100" s="58" t="s">
        <v>352</v>
      </c>
      <c r="G100" s="47" t="inlineStr">
        <is>
          <t>القسم العلمي</t>
        </is>
      </c>
      <c r="H100" s="46" t="str">
        <f>IFERROR(INDEX('الإعدادات واللجنة'!$C$24:$C$32,MATCH(LEFT(A100,3),'الإعدادات واللجنة'!$A$24:$A$32,0)),"")</f>
        <v>د. يثرب بنت سعد القحطاني</v>
      </c>
      <c r="I100" s="38"/>
      <c r="J100" s="38"/>
      <c r="K100" s="46" t="str">
        <f t="shared" si="1"/>
        <v/>
      </c>
      <c r="L100" s="48"/>
      <c r="M100" s="38"/>
      <c r="N100" s="48"/>
      <c r="O100" s="48"/>
      <c r="P100" s="38"/>
      <c r="Q100" s="48"/>
      <c r="R100" s="26" t="str">
        <f>IF($I100="","",$I100&amp;"#"&amp;COUNTIF($I$5:$I100,$I100))</f>
        <v/>
      </c>
    </row>
    <row r="101" spans="1:18" ht="44" x14ac:dyDescent="0.55000000000000004">
      <c r="A101" s="57" t="s">
        <v>348</v>
      </c>
      <c r="B101" s="65" t="s">
        <v>126</v>
      </c>
      <c r="C101" s="58"/>
      <c r="D101" s="59" t="s">
        <v>208</v>
      </c>
      <c r="E101" s="57">
        <v>4</v>
      </c>
      <c r="F101" s="58" t="s">
        <v>353</v>
      </c>
      <c r="G101" s="47" t="inlineStr">
        <is>
          <t>القسم العلمي</t>
        </is>
      </c>
      <c r="H101" s="46" t="str">
        <f>IFERROR(INDEX('الإعدادات واللجنة'!$C$24:$C$32,MATCH(LEFT(A101,3),'الإعدادات واللجنة'!$A$24:$A$32,0)),"")</f>
        <v>د. يثرب بنت سعد القحطاني</v>
      </c>
      <c r="I101" s="38"/>
      <c r="J101" s="38"/>
      <c r="K101" s="46" t="str">
        <f t="shared" si="1"/>
        <v/>
      </c>
      <c r="L101" s="48"/>
      <c r="M101" s="38"/>
      <c r="N101" s="48"/>
      <c r="O101" s="48"/>
      <c r="P101" s="38"/>
      <c r="Q101" s="48"/>
      <c r="R101" s="26" t="str">
        <f>IF($I101="","",$I101&amp;"#"&amp;COUNTIF($I$5:$I101,$I101))</f>
        <v/>
      </c>
    </row>
    <row r="102" spans="1:18" ht="44" x14ac:dyDescent="0.55000000000000004">
      <c r="A102" s="57" t="s">
        <v>348</v>
      </c>
      <c r="B102" s="65" t="s">
        <v>126</v>
      </c>
      <c r="C102" s="58"/>
      <c r="D102" s="59" t="s">
        <v>208</v>
      </c>
      <c r="E102" s="57">
        <v>5</v>
      </c>
      <c r="F102" s="58" t="s">
        <v>354</v>
      </c>
      <c r="G102" s="47" t="inlineStr">
        <is>
          <t>القسم العلمي</t>
        </is>
      </c>
      <c r="H102" s="46" t="str">
        <f>IFERROR(INDEX('الإعدادات واللجنة'!$C$24:$C$32,MATCH(LEFT(A102,3),'الإعدادات واللجنة'!$A$24:$A$32,0)),"")</f>
        <v>د. يثرب بنت سعد القحطاني</v>
      </c>
      <c r="I102" s="38"/>
      <c r="J102" s="38"/>
      <c r="K102" s="46" t="str">
        <f t="shared" si="1"/>
        <v/>
      </c>
      <c r="L102" s="48"/>
      <c r="M102" s="38"/>
      <c r="N102" s="48"/>
      <c r="O102" s="48"/>
      <c r="P102" s="38"/>
      <c r="Q102" s="48"/>
      <c r="R102" s="26" t="str">
        <f>IF($I102="","",$I102&amp;"#"&amp;COUNTIF($I$5:$I102,$I102))</f>
        <v/>
      </c>
    </row>
    <row r="103" spans="1:18" ht="66" x14ac:dyDescent="0.55000000000000004">
      <c r="A103" s="60" t="s">
        <v>355</v>
      </c>
      <c r="B103" s="66" t="s">
        <v>126</v>
      </c>
      <c r="C103" s="61" t="s">
        <v>336</v>
      </c>
      <c r="D103" s="62"/>
      <c r="E103" s="54">
        <v>1</v>
      </c>
      <c r="F103" s="61" t="s">
        <v>337</v>
      </c>
      <c r="G103" s="53" t="inlineStr">
        <is>
          <t>القسم العلمي</t>
        </is>
      </c>
      <c r="H103" s="54" t="str">
        <f>IFERROR(INDEX('الإعدادات واللجنة'!$C$24:$C$32,MATCH(LEFT(A103,3),'الإعدادات واللجنة'!$A$24:$A$32,0)),"")</f>
        <v>د. يثرب بنت سعد القحطاني</v>
      </c>
      <c r="I103" s="55"/>
      <c r="J103" s="55"/>
      <c r="K103" s="54" t="str">
        <f t="shared" si="1"/>
        <v/>
      </c>
      <c r="L103" s="56"/>
      <c r="M103" s="55"/>
      <c r="N103" s="56"/>
      <c r="O103" s="56"/>
      <c r="P103" s="55"/>
      <c r="Q103" s="56"/>
      <c r="R103" s="26" t="str">
        <f>IF($I103="","",$I103&amp;"#"&amp;COUNTIF($I$5:$I103,$I103))</f>
        <v/>
      </c>
    </row>
    <row r="104" spans="1:18" ht="44" x14ac:dyDescent="0.55000000000000004">
      <c r="A104" s="46" t="s">
        <v>355</v>
      </c>
      <c r="B104" s="63" t="s">
        <v>126</v>
      </c>
      <c r="C104" s="44"/>
      <c r="D104" s="45"/>
      <c r="E104" s="46">
        <v>2</v>
      </c>
      <c r="F104" s="44" t="s">
        <v>338</v>
      </c>
      <c r="G104" s="47" t="inlineStr">
        <is>
          <t>لجنة الجودة بالكلية</t>
        </is>
      </c>
      <c r="H104" s="46" t="str">
        <f>IFERROR(INDEX('الإعدادات واللجنة'!$C$24:$C$32,MATCH(LEFT(A104,3),'الإعدادات واللجنة'!$A$24:$A$32,0)),"")</f>
        <v>د. يثرب بنت سعد القحطاني</v>
      </c>
      <c r="I104" s="38"/>
      <c r="J104" s="38"/>
      <c r="K104" s="46" t="str">
        <f t="shared" si="1"/>
        <v/>
      </c>
      <c r="L104" s="48"/>
      <c r="M104" s="38"/>
      <c r="N104" s="48"/>
      <c r="O104" s="48"/>
      <c r="P104" s="38"/>
      <c r="Q104" s="48"/>
      <c r="R104" s="26" t="str">
        <f>IF($I104="","",$I104&amp;"#"&amp;COUNTIF($I$5:$I104,$I104))</f>
        <v/>
      </c>
    </row>
    <row r="105" spans="1:18" ht="66" x14ac:dyDescent="0.55000000000000004">
      <c r="A105" s="60" t="s">
        <v>361</v>
      </c>
      <c r="B105" s="66" t="s">
        <v>126</v>
      </c>
      <c r="C105" s="61" t="s">
        <v>356</v>
      </c>
      <c r="D105" s="62"/>
      <c r="E105" s="54">
        <v>1</v>
      </c>
      <c r="F105" s="61" t="s">
        <v>357</v>
      </c>
      <c r="G105" s="53" t="inlineStr">
        <is>
          <t>القسم العلمي</t>
        </is>
      </c>
      <c r="H105" s="54" t="str">
        <f>IFERROR(INDEX('الإعدادات واللجنة'!$C$24:$C$32,MATCH(LEFT(A105,3),'الإعدادات واللجنة'!$A$24:$A$32,0)),"")</f>
        <v>د. يثرب بنت سعد القحطاني</v>
      </c>
      <c r="I105" s="55"/>
      <c r="J105" s="55"/>
      <c r="K105" s="54" t="str">
        <f t="shared" si="1"/>
        <v/>
      </c>
      <c r="L105" s="56"/>
      <c r="M105" s="55"/>
      <c r="N105" s="56"/>
      <c r="O105" s="56"/>
      <c r="P105" s="55"/>
      <c r="Q105" s="56"/>
      <c r="R105" s="26" t="str">
        <f>IF($I105="","",$I105&amp;"#"&amp;COUNTIF($I$5:$I105,$I105))</f>
        <v/>
      </c>
    </row>
    <row r="106" spans="1:18" ht="44" x14ac:dyDescent="0.55000000000000004">
      <c r="A106" s="46" t="s">
        <v>361</v>
      </c>
      <c r="B106" s="63" t="s">
        <v>126</v>
      </c>
      <c r="C106" s="44"/>
      <c r="D106" s="45"/>
      <c r="E106" s="46">
        <v>2</v>
      </c>
      <c r="F106" s="44" t="s">
        <v>358</v>
      </c>
      <c r="G106" s="47" t="inlineStr">
        <is>
          <t>القسم العلمي</t>
        </is>
      </c>
      <c r="H106" s="46" t="str">
        <f>IFERROR(INDEX('الإعدادات واللجنة'!$C$24:$C$32,MATCH(LEFT(A106,3),'الإعدادات واللجنة'!$A$24:$A$32,0)),"")</f>
        <v>د. يثرب بنت سعد القحطاني</v>
      </c>
      <c r="I106" s="38"/>
      <c r="J106" s="38"/>
      <c r="K106" s="46" t="str">
        <f t="shared" si="1"/>
        <v/>
      </c>
      <c r="L106" s="48"/>
      <c r="M106" s="38"/>
      <c r="N106" s="48"/>
      <c r="O106" s="48"/>
      <c r="P106" s="38"/>
      <c r="Q106" s="48"/>
      <c r="R106" s="26" t="str">
        <f>IF($I106="","",$I106&amp;"#"&amp;COUNTIF($I$5:$I106,$I106))</f>
        <v/>
      </c>
    </row>
    <row r="107" spans="1:18" ht="44" x14ac:dyDescent="0.55000000000000004">
      <c r="A107" s="46" t="s">
        <v>361</v>
      </c>
      <c r="B107" s="63" t="s">
        <v>126</v>
      </c>
      <c r="C107" s="44"/>
      <c r="D107" s="45"/>
      <c r="E107" s="46">
        <v>3</v>
      </c>
      <c r="F107" s="44" t="s">
        <v>359</v>
      </c>
      <c r="G107" s="47" t="inlineStr">
        <is>
          <t>التعليم الإلكتروني</t>
        </is>
      </c>
      <c r="H107" s="46" t="str">
        <f>IFERROR(INDEX('الإعدادات واللجنة'!$C$24:$C$32,MATCH(LEFT(A107,3),'الإعدادات واللجنة'!$A$24:$A$32,0)),"")</f>
        <v>د. يثرب بنت سعد القحطاني</v>
      </c>
      <c r="I107" s="38"/>
      <c r="J107" s="38"/>
      <c r="K107" s="46" t="str">
        <f t="shared" si="1"/>
        <v/>
      </c>
      <c r="L107" s="48"/>
      <c r="M107" s="38"/>
      <c r="N107" s="48"/>
      <c r="O107" s="48"/>
      <c r="P107" s="38"/>
      <c r="Q107" s="48"/>
      <c r="R107" s="26" t="str">
        <f>IF($I107="","",$I107&amp;"#"&amp;COUNTIF($I$5:$I107,$I107))</f>
        <v/>
      </c>
    </row>
    <row r="108" spans="1:18" ht="44" x14ac:dyDescent="0.55000000000000004">
      <c r="A108" s="46" t="s">
        <v>361</v>
      </c>
      <c r="B108" s="63" t="s">
        <v>126</v>
      </c>
      <c r="C108" s="44"/>
      <c r="D108" s="45"/>
      <c r="E108" s="46">
        <v>4</v>
      </c>
      <c r="F108" s="44" t="s">
        <v>360</v>
      </c>
      <c r="G108" s="47" t="inlineStr">
        <is>
          <t>القسم العلمي</t>
        </is>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88" x14ac:dyDescent="0.55000000000000004">
      <c r="A109" s="60" t="s">
        <v>366</v>
      </c>
      <c r="B109" s="66" t="s">
        <v>126</v>
      </c>
      <c r="C109" s="61" t="s">
        <v>362</v>
      </c>
      <c r="D109" s="62"/>
      <c r="E109" s="54">
        <v>1</v>
      </c>
      <c r="F109" s="61" t="s">
        <v>363</v>
      </c>
      <c r="G109" s="53" t="inlineStr">
        <is>
          <t>القسم العلمي</t>
        </is>
      </c>
      <c r="H109" s="54" t="str">
        <f>IFERROR(INDEX('الإعدادات واللجنة'!$C$24:$C$32,MATCH(LEFT(A109,3),'الإعدادات واللجنة'!$A$24:$A$32,0)),"")</f>
        <v>د. يثرب بنت سعد القحطاني</v>
      </c>
      <c r="I109" s="55"/>
      <c r="J109" s="55"/>
      <c r="K109" s="54" t="str">
        <f t="shared" si="1"/>
        <v/>
      </c>
      <c r="L109" s="56"/>
      <c r="M109" s="55"/>
      <c r="N109" s="56"/>
      <c r="O109" s="56"/>
      <c r="P109" s="55"/>
      <c r="Q109" s="56"/>
      <c r="R109" s="26" t="str">
        <f>IF($I109="","",$I109&amp;"#"&amp;COUNTIF($I$5:$I109,$I109))</f>
        <v/>
      </c>
    </row>
    <row r="110" spans="1:18" ht="66" x14ac:dyDescent="0.55000000000000004">
      <c r="A110" s="46" t="s">
        <v>366</v>
      </c>
      <c r="B110" s="63" t="s">
        <v>126</v>
      </c>
      <c r="C110" s="44"/>
      <c r="D110" s="45"/>
      <c r="E110" s="46">
        <v>2</v>
      </c>
      <c r="F110" s="44" t="s">
        <v>364</v>
      </c>
      <c r="G110" s="47" t="inlineStr">
        <is>
          <t>القسم العلمي</t>
        </is>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46" t="s">
        <v>366</v>
      </c>
      <c r="B111" s="63" t="s">
        <v>126</v>
      </c>
      <c r="C111" s="44"/>
      <c r="D111" s="45"/>
      <c r="E111" s="46">
        <v>3</v>
      </c>
      <c r="F111" s="44" t="s">
        <v>365</v>
      </c>
      <c r="G111" s="47" t="inlineStr">
        <is>
          <t>القسم العلمي</t>
        </is>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44" x14ac:dyDescent="0.55000000000000004">
      <c r="A112" s="60" t="s">
        <v>371</v>
      </c>
      <c r="B112" s="66" t="s">
        <v>126</v>
      </c>
      <c r="C112" s="61" t="s">
        <v>367</v>
      </c>
      <c r="D112" s="62"/>
      <c r="E112" s="54">
        <v>1</v>
      </c>
      <c r="F112" s="61" t="s">
        <v>368</v>
      </c>
      <c r="G112" s="53" t="inlineStr">
        <is>
          <t>إدارة الكلية</t>
        </is>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371</v>
      </c>
      <c r="B113" s="63" t="s">
        <v>126</v>
      </c>
      <c r="C113" s="44"/>
      <c r="D113" s="45"/>
      <c r="E113" s="46">
        <v>2</v>
      </c>
      <c r="F113" s="44" t="s">
        <v>369</v>
      </c>
      <c r="G113" s="47" t="inlineStr">
        <is>
          <t>الموارد البشرية</t>
        </is>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371</v>
      </c>
      <c r="B114" s="63" t="s">
        <v>126</v>
      </c>
      <c r="C114" s="44"/>
      <c r="D114" s="45"/>
      <c r="E114" s="46">
        <v>3</v>
      </c>
      <c r="F114" s="44" t="s">
        <v>370</v>
      </c>
      <c r="G114" s="47" t="inlineStr">
        <is>
          <t>لجنة الجودة بالكلية</t>
        </is>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60" t="s">
        <v>378</v>
      </c>
      <c r="B115" s="66" t="s">
        <v>126</v>
      </c>
      <c r="C115" s="61" t="s">
        <v>372</v>
      </c>
      <c r="D115" s="62"/>
      <c r="E115" s="54">
        <v>1</v>
      </c>
      <c r="F115" s="61" t="s">
        <v>373</v>
      </c>
      <c r="G115" s="53" t="inlineStr">
        <is>
          <t>القسم العلمي</t>
        </is>
      </c>
      <c r="H115" s="54" t="str">
        <f>IFERROR(INDEX('الإعدادات واللجنة'!$C$24:$C$32,MATCH(LEFT(A115,3),'الإعدادات واللجنة'!$A$24:$A$32,0)),"")</f>
        <v>د. يثرب بنت سعد القحطاني</v>
      </c>
      <c r="I115" s="55"/>
      <c r="J115" s="55"/>
      <c r="K115" s="54" t="str">
        <f t="shared" si="1"/>
        <v/>
      </c>
      <c r="L115" s="56"/>
      <c r="M115" s="55"/>
      <c r="N115" s="56"/>
      <c r="O115" s="56"/>
      <c r="P115" s="55"/>
      <c r="Q115" s="56"/>
      <c r="R115" s="26" t="str">
        <f>IF($I115="","",$I115&amp;"#"&amp;COUNTIF($I$5:$I115,$I115))</f>
        <v/>
      </c>
    </row>
    <row r="116" spans="1:18" ht="44" x14ac:dyDescent="0.55000000000000004">
      <c r="A116" s="46" t="s">
        <v>378</v>
      </c>
      <c r="B116" s="63" t="s">
        <v>126</v>
      </c>
      <c r="C116" s="44"/>
      <c r="D116" s="45"/>
      <c r="E116" s="46">
        <v>2</v>
      </c>
      <c r="F116" s="44" t="s">
        <v>374</v>
      </c>
      <c r="G116" s="47" t="inlineStr">
        <is>
          <t>القسم العلمي</t>
        </is>
      </c>
      <c r="H116" s="46" t="str">
        <f>IFERROR(INDEX('الإعدادات واللجنة'!$C$24:$C$32,MATCH(LEFT(A116,3),'الإعدادات واللجنة'!$A$24:$A$32,0)),"")</f>
        <v>د. يثرب بنت سعد القحطاني</v>
      </c>
      <c r="I116" s="38"/>
      <c r="J116" s="38"/>
      <c r="K116" s="46" t="str">
        <f t="shared" si="1"/>
        <v/>
      </c>
      <c r="L116" s="48"/>
      <c r="M116" s="38"/>
      <c r="N116" s="48"/>
      <c r="O116" s="48"/>
      <c r="P116" s="38"/>
      <c r="Q116" s="48"/>
      <c r="R116" s="26" t="str">
        <f>IF($I116="","",$I116&amp;"#"&amp;COUNTIF($I$5:$I116,$I116))</f>
        <v/>
      </c>
    </row>
    <row r="117" spans="1:18" ht="44" x14ac:dyDescent="0.55000000000000004">
      <c r="A117" s="46" t="s">
        <v>378</v>
      </c>
      <c r="B117" s="63" t="s">
        <v>126</v>
      </c>
      <c r="C117" s="44"/>
      <c r="D117" s="45"/>
      <c r="E117" s="46">
        <v>3</v>
      </c>
      <c r="F117" s="44" t="s">
        <v>375</v>
      </c>
      <c r="G117" s="47" t="inlineStr">
        <is>
          <t>لجنة الجودة بالكلية</t>
        </is>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378</v>
      </c>
      <c r="B118" s="63" t="s">
        <v>126</v>
      </c>
      <c r="C118" s="44"/>
      <c r="D118" s="45"/>
      <c r="E118" s="46">
        <v>4</v>
      </c>
      <c r="F118" s="44" t="s">
        <v>376</v>
      </c>
      <c r="G118" s="47" t="inlineStr">
        <is>
          <t>القسم العلمي</t>
        </is>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46" t="s">
        <v>378</v>
      </c>
      <c r="B119" s="63" t="s">
        <v>126</v>
      </c>
      <c r="C119" s="44"/>
      <c r="D119" s="45"/>
      <c r="E119" s="46">
        <v>5</v>
      </c>
      <c r="F119" s="44" t="s">
        <v>377</v>
      </c>
      <c r="G119" s="47" t="inlineStr">
        <is>
          <t>القسم العلمي</t>
        </is>
      </c>
      <c r="H119" s="46" t="str">
        <f>IFERROR(INDEX('الإعدادات واللجنة'!$C$24:$C$32,MATCH(LEFT(A119,3),'الإعدادات واللجنة'!$A$24:$A$32,0)),"")</f>
        <v>د. يثرب بنت سعد القحطاني</v>
      </c>
      <c r="I119" s="38"/>
      <c r="J119" s="38"/>
      <c r="K119" s="46" t="str">
        <f t="shared" si="1"/>
        <v/>
      </c>
      <c r="L119" s="48"/>
      <c r="M119" s="38"/>
      <c r="N119" s="48"/>
      <c r="O119" s="48"/>
      <c r="P119" s="38"/>
      <c r="Q119" s="48"/>
      <c r="R119" s="26" t="str">
        <f>IF($I119="","",$I119&amp;"#"&amp;COUNTIF($I$5:$I119,$I119))</f>
        <v/>
      </c>
    </row>
    <row r="120" spans="1:18" ht="66" x14ac:dyDescent="0.55000000000000004">
      <c r="A120" s="49" t="s">
        <v>500</v>
      </c>
      <c r="B120" s="64" t="s">
        <v>126</v>
      </c>
      <c r="C120" s="50" t="s">
        <v>379</v>
      </c>
      <c r="D120" s="51" t="s">
        <v>208</v>
      </c>
      <c r="E120" s="52">
        <v>1</v>
      </c>
      <c r="F120" s="50" t="s">
        <v>380</v>
      </c>
      <c r="G120" s="53" t="inlineStr">
        <is>
          <t>القسم العلمي</t>
        </is>
      </c>
      <c r="H120" s="54" t="str">
        <f>IFERROR(INDEX('الإعدادات واللجنة'!$C$24:$C$32,MATCH(LEFT(A120,3),'الإعدادات واللجنة'!$A$24:$A$32,0)),"")</f>
        <v>د. يثرب بنت سعد القحطاني</v>
      </c>
      <c r="I120" s="55"/>
      <c r="J120" s="55"/>
      <c r="K120" s="54" t="str">
        <f t="shared" si="1"/>
        <v/>
      </c>
      <c r="L120" s="56"/>
      <c r="M120" s="55"/>
      <c r="N120" s="56"/>
      <c r="O120" s="56"/>
      <c r="P120" s="55"/>
      <c r="Q120" s="56"/>
      <c r="R120" s="26" t="str">
        <f>IF($I120="","",$I120&amp;"#"&amp;COUNTIF($I$5:$I120,$I120))</f>
        <v/>
      </c>
    </row>
    <row r="121" spans="1:18" ht="44" x14ac:dyDescent="0.55000000000000004">
      <c r="A121" s="57" t="s">
        <v>500</v>
      </c>
      <c r="B121" s="65" t="s">
        <v>126</v>
      </c>
      <c r="C121" s="58"/>
      <c r="D121" s="59" t="s">
        <v>208</v>
      </c>
      <c r="E121" s="57">
        <v>2</v>
      </c>
      <c r="F121" s="58" t="s">
        <v>381</v>
      </c>
      <c r="G121" s="47" t="inlineStr">
        <is>
          <t>التعليم الإلكتروني</t>
        </is>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57" t="s">
        <v>500</v>
      </c>
      <c r="B122" s="65" t="s">
        <v>126</v>
      </c>
      <c r="C122" s="58"/>
      <c r="D122" s="59" t="s">
        <v>208</v>
      </c>
      <c r="E122" s="57">
        <v>3</v>
      </c>
      <c r="F122" s="58" t="s">
        <v>382</v>
      </c>
      <c r="G122" s="47" t="inlineStr">
        <is>
          <t>التعليم الإلكتروني</t>
        </is>
      </c>
      <c r="H122" s="46" t="str">
        <f>IFERROR(INDEX('الإعدادات واللجنة'!$C$24:$C$32,MATCH(LEFT(A122,3),'الإعدادات واللجنة'!$A$24:$A$32,0)),"")</f>
        <v>د. يثرب بنت سعد القحطاني</v>
      </c>
      <c r="I122" s="38"/>
      <c r="J122" s="38"/>
      <c r="K122" s="46" t="str">
        <f t="shared" si="1"/>
        <v/>
      </c>
      <c r="L122" s="48"/>
      <c r="M122" s="38"/>
      <c r="N122" s="48"/>
      <c r="O122" s="48"/>
      <c r="P122" s="38"/>
      <c r="Q122" s="48"/>
      <c r="R122" s="26" t="str">
        <f>IF($I122="","",$I122&amp;"#"&amp;COUNTIF($I$5:$I122,$I122))</f>
        <v/>
      </c>
    </row>
    <row r="123" spans="1:18" ht="44" x14ac:dyDescent="0.55000000000000004">
      <c r="A123" s="57" t="s">
        <v>500</v>
      </c>
      <c r="B123" s="65" t="s">
        <v>126</v>
      </c>
      <c r="C123" s="58"/>
      <c r="D123" s="59" t="s">
        <v>208</v>
      </c>
      <c r="E123" s="57">
        <v>4</v>
      </c>
      <c r="F123" s="58" t="s">
        <v>383</v>
      </c>
      <c r="G123" s="47" t="inlineStr">
        <is>
          <t>القسم العلمي</t>
        </is>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57" t="s">
        <v>500</v>
      </c>
      <c r="B124" s="65" t="s">
        <v>126</v>
      </c>
      <c r="C124" s="58"/>
      <c r="D124" s="59" t="s">
        <v>208</v>
      </c>
      <c r="E124" s="57">
        <v>5</v>
      </c>
      <c r="F124" s="58" t="s">
        <v>384</v>
      </c>
      <c r="G124" s="47" t="inlineStr">
        <is>
          <t>التعليم الإلكتروني</t>
        </is>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66" x14ac:dyDescent="0.55000000000000004">
      <c r="A125" s="60" t="s">
        <v>385</v>
      </c>
      <c r="B125" s="66" t="s">
        <v>127</v>
      </c>
      <c r="C125" s="61" t="s">
        <v>386</v>
      </c>
      <c r="D125" s="62"/>
      <c r="E125" s="54">
        <v>1</v>
      </c>
      <c r="F125" s="61" t="s">
        <v>387</v>
      </c>
      <c r="G125" s="53" t="inlineStr">
        <is>
          <t>القبول والتسجيل (وحدة البانر)</t>
        </is>
      </c>
      <c r="H125" s="54" t="str">
        <f>IFERROR(INDEX('الإعدادات واللجنة'!$C$24:$C$32,MATCH(LEFT(A125,3),'الإعدادات واللجنة'!$A$24:$A$32,0)),"")</f>
        <v>د. عبدالله بن محمد البركاتي</v>
      </c>
      <c r="I125" s="55"/>
      <c r="J125" s="55"/>
      <c r="K125" s="54" t="str">
        <f t="shared" si="1"/>
        <v/>
      </c>
      <c r="L125" s="56"/>
      <c r="M125" s="55"/>
      <c r="N125" s="56"/>
      <c r="O125" s="56"/>
      <c r="P125" s="55"/>
      <c r="Q125" s="56"/>
      <c r="R125" s="26" t="str">
        <f>IF($I125="","",$I125&amp;"#"&amp;COUNTIF($I$5:$I125,$I125))</f>
        <v/>
      </c>
    </row>
    <row r="126" spans="1:18" ht="44" x14ac:dyDescent="0.55000000000000004">
      <c r="A126" s="46" t="s">
        <v>385</v>
      </c>
      <c r="B126" s="63" t="s">
        <v>127</v>
      </c>
      <c r="C126" s="44"/>
      <c r="D126" s="45"/>
      <c r="E126" s="46">
        <v>2</v>
      </c>
      <c r="F126" s="44" t="s">
        <v>388</v>
      </c>
      <c r="G126" s="47" t="inlineStr">
        <is>
          <t>القبول والتسجيل (وحدة البانر)</t>
        </is>
      </c>
      <c r="H126" s="46" t="str">
        <f>IFERROR(INDEX('الإعدادات واللجنة'!$C$24:$C$32,MATCH(LEFT(A126,3),'الإعدادات واللجنة'!$A$24:$A$32,0)),"")</f>
        <v>د. عبدالله بن محمد البركاتي</v>
      </c>
      <c r="I126" s="38"/>
      <c r="J126" s="38"/>
      <c r="K126" s="46" t="str">
        <f t="shared" si="1"/>
        <v/>
      </c>
      <c r="L126" s="48"/>
      <c r="M126" s="38"/>
      <c r="N126" s="48"/>
      <c r="O126" s="48"/>
      <c r="P126" s="38"/>
      <c r="Q126" s="48"/>
      <c r="R126" s="26" t="str">
        <f>IF($I126="","",$I126&amp;"#"&amp;COUNTIF($I$5:$I126,$I126))</f>
        <v/>
      </c>
    </row>
    <row r="127" spans="1:18" ht="44" x14ac:dyDescent="0.55000000000000004">
      <c r="A127" s="46" t="s">
        <v>385</v>
      </c>
      <c r="B127" s="63" t="s">
        <v>127</v>
      </c>
      <c r="C127" s="44"/>
      <c r="D127" s="45"/>
      <c r="E127" s="46">
        <v>3</v>
      </c>
      <c r="F127" s="44" t="s">
        <v>389</v>
      </c>
      <c r="G127" s="47" t="inlineStr">
        <is>
          <t>القبول والتسجيل (وحدة البانر)</t>
        </is>
      </c>
      <c r="H127" s="46" t="str">
        <f>IFERROR(INDEX('الإعدادات واللجنة'!$C$24:$C$32,MATCH(LEFT(A127,3),'الإعدادات واللجنة'!$A$24:$A$32,0)),"")</f>
        <v>د. عبدالله بن محمد البركاتي</v>
      </c>
      <c r="I127" s="38"/>
      <c r="J127" s="38"/>
      <c r="K127" s="46" t="str">
        <f t="shared" si="1"/>
        <v/>
      </c>
      <c r="L127" s="48"/>
      <c r="M127" s="38"/>
      <c r="N127" s="48"/>
      <c r="O127" s="48"/>
      <c r="P127" s="38"/>
      <c r="Q127" s="48"/>
      <c r="R127" s="26" t="str">
        <f>IF($I127="","",$I127&amp;"#"&amp;COUNTIF($I$5:$I127,$I127))</f>
        <v/>
      </c>
    </row>
    <row r="128" spans="1:18" ht="44" x14ac:dyDescent="0.55000000000000004">
      <c r="A128" s="46" t="s">
        <v>385</v>
      </c>
      <c r="B128" s="63" t="s">
        <v>127</v>
      </c>
      <c r="C128" s="44"/>
      <c r="D128" s="45"/>
      <c r="E128" s="46">
        <v>4</v>
      </c>
      <c r="F128" s="44" t="s">
        <v>390</v>
      </c>
      <c r="G128" s="47" t="inlineStr">
        <is>
          <t>القبول والتسجيل (وحدة البانر)</t>
        </is>
      </c>
      <c r="H128" s="46" t="str">
        <f>IFERROR(INDEX('الإعدادات واللجنة'!$C$24:$C$32,MATCH(LEFT(A128,3),'الإعدادات واللجنة'!$A$24:$A$32,0)),"")</f>
        <v>د. عبدالله بن محمد البركاتي</v>
      </c>
      <c r="I128" s="38"/>
      <c r="J128" s="38"/>
      <c r="K128" s="46" t="str">
        <f t="shared" si="1"/>
        <v/>
      </c>
      <c r="L128" s="48"/>
      <c r="M128" s="38"/>
      <c r="N128" s="48"/>
      <c r="O128" s="48"/>
      <c r="P128" s="38"/>
      <c r="Q128" s="48"/>
      <c r="R128" s="26" t="str">
        <f>IF($I128="","",$I128&amp;"#"&amp;COUNTIF($I$5:$I128,$I128))</f>
        <v/>
      </c>
    </row>
    <row r="129" spans="1:18" ht="44" x14ac:dyDescent="0.55000000000000004">
      <c r="A129" s="46" t="s">
        <v>385</v>
      </c>
      <c r="B129" s="63" t="s">
        <v>127</v>
      </c>
      <c r="C129" s="44"/>
      <c r="D129" s="45"/>
      <c r="E129" s="46">
        <v>5</v>
      </c>
      <c r="F129" s="44" t="s">
        <v>391</v>
      </c>
      <c r="G129" s="47" t="inlineStr">
        <is>
          <t>القسم العلمي</t>
        </is>
      </c>
      <c r="H129" s="46" t="str">
        <f>IFERROR(INDEX('الإعدادات واللجنة'!$C$24:$C$32,MATCH(LEFT(A129,3),'الإعدادات واللجنة'!$A$24:$A$32,0)),"")</f>
        <v>د. عبدالله بن محمد البركاتي</v>
      </c>
      <c r="I129" s="38"/>
      <c r="J129" s="38"/>
      <c r="K129" s="46" t="str">
        <f t="shared" si="1"/>
        <v/>
      </c>
      <c r="L129" s="48"/>
      <c r="M129" s="38"/>
      <c r="N129" s="48"/>
      <c r="O129" s="48"/>
      <c r="P129" s="38"/>
      <c r="Q129" s="48"/>
      <c r="R129" s="26" t="str">
        <f>IF($I129="","",$I129&amp;"#"&amp;COUNTIF($I$5:$I129,$I129))</f>
        <v/>
      </c>
    </row>
    <row r="130" spans="1:18" ht="66" x14ac:dyDescent="0.55000000000000004">
      <c r="A130" s="60" t="s">
        <v>392</v>
      </c>
      <c r="B130" s="66" t="s">
        <v>127</v>
      </c>
      <c r="C130" s="61" t="s">
        <v>393</v>
      </c>
      <c r="D130" s="62"/>
      <c r="E130" s="54">
        <v>1</v>
      </c>
      <c r="F130" s="61" t="s">
        <v>394</v>
      </c>
      <c r="G130" s="53" t="inlineStr">
        <is>
          <t>القسم العلمي</t>
        </is>
      </c>
      <c r="H130" s="54" t="str">
        <f>IFERROR(INDEX('الإعدادات واللجنة'!$C$24:$C$32,MATCH(LEFT(A130,3),'الإعدادات واللجنة'!$A$24:$A$32,0)),"")</f>
        <v>د. عبدالله بن محمد البركاتي</v>
      </c>
      <c r="I130" s="55"/>
      <c r="J130" s="55"/>
      <c r="K130" s="54" t="str">
        <f t="shared" si="1"/>
        <v/>
      </c>
      <c r="L130" s="56"/>
      <c r="M130" s="55"/>
      <c r="N130" s="56"/>
      <c r="O130" s="56"/>
      <c r="P130" s="55"/>
      <c r="Q130" s="56"/>
      <c r="R130" s="26" t="str">
        <f>IF($I130="","",$I130&amp;"#"&amp;COUNTIF($I$5:$I130,$I130))</f>
        <v/>
      </c>
    </row>
    <row r="131" spans="1:18" ht="44" x14ac:dyDescent="0.55000000000000004">
      <c r="A131" s="46" t="s">
        <v>392</v>
      </c>
      <c r="B131" s="63" t="s">
        <v>127</v>
      </c>
      <c r="C131" s="44"/>
      <c r="D131" s="45"/>
      <c r="E131" s="46">
        <v>2</v>
      </c>
      <c r="F131" s="44" t="s">
        <v>395</v>
      </c>
      <c r="G131" s="47" t="inlineStr">
        <is>
          <t>القسم العلمي</t>
        </is>
      </c>
      <c r="H131" s="46" t="str">
        <f>IFERROR(INDEX('الإعدادات واللجنة'!$C$24:$C$32,MATCH(LEFT(A131,3),'الإعدادات واللجنة'!$A$24:$A$32,0)),"")</f>
        <v>د. عبدالله بن محمد البركاتي</v>
      </c>
      <c r="I131" s="38"/>
      <c r="J131" s="38"/>
      <c r="K131" s="46" t="str">
        <f t="shared" si="1"/>
        <v/>
      </c>
      <c r="L131" s="48"/>
      <c r="M131" s="38"/>
      <c r="N131" s="48"/>
      <c r="O131" s="48"/>
      <c r="P131" s="38"/>
      <c r="Q131" s="48"/>
      <c r="R131" s="26" t="str">
        <f>IF($I131="","",$I131&amp;"#"&amp;COUNTIF($I$5:$I131,$I131))</f>
        <v/>
      </c>
    </row>
    <row r="132" spans="1:18" ht="44" x14ac:dyDescent="0.55000000000000004">
      <c r="A132" s="46" t="s">
        <v>392</v>
      </c>
      <c r="B132" s="63" t="s">
        <v>127</v>
      </c>
      <c r="C132" s="44"/>
      <c r="D132" s="45"/>
      <c r="E132" s="46">
        <v>3</v>
      </c>
      <c r="F132" s="44" t="s">
        <v>396</v>
      </c>
      <c r="G132" s="47" t="inlineStr">
        <is>
          <t>القسم العلمي</t>
        </is>
      </c>
      <c r="H132" s="46" t="str">
        <f>IFERROR(INDEX('الإعدادات واللجنة'!$C$24:$C$32,MATCH(LEFT(A132,3),'الإعدادات واللجنة'!$A$24:$A$32,0)),"")</f>
        <v>د. عبدالله بن محمد البركاتي</v>
      </c>
      <c r="I132" s="38"/>
      <c r="J132" s="38"/>
      <c r="K132" s="46" t="str">
        <f t="shared" si="1"/>
        <v/>
      </c>
      <c r="L132" s="48"/>
      <c r="M132" s="38"/>
      <c r="N132" s="48"/>
      <c r="O132" s="48"/>
      <c r="P132" s="38"/>
      <c r="Q132" s="48"/>
      <c r="R132" s="26" t="str">
        <f>IF($I132="","",$I132&amp;"#"&amp;COUNTIF($I$5:$I132,$I132))</f>
        <v/>
      </c>
    </row>
    <row r="133" spans="1:18" ht="66" x14ac:dyDescent="0.55000000000000004">
      <c r="A133" s="49" t="s">
        <v>397</v>
      </c>
      <c r="B133" s="64" t="s">
        <v>127</v>
      </c>
      <c r="C133" s="50" t="s">
        <v>398</v>
      </c>
      <c r="D133" s="51" t="s">
        <v>208</v>
      </c>
      <c r="E133" s="52">
        <v>1</v>
      </c>
      <c r="F133" s="50" t="s">
        <v>399</v>
      </c>
      <c r="G133" s="53" t="inlineStr">
        <is>
          <t>إدارة الكلية</t>
        </is>
      </c>
      <c r="H133" s="54" t="str">
        <f>IFERROR(INDEX('الإعدادات واللجنة'!$C$24:$C$32,MATCH(LEFT(A133,3),'الإعدادات واللجنة'!$A$24:$A$32,0)),"")</f>
        <v>د. عبدالله بن محمد البركاتي</v>
      </c>
      <c r="I133" s="55"/>
      <c r="J133" s="55"/>
      <c r="K133" s="54" t="str">
        <f t="shared" ref="K133:K196" si="2">IF(OR(I133="",I133="متوفر ومكتمل"),"",IF(OR(D133="★",I133="غير متوفر"),"عالية","متوسطة"))</f>
        <v/>
      </c>
      <c r="L133" s="56"/>
      <c r="M133" s="55"/>
      <c r="N133" s="56"/>
      <c r="O133" s="56"/>
      <c r="P133" s="55"/>
      <c r="Q133" s="56"/>
      <c r="R133" s="26" t="str">
        <f>IF($I133="","",$I133&amp;"#"&amp;COUNTIF($I$5:$I133,$I133))</f>
        <v/>
      </c>
    </row>
    <row r="134" spans="1:18" ht="44" x14ac:dyDescent="0.55000000000000004">
      <c r="A134" s="57" t="s">
        <v>397</v>
      </c>
      <c r="B134" s="65" t="s">
        <v>127</v>
      </c>
      <c r="C134" s="58"/>
      <c r="D134" s="59" t="s">
        <v>208</v>
      </c>
      <c r="E134" s="57">
        <v>2</v>
      </c>
      <c r="F134" s="58" t="s">
        <v>400</v>
      </c>
      <c r="G134" s="47" t="inlineStr">
        <is>
          <t>القسم العلمي</t>
        </is>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57" t="s">
        <v>397</v>
      </c>
      <c r="B135" s="65" t="s">
        <v>127</v>
      </c>
      <c r="C135" s="58"/>
      <c r="D135" s="59" t="s">
        <v>208</v>
      </c>
      <c r="E135" s="57">
        <v>3</v>
      </c>
      <c r="F135" s="58" t="s">
        <v>401</v>
      </c>
      <c r="G135" s="47" t="inlineStr">
        <is>
          <t>الموارد البشرية</t>
        </is>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57" t="s">
        <v>397</v>
      </c>
      <c r="B136" s="65" t="s">
        <v>127</v>
      </c>
      <c r="C136" s="58"/>
      <c r="D136" s="59" t="s">
        <v>208</v>
      </c>
      <c r="E136" s="57">
        <v>4</v>
      </c>
      <c r="F136" s="58" t="s">
        <v>402</v>
      </c>
      <c r="G136" s="47" t="inlineStr">
        <is>
          <t>القسم العلمي</t>
        </is>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57" t="s">
        <v>397</v>
      </c>
      <c r="B137" s="65" t="s">
        <v>127</v>
      </c>
      <c r="C137" s="58"/>
      <c r="D137" s="59" t="s">
        <v>208</v>
      </c>
      <c r="E137" s="57">
        <v>5</v>
      </c>
      <c r="F137" s="58" t="s">
        <v>403</v>
      </c>
      <c r="G137" s="47" t="inlineStr">
        <is>
          <t>وحدة الخريجين</t>
        </is>
      </c>
      <c r="H137" s="46" t="str">
        <f>IFERROR(INDEX('الإعدادات واللجنة'!$C$24:$C$32,MATCH(LEFT(A137,3),'الإعدادات واللجنة'!$A$24:$A$32,0)),"")</f>
        <v>د. عبدالله بن محمد البركاتي</v>
      </c>
      <c r="I137" s="38"/>
      <c r="J137" s="38"/>
      <c r="K137" s="46" t="str">
        <f t="shared" si="2"/>
        <v/>
      </c>
      <c r="L137" s="48"/>
      <c r="M137" s="38"/>
      <c r="N137" s="48"/>
      <c r="O137" s="48"/>
      <c r="P137" s="38"/>
      <c r="Q137" s="48"/>
      <c r="R137" s="26" t="str">
        <f>IF($I137="","",$I137&amp;"#"&amp;COUNTIF($I$5:$I137,$I137))</f>
        <v/>
      </c>
    </row>
    <row r="138" spans="1:18" ht="44" x14ac:dyDescent="0.55000000000000004">
      <c r="A138" s="57" t="s">
        <v>397</v>
      </c>
      <c r="B138" s="65" t="s">
        <v>127</v>
      </c>
      <c r="C138" s="58"/>
      <c r="D138" s="59" t="s">
        <v>208</v>
      </c>
      <c r="E138" s="57">
        <v>6</v>
      </c>
      <c r="F138" s="58" t="s">
        <v>404</v>
      </c>
      <c r="G138" s="47" t="inlineStr">
        <is>
          <t>وحدة الأنشطة بالكلية / شؤون الطلاب</t>
        </is>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57" t="s">
        <v>397</v>
      </c>
      <c r="B139" s="65" t="s">
        <v>127</v>
      </c>
      <c r="C139" s="58"/>
      <c r="D139" s="59" t="s">
        <v>208</v>
      </c>
      <c r="E139" s="57">
        <v>7</v>
      </c>
      <c r="F139" s="58" t="s">
        <v>405</v>
      </c>
      <c r="G139" s="47" t="inlineStr">
        <is>
          <t>وحدة الخريجين</t>
        </is>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60" t="s">
        <v>406</v>
      </c>
      <c r="B140" s="66" t="s">
        <v>127</v>
      </c>
      <c r="C140" s="61" t="s">
        <v>407</v>
      </c>
      <c r="D140" s="62"/>
      <c r="E140" s="54">
        <v>1</v>
      </c>
      <c r="F140" s="61" t="s">
        <v>408</v>
      </c>
      <c r="G140" s="53" t="inlineStr">
        <is>
          <t>وحدة الأنشطة بالكلية / شؤون الطلاب</t>
        </is>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46" t="s">
        <v>406</v>
      </c>
      <c r="B141" s="63" t="s">
        <v>127</v>
      </c>
      <c r="C141" s="44"/>
      <c r="D141" s="45"/>
      <c r="E141" s="46">
        <v>2</v>
      </c>
      <c r="F141" s="44" t="s">
        <v>409</v>
      </c>
      <c r="G141" s="47" t="inlineStr">
        <is>
          <t>وحدة الأنشطة بالكلية / شؤون الطلاب</t>
        </is>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46" t="s">
        <v>406</v>
      </c>
      <c r="B142" s="63" t="s">
        <v>127</v>
      </c>
      <c r="C142" s="44"/>
      <c r="D142" s="45"/>
      <c r="E142" s="46">
        <v>3</v>
      </c>
      <c r="F142" s="44" t="s">
        <v>410</v>
      </c>
      <c r="G142" s="47" t="inlineStr">
        <is>
          <t>القسم العلمي</t>
        </is>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46" t="s">
        <v>406</v>
      </c>
      <c r="B143" s="63" t="s">
        <v>127</v>
      </c>
      <c r="C143" s="44"/>
      <c r="D143" s="45"/>
      <c r="E143" s="46">
        <v>4</v>
      </c>
      <c r="F143" s="44" t="s">
        <v>411</v>
      </c>
      <c r="G143" s="47" t="inlineStr">
        <is>
          <t>وحدة الأنشطة بالكلية / شؤون الطلاب</t>
        </is>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60" t="s">
        <v>412</v>
      </c>
      <c r="B144" s="66" t="s">
        <v>127</v>
      </c>
      <c r="C144" s="61" t="s">
        <v>419</v>
      </c>
      <c r="D144" s="62"/>
      <c r="E144" s="54">
        <v>1</v>
      </c>
      <c r="F144" s="61" t="s">
        <v>420</v>
      </c>
      <c r="G144" s="53" t="inlineStr">
        <is>
          <t>وحدة الخريجين</t>
        </is>
      </c>
      <c r="H144" s="54" t="str">
        <f>IFERROR(INDEX('الإعدادات واللجنة'!$C$24:$C$32,MATCH(LEFT(A144,3),'الإعدادات واللجنة'!$A$24:$A$32,0)),"")</f>
        <v>د. عبدالله بن محمد البركاتي</v>
      </c>
      <c r="I144" s="55"/>
      <c r="J144" s="55"/>
      <c r="K144" s="54" t="str">
        <f t="shared" si="2"/>
        <v/>
      </c>
      <c r="L144" s="56"/>
      <c r="M144" s="55"/>
      <c r="N144" s="56"/>
      <c r="O144" s="56"/>
      <c r="P144" s="55"/>
      <c r="Q144" s="56"/>
      <c r="R144" s="26" t="str">
        <f>IF($I144="","",$I144&amp;"#"&amp;COUNTIF($I$5:$I144,$I144))</f>
        <v/>
      </c>
    </row>
    <row r="145" spans="1:18" ht="44" x14ac:dyDescent="0.55000000000000004">
      <c r="A145" s="46" t="s">
        <v>412</v>
      </c>
      <c r="B145" s="63" t="s">
        <v>127</v>
      </c>
      <c r="C145" s="44"/>
      <c r="D145" s="45"/>
      <c r="E145" s="46">
        <v>2</v>
      </c>
      <c r="F145" s="44" t="s">
        <v>421</v>
      </c>
      <c r="G145" s="47" t="inlineStr">
        <is>
          <t>وحدة الخريجين</t>
        </is>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46" t="s">
        <v>412</v>
      </c>
      <c r="B146" s="63" t="s">
        <v>127</v>
      </c>
      <c r="C146" s="44"/>
      <c r="D146" s="45"/>
      <c r="E146" s="46">
        <v>3</v>
      </c>
      <c r="F146" s="44" t="s">
        <v>422</v>
      </c>
      <c r="G146" s="47" t="inlineStr">
        <is>
          <t>القسم العلمي</t>
        </is>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44" x14ac:dyDescent="0.55000000000000004">
      <c r="A147" s="46" t="s">
        <v>412</v>
      </c>
      <c r="B147" s="63" t="s">
        <v>127</v>
      </c>
      <c r="C147" s="44"/>
      <c r="D147" s="45"/>
      <c r="E147" s="46">
        <v>4</v>
      </c>
      <c r="F147" s="44" t="s">
        <v>423</v>
      </c>
      <c r="G147" s="47" t="inlineStr">
        <is>
          <t>وحدة الخريجين</t>
        </is>
      </c>
      <c r="H147" s="46" t="str">
        <f>IFERROR(INDEX('الإعدادات واللجنة'!$C$24:$C$32,MATCH(LEFT(A147,3),'الإعدادات واللجنة'!$A$24:$A$32,0)),"")</f>
        <v>د. عبدالله بن محمد البركاتي</v>
      </c>
      <c r="I147" s="38"/>
      <c r="J147" s="38"/>
      <c r="K147" s="46" t="str">
        <f t="shared" si="2"/>
        <v/>
      </c>
      <c r="L147" s="48"/>
      <c r="M147" s="38"/>
      <c r="N147" s="48"/>
      <c r="O147" s="48"/>
      <c r="P147" s="38"/>
      <c r="Q147" s="48"/>
      <c r="R147" s="26" t="str">
        <f>IF($I147="","",$I147&amp;"#"&amp;COUNTIF($I$5:$I147,$I147))</f>
        <v/>
      </c>
    </row>
    <row r="148" spans="1:18" ht="44" x14ac:dyDescent="0.55000000000000004">
      <c r="A148" s="46" t="s">
        <v>412</v>
      </c>
      <c r="B148" s="63" t="s">
        <v>127</v>
      </c>
      <c r="C148" s="44"/>
      <c r="D148" s="45"/>
      <c r="E148" s="46">
        <v>5</v>
      </c>
      <c r="F148" s="44" t="s">
        <v>424</v>
      </c>
      <c r="G148" s="47" t="inlineStr">
        <is>
          <t>وحدة الخريجين</t>
        </is>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412</v>
      </c>
      <c r="B149" s="63" t="s">
        <v>127</v>
      </c>
      <c r="C149" s="44"/>
      <c r="D149" s="45"/>
      <c r="E149" s="46">
        <v>6</v>
      </c>
      <c r="F149" s="44" t="s">
        <v>425</v>
      </c>
      <c r="G149" s="47" t="inlineStr">
        <is>
          <t>إدارة الكلية</t>
        </is>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66" x14ac:dyDescent="0.55000000000000004">
      <c r="A150" s="49" t="s">
        <v>418</v>
      </c>
      <c r="B150" s="64" t="s">
        <v>127</v>
      </c>
      <c r="C150" s="50" t="s">
        <v>427</v>
      </c>
      <c r="D150" s="51" t="s">
        <v>208</v>
      </c>
      <c r="E150" s="52">
        <v>1</v>
      </c>
      <c r="F150" s="50" t="s">
        <v>428</v>
      </c>
      <c r="G150" s="53" t="inlineStr">
        <is>
          <t>وحدة الأنشطة بالكلية / شؤون الطلاب</t>
        </is>
      </c>
      <c r="H150" s="54" t="str">
        <f>IFERROR(INDEX('الإعدادات واللجنة'!$C$24:$C$32,MATCH(LEFT(A150,3),'الإعدادات واللجنة'!$A$24:$A$32,0)),"")</f>
        <v>د. عبدالله بن محمد البركاتي</v>
      </c>
      <c r="I150" s="55"/>
      <c r="J150" s="55"/>
      <c r="K150" s="54" t="str">
        <f t="shared" si="2"/>
        <v/>
      </c>
      <c r="L150" s="56"/>
      <c r="M150" s="55"/>
      <c r="N150" s="56"/>
      <c r="O150" s="56"/>
      <c r="P150" s="55"/>
      <c r="Q150" s="56"/>
      <c r="R150" s="26" t="str">
        <f>IF($I150="","",$I150&amp;"#"&amp;COUNTIF($I$5:$I150,$I150))</f>
        <v/>
      </c>
    </row>
    <row r="151" spans="1:18" ht="44" x14ac:dyDescent="0.55000000000000004">
      <c r="A151" s="57" t="s">
        <v>418</v>
      </c>
      <c r="B151" s="65" t="s">
        <v>127</v>
      </c>
      <c r="C151" s="58"/>
      <c r="D151" s="59" t="s">
        <v>208</v>
      </c>
      <c r="E151" s="57">
        <v>2</v>
      </c>
      <c r="F151" s="58" t="s">
        <v>429</v>
      </c>
      <c r="G151" s="47" t="inlineStr">
        <is>
          <t>لجنة الجودة بالكلية</t>
        </is>
      </c>
      <c r="H151" s="46" t="str">
        <f>IFERROR(INDEX('الإعدادات واللجنة'!$C$24:$C$32,MATCH(LEFT(A151,3),'الإعدادات واللجنة'!$A$24:$A$32,0)),"")</f>
        <v>د. عبدالله بن محمد البركاتي</v>
      </c>
      <c r="I151" s="38"/>
      <c r="J151" s="38"/>
      <c r="K151" s="46" t="str">
        <f t="shared" si="2"/>
        <v/>
      </c>
      <c r="L151" s="48"/>
      <c r="M151" s="38"/>
      <c r="N151" s="48"/>
      <c r="O151" s="48"/>
      <c r="P151" s="38"/>
      <c r="Q151" s="48"/>
      <c r="R151" s="26" t="str">
        <f>IF($I151="","",$I151&amp;"#"&amp;COUNTIF($I$5:$I151,$I151))</f>
        <v/>
      </c>
    </row>
    <row r="152" spans="1:18" ht="44" x14ac:dyDescent="0.55000000000000004">
      <c r="A152" s="57" t="s">
        <v>418</v>
      </c>
      <c r="B152" s="65" t="s">
        <v>127</v>
      </c>
      <c r="C152" s="58"/>
      <c r="D152" s="59" t="s">
        <v>208</v>
      </c>
      <c r="E152" s="57">
        <v>3</v>
      </c>
      <c r="F152" s="58" t="s">
        <v>430</v>
      </c>
      <c r="G152" s="47" t="inlineStr">
        <is>
          <t>لجنة الجودة بالكلية</t>
        </is>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66" x14ac:dyDescent="0.55000000000000004">
      <c r="A153" s="49" t="s">
        <v>431</v>
      </c>
      <c r="B153" s="64" t="s">
        <v>128</v>
      </c>
      <c r="C153" s="50" t="s">
        <v>432</v>
      </c>
      <c r="D153" s="51" t="s">
        <v>208</v>
      </c>
      <c r="E153" s="52">
        <v>1</v>
      </c>
      <c r="F153" s="50" t="s">
        <v>433</v>
      </c>
      <c r="G153" s="53" t="inlineStr">
        <is>
          <t>القسم العلمي</t>
        </is>
      </c>
      <c r="H153" s="54" t="str">
        <f>IFERROR(INDEX('الإعدادات واللجنة'!$C$24:$C$32,MATCH(LEFT(A153,3),'الإعدادات واللجنة'!$A$24:$A$32,0)),"")</f>
        <v>د. عمر بن محمد موسى</v>
      </c>
      <c r="I153" s="55"/>
      <c r="J153" s="55"/>
      <c r="K153" s="54" t="str">
        <f t="shared" si="2"/>
        <v/>
      </c>
      <c r="L153" s="56"/>
      <c r="M153" s="55"/>
      <c r="N153" s="56"/>
      <c r="O153" s="56"/>
      <c r="P153" s="55"/>
      <c r="Q153" s="56"/>
      <c r="R153" s="26" t="str">
        <f>IF($I153="","",$I153&amp;"#"&amp;COUNTIF($I$5:$I153,$I153))</f>
        <v/>
      </c>
    </row>
    <row r="154" spans="1:18" ht="26" x14ac:dyDescent="0.55000000000000004">
      <c r="A154" s="57" t="s">
        <v>431</v>
      </c>
      <c r="B154" s="65" t="s">
        <v>128</v>
      </c>
      <c r="C154" s="58"/>
      <c r="D154" s="59" t="s">
        <v>208</v>
      </c>
      <c r="E154" s="57">
        <v>2</v>
      </c>
      <c r="F154" s="58" t="s">
        <v>434</v>
      </c>
      <c r="G154" s="47" t="inlineStr">
        <is>
          <t>القسم العلمي</t>
        </is>
      </c>
      <c r="H154" s="46" t="str">
        <f>IFERROR(INDEX('الإعدادات واللجنة'!$C$24:$C$32,MATCH(LEFT(A154,3),'الإعدادات واللجنة'!$A$24:$A$32,0)),"")</f>
        <v>د. عمر بن محمد موسى</v>
      </c>
      <c r="I154" s="38"/>
      <c r="J154" s="38"/>
      <c r="K154" s="46" t="str">
        <f t="shared" si="2"/>
        <v/>
      </c>
      <c r="L154" s="48"/>
      <c r="M154" s="38"/>
      <c r="N154" s="48"/>
      <c r="O154" s="48"/>
      <c r="P154" s="38"/>
      <c r="Q154" s="48"/>
      <c r="R154" s="26" t="str">
        <f>IF($I154="","",$I154&amp;"#"&amp;COUNTIF($I$5:$I154,$I154))</f>
        <v/>
      </c>
    </row>
    <row r="155" spans="1:18" ht="44" x14ac:dyDescent="0.55000000000000004">
      <c r="A155" s="57" t="s">
        <v>431</v>
      </c>
      <c r="B155" s="65" t="s">
        <v>128</v>
      </c>
      <c r="C155" s="58"/>
      <c r="D155" s="59" t="s">
        <v>208</v>
      </c>
      <c r="E155" s="57">
        <v>3</v>
      </c>
      <c r="F155" s="58" t="s">
        <v>435</v>
      </c>
      <c r="G155" s="47" t="inlineStr">
        <is>
          <t>لجنة الجودة بالكلية</t>
        </is>
      </c>
      <c r="H155" s="46" t="str">
        <f>IFERROR(INDEX('الإعدادات واللجنة'!$C$24:$C$32,MATCH(LEFT(A155,3),'الإعدادات واللجنة'!$A$24:$A$32,0)),"")</f>
        <v>د. عمر بن محمد موسى</v>
      </c>
      <c r="I155" s="38"/>
      <c r="J155" s="38"/>
      <c r="K155" s="46" t="str">
        <f t="shared" si="2"/>
        <v/>
      </c>
      <c r="L155" s="48"/>
      <c r="M155" s="38"/>
      <c r="N155" s="48"/>
      <c r="O155" s="48"/>
      <c r="P155" s="38"/>
      <c r="Q155" s="48"/>
      <c r="R155" s="26" t="str">
        <f>IF($I155="","",$I155&amp;"#"&amp;COUNTIF($I$5:$I155,$I155))</f>
        <v/>
      </c>
    </row>
    <row r="156" spans="1:18" ht="44" x14ac:dyDescent="0.55000000000000004">
      <c r="A156" s="57" t="s">
        <v>431</v>
      </c>
      <c r="B156" s="65" t="s">
        <v>128</v>
      </c>
      <c r="C156" s="58"/>
      <c r="D156" s="59" t="s">
        <v>208</v>
      </c>
      <c r="E156" s="57">
        <v>4</v>
      </c>
      <c r="F156" s="58" t="s">
        <v>436</v>
      </c>
      <c r="G156" s="47" t="inlineStr">
        <is>
          <t>القسم العلمي</t>
        </is>
      </c>
      <c r="H156" s="46" t="str">
        <f>IFERROR(INDEX('الإعدادات واللجنة'!$C$24:$C$32,MATCH(LEFT(A156,3),'الإعدادات واللجنة'!$A$24:$A$32,0)),"")</f>
        <v>د. عمر بن محمد موسى</v>
      </c>
      <c r="I156" s="38"/>
      <c r="J156" s="38"/>
      <c r="K156" s="46" t="str">
        <f t="shared" si="2"/>
        <v/>
      </c>
      <c r="L156" s="48"/>
      <c r="M156" s="38"/>
      <c r="N156" s="48"/>
      <c r="O156" s="48"/>
      <c r="P156" s="38"/>
      <c r="Q156" s="48"/>
      <c r="R156" s="26" t="str">
        <f>IF($I156="","",$I156&amp;"#"&amp;COUNTIF($I$5:$I156,$I156))</f>
        <v/>
      </c>
    </row>
    <row r="157" spans="1:18" ht="44" x14ac:dyDescent="0.55000000000000004">
      <c r="A157" s="60" t="s">
        <v>437</v>
      </c>
      <c r="B157" s="66" t="s">
        <v>128</v>
      </c>
      <c r="C157" s="61" t="s">
        <v>438</v>
      </c>
      <c r="D157" s="62"/>
      <c r="E157" s="54">
        <v>1</v>
      </c>
      <c r="F157" s="61" t="s">
        <v>439</v>
      </c>
      <c r="G157" s="53" t="inlineStr">
        <is>
          <t>الموارد البشرية</t>
        </is>
      </c>
      <c r="H157" s="54" t="str">
        <f>IFERROR(INDEX('الإعدادات واللجنة'!$C$24:$C$32,MATCH(LEFT(A157,3),'الإعدادات واللجنة'!$A$24:$A$32,0)),"")</f>
        <v>د. عمر بن محمد موسى</v>
      </c>
      <c r="I157" s="55"/>
      <c r="J157" s="55"/>
      <c r="K157" s="54" t="str">
        <f t="shared" si="2"/>
        <v/>
      </c>
      <c r="L157" s="56"/>
      <c r="M157" s="55"/>
      <c r="N157" s="56"/>
      <c r="O157" s="56"/>
      <c r="P157" s="55"/>
      <c r="Q157" s="56"/>
      <c r="R157" s="26" t="str">
        <f>IF($I157="","",$I157&amp;"#"&amp;COUNTIF($I$5:$I157,$I157))</f>
        <v/>
      </c>
    </row>
    <row r="158" spans="1:18" ht="44" x14ac:dyDescent="0.55000000000000004">
      <c r="A158" s="46" t="s">
        <v>437</v>
      </c>
      <c r="B158" s="63" t="s">
        <v>128</v>
      </c>
      <c r="C158" s="44"/>
      <c r="D158" s="45"/>
      <c r="E158" s="46">
        <v>2</v>
      </c>
      <c r="F158" s="44" t="s">
        <v>440</v>
      </c>
      <c r="G158" s="47" t="inlineStr">
        <is>
          <t>القسم العلمي</t>
        </is>
      </c>
      <c r="H158" s="46" t="str">
        <f>IFERROR(INDEX('الإعدادات واللجنة'!$C$24:$C$32,MATCH(LEFT(A158,3),'الإعدادات واللجنة'!$A$24:$A$32,0)),"")</f>
        <v>د. عمر بن محمد موسى</v>
      </c>
      <c r="I158" s="38"/>
      <c r="J158" s="38"/>
      <c r="K158" s="46" t="str">
        <f t="shared" si="2"/>
        <v/>
      </c>
      <c r="L158" s="48"/>
      <c r="M158" s="38"/>
      <c r="N158" s="48"/>
      <c r="O158" s="48"/>
      <c r="P158" s="38"/>
      <c r="Q158" s="48"/>
      <c r="R158" s="26" t="str">
        <f>IF($I158="","",$I158&amp;"#"&amp;COUNTIF($I$5:$I158,$I158))</f>
        <v/>
      </c>
    </row>
    <row r="159" spans="1:18" ht="66" x14ac:dyDescent="0.55000000000000004">
      <c r="A159" s="60" t="s">
        <v>441</v>
      </c>
      <c r="B159" s="66" t="s">
        <v>128</v>
      </c>
      <c r="C159" s="61" t="s">
        <v>442</v>
      </c>
      <c r="D159" s="62"/>
      <c r="E159" s="54">
        <v>1</v>
      </c>
      <c r="F159" s="61" t="s">
        <v>443</v>
      </c>
      <c r="G159" s="53" t="inlineStr">
        <is>
          <t>القسم العلمي</t>
        </is>
      </c>
      <c r="H159" s="54" t="str">
        <f>IFERROR(INDEX('الإعدادات واللجنة'!$C$24:$C$32,MATCH(LEFT(A159,3),'الإعدادات واللجنة'!$A$24:$A$32,0)),"")</f>
        <v>د. عمر بن محمد موسى</v>
      </c>
      <c r="I159" s="55"/>
      <c r="J159" s="55"/>
      <c r="K159" s="54" t="str">
        <f t="shared" si="2"/>
        <v/>
      </c>
      <c r="L159" s="56"/>
      <c r="M159" s="55"/>
      <c r="N159" s="56"/>
      <c r="O159" s="56"/>
      <c r="P159" s="55"/>
      <c r="Q159" s="56"/>
      <c r="R159" s="26" t="str">
        <f>IF($I159="","",$I159&amp;"#"&amp;COUNTIF($I$5:$I159,$I159))</f>
        <v/>
      </c>
    </row>
    <row r="160" spans="1:18" ht="66" x14ac:dyDescent="0.55000000000000004">
      <c r="A160" s="46" t="s">
        <v>441</v>
      </c>
      <c r="B160" s="63" t="s">
        <v>128</v>
      </c>
      <c r="C160" s="44"/>
      <c r="D160" s="45"/>
      <c r="E160" s="46">
        <v>2</v>
      </c>
      <c r="F160" s="44" t="s">
        <v>444</v>
      </c>
      <c r="G160" s="47" t="inlineStr">
        <is>
          <t>إدارة الكلية</t>
        </is>
      </c>
      <c r="H160" s="46" t="str">
        <f>IFERROR(INDEX('الإعدادات واللجنة'!$C$24:$C$32,MATCH(LEFT(A160,3),'الإعدادات واللجنة'!$A$24:$A$32,0)),"")</f>
        <v>د. عمر بن محمد موسى</v>
      </c>
      <c r="I160" s="38"/>
      <c r="J160" s="38"/>
      <c r="K160" s="46" t="str">
        <f t="shared" si="2"/>
        <v/>
      </c>
      <c r="L160" s="48"/>
      <c r="M160" s="38"/>
      <c r="N160" s="48"/>
      <c r="O160" s="48"/>
      <c r="P160" s="38"/>
      <c r="Q160" s="48"/>
      <c r="R160" s="26" t="str">
        <f>IF($I160="","",$I160&amp;"#"&amp;COUNTIF($I$5:$I160,$I160))</f>
        <v/>
      </c>
    </row>
    <row r="161" spans="1:18" ht="44" x14ac:dyDescent="0.55000000000000004">
      <c r="A161" s="46" t="s">
        <v>441</v>
      </c>
      <c r="B161" s="63" t="s">
        <v>128</v>
      </c>
      <c r="C161" s="44"/>
      <c r="D161" s="45"/>
      <c r="E161" s="46">
        <v>3</v>
      </c>
      <c r="F161" s="44" t="s">
        <v>445</v>
      </c>
      <c r="G161" s="47" t="inlineStr">
        <is>
          <t>القسم العلمي</t>
        </is>
      </c>
      <c r="H161" s="46" t="str">
        <f>IFERROR(INDEX('الإعدادات واللجنة'!$C$24:$C$32,MATCH(LEFT(A161,3),'الإعدادات واللجنة'!$A$24:$A$32,0)),"")</f>
        <v>د. عمر بن محمد موسى</v>
      </c>
      <c r="I161" s="38"/>
      <c r="J161" s="38"/>
      <c r="K161" s="46" t="str">
        <f t="shared" si="2"/>
        <v/>
      </c>
      <c r="L161" s="48"/>
      <c r="M161" s="38"/>
      <c r="N161" s="48"/>
      <c r="O161" s="48"/>
      <c r="P161" s="38"/>
      <c r="Q161" s="48"/>
      <c r="R161" s="26" t="str">
        <f>IF($I161="","",$I161&amp;"#"&amp;COUNTIF($I$5:$I161,$I161))</f>
        <v/>
      </c>
    </row>
    <row r="162" spans="1:18" ht="44" x14ac:dyDescent="0.55000000000000004">
      <c r="A162" s="46" t="s">
        <v>441</v>
      </c>
      <c r="B162" s="63" t="s">
        <v>128</v>
      </c>
      <c r="C162" s="44"/>
      <c r="D162" s="45"/>
      <c r="E162" s="46">
        <v>4</v>
      </c>
      <c r="F162" s="44" t="s">
        <v>446</v>
      </c>
      <c r="G162" s="47" t="inlineStr">
        <is>
          <t>القسم العلمي</t>
        </is>
      </c>
      <c r="H162" s="46" t="str">
        <f>IFERROR(INDEX('الإعدادات واللجنة'!$C$24:$C$32,MATCH(LEFT(A162,3),'الإعدادات واللجنة'!$A$24:$A$32,0)),"")</f>
        <v>د. عمر بن محمد موسى</v>
      </c>
      <c r="I162" s="38"/>
      <c r="J162" s="38"/>
      <c r="K162" s="46" t="str">
        <f t="shared" si="2"/>
        <v/>
      </c>
      <c r="L162" s="48"/>
      <c r="M162" s="38"/>
      <c r="N162" s="48"/>
      <c r="O162" s="48"/>
      <c r="P162" s="38"/>
      <c r="Q162" s="48"/>
      <c r="R162" s="26" t="str">
        <f>IF($I162="","",$I162&amp;"#"&amp;COUNTIF($I$5:$I162,$I162))</f>
        <v/>
      </c>
    </row>
    <row r="163" spans="1:18" ht="26" x14ac:dyDescent="0.55000000000000004">
      <c r="A163" s="46" t="s">
        <v>441</v>
      </c>
      <c r="B163" s="63" t="s">
        <v>128</v>
      </c>
      <c r="C163" s="44"/>
      <c r="D163" s="45"/>
      <c r="E163" s="46">
        <v>5</v>
      </c>
      <c r="F163" s="44" t="s">
        <v>447</v>
      </c>
      <c r="G163" s="47" t="inlineStr">
        <is>
          <t>البحث العلمي والدراسات العليا</t>
        </is>
      </c>
      <c r="H163" s="46" t="str">
        <f>IFERROR(INDEX('الإعدادات واللجنة'!$C$24:$C$32,MATCH(LEFT(A163,3),'الإعدادات واللجنة'!$A$24:$A$32,0)),"")</f>
        <v>د. عمر بن محمد موسى</v>
      </c>
      <c r="I163" s="38"/>
      <c r="J163" s="38"/>
      <c r="K163" s="46" t="str">
        <f t="shared" si="2"/>
        <v/>
      </c>
      <c r="L163" s="48"/>
      <c r="M163" s="38"/>
      <c r="N163" s="48"/>
      <c r="O163" s="48"/>
      <c r="P163" s="38"/>
      <c r="Q163" s="48"/>
      <c r="R163" s="26" t="str">
        <f>IF($I163="","",$I163&amp;"#"&amp;COUNTIF($I$5:$I163,$I163))</f>
        <v/>
      </c>
    </row>
    <row r="164" spans="1:18" ht="26" x14ac:dyDescent="0.55000000000000004">
      <c r="A164" s="46" t="s">
        <v>441</v>
      </c>
      <c r="B164" s="63" t="s">
        <v>128</v>
      </c>
      <c r="C164" s="44"/>
      <c r="D164" s="45"/>
      <c r="E164" s="46">
        <v>6</v>
      </c>
      <c r="F164" s="44" t="s">
        <v>448</v>
      </c>
      <c r="G164" s="47" t="inlineStr">
        <is>
          <t>لجنة الجودة بالكلية</t>
        </is>
      </c>
      <c r="H164" s="46" t="str">
        <f>IFERROR(INDEX('الإعدادات واللجنة'!$C$24:$C$32,MATCH(LEFT(A164,3),'الإعدادات واللجنة'!$A$24:$A$32,0)),"")</f>
        <v>د. عمر بن محمد موسى</v>
      </c>
      <c r="I164" s="38"/>
      <c r="J164" s="38"/>
      <c r="K164" s="46" t="str">
        <f t="shared" si="2"/>
        <v/>
      </c>
      <c r="L164" s="48"/>
      <c r="M164" s="38"/>
      <c r="N164" s="48"/>
      <c r="O164" s="48"/>
      <c r="P164" s="38"/>
      <c r="Q164" s="48"/>
      <c r="R164" s="26" t="str">
        <f>IF($I164="","",$I164&amp;"#"&amp;COUNTIF($I$5:$I164,$I164))</f>
        <v/>
      </c>
    </row>
    <row r="165" spans="1:18" ht="44" x14ac:dyDescent="0.55000000000000004">
      <c r="A165" s="46" t="s">
        <v>441</v>
      </c>
      <c r="B165" s="63" t="s">
        <v>128</v>
      </c>
      <c r="C165" s="44"/>
      <c r="D165" s="45"/>
      <c r="E165" s="46">
        <v>7</v>
      </c>
      <c r="F165" s="44" t="s">
        <v>449</v>
      </c>
      <c r="G165" s="47" t="inlineStr">
        <is>
          <t>الموارد البشرية</t>
        </is>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60" t="s">
        <v>450</v>
      </c>
      <c r="B166" s="66" t="s">
        <v>128</v>
      </c>
      <c r="C166" s="61" t="s">
        <v>451</v>
      </c>
      <c r="D166" s="62"/>
      <c r="E166" s="54">
        <v>1</v>
      </c>
      <c r="F166" s="61" t="s">
        <v>452</v>
      </c>
      <c r="G166" s="53" t="inlineStr">
        <is>
          <t>إدارة الكلية</t>
        </is>
      </c>
      <c r="H166" s="54" t="str">
        <f>IFERROR(INDEX('الإعدادات واللجنة'!$C$24:$C$32,MATCH(LEFT(A166,3),'الإعدادات واللجنة'!$A$24:$A$32,0)),"")</f>
        <v>د. عمر بن محمد موسى</v>
      </c>
      <c r="I166" s="55"/>
      <c r="J166" s="55"/>
      <c r="K166" s="54" t="str">
        <f t="shared" si="2"/>
        <v/>
      </c>
      <c r="L166" s="56"/>
      <c r="M166" s="55"/>
      <c r="N166" s="56"/>
      <c r="O166" s="56"/>
      <c r="P166" s="55"/>
      <c r="Q166" s="56"/>
      <c r="R166" s="26" t="str">
        <f>IF($I166="","",$I166&amp;"#"&amp;COUNTIF($I$5:$I166,$I166))</f>
        <v/>
      </c>
    </row>
    <row r="167" spans="1:18" ht="26" x14ac:dyDescent="0.55000000000000004">
      <c r="A167" s="46" t="s">
        <v>450</v>
      </c>
      <c r="B167" s="63" t="s">
        <v>128</v>
      </c>
      <c r="C167" s="44"/>
      <c r="D167" s="45"/>
      <c r="E167" s="46">
        <v>2</v>
      </c>
      <c r="F167" s="44" t="s">
        <v>453</v>
      </c>
      <c r="G167" s="47" t="inlineStr">
        <is>
          <t>إدارة الكلية</t>
        </is>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46" t="s">
        <v>450</v>
      </c>
      <c r="B168" s="63" t="s">
        <v>128</v>
      </c>
      <c r="C168" s="44"/>
      <c r="D168" s="45"/>
      <c r="E168" s="46">
        <v>3</v>
      </c>
      <c r="F168" s="44" t="s">
        <v>454</v>
      </c>
      <c r="G168" s="47" t="inlineStr">
        <is>
          <t>الموارد البشرية</t>
        </is>
      </c>
      <c r="H168" s="46" t="str">
        <f>IFERROR(INDEX('الإعدادات واللجنة'!$C$24:$C$32,MATCH(LEFT(A168,3),'الإعدادات واللجنة'!$A$24:$A$32,0)),"")</f>
        <v>د. عمر بن محمد موسى</v>
      </c>
      <c r="I168" s="38"/>
      <c r="J168" s="38"/>
      <c r="K168" s="46" t="str">
        <f t="shared" si="2"/>
        <v/>
      </c>
      <c r="L168" s="48"/>
      <c r="M168" s="38"/>
      <c r="N168" s="48"/>
      <c r="O168" s="48"/>
      <c r="P168" s="38"/>
      <c r="Q168" s="48"/>
      <c r="R168" s="26" t="str">
        <f>IF($I168="","",$I168&amp;"#"&amp;COUNTIF($I$5:$I168,$I168))</f>
        <v/>
      </c>
    </row>
    <row r="169" spans="1:18" ht="66" x14ac:dyDescent="0.55000000000000004">
      <c r="A169" s="60" t="s">
        <v>455</v>
      </c>
      <c r="B169" s="66" t="s">
        <v>128</v>
      </c>
      <c r="C169" s="61" t="s">
        <v>456</v>
      </c>
      <c r="D169" s="62"/>
      <c r="E169" s="54">
        <v>1</v>
      </c>
      <c r="F169" s="61" t="s">
        <v>457</v>
      </c>
      <c r="G169" s="53" t="inlineStr">
        <is>
          <t>القسم العلمي</t>
        </is>
      </c>
      <c r="H169" s="54" t="str">
        <f>IFERROR(INDEX('الإعدادات واللجنة'!$C$24:$C$32,MATCH(LEFT(A169,3),'الإعدادات واللجنة'!$A$24:$A$32,0)),"")</f>
        <v>د. عمر بن محمد موسى</v>
      </c>
      <c r="I169" s="55"/>
      <c r="J169" s="55"/>
      <c r="K169" s="54" t="str">
        <f t="shared" si="2"/>
        <v/>
      </c>
      <c r="L169" s="56"/>
      <c r="M169" s="55"/>
      <c r="N169" s="56"/>
      <c r="O169" s="56"/>
      <c r="P169" s="55"/>
      <c r="Q169" s="56"/>
      <c r="R169" s="26" t="str">
        <f>IF($I169="","",$I169&amp;"#"&amp;COUNTIF($I$5:$I169,$I169))</f>
        <v/>
      </c>
    </row>
    <row r="170" spans="1:18" ht="26" x14ac:dyDescent="0.55000000000000004">
      <c r="A170" s="46" t="s">
        <v>455</v>
      </c>
      <c r="B170" s="63" t="s">
        <v>128</v>
      </c>
      <c r="C170" s="44"/>
      <c r="D170" s="45"/>
      <c r="E170" s="46">
        <v>2</v>
      </c>
      <c r="F170" s="44" t="s">
        <v>458</v>
      </c>
      <c r="G170" s="47" t="inlineStr">
        <is>
          <t>القسم العلمي</t>
        </is>
      </c>
      <c r="H170" s="46" t="str">
        <f>IFERROR(INDEX('الإعدادات واللجنة'!$C$24:$C$32,MATCH(LEFT(A170,3),'الإعدادات واللجنة'!$A$24:$A$32,0)),"")</f>
        <v>د. عمر بن محمد موسى</v>
      </c>
      <c r="I170" s="38"/>
      <c r="J170" s="38"/>
      <c r="K170" s="46" t="str">
        <f t="shared" si="2"/>
        <v/>
      </c>
      <c r="L170" s="48"/>
      <c r="M170" s="38"/>
      <c r="N170" s="48"/>
      <c r="O170" s="48"/>
      <c r="P170" s="38"/>
      <c r="Q170" s="48"/>
      <c r="R170" s="26" t="str">
        <f>IF($I170="","",$I170&amp;"#"&amp;COUNTIF($I$5:$I170,$I170))</f>
        <v/>
      </c>
    </row>
    <row r="171" spans="1:18" ht="44" x14ac:dyDescent="0.55000000000000004">
      <c r="A171" s="46" t="s">
        <v>455</v>
      </c>
      <c r="B171" s="63" t="s">
        <v>128</v>
      </c>
      <c r="C171" s="44"/>
      <c r="D171" s="45"/>
      <c r="E171" s="46">
        <v>3</v>
      </c>
      <c r="F171" s="44" t="s">
        <v>459</v>
      </c>
      <c r="G171" s="47" t="inlineStr">
        <is>
          <t>القسم العلمي</t>
        </is>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455</v>
      </c>
      <c r="B172" s="63" t="s">
        <v>128</v>
      </c>
      <c r="C172" s="44"/>
      <c r="D172" s="45"/>
      <c r="E172" s="46">
        <v>4</v>
      </c>
      <c r="F172" s="44" t="s">
        <v>460</v>
      </c>
      <c r="G172" s="47" t="inlineStr">
        <is>
          <t>لجنة الجودة بالكلية</t>
        </is>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26" x14ac:dyDescent="0.55000000000000004">
      <c r="A173" s="46" t="s">
        <v>455</v>
      </c>
      <c r="B173" s="63" t="s">
        <v>128</v>
      </c>
      <c r="C173" s="44"/>
      <c r="D173" s="45"/>
      <c r="E173" s="46">
        <v>5</v>
      </c>
      <c r="F173" s="44" t="s">
        <v>461</v>
      </c>
      <c r="G173" s="47" t="inlineStr">
        <is>
          <t>القسم العلمي</t>
        </is>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66" x14ac:dyDescent="0.55000000000000004">
      <c r="A174" s="60" t="s">
        <v>462</v>
      </c>
      <c r="B174" s="66" t="s">
        <v>128</v>
      </c>
      <c r="C174" s="61" t="s">
        <v>463</v>
      </c>
      <c r="D174" s="62"/>
      <c r="E174" s="54">
        <v>1</v>
      </c>
      <c r="F174" s="61" t="s">
        <v>464</v>
      </c>
      <c r="G174" s="53" t="inlineStr">
        <is>
          <t>الموارد البشرية</t>
        </is>
      </c>
      <c r="H174" s="54" t="str">
        <f>IFERROR(INDEX('الإعدادات واللجنة'!$C$24:$C$32,MATCH(LEFT(A174,3),'الإعدادات واللجنة'!$A$24:$A$32,0)),"")</f>
        <v>د. عمر بن محمد موسى</v>
      </c>
      <c r="I174" s="55"/>
      <c r="J174" s="55"/>
      <c r="K174" s="54" t="str">
        <f t="shared" si="2"/>
        <v/>
      </c>
      <c r="L174" s="56"/>
      <c r="M174" s="55"/>
      <c r="N174" s="56"/>
      <c r="O174" s="56"/>
      <c r="P174" s="55"/>
      <c r="Q174" s="56"/>
      <c r="R174" s="26" t="str">
        <f>IF($I174="","",$I174&amp;"#"&amp;COUNTIF($I$5:$I174,$I174))</f>
        <v/>
      </c>
    </row>
    <row r="175" spans="1:18" ht="26" x14ac:dyDescent="0.55000000000000004">
      <c r="A175" s="46" t="s">
        <v>462</v>
      </c>
      <c r="B175" s="63" t="s">
        <v>128</v>
      </c>
      <c r="C175" s="44"/>
      <c r="D175" s="45"/>
      <c r="E175" s="46">
        <v>2</v>
      </c>
      <c r="F175" s="44" t="s">
        <v>465</v>
      </c>
      <c r="G175" s="47" t="inlineStr">
        <is>
          <t>القسم العلمي</t>
        </is>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26" x14ac:dyDescent="0.55000000000000004">
      <c r="A176" s="46" t="s">
        <v>462</v>
      </c>
      <c r="B176" s="63" t="s">
        <v>128</v>
      </c>
      <c r="C176" s="44"/>
      <c r="D176" s="45"/>
      <c r="E176" s="46">
        <v>3</v>
      </c>
      <c r="F176" s="44" t="s">
        <v>466</v>
      </c>
      <c r="G176" s="47" t="inlineStr">
        <is>
          <t>القسم العلمي</t>
        </is>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88" x14ac:dyDescent="0.55000000000000004">
      <c r="A177" s="46" t="s">
        <v>462</v>
      </c>
      <c r="B177" s="63" t="s">
        <v>128</v>
      </c>
      <c r="C177" s="44"/>
      <c r="D177" s="45"/>
      <c r="E177" s="46">
        <v>4</v>
      </c>
      <c r="F177" s="44" t="s">
        <v>467</v>
      </c>
      <c r="G177" s="47" t="inlineStr">
        <is>
          <t>إدارة الكلية</t>
        </is>
      </c>
      <c r="H177" s="46" t="str">
        <f>IFERROR(INDEX('الإعدادات واللجنة'!$C$24:$C$32,MATCH(LEFT(A177,3),'الإعدادات واللجنة'!$A$24:$A$32,0)),"")</f>
        <v>د. عمر بن محمد موسى</v>
      </c>
      <c r="I177" s="38"/>
      <c r="J177" s="38"/>
      <c r="K177" s="46" t="str">
        <f t="shared" si="2"/>
        <v/>
      </c>
      <c r="L177" s="48"/>
      <c r="M177" s="38"/>
      <c r="N177" s="48"/>
      <c r="O177" s="48"/>
      <c r="P177" s="38"/>
      <c r="Q177" s="48"/>
      <c r="R177" s="26" t="str">
        <f>IF($I177="","",$I177&amp;"#"&amp;COUNTIF($I$5:$I177,$I177))</f>
        <v/>
      </c>
    </row>
    <row r="178" spans="1:18" ht="26" x14ac:dyDescent="0.55000000000000004">
      <c r="A178" s="46" t="s">
        <v>462</v>
      </c>
      <c r="B178" s="63" t="s">
        <v>128</v>
      </c>
      <c r="C178" s="44"/>
      <c r="D178" s="45"/>
      <c r="E178" s="46">
        <v>5</v>
      </c>
      <c r="F178" s="44" t="s">
        <v>468</v>
      </c>
      <c r="G178" s="47" t="inlineStr">
        <is>
          <t>القسم العلمي</t>
        </is>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66" x14ac:dyDescent="0.55000000000000004">
      <c r="A179" s="60" t="s">
        <v>469</v>
      </c>
      <c r="B179" s="66" t="s">
        <v>129</v>
      </c>
      <c r="C179" s="61" t="s">
        <v>470</v>
      </c>
      <c r="D179" s="62"/>
      <c r="E179" s="54">
        <v>1</v>
      </c>
      <c r="F179" s="61" t="s">
        <v>471</v>
      </c>
      <c r="G179" s="53" t="inlineStr">
        <is>
          <t>المكتبة ومصادر التعلم</t>
        </is>
      </c>
      <c r="H179" s="54" t="str">
        <f>IFERROR(INDEX('الإعدادات واللجنة'!$C$24:$C$32,MATCH(LEFT(A179,3),'الإعدادات واللجنة'!$A$24:$A$32,0)),"")</f>
        <v>د. حسن بن سعد القحطاني</v>
      </c>
      <c r="I179" s="55"/>
      <c r="J179" s="55"/>
      <c r="K179" s="54" t="str">
        <f t="shared" si="2"/>
        <v/>
      </c>
      <c r="L179" s="56"/>
      <c r="M179" s="55"/>
      <c r="N179" s="56"/>
      <c r="O179" s="56"/>
      <c r="P179" s="55"/>
      <c r="Q179" s="56"/>
      <c r="R179" s="26" t="str">
        <f>IF($I179="","",$I179&amp;"#"&amp;COUNTIF($I$5:$I179,$I179))</f>
        <v/>
      </c>
    </row>
    <row r="180" spans="1:18" ht="44" x14ac:dyDescent="0.55000000000000004">
      <c r="A180" s="46" t="s">
        <v>469</v>
      </c>
      <c r="B180" s="63" t="s">
        <v>129</v>
      </c>
      <c r="C180" s="44"/>
      <c r="D180" s="45"/>
      <c r="E180" s="46">
        <v>2</v>
      </c>
      <c r="F180" s="44" t="s">
        <v>472</v>
      </c>
      <c r="G180" s="47" t="inlineStr">
        <is>
          <t>المكتبة ومصادر التعلم</t>
        </is>
      </c>
      <c r="H180" s="46" t="str">
        <f>IFERROR(INDEX('الإعدادات واللجنة'!$C$24:$C$32,MATCH(LEFT(A180,3),'الإعدادات واللجنة'!$A$24:$A$32,0)),"")</f>
        <v>د. حسن بن سعد القحطاني</v>
      </c>
      <c r="I180" s="38"/>
      <c r="J180" s="38"/>
      <c r="K180" s="46" t="str">
        <f t="shared" si="2"/>
        <v/>
      </c>
      <c r="L180" s="48"/>
      <c r="M180" s="38"/>
      <c r="N180" s="48"/>
      <c r="O180" s="48"/>
      <c r="P180" s="38"/>
      <c r="Q180" s="48"/>
      <c r="R180" s="26" t="str">
        <f>IF($I180="","",$I180&amp;"#"&amp;COUNTIF($I$5:$I180,$I180))</f>
        <v/>
      </c>
    </row>
    <row r="181" spans="1:18" ht="44" x14ac:dyDescent="0.55000000000000004">
      <c r="A181" s="46" t="s">
        <v>469</v>
      </c>
      <c r="B181" s="63" t="s">
        <v>129</v>
      </c>
      <c r="C181" s="44"/>
      <c r="D181" s="45"/>
      <c r="E181" s="46">
        <v>3</v>
      </c>
      <c r="F181" s="44" t="s">
        <v>473</v>
      </c>
      <c r="G181" s="47" t="inlineStr">
        <is>
          <t>المكتبة ومصادر التعلم</t>
        </is>
      </c>
      <c r="H181" s="46" t="str">
        <f>IFERROR(INDEX('الإعدادات واللجنة'!$C$24:$C$32,MATCH(LEFT(A181,3),'الإعدادات واللجنة'!$A$24:$A$32,0)),"")</f>
        <v>د. حسن بن سعد القحطاني</v>
      </c>
      <c r="I181" s="38"/>
      <c r="J181" s="38"/>
      <c r="K181" s="46" t="str">
        <f t="shared" si="2"/>
        <v/>
      </c>
      <c r="L181" s="48"/>
      <c r="M181" s="38"/>
      <c r="N181" s="48"/>
      <c r="O181" s="48"/>
      <c r="P181" s="38"/>
      <c r="Q181" s="48"/>
      <c r="R181" s="26" t="str">
        <f>IF($I181="","",$I181&amp;"#"&amp;COUNTIF($I$5:$I181,$I181))</f>
        <v/>
      </c>
    </row>
    <row r="182" spans="1:18" ht="66" x14ac:dyDescent="0.55000000000000004">
      <c r="A182" s="60" t="s">
        <v>474</v>
      </c>
      <c r="B182" s="66" t="s">
        <v>129</v>
      </c>
      <c r="C182" s="61" t="s">
        <v>475</v>
      </c>
      <c r="D182" s="62"/>
      <c r="E182" s="54">
        <v>1</v>
      </c>
      <c r="F182" s="61" t="s">
        <v>476</v>
      </c>
      <c r="G182" s="53" t="inlineStr">
        <is>
          <t>المكتبة ومصادر التعلم</t>
        </is>
      </c>
      <c r="H182" s="54" t="str">
        <f>IFERROR(INDEX('الإعدادات واللجنة'!$C$24:$C$32,MATCH(LEFT(A182,3),'الإعدادات واللجنة'!$A$24:$A$32,0)),"")</f>
        <v>د. حسن بن سعد القحطاني</v>
      </c>
      <c r="I182" s="55"/>
      <c r="J182" s="55"/>
      <c r="K182" s="54" t="str">
        <f t="shared" si="2"/>
        <v/>
      </c>
      <c r="L182" s="56"/>
      <c r="M182" s="55"/>
      <c r="N182" s="56"/>
      <c r="O182" s="56"/>
      <c r="P182" s="55"/>
      <c r="Q182" s="56"/>
      <c r="R182" s="26" t="str">
        <f>IF($I182="","",$I182&amp;"#"&amp;COUNTIF($I$5:$I182,$I182))</f>
        <v/>
      </c>
    </row>
    <row r="183" spans="1:18" ht="44" x14ac:dyDescent="0.55000000000000004">
      <c r="A183" s="46" t="s">
        <v>474</v>
      </c>
      <c r="B183" s="63" t="s">
        <v>129</v>
      </c>
      <c r="C183" s="44"/>
      <c r="D183" s="45"/>
      <c r="E183" s="46">
        <v>2</v>
      </c>
      <c r="F183" s="44" t="s">
        <v>477</v>
      </c>
      <c r="G183" s="47" t="inlineStr">
        <is>
          <t>المكتبة ومصادر التعلم</t>
        </is>
      </c>
      <c r="H183" s="46" t="str">
        <f>IFERROR(INDEX('الإعدادات واللجنة'!$C$24:$C$32,MATCH(LEFT(A183,3),'الإعدادات واللجنة'!$A$24:$A$32,0)),"")</f>
        <v>د. حسن بن سعد القحطاني</v>
      </c>
      <c r="I183" s="38"/>
      <c r="J183" s="38"/>
      <c r="K183" s="46" t="str">
        <f t="shared" si="2"/>
        <v/>
      </c>
      <c r="L183" s="48"/>
      <c r="M183" s="38"/>
      <c r="N183" s="48"/>
      <c r="O183" s="48"/>
      <c r="P183" s="38"/>
      <c r="Q183" s="48"/>
      <c r="R183" s="26" t="str">
        <f>IF($I183="","",$I183&amp;"#"&amp;COUNTIF($I$5:$I183,$I183))</f>
        <v/>
      </c>
    </row>
    <row r="184" spans="1:18" ht="44" x14ac:dyDescent="0.55000000000000004">
      <c r="A184" s="46" t="s">
        <v>474</v>
      </c>
      <c r="B184" s="63" t="s">
        <v>129</v>
      </c>
      <c r="C184" s="44"/>
      <c r="D184" s="45"/>
      <c r="E184" s="46">
        <v>3</v>
      </c>
      <c r="F184" s="44" t="s">
        <v>478</v>
      </c>
      <c r="G184" s="47" t="inlineStr">
        <is>
          <t>المكتبة ومصادر التعلم</t>
        </is>
      </c>
      <c r="H184" s="46" t="str">
        <f>IFERROR(INDEX('الإعدادات واللجنة'!$C$24:$C$32,MATCH(LEFT(A184,3),'الإعدادات واللجنة'!$A$24:$A$32,0)),"")</f>
        <v>د. حسن بن سعد القحطاني</v>
      </c>
      <c r="I184" s="38"/>
      <c r="J184" s="38"/>
      <c r="K184" s="46" t="str">
        <f t="shared" si="2"/>
        <v/>
      </c>
      <c r="L184" s="48"/>
      <c r="M184" s="38"/>
      <c r="N184" s="48"/>
      <c r="O184" s="48"/>
      <c r="P184" s="38"/>
      <c r="Q184" s="48"/>
      <c r="R184" s="26" t="str">
        <f>IF($I184="","",$I184&amp;"#"&amp;COUNTIF($I$5:$I184,$I184))</f>
        <v/>
      </c>
    </row>
    <row r="185" spans="1:18" ht="88" x14ac:dyDescent="0.55000000000000004">
      <c r="A185" s="49" t="s">
        <v>479</v>
      </c>
      <c r="B185" s="64" t="s">
        <v>129</v>
      </c>
      <c r="C185" s="50" t="s">
        <v>480</v>
      </c>
      <c r="D185" s="51" t="s">
        <v>208</v>
      </c>
      <c r="E185" s="52">
        <v>1</v>
      </c>
      <c r="F185" s="50" t="s">
        <v>481</v>
      </c>
      <c r="G185" s="53" t="inlineStr">
        <is>
          <t>الأمن والسلامة والمرافق</t>
        </is>
      </c>
      <c r="H185" s="54" t="str">
        <f>IFERROR(INDEX('الإعدادات واللجنة'!$C$24:$C$32,MATCH(LEFT(A185,3),'الإعدادات واللجنة'!$A$24:$A$32,0)),"")</f>
        <v>د. حسن بن سعد القحطاني</v>
      </c>
      <c r="I185" s="55"/>
      <c r="J185" s="55"/>
      <c r="K185" s="54" t="str">
        <f t="shared" si="2"/>
        <v/>
      </c>
      <c r="L185" s="56"/>
      <c r="M185" s="55"/>
      <c r="N185" s="56"/>
      <c r="O185" s="56"/>
      <c r="P185" s="55"/>
      <c r="Q185" s="56"/>
      <c r="R185" s="26" t="str">
        <f>IF($I185="","",$I185&amp;"#"&amp;COUNTIF($I$5:$I185,$I185))</f>
        <v/>
      </c>
    </row>
    <row r="186" spans="1:18" ht="44" x14ac:dyDescent="0.55000000000000004">
      <c r="A186" s="57" t="s">
        <v>479</v>
      </c>
      <c r="B186" s="65" t="s">
        <v>129</v>
      </c>
      <c r="C186" s="58"/>
      <c r="D186" s="59" t="s">
        <v>208</v>
      </c>
      <c r="E186" s="57">
        <v>2</v>
      </c>
      <c r="F186" s="58" t="s">
        <v>482</v>
      </c>
      <c r="G186" s="47" t="inlineStr">
        <is>
          <t>الأمن والسلامة والمرافق</t>
        </is>
      </c>
      <c r="H186" s="46" t="str">
        <f>IFERROR(INDEX('الإعدادات واللجنة'!$C$24:$C$32,MATCH(LEFT(A186,3),'الإعدادات واللجنة'!$A$24:$A$32,0)),"")</f>
        <v>د. حسن بن سعد القحطاني</v>
      </c>
      <c r="I186" s="38"/>
      <c r="J186" s="38"/>
      <c r="K186" s="46" t="str">
        <f t="shared" si="2"/>
        <v/>
      </c>
      <c r="L186" s="48"/>
      <c r="M186" s="38"/>
      <c r="N186" s="48"/>
      <c r="O186" s="48"/>
      <c r="P186" s="38"/>
      <c r="Q186" s="48"/>
      <c r="R186" s="26" t="str">
        <f>IF($I186="","",$I186&amp;"#"&amp;COUNTIF($I$5:$I186,$I186))</f>
        <v/>
      </c>
    </row>
    <row r="187" spans="1:18" ht="44" x14ac:dyDescent="0.55000000000000004">
      <c r="A187" s="57" t="s">
        <v>479</v>
      </c>
      <c r="B187" s="65" t="s">
        <v>129</v>
      </c>
      <c r="C187" s="58"/>
      <c r="D187" s="59" t="s">
        <v>208</v>
      </c>
      <c r="E187" s="57">
        <v>3</v>
      </c>
      <c r="F187" s="58" t="s">
        <v>483</v>
      </c>
      <c r="G187" s="47" t="inlineStr">
        <is>
          <t>الأمن والسلامة والمرافق</t>
        </is>
      </c>
      <c r="H187" s="46" t="str">
        <f>IFERROR(INDEX('الإعدادات واللجنة'!$C$24:$C$32,MATCH(LEFT(A187,3),'الإعدادات واللجنة'!$A$24:$A$32,0)),"")</f>
        <v>د. حسن بن سعد القحطاني</v>
      </c>
      <c r="I187" s="38"/>
      <c r="J187" s="38"/>
      <c r="K187" s="46" t="str">
        <f t="shared" si="2"/>
        <v/>
      </c>
      <c r="L187" s="48"/>
      <c r="M187" s="38"/>
      <c r="N187" s="48"/>
      <c r="O187" s="48"/>
      <c r="P187" s="38"/>
      <c r="Q187" s="48"/>
      <c r="R187" s="26" t="str">
        <f>IF($I187="","",$I187&amp;"#"&amp;COUNTIF($I$5:$I187,$I187))</f>
        <v/>
      </c>
    </row>
    <row r="188" spans="1:18" ht="44" x14ac:dyDescent="0.55000000000000004">
      <c r="A188" s="57" t="s">
        <v>479</v>
      </c>
      <c r="B188" s="65" t="s">
        <v>129</v>
      </c>
      <c r="C188" s="58"/>
      <c r="D188" s="59" t="s">
        <v>208</v>
      </c>
      <c r="E188" s="57">
        <v>4</v>
      </c>
      <c r="F188" s="58" t="s">
        <v>484</v>
      </c>
      <c r="G188" s="47" t="inlineStr">
        <is>
          <t>الأمن والسلامة والمرافق</t>
        </is>
      </c>
      <c r="H188" s="46" t="str">
        <f>IFERROR(INDEX('الإعدادات واللجنة'!$C$24:$C$32,MATCH(LEFT(A188,3),'الإعدادات واللجنة'!$A$24:$A$32,0)),"")</f>
        <v>د. حسن بن سعد القحطاني</v>
      </c>
      <c r="I188" s="38"/>
      <c r="J188" s="38"/>
      <c r="K188" s="46" t="str">
        <f t="shared" si="2"/>
        <v/>
      </c>
      <c r="L188" s="48"/>
      <c r="M188" s="38"/>
      <c r="N188" s="48"/>
      <c r="O188" s="48"/>
      <c r="P188" s="38"/>
      <c r="Q188" s="48"/>
      <c r="R188" s="26" t="str">
        <f>IF($I188="","",$I188&amp;"#"&amp;COUNTIF($I$5:$I188,$I188))</f>
        <v/>
      </c>
    </row>
    <row r="189" spans="1:18" ht="44" x14ac:dyDescent="0.55000000000000004">
      <c r="A189" s="57" t="s">
        <v>479</v>
      </c>
      <c r="B189" s="65" t="s">
        <v>129</v>
      </c>
      <c r="C189" s="58"/>
      <c r="D189" s="59" t="s">
        <v>208</v>
      </c>
      <c r="E189" s="57">
        <v>5</v>
      </c>
      <c r="F189" s="58" t="s">
        <v>485</v>
      </c>
      <c r="G189" s="47" t="inlineStr">
        <is>
          <t>الأمن والسلامة والمرافق</t>
        </is>
      </c>
      <c r="H189" s="46" t="str">
        <f>IFERROR(INDEX('الإعدادات واللجنة'!$C$24:$C$32,MATCH(LEFT(A189,3),'الإعدادات واللجنة'!$A$24:$A$32,0)),"")</f>
        <v>د. حسن بن سعد القحطاني</v>
      </c>
      <c r="I189" s="38"/>
      <c r="J189" s="38"/>
      <c r="K189" s="46" t="str">
        <f t="shared" si="2"/>
        <v/>
      </c>
      <c r="L189" s="48"/>
      <c r="M189" s="38"/>
      <c r="N189" s="48"/>
      <c r="O189" s="48"/>
      <c r="P189" s="38"/>
      <c r="Q189" s="48"/>
      <c r="R189" s="26" t="str">
        <f>IF($I189="","",$I189&amp;"#"&amp;COUNTIF($I$5:$I189,$I189))</f>
        <v/>
      </c>
    </row>
    <row r="190" spans="1:18" ht="44" x14ac:dyDescent="0.55000000000000004">
      <c r="A190" s="57" t="s">
        <v>479</v>
      </c>
      <c r="B190" s="65" t="s">
        <v>129</v>
      </c>
      <c r="C190" s="58"/>
      <c r="D190" s="59" t="s">
        <v>208</v>
      </c>
      <c r="E190" s="57">
        <v>6</v>
      </c>
      <c r="F190" s="58" t="s">
        <v>486</v>
      </c>
      <c r="G190" s="47" t="inlineStr">
        <is>
          <t>الأمن والسلامة والمرافق</t>
        </is>
      </c>
      <c r="H190" s="46" t="str">
        <f>IFERROR(INDEX('الإعدادات واللجنة'!$C$24:$C$32,MATCH(LEFT(A190,3),'الإعدادات واللجنة'!$A$24:$A$32,0)),"")</f>
        <v>د. حسن بن سعد القحطاني</v>
      </c>
      <c r="I190" s="38"/>
      <c r="J190" s="38"/>
      <c r="K190" s="46" t="str">
        <f t="shared" si="2"/>
        <v/>
      </c>
      <c r="L190" s="48"/>
      <c r="M190" s="38"/>
      <c r="N190" s="48"/>
      <c r="O190" s="48"/>
      <c r="P190" s="38"/>
      <c r="Q190" s="48"/>
      <c r="R190" s="26" t="str">
        <f>IF($I190="","",$I190&amp;"#"&amp;COUNTIF($I$5:$I190,$I190))</f>
        <v/>
      </c>
    </row>
    <row r="191" spans="1:18" ht="44" x14ac:dyDescent="0.55000000000000004">
      <c r="A191" s="60" t="s">
        <v>487</v>
      </c>
      <c r="B191" s="66" t="s">
        <v>129</v>
      </c>
      <c r="C191" s="61" t="s">
        <v>488</v>
      </c>
      <c r="D191" s="62"/>
      <c r="E191" s="54">
        <v>1</v>
      </c>
      <c r="F191" s="61" t="s">
        <v>489</v>
      </c>
      <c r="G191" s="53" t="inlineStr">
        <is>
          <t>التعليم الإلكتروني</t>
        </is>
      </c>
      <c r="H191" s="54" t="str">
        <f>IFERROR(INDEX('الإعدادات واللجنة'!$C$24:$C$32,MATCH(LEFT(A191,3),'الإعدادات واللجنة'!$A$24:$A$32,0)),"")</f>
        <v>د. حسن بن سعد القحطاني</v>
      </c>
      <c r="I191" s="55"/>
      <c r="J191" s="55"/>
      <c r="K191" s="54" t="str">
        <f t="shared" si="2"/>
        <v/>
      </c>
      <c r="L191" s="56"/>
      <c r="M191" s="55"/>
      <c r="N191" s="56"/>
      <c r="O191" s="56"/>
      <c r="P191" s="55"/>
      <c r="Q191" s="56"/>
      <c r="R191" s="26" t="str">
        <f>IF($I191="","",$I191&amp;"#"&amp;COUNTIF($I$5:$I191,$I191))</f>
        <v/>
      </c>
    </row>
    <row r="192" spans="1:18" ht="44" x14ac:dyDescent="0.55000000000000004">
      <c r="A192" s="46" t="s">
        <v>487</v>
      </c>
      <c r="B192" s="63" t="s">
        <v>129</v>
      </c>
      <c r="C192" s="44"/>
      <c r="D192" s="45"/>
      <c r="E192" s="46">
        <v>2</v>
      </c>
      <c r="F192" s="44" t="s">
        <v>490</v>
      </c>
      <c r="G192" s="47" t="inlineStr">
        <is>
          <t>التعليم الإلكتروني</t>
        </is>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44" x14ac:dyDescent="0.55000000000000004">
      <c r="A193" s="46" t="s">
        <v>487</v>
      </c>
      <c r="B193" s="63" t="s">
        <v>129</v>
      </c>
      <c r="C193" s="44"/>
      <c r="D193" s="45"/>
      <c r="E193" s="46">
        <v>3</v>
      </c>
      <c r="F193" s="44" t="s">
        <v>491</v>
      </c>
      <c r="G193" s="47" t="inlineStr">
        <is>
          <t>الأمن والسلامة والمرافق</t>
        </is>
      </c>
      <c r="H193" s="46" t="str">
        <f>IFERROR(INDEX('الإعدادات واللجنة'!$C$24:$C$32,MATCH(LEFT(A193,3),'الإعدادات واللجنة'!$A$24:$A$32,0)),"")</f>
        <v>د. حسن بن سعد القحطاني</v>
      </c>
      <c r="I193" s="38"/>
      <c r="J193" s="38"/>
      <c r="K193" s="46" t="str">
        <f t="shared" si="2"/>
        <v/>
      </c>
      <c r="L193" s="48"/>
      <c r="M193" s="38"/>
      <c r="N193" s="48"/>
      <c r="O193" s="48"/>
      <c r="P193" s="38"/>
      <c r="Q193" s="48"/>
      <c r="R193" s="26" t="str">
        <f>IF($I193="","",$I193&amp;"#"&amp;COUNTIF($I$5:$I193,$I193))</f>
        <v/>
      </c>
    </row>
    <row r="194" spans="1:18" ht="44" x14ac:dyDescent="0.55000000000000004">
      <c r="A194" s="46" t="s">
        <v>487</v>
      </c>
      <c r="B194" s="63" t="s">
        <v>129</v>
      </c>
      <c r="C194" s="44"/>
      <c r="D194" s="45"/>
      <c r="E194" s="46">
        <v>4</v>
      </c>
      <c r="F194" s="44" t="s">
        <v>492</v>
      </c>
      <c r="G194" s="47" t="inlineStr">
        <is>
          <t>المكتبة ومصادر التعلم</t>
        </is>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487</v>
      </c>
      <c r="B195" s="63" t="s">
        <v>129</v>
      </c>
      <c r="C195" s="44"/>
      <c r="D195" s="45"/>
      <c r="E195" s="46">
        <v>5</v>
      </c>
      <c r="F195" s="44" t="s">
        <v>493</v>
      </c>
      <c r="G195" s="47" t="inlineStr">
        <is>
          <t>التعليم الإلكتروني</t>
        </is>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44" x14ac:dyDescent="0.55000000000000004">
      <c r="A196" s="60" t="s">
        <v>494</v>
      </c>
      <c r="B196" s="66" t="s">
        <v>129</v>
      </c>
      <c r="C196" s="61" t="s">
        <v>495</v>
      </c>
      <c r="D196" s="62"/>
      <c r="E196" s="54">
        <v>1</v>
      </c>
      <c r="F196" s="61" t="s">
        <v>496</v>
      </c>
      <c r="G196" s="53" t="inlineStr">
        <is>
          <t>المكتبة ومصادر التعلم</t>
        </is>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46" t="s">
        <v>494</v>
      </c>
      <c r="B197" s="63" t="s">
        <v>129</v>
      </c>
      <c r="C197" s="44"/>
      <c r="D197" s="45"/>
      <c r="E197" s="46">
        <v>2</v>
      </c>
      <c r="F197" s="44" t="s">
        <v>497</v>
      </c>
      <c r="G197" s="47" t="inlineStr">
        <is>
          <t>القسم العلمي</t>
        </is>
      </c>
      <c r="H197" s="46" t="str">
        <f>IFERROR(INDEX('الإعدادات واللجنة'!$C$24:$C$32,MATCH(LEFT(A197,3),'الإعدادات واللجنة'!$A$24:$A$32,0)),"")</f>
        <v>د. حسن بن سعد القحطاني</v>
      </c>
      <c r="I197" s="38"/>
      <c r="J197" s="38"/>
      <c r="K197" s="46" t="str">
        <f t="shared" ref="K197:K230" si="3">IF(OR(I197="",I197="متوفر ومكتمل"),"",IF(OR(D197="★",I197="غير متوفر"),"عالية","متوسطة"))</f>
        <v/>
      </c>
      <c r="L197" s="48"/>
      <c r="M197" s="38"/>
      <c r="N197" s="48"/>
      <c r="O197" s="48"/>
      <c r="P197" s="38"/>
      <c r="Q197" s="48"/>
      <c r="R197" s="26" t="str">
        <f>IF($I197="","",$I197&amp;"#"&amp;COUNTIF($I$5:$I197,$I197))</f>
        <v/>
      </c>
    </row>
    <row r="198" spans="1:18" ht="66" x14ac:dyDescent="0.55000000000000004">
      <c r="A198" s="49" t="s">
        <v>501</v>
      </c>
      <c r="B198" s="64" t="s">
        <v>132</v>
      </c>
      <c r="C198" s="50" t="s">
        <v>502</v>
      </c>
      <c r="D198" s="51" t="s">
        <v>208</v>
      </c>
      <c r="E198" s="52">
        <v>1</v>
      </c>
      <c r="F198" s="50" t="inlineStr">
        <is>
          <t>(مقترح) خطة البحث العلمي للبرنامج مرتبطة بالخطة البحثية للمؤسسة.</t>
        </is>
      </c>
      <c r="G198" s="69" t="inlineStr">
        <is>
          <t>البحث العلمي والدراسات العليا</t>
        </is>
      </c>
      <c r="H198" s="54" t="str">
        <f>IFERROR(INDEX('الإعدادات واللجنة'!$C$24:$C$32,MATCH(LEFT(A198,3),'الإعدادات واللجنة'!$A$24:$A$32,0)),"")</f>
        <v>د. حسن بن سعد القحطاني</v>
      </c>
      <c r="I198" s="55"/>
      <c r="J198" s="55"/>
      <c r="K198" s="54" t="str">
        <f t="shared" si="3"/>
        <v/>
      </c>
      <c r="L198" s="56"/>
      <c r="M198" s="55"/>
      <c r="N198" s="56"/>
      <c r="O198" s="56"/>
      <c r="P198" s="55"/>
      <c r="Q198" s="56"/>
      <c r="R198" s="26" t="str">
        <f>IF($I198="","",$I198&amp;"#"&amp;COUNTIF($I$5:$I198,$I198))</f>
        <v/>
      </c>
    </row>
    <row r="199" spans="1:18" ht="44" x14ac:dyDescent="0.55000000000000004">
      <c r="A199" s="57" t="s">
        <v>501</v>
      </c>
      <c r="B199" s="65" t="s">
        <v>132</v>
      </c>
      <c r="C199" s="58"/>
      <c r="D199" s="59" t="s">
        <v>208</v>
      </c>
      <c r="E199" s="57">
        <v>2</v>
      </c>
      <c r="F199" s="58" t="inlineStr">
        <is>
          <t>(مقترح) تقرير سنوي عن النشاط البحثي ومؤشراته (KPI-PG-9 إلى KPI-PG-13) مع المقارنة المرجعية.</t>
        </is>
      </c>
      <c r="G199" s="70" t="inlineStr">
        <is>
          <t>البحث العلمي والدراسات العليا</t>
        </is>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501</v>
      </c>
      <c r="B200" s="65" t="s">
        <v>132</v>
      </c>
      <c r="C200" s="58"/>
      <c r="D200" s="59" t="s">
        <v>208</v>
      </c>
      <c r="E200" s="57">
        <v>3</v>
      </c>
      <c r="F200" s="58" t="inlineStr">
        <is>
          <t>(مقترح) إجراءات التحسين المتخذة بناءً على نتائج المؤشرات البحثية.</t>
        </is>
      </c>
      <c r="G200" s="70" t="inlineStr">
        <is>
          <t>البحث العلمي والدراسات العليا</t>
        </is>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60" t="s">
        <v>507</v>
      </c>
      <c r="B201" s="66" t="s">
        <v>132</v>
      </c>
      <c r="C201" s="61" t="s">
        <v>508</v>
      </c>
      <c r="D201" s="62"/>
      <c r="E201" s="54">
        <v>1</v>
      </c>
      <c r="F201" s="61" t="inlineStr">
        <is>
          <t>(مقترح) وثيقة الأولويات البحثية للبرنامج معتمدة من المجلس.</t>
        </is>
      </c>
      <c r="G201" s="69" t="inlineStr">
        <is>
          <t>البحث العلمي والدراسات العليا</t>
        </is>
      </c>
      <c r="H201" s="54" t="str">
        <f>IFERROR(INDEX('الإعدادات واللجنة'!$C$24:$C$32,MATCH(LEFT(A201,3),'الإعدادات واللجنة'!$A$24:$A$32,0)),"")</f>
        <v>د. حسن بن سعد القحطاني</v>
      </c>
      <c r="I201" s="55"/>
      <c r="J201" s="55"/>
      <c r="K201" s="54" t="str">
        <f t="shared" si="3"/>
        <v/>
      </c>
      <c r="L201" s="56"/>
      <c r="M201" s="55"/>
      <c r="N201" s="56"/>
      <c r="O201" s="56"/>
      <c r="P201" s="55"/>
      <c r="Q201" s="56"/>
      <c r="R201" s="26" t="str">
        <f>IF($I201="","",$I201&amp;"#"&amp;COUNTIF($I$5:$I201,$I201))</f>
        <v/>
      </c>
    </row>
    <row r="202" spans="1:18" ht="44" x14ac:dyDescent="0.55000000000000004">
      <c r="A202" s="46" t="s">
        <v>507</v>
      </c>
      <c r="B202" s="63" t="s">
        <v>132</v>
      </c>
      <c r="C202" s="44"/>
      <c r="D202" s="45"/>
      <c r="E202" s="46">
        <v>2</v>
      </c>
      <c r="F202" s="44" t="inlineStr">
        <is>
          <t>(مقترح) مصفوفة ربط الأولويات البحثية برسالة المؤسسة والتوجهات الوطنية.</t>
        </is>
      </c>
      <c r="G202" s="70" t="inlineStr">
        <is>
          <t>البحث العلمي والدراسات العليا</t>
        </is>
      </c>
      <c r="H202" s="46" t="str">
        <f>IFERROR(INDEX('الإعدادات واللجنة'!$C$24:$C$32,MATCH(LEFT(A202,3),'الإعدادات واللجنة'!$A$24:$A$32,0)),"")</f>
        <v>د. حسن بن سعد القحطاني</v>
      </c>
      <c r="I202" s="38"/>
      <c r="J202" s="38"/>
      <c r="K202" s="46" t="str">
        <f t="shared" si="3"/>
        <v/>
      </c>
      <c r="L202" s="48"/>
      <c r="M202" s="38"/>
      <c r="N202" s="48"/>
      <c r="O202" s="48"/>
      <c r="P202" s="38"/>
      <c r="Q202" s="48"/>
      <c r="R202" s="26" t="str">
        <f>IF($I202="","",$I202&amp;"#"&amp;COUNTIF($I$5:$I202,$I202))</f>
        <v/>
      </c>
    </row>
    <row r="203" spans="1:18" ht="44" x14ac:dyDescent="0.55000000000000004">
      <c r="A203" s="46" t="s">
        <v>507</v>
      </c>
      <c r="B203" s="63" t="s">
        <v>132</v>
      </c>
      <c r="C203" s="44"/>
      <c r="D203" s="45"/>
      <c r="E203" s="46">
        <v>3</v>
      </c>
      <c r="F203" s="44" t="inlineStr">
        <is>
          <t>(مقترح) نماذج من عناوين الرسائل والمشاريع المرتبطة بالأولويات البحثية.</t>
        </is>
      </c>
      <c r="G203" s="70" t="inlineStr">
        <is>
          <t>البحث العلمي والدراسات العليا</t>
        </is>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60" t="s">
        <v>512</v>
      </c>
      <c r="B204" s="66" t="s">
        <v>132</v>
      </c>
      <c r="C204" s="61" t="s">
        <v>513</v>
      </c>
      <c r="D204" s="62"/>
      <c r="E204" s="54">
        <v>1</v>
      </c>
      <c r="F204" s="61" t="inlineStr">
        <is>
          <t>(مقترح) قائمة بالمعامل والتجهيزات والبرمجيات وقواعد البيانات المتاحة للبحث.</t>
        </is>
      </c>
      <c r="G204" s="69" t="inlineStr">
        <is>
          <t>البحث العلمي والدراسات العليا</t>
        </is>
      </c>
      <c r="H204" s="54" t="str">
        <f>IFERROR(INDEX('الإعدادات واللجنة'!$C$24:$C$32,MATCH(LEFT(A204,3),'الإعدادات واللجنة'!$A$24:$A$32,0)),"")</f>
        <v>د. حسن بن سعد القحطاني</v>
      </c>
      <c r="I204" s="55"/>
      <c r="J204" s="55"/>
      <c r="K204" s="54" t="str">
        <f t="shared" si="3"/>
        <v/>
      </c>
      <c r="L204" s="56"/>
      <c r="M204" s="55"/>
      <c r="N204" s="56"/>
      <c r="O204" s="56"/>
      <c r="P204" s="55"/>
      <c r="Q204" s="56"/>
      <c r="R204" s="26" t="str">
        <f>IF($I204="","",$I204&amp;"#"&amp;COUNTIF($I$5:$I204,$I204))</f>
        <v/>
      </c>
    </row>
    <row r="205" spans="1:18" ht="44" x14ac:dyDescent="0.55000000000000004">
      <c r="A205" s="46" t="s">
        <v>512</v>
      </c>
      <c r="B205" s="63" t="s">
        <v>132</v>
      </c>
      <c r="C205" s="44"/>
      <c r="D205" s="45"/>
      <c r="E205" s="46">
        <v>2</v>
      </c>
      <c r="F205" s="44" t="inlineStr">
        <is>
          <t>(مقترح) بيانات الدعم المالي للبحوث (منح داخلية وخارجية).</t>
        </is>
      </c>
      <c r="G205" s="70" t="inlineStr">
        <is>
          <t>البحث العلمي والدراسات العليا</t>
        </is>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512</v>
      </c>
      <c r="B206" s="63" t="s">
        <v>132</v>
      </c>
      <c r="C206" s="44"/>
      <c r="D206" s="45"/>
      <c r="E206" s="46">
        <v>3</v>
      </c>
      <c r="F206" s="44" t="inlineStr">
        <is>
          <t>(مقترح) استطلاع رأي هيئة التدريس والطلاب حول البيئة البحثية.</t>
        </is>
      </c>
      <c r="G206" s="70" t="inlineStr">
        <is>
          <t>البحث العلمي والدراسات العليا</t>
        </is>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66" x14ac:dyDescent="0.55000000000000004">
      <c r="A207" s="60" t="s">
        <v>517</v>
      </c>
      <c r="B207" s="66" t="s">
        <v>132</v>
      </c>
      <c r="C207" s="61" t="s">
        <v>518</v>
      </c>
      <c r="D207" s="62"/>
      <c r="E207" s="54">
        <v>1</v>
      </c>
      <c r="F207" s="61" t="inlineStr">
        <is>
          <t>(مقترح) خطة وسجل الورش والدورات في المهارات البحثية والنشر العلمي.</t>
        </is>
      </c>
      <c r="G207" s="69" t="inlineStr">
        <is>
          <t>البحث العلمي والدراسات العليا</t>
        </is>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517</v>
      </c>
      <c r="B208" s="63" t="s">
        <v>132</v>
      </c>
      <c r="C208" s="44"/>
      <c r="D208" s="45"/>
      <c r="E208" s="46">
        <v>2</v>
      </c>
      <c r="F208" s="44" t="inlineStr">
        <is>
          <t>(مقترح) نماذج من الحلقات العلمية (السمنارات) ولقاءات تبادل الخبرات.</t>
        </is>
      </c>
      <c r="G208" s="70" t="inlineStr">
        <is>
          <t>البحث العلمي والدراسات العليا</t>
        </is>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row r="209" spans="1:18" ht="44" x14ac:dyDescent="0.55000000000000004">
      <c r="A209" s="46" t="s">
        <v>517</v>
      </c>
      <c r="B209" s="63" t="s">
        <v>132</v>
      </c>
      <c r="C209" s="44"/>
      <c r="D209" s="45"/>
      <c r="E209" s="46">
        <v>3</v>
      </c>
      <c r="F209" s="44" t="inlineStr">
        <is>
          <t>(مقترح) تقرير تقييم فاعلية هذه الآليات وتطويرها.</t>
        </is>
      </c>
      <c r="G209" s="70" t="inlineStr">
        <is>
          <t>البحث العلمي والدراسات العليا</t>
        </is>
      </c>
      <c r="H209" s="46" t="str">
        <f>IFERROR(INDEX('الإعدادات واللجنة'!$C$24:$C$32,MATCH(LEFT(A209,3),'الإعدادات واللجنة'!$A$24:$A$32,0)),"")</f>
        <v>د. حسن بن سعد القحطاني</v>
      </c>
      <c r="I209" s="38"/>
      <c r="J209" s="38"/>
      <c r="K209" s="46" t="str">
        <f t="shared" si="3"/>
        <v/>
      </c>
      <c r="L209" s="48"/>
      <c r="M209" s="38"/>
      <c r="N209" s="48"/>
      <c r="O209" s="48"/>
      <c r="P209" s="38"/>
      <c r="Q209" s="48"/>
      <c r="R209" s="26" t="str">
        <f>IF($I209="","",$I209&amp;"#"&amp;COUNTIF($I$5:$I209,$I209))</f>
        <v/>
      </c>
    </row>
    <row r="210" spans="1:18" ht="44" x14ac:dyDescent="0.55000000000000004">
      <c r="A210" s="60" t="s">
        <v>522</v>
      </c>
      <c r="B210" s="66" t="s">
        <v>132</v>
      </c>
      <c r="C210" s="61" t="s">
        <v>523</v>
      </c>
      <c r="D210" s="62"/>
      <c r="E210" s="54">
        <v>1</v>
      </c>
      <c r="F210" s="61" t="inlineStr">
        <is>
          <t>(مقترح) قائمة بالمشاريع البحثية الممولة من جهات خارجية.</t>
        </is>
      </c>
      <c r="G210" s="69" t="inlineStr">
        <is>
          <t>البحث العلمي والدراسات العليا</t>
        </is>
      </c>
      <c r="H210" s="54" t="str">
        <f>IFERROR(INDEX('الإعدادات واللجنة'!$C$24:$C$32,MATCH(LEFT(A210,3),'الإعدادات واللجنة'!$A$24:$A$32,0)),"")</f>
        <v>د. حسن بن سعد القحطاني</v>
      </c>
      <c r="I210" s="55"/>
      <c r="J210" s="55"/>
      <c r="K210" s="54" t="str">
        <f t="shared" si="3"/>
        <v/>
      </c>
      <c r="L210" s="56"/>
      <c r="M210" s="55"/>
      <c r="N210" s="56"/>
      <c r="O210" s="56"/>
      <c r="P210" s="55"/>
      <c r="Q210" s="56"/>
      <c r="R210" s="26" t="str">
        <f>IF($I210="","",$I210&amp;"#"&amp;COUNTIF($I$5:$I210,$I210))</f>
        <v/>
      </c>
    </row>
    <row r="211" spans="1:18" ht="44" x14ac:dyDescent="0.55000000000000004">
      <c r="A211" s="46" t="s">
        <v>522</v>
      </c>
      <c r="B211" s="63" t="s">
        <v>132</v>
      </c>
      <c r="C211" s="44"/>
      <c r="D211" s="45"/>
      <c r="E211" s="46">
        <v>2</v>
      </c>
      <c r="F211" s="44" t="inlineStr">
        <is>
          <t>(مقترح) اتفاقيات وشراكات التمويل البحثي.</t>
        </is>
      </c>
      <c r="G211" s="70" t="inlineStr">
        <is>
          <t>البحث العلمي والدراسات العليا</t>
        </is>
      </c>
      <c r="H211" s="46" t="str">
        <f>IFERROR(INDEX('الإعدادات واللجنة'!$C$24:$C$32,MATCH(LEFT(A211,3),'الإعدادات واللجنة'!$A$24:$A$32,0)),"")</f>
        <v>د. حسن بن سعد القحطاني</v>
      </c>
      <c r="I211" s="38"/>
      <c r="J211" s="38"/>
      <c r="K211" s="46" t="str">
        <f t="shared" si="3"/>
        <v/>
      </c>
      <c r="L211" s="48"/>
      <c r="M211" s="38"/>
      <c r="N211" s="48"/>
      <c r="O211" s="48"/>
      <c r="P211" s="38"/>
      <c r="Q211" s="48"/>
      <c r="R211" s="26" t="str">
        <f>IF($I211="","",$I211&amp;"#"&amp;COUNTIF($I$5:$I211,$I211))</f>
        <v/>
      </c>
    </row>
    <row r="212" spans="1:18" ht="44" x14ac:dyDescent="0.55000000000000004">
      <c r="A212" s="46" t="s">
        <v>522</v>
      </c>
      <c r="B212" s="63" t="s">
        <v>132</v>
      </c>
      <c r="C212" s="44"/>
      <c r="D212" s="45"/>
      <c r="E212" s="46">
        <v>3</v>
      </c>
      <c r="F212" s="44" t="inlineStr">
        <is>
          <t>(مقترح) آليات البرنامج للتقديم على المنح البحثية.</t>
        </is>
      </c>
      <c r="G212" s="70" t="inlineStr">
        <is>
          <t>البحث العلمي والدراسات العليا</t>
        </is>
      </c>
      <c r="H212" s="46" t="str">
        <f>IFERROR(INDEX('الإعدادات واللجنة'!$C$24:$C$32,MATCH(LEFT(A212,3),'الإعدادات واللجنة'!$A$24:$A$32,0)),"")</f>
        <v>د. حسن بن سعد القحطاني</v>
      </c>
      <c r="I212" s="38"/>
      <c r="J212" s="38"/>
      <c r="K212" s="46" t="str">
        <f t="shared" si="3"/>
        <v/>
      </c>
      <c r="L212" s="48"/>
      <c r="M212" s="38"/>
      <c r="N212" s="48"/>
      <c r="O212" s="48"/>
      <c r="P212" s="38"/>
      <c r="Q212" s="48"/>
      <c r="R212" s="26" t="str">
        <f>IF($I212="","",$I212&amp;"#"&amp;COUNTIF($I$5:$I212,$I212))</f>
        <v/>
      </c>
    </row>
    <row r="213" spans="1:18" ht="44" x14ac:dyDescent="0.55000000000000004">
      <c r="A213" s="60" t="s">
        <v>527</v>
      </c>
      <c r="B213" s="66" t="s">
        <v>132</v>
      </c>
      <c r="C213" s="61" t="s">
        <v>528</v>
      </c>
      <c r="D213" s="62"/>
      <c r="E213" s="54">
        <v>1</v>
      </c>
      <c r="F213" s="61" t="inlineStr">
        <is>
          <t>(مقترح) الإجراءات المعتمدة لتسجيل مقترحات الرسائل واعتمادها ومددها الزمنية.</t>
        </is>
      </c>
      <c r="G213" s="69" t="inlineStr">
        <is>
          <t>البحث العلمي والدراسات العليا</t>
        </is>
      </c>
      <c r="H213" s="54" t="str">
        <f>IFERROR(INDEX('الإعدادات واللجنة'!$C$24:$C$32,MATCH(LEFT(A213,3),'الإعدادات واللجنة'!$A$24:$A$32,0)),"")</f>
        <v>د. حسن بن سعد القحطاني</v>
      </c>
      <c r="I213" s="55"/>
      <c r="J213" s="55"/>
      <c r="K213" s="54" t="str">
        <f t="shared" si="3"/>
        <v/>
      </c>
      <c r="L213" s="56"/>
      <c r="M213" s="55"/>
      <c r="N213" s="56"/>
      <c r="O213" s="56"/>
      <c r="P213" s="55"/>
      <c r="Q213" s="56"/>
      <c r="R213" s="26" t="str">
        <f>IF($I213="","",$I213&amp;"#"&amp;COUNTIF($I$5:$I213,$I213))</f>
        <v/>
      </c>
    </row>
    <row r="214" spans="1:18" ht="44" x14ac:dyDescent="0.55000000000000004">
      <c r="A214" s="46" t="s">
        <v>527</v>
      </c>
      <c r="B214" s="63" t="s">
        <v>132</v>
      </c>
      <c r="C214" s="44"/>
      <c r="D214" s="45"/>
      <c r="E214" s="46">
        <v>2</v>
      </c>
      <c r="F214" s="44" t="inlineStr">
        <is>
          <t>(مقترح) نماذج من محاضر اعتماد خطط الرسائل.</t>
        </is>
      </c>
      <c r="G214" s="70" t="inlineStr">
        <is>
          <t>البحث العلمي والدراسات العليا</t>
        </is>
      </c>
      <c r="H214" s="46" t="str">
        <f>IFERROR(INDEX('الإعدادات واللجنة'!$C$24:$C$32,MATCH(LEFT(A214,3),'الإعدادات واللجنة'!$A$24:$A$32,0)),"")</f>
        <v>د. حسن بن سعد القحطاني</v>
      </c>
      <c r="I214" s="38"/>
      <c r="J214" s="38"/>
      <c r="K214" s="46" t="str">
        <f t="shared" si="3"/>
        <v/>
      </c>
      <c r="L214" s="48"/>
      <c r="M214" s="38"/>
      <c r="N214" s="48"/>
      <c r="O214" s="48"/>
      <c r="P214" s="38"/>
      <c r="Q214" s="48"/>
      <c r="R214" s="26" t="str">
        <f>IF($I214="","",$I214&amp;"#"&amp;COUNTIF($I$5:$I214,$I214))</f>
        <v/>
      </c>
    </row>
    <row r="215" spans="1:18" ht="44" x14ac:dyDescent="0.55000000000000004">
      <c r="A215" s="46" t="s">
        <v>527</v>
      </c>
      <c r="B215" s="63" t="s">
        <v>132</v>
      </c>
      <c r="C215" s="44"/>
      <c r="D215" s="45"/>
      <c r="E215" s="46">
        <v>3</v>
      </c>
      <c r="F215" s="44" t="inlineStr">
        <is>
          <t>(مقترح) إحصاء بمتوسط مدة اعتماد مقترحات الرسائل.</t>
        </is>
      </c>
      <c r="G215" s="70" t="inlineStr">
        <is>
          <t>البحث العلمي والدراسات العليا</t>
        </is>
      </c>
      <c r="H215" s="46" t="str">
        <f>IFERROR(INDEX('الإعدادات واللجنة'!$C$24:$C$32,MATCH(LEFT(A215,3),'الإعدادات واللجنة'!$A$24:$A$32,0)),"")</f>
        <v>د. حسن بن سعد القحطاني</v>
      </c>
      <c r="I215" s="38"/>
      <c r="J215" s="38"/>
      <c r="K215" s="46" t="str">
        <f t="shared" si="3"/>
        <v/>
      </c>
      <c r="L215" s="48"/>
      <c r="M215" s="38"/>
      <c r="N215" s="48"/>
      <c r="O215" s="48"/>
      <c r="P215" s="38"/>
      <c r="Q215" s="48"/>
      <c r="R215" s="26" t="str">
        <f>IF($I215="","",$I215&amp;"#"&amp;COUNTIF($I$5:$I215,$I215))</f>
        <v/>
      </c>
    </row>
    <row r="216" spans="1:18" ht="44" x14ac:dyDescent="0.55000000000000004">
      <c r="A216" s="60" t="s">
        <v>532</v>
      </c>
      <c r="B216" s="66" t="s">
        <v>132</v>
      </c>
      <c r="C216" s="61" t="s">
        <v>533</v>
      </c>
      <c r="D216" s="62"/>
      <c r="E216" s="54">
        <v>1</v>
      </c>
      <c r="F216" s="61" t="inlineStr">
        <is>
          <t>(مقترح) دليل إعداد الرسائل العلمية وتقويمها.</t>
        </is>
      </c>
      <c r="G216" s="69" t="inlineStr">
        <is>
          <t>البحث العلمي والدراسات العليا</t>
        </is>
      </c>
      <c r="H216" s="54" t="str">
        <f>IFERROR(INDEX('الإعدادات واللجنة'!$C$24:$C$32,MATCH(LEFT(A216,3),'الإعدادات واللجنة'!$A$24:$A$32,0)),"")</f>
        <v>د. حسن بن سعد القحطاني</v>
      </c>
      <c r="I216" s="55"/>
      <c r="J216" s="55"/>
      <c r="K216" s="54" t="str">
        <f t="shared" si="3"/>
        <v/>
      </c>
      <c r="L216" s="56"/>
      <c r="M216" s="55"/>
      <c r="N216" s="56"/>
      <c r="O216" s="56"/>
      <c r="P216" s="55"/>
      <c r="Q216" s="56"/>
      <c r="R216" s="26" t="str">
        <f>IF($I216="","",$I216&amp;"#"&amp;COUNTIF($I$5:$I216,$I216))</f>
        <v/>
      </c>
    </row>
    <row r="217" spans="1:18" ht="44" x14ac:dyDescent="0.55000000000000004">
      <c r="A217" s="46" t="s">
        <v>532</v>
      </c>
      <c r="B217" s="63" t="s">
        <v>132</v>
      </c>
      <c r="C217" s="44"/>
      <c r="D217" s="45"/>
      <c r="E217" s="46">
        <v>2</v>
      </c>
      <c r="F217" s="44" t="inlineStr">
        <is>
          <t>(مقترح) دليل طالب الدراسات العليا.</t>
        </is>
      </c>
      <c r="G217" s="70" t="inlineStr">
        <is>
          <t>البحث العلمي والدراسات العليا</t>
        </is>
      </c>
      <c r="H217" s="46" t="str">
        <f>IFERROR(INDEX('الإعدادات واللجنة'!$C$24:$C$32,MATCH(LEFT(A217,3),'الإعدادات واللجنة'!$A$24:$A$32,0)),"")</f>
        <v>د. حسن بن سعد القحطاني</v>
      </c>
      <c r="I217" s="38"/>
      <c r="J217" s="38"/>
      <c r="K217" s="46" t="str">
        <f t="shared" si="3"/>
        <v/>
      </c>
      <c r="L217" s="48"/>
      <c r="M217" s="38"/>
      <c r="N217" s="48"/>
      <c r="O217" s="48"/>
      <c r="P217" s="38"/>
      <c r="Q217" s="48"/>
      <c r="R217" s="26" t="str">
        <f>IF($I217="","",$I217&amp;"#"&amp;COUNTIF($I$5:$I217,$I217))</f>
        <v/>
      </c>
    </row>
    <row r="218" spans="1:18" ht="44" x14ac:dyDescent="0.55000000000000004">
      <c r="A218" s="46" t="s">
        <v>532</v>
      </c>
      <c r="B218" s="63" t="s">
        <v>132</v>
      </c>
      <c r="C218" s="44"/>
      <c r="D218" s="45"/>
      <c r="E218" s="46">
        <v>3</v>
      </c>
      <c r="F218" s="44" t="inlineStr">
        <is>
          <t>(مقترح) روابط نشر الأدلة على الموقع الإلكتروني.</t>
        </is>
      </c>
      <c r="G218" s="70" t="inlineStr">
        <is>
          <t>البحث العلمي والدراسات العليا</t>
        </is>
      </c>
      <c r="H218" s="46" t="str">
        <f>IFERROR(INDEX('الإعدادات واللجنة'!$C$24:$C$32,MATCH(LEFT(A218,3),'الإعدادات واللجنة'!$A$24:$A$32,0)),"")</f>
        <v>د. حسن بن سعد القحطاني</v>
      </c>
      <c r="I218" s="38"/>
      <c r="J218" s="38"/>
      <c r="K218" s="46" t="str">
        <f t="shared" si="3"/>
        <v/>
      </c>
      <c r="L218" s="48"/>
      <c r="M218" s="38"/>
      <c r="N218" s="48"/>
      <c r="O218" s="48"/>
      <c r="P218" s="38"/>
      <c r="Q218" s="48"/>
      <c r="R218" s="26" t="str">
        <f>IF($I218="","",$I218&amp;"#"&amp;COUNTIF($I$5:$I218,$I218))</f>
        <v/>
      </c>
    </row>
    <row r="219" spans="1:18" ht="66" x14ac:dyDescent="0.55000000000000004">
      <c r="A219" s="60" t="s">
        <v>537</v>
      </c>
      <c r="B219" s="66" t="s">
        <v>132</v>
      </c>
      <c r="C219" s="61" t="s">
        <v>538</v>
      </c>
      <c r="D219" s="62"/>
      <c r="E219" s="54">
        <v>1</v>
      </c>
      <c r="F219" s="61" t="inlineStr">
        <is>
          <t>(مقترح) لائحة أو معايير الإشراف العلمي وعبء الإشراف.</t>
        </is>
      </c>
      <c r="G219" s="69" t="inlineStr">
        <is>
          <t>البحث العلمي والدراسات العليا</t>
        </is>
      </c>
      <c r="H219" s="54" t="str">
        <f>IFERROR(INDEX('الإعدادات واللجنة'!$C$24:$C$32,MATCH(LEFT(A219,3),'الإعدادات واللجنة'!$A$24:$A$32,0)),"")</f>
        <v>د. حسن بن سعد القحطاني</v>
      </c>
      <c r="I219" s="55"/>
      <c r="J219" s="55"/>
      <c r="K219" s="54" t="str">
        <f t="shared" si="3"/>
        <v/>
      </c>
      <c r="L219" s="56"/>
      <c r="M219" s="55"/>
      <c r="N219" s="56"/>
      <c r="O219" s="56"/>
      <c r="P219" s="55"/>
      <c r="Q219" s="56"/>
      <c r="R219" s="26" t="str">
        <f>IF($I219="","",$I219&amp;"#"&amp;COUNTIF($I$5:$I219,$I219))</f>
        <v/>
      </c>
    </row>
    <row r="220" spans="1:18" ht="44" x14ac:dyDescent="0.55000000000000004">
      <c r="A220" s="46" t="s">
        <v>537</v>
      </c>
      <c r="B220" s="63" t="s">
        <v>132</v>
      </c>
      <c r="C220" s="44"/>
      <c r="D220" s="45"/>
      <c r="E220" s="46">
        <v>2</v>
      </c>
      <c r="F220" s="44" t="inlineStr">
        <is>
          <t>(مقترح) نماذج تقارير متابعة تقدم الطالب البحثي.</t>
        </is>
      </c>
      <c r="G220" s="70" t="inlineStr">
        <is>
          <t>البحث العلمي والدراسات العليا</t>
        </is>
      </c>
      <c r="H220" s="46" t="str">
        <f>IFERROR(INDEX('الإعدادات واللجنة'!$C$24:$C$32,MATCH(LEFT(A220,3),'الإعدادات واللجنة'!$A$24:$A$32,0)),"")</f>
        <v>د. حسن بن سعد القحطاني</v>
      </c>
      <c r="I220" s="38"/>
      <c r="J220" s="38"/>
      <c r="K220" s="46" t="str">
        <f t="shared" si="3"/>
        <v/>
      </c>
      <c r="L220" s="48"/>
      <c r="M220" s="38"/>
      <c r="N220" s="48"/>
      <c r="O220" s="48"/>
      <c r="P220" s="38"/>
      <c r="Q220" s="48"/>
      <c r="R220" s="26" t="str">
        <f>IF($I220="","",$I220&amp;"#"&amp;COUNTIF($I$5:$I220,$I220))</f>
        <v/>
      </c>
    </row>
    <row r="221" spans="1:18" ht="44" x14ac:dyDescent="0.55000000000000004">
      <c r="A221" s="46" t="s">
        <v>537</v>
      </c>
      <c r="B221" s="63" t="s">
        <v>132</v>
      </c>
      <c r="C221" s="44"/>
      <c r="D221" s="45"/>
      <c r="E221" s="46">
        <v>3</v>
      </c>
      <c r="F221" s="44" t="inlineStr">
        <is>
          <t>(مقترح) نتائج تقييم الطلاب لجودة الإشراف (KPI-PG-3) وإجراءات التحسين.</t>
        </is>
      </c>
      <c r="G221" s="70" t="inlineStr">
        <is>
          <t>البحث العلمي والدراسات العليا</t>
        </is>
      </c>
      <c r="H221" s="46" t="str">
        <f>IFERROR(INDEX('الإعدادات واللجنة'!$C$24:$C$32,MATCH(LEFT(A221,3),'الإعدادات واللجنة'!$A$24:$A$32,0)),"")</f>
        <v>د. حسن بن سعد القحطاني</v>
      </c>
      <c r="I221" s="38"/>
      <c r="J221" s="38"/>
      <c r="K221" s="46" t="str">
        <f t="shared" si="3"/>
        <v/>
      </c>
      <c r="L221" s="48"/>
      <c r="M221" s="38"/>
      <c r="N221" s="48"/>
      <c r="O221" s="48"/>
      <c r="P221" s="38"/>
      <c r="Q221" s="48"/>
      <c r="R221" s="26" t="str">
        <f>IF($I221="","",$I221&amp;"#"&amp;COUNTIF($I$5:$I221,$I221))</f>
        <v/>
      </c>
    </row>
    <row r="222" spans="1:18" ht="44" x14ac:dyDescent="0.55000000000000004">
      <c r="A222" s="60" t="s">
        <v>542</v>
      </c>
      <c r="B222" s="66" t="s">
        <v>132</v>
      </c>
      <c r="C222" s="61" t="s">
        <v>543</v>
      </c>
      <c r="D222" s="62"/>
      <c r="E222" s="54">
        <v>1</v>
      </c>
      <c r="F222" s="61" t="inlineStr">
        <is>
          <t>(مقترح) إجراءات تشكيل لجان المناقشة ومعايير اختيار الممتحنين الداخليين والخارجيين.</t>
        </is>
      </c>
      <c r="G222" s="69" t="inlineStr">
        <is>
          <t>البحث العلمي والدراسات العليا</t>
        </is>
      </c>
      <c r="H222" s="54" t="str">
        <f>IFERROR(INDEX('الإعدادات واللجنة'!$C$24:$C$32,MATCH(LEFT(A222,3),'الإعدادات واللجنة'!$A$24:$A$32,0)),"")</f>
        <v>د. حسن بن سعد القحطاني</v>
      </c>
      <c r="I222" s="55"/>
      <c r="J222" s="55"/>
      <c r="K222" s="54" t="str">
        <f t="shared" si="3"/>
        <v/>
      </c>
      <c r="L222" s="56"/>
      <c r="M222" s="55"/>
      <c r="N222" s="56"/>
      <c r="O222" s="56"/>
      <c r="P222" s="55"/>
      <c r="Q222" s="56"/>
      <c r="R222" s="26" t="str">
        <f>IF($I222="","",$I222&amp;"#"&amp;COUNTIF($I$5:$I222,$I222))</f>
        <v/>
      </c>
    </row>
    <row r="223" spans="1:18" ht="44" x14ac:dyDescent="0.55000000000000004">
      <c r="A223" s="46" t="s">
        <v>542</v>
      </c>
      <c r="B223" s="63" t="s">
        <v>132</v>
      </c>
      <c r="C223" s="44"/>
      <c r="D223" s="45"/>
      <c r="E223" s="46">
        <v>2</v>
      </c>
      <c r="F223" s="44" t="inlineStr">
        <is>
          <t>(مقترح) نماذج من تقارير التحكيم ومحاضر المناقشة.</t>
        </is>
      </c>
      <c r="G223" s="70" t="inlineStr">
        <is>
          <t>البحث العلمي والدراسات العليا</t>
        </is>
      </c>
      <c r="H223" s="46" t="str">
        <f>IFERROR(INDEX('الإعدادات واللجنة'!$C$24:$C$32,MATCH(LEFT(A223,3),'الإعدادات واللجنة'!$A$24:$A$32,0)),"")</f>
        <v>د. حسن بن سعد القحطاني</v>
      </c>
      <c r="I223" s="38"/>
      <c r="J223" s="38"/>
      <c r="K223" s="46" t="str">
        <f t="shared" si="3"/>
        <v/>
      </c>
      <c r="L223" s="48"/>
      <c r="M223" s="38"/>
      <c r="N223" s="48"/>
      <c r="O223" s="48"/>
      <c r="P223" s="38"/>
      <c r="Q223" s="48"/>
      <c r="R223" s="26" t="str">
        <f>IF($I223="","",$I223&amp;"#"&amp;COUNTIF($I$5:$I223,$I223))</f>
        <v/>
      </c>
    </row>
    <row r="224" spans="1:18" ht="44" x14ac:dyDescent="0.55000000000000004">
      <c r="A224" s="46" t="s">
        <v>542</v>
      </c>
      <c r="B224" s="63" t="s">
        <v>132</v>
      </c>
      <c r="C224" s="44"/>
      <c r="D224" s="45"/>
      <c r="E224" s="46">
        <v>3</v>
      </c>
      <c r="F224" s="44" t="inlineStr">
        <is>
          <t>(مقترح) نماذج استمارات التقويم وسلالم التقدير.</t>
        </is>
      </c>
      <c r="G224" s="70" t="inlineStr">
        <is>
          <t>البحث العلمي والدراسات العليا</t>
        </is>
      </c>
      <c r="H224" s="46" t="str">
        <f>IFERROR(INDEX('الإعدادات واللجنة'!$C$24:$C$32,MATCH(LEFT(A224,3),'الإعدادات واللجنة'!$A$24:$A$32,0)),"")</f>
        <v>د. حسن بن سعد القحطاني</v>
      </c>
      <c r="I224" s="38"/>
      <c r="J224" s="38"/>
      <c r="K224" s="46" t="str">
        <f t="shared" si="3"/>
        <v/>
      </c>
      <c r="L224" s="48"/>
      <c r="M224" s="38"/>
      <c r="N224" s="48"/>
      <c r="O224" s="48"/>
      <c r="P224" s="38"/>
      <c r="Q224" s="48"/>
      <c r="R224" s="26" t="str">
        <f>IF($I224="","",$I224&amp;"#"&amp;COUNTIF($I$5:$I224,$I224))</f>
        <v/>
      </c>
    </row>
    <row r="225" spans="1:18" ht="66" x14ac:dyDescent="0.55000000000000004">
      <c r="A225" s="60" t="s">
        <v>547</v>
      </c>
      <c r="B225" s="66" t="s">
        <v>132</v>
      </c>
      <c r="C225" s="61" t="s">
        <v>548</v>
      </c>
      <c r="D225" s="62"/>
      <c r="E225" s="54">
        <v>1</v>
      </c>
      <c r="F225" s="61" t="inlineStr">
        <is>
          <t>(مقترح) تقارير فحص الاستلال (الانتحال) للرسائل والبحوث.</t>
        </is>
      </c>
      <c r="G225" s="69" t="inlineStr">
        <is>
          <t>البحث العلمي والدراسات العليا</t>
        </is>
      </c>
      <c r="H225" s="54" t="str">
        <f>IFERROR(INDEX('الإعدادات واللجنة'!$C$24:$C$32,MATCH(LEFT(A225,3),'الإعدادات واللجنة'!$A$24:$A$32,0)),"")</f>
        <v>د. حسن بن سعد القحطاني</v>
      </c>
      <c r="I225" s="55"/>
      <c r="J225" s="55"/>
      <c r="K225" s="54" t="str">
        <f t="shared" si="3"/>
        <v/>
      </c>
      <c r="L225" s="56"/>
      <c r="M225" s="55"/>
      <c r="N225" s="56"/>
      <c r="O225" s="56"/>
      <c r="P225" s="55"/>
      <c r="Q225" s="56"/>
      <c r="R225" s="26" t="str">
        <f>IF($I225="","",$I225&amp;"#"&amp;COUNTIF($I$5:$I225,$I225))</f>
        <v/>
      </c>
    </row>
    <row r="226" spans="1:18" ht="44" x14ac:dyDescent="0.55000000000000004">
      <c r="A226" s="46" t="s">
        <v>547</v>
      </c>
      <c r="B226" s="63" t="s">
        <v>132</v>
      </c>
      <c r="C226" s="44"/>
      <c r="D226" s="45"/>
      <c r="E226" s="46">
        <v>2</v>
      </c>
      <c r="F226" s="44" t="inlineStr">
        <is>
          <t>(مقترح) قائمة الأبحاث المنشورة للطلاب وهيئة التدريس في أوعية محكمة.</t>
        </is>
      </c>
      <c r="G226" s="70" t="inlineStr">
        <is>
          <t>البحث العلمي والدراسات العليا</t>
        </is>
      </c>
      <c r="H226" s="46" t="str">
        <f>IFERROR(INDEX('الإعدادات واللجنة'!$C$24:$C$32,MATCH(LEFT(A226,3),'الإعدادات واللجنة'!$A$24:$A$32,0)),"")</f>
        <v>د. حسن بن سعد القحطاني</v>
      </c>
      <c r="I226" s="38"/>
      <c r="J226" s="38"/>
      <c r="K226" s="46" t="str">
        <f t="shared" si="3"/>
        <v/>
      </c>
      <c r="L226" s="48"/>
      <c r="M226" s="38"/>
      <c r="N226" s="48"/>
      <c r="O226" s="48"/>
      <c r="P226" s="38"/>
      <c r="Q226" s="48"/>
      <c r="R226" s="26" t="str">
        <f>IF($I226="","",$I226&amp;"#"&amp;COUNTIF($I$5:$I226,$I226))</f>
        <v/>
      </c>
    </row>
    <row r="227" spans="1:18" ht="44" x14ac:dyDescent="0.55000000000000004">
      <c r="A227" s="46" t="s">
        <v>547</v>
      </c>
      <c r="B227" s="63" t="s">
        <v>132</v>
      </c>
      <c r="C227" s="44"/>
      <c r="D227" s="45"/>
      <c r="E227" s="46">
        <v>3</v>
      </c>
      <c r="F227" s="44" t="inlineStr">
        <is>
          <t>(مقترح) براءات الاختراع والجوائز (KPI-PG-13).</t>
        </is>
      </c>
      <c r="G227" s="70" t="inlineStr">
        <is>
          <t>البحث العلمي والدراسات العليا</t>
        </is>
      </c>
      <c r="H227" s="46" t="str">
        <f>IFERROR(INDEX('الإعدادات واللجنة'!$C$24:$C$32,MATCH(LEFT(A227,3),'الإعدادات واللجنة'!$A$24:$A$32,0)),"")</f>
        <v>د. حسن بن سعد القحطاني</v>
      </c>
      <c r="I227" s="38"/>
      <c r="J227" s="38"/>
      <c r="K227" s="46" t="str">
        <f t="shared" si="3"/>
        <v/>
      </c>
      <c r="L227" s="48"/>
      <c r="M227" s="38"/>
      <c r="N227" s="48"/>
      <c r="O227" s="48"/>
      <c r="P227" s="38"/>
      <c r="Q227" s="48"/>
      <c r="R227" s="26" t="str">
        <f>IF($I227="","",$I227&amp;"#"&amp;COUNTIF($I$5:$I227,$I227))</f>
        <v/>
      </c>
    </row>
    <row r="228" spans="1:18" ht="44" x14ac:dyDescent="0.55000000000000004">
      <c r="A228" s="49" t="s">
        <v>552</v>
      </c>
      <c r="B228" s="64" t="s">
        <v>132</v>
      </c>
      <c r="C228" s="50" t="s">
        <v>553</v>
      </c>
      <c r="D228" s="51" t="s">
        <v>208</v>
      </c>
      <c r="E228" s="52">
        <v>1</v>
      </c>
      <c r="F228" s="50" t="inlineStr">
        <is>
          <t>(مقترح) سياسة أخلاقيات البحث العلمي المعتمدة.</t>
        </is>
      </c>
      <c r="G228" s="69" t="inlineStr">
        <is>
          <t>البحث العلمي والدراسات العليا</t>
        </is>
      </c>
      <c r="H228" s="54" t="str">
        <f>IFERROR(INDEX('الإعدادات واللجنة'!$C$24:$C$32,MATCH(LEFT(A228,3),'الإعدادات واللجنة'!$A$24:$A$32,0)),"")</f>
        <v>د. حسن بن سعد القحطاني</v>
      </c>
      <c r="I228" s="55"/>
      <c r="J228" s="55"/>
      <c r="K228" s="54" t="str">
        <f t="shared" si="3"/>
        <v/>
      </c>
      <c r="L228" s="56"/>
      <c r="M228" s="55"/>
      <c r="N228" s="56"/>
      <c r="O228" s="56"/>
      <c r="P228" s="55"/>
      <c r="Q228" s="56"/>
      <c r="R228" s="26" t="str">
        <f>IF($I228="","",$I228&amp;"#"&amp;COUNTIF($I$5:$I228,$I228))</f>
        <v/>
      </c>
    </row>
    <row r="229" spans="1:18" ht="44" x14ac:dyDescent="0.55000000000000004">
      <c r="A229" s="57" t="s">
        <v>552</v>
      </c>
      <c r="B229" s="65" t="s">
        <v>132</v>
      </c>
      <c r="C229" s="58"/>
      <c r="D229" s="59" t="s">
        <v>208</v>
      </c>
      <c r="E229" s="57">
        <v>2</v>
      </c>
      <c r="F229" s="58" t="inlineStr">
        <is>
          <t>(مقترح) موافقات لجنة أخلاقيات البحث على الأبحاث.</t>
        </is>
      </c>
      <c r="G229" s="70" t="inlineStr">
        <is>
          <t>البحث العلمي والدراسات العليا</t>
        </is>
      </c>
      <c r="H229" s="46" t="str">
        <f>IFERROR(INDEX('الإعدادات واللجنة'!$C$24:$C$32,MATCH(LEFT(A229,3),'الإعدادات واللجنة'!$A$24:$A$32,0)),"")</f>
        <v>د. حسن بن سعد القحطاني</v>
      </c>
      <c r="I229" s="38"/>
      <c r="J229" s="38"/>
      <c r="K229" s="46" t="str">
        <f t="shared" si="3"/>
        <v/>
      </c>
      <c r="L229" s="48"/>
      <c r="M229" s="38"/>
      <c r="N229" s="48"/>
      <c r="O229" s="48"/>
      <c r="P229" s="38"/>
      <c r="Q229" s="48"/>
      <c r="R229" s="26" t="str">
        <f>IF($I229="","",$I229&amp;"#"&amp;COUNTIF($I$5:$I229,$I229))</f>
        <v/>
      </c>
    </row>
    <row r="230" spans="1:18" ht="44" x14ac:dyDescent="0.55000000000000004">
      <c r="A230" s="57" t="s">
        <v>552</v>
      </c>
      <c r="B230" s="65" t="s">
        <v>132</v>
      </c>
      <c r="C230" s="58"/>
      <c r="D230" s="59" t="s">
        <v>208</v>
      </c>
      <c r="E230" s="57">
        <v>3</v>
      </c>
      <c r="F230" s="58" t="inlineStr">
        <is>
          <t>(مقترح) نماذج تعهدات الباحثين وآليات التحقق من الالتزام.</t>
        </is>
      </c>
      <c r="G230" s="70" t="inlineStr">
        <is>
          <t>البحث العلمي والدراسات العليا</t>
        </is>
      </c>
      <c r="H230" s="46" t="str">
        <f>IFERROR(INDEX('الإعدادات واللجنة'!$C$24:$C$32,MATCH(LEFT(A230,3),'الإعدادات واللجنة'!$A$24:$A$32,0)),"")</f>
        <v>د. حسن بن سعد القحطاني</v>
      </c>
      <c r="I230" s="38"/>
      <c r="J230" s="38"/>
      <c r="K230" s="46" t="str">
        <f t="shared" si="3"/>
        <v/>
      </c>
      <c r="L230" s="48"/>
      <c r="M230" s="38"/>
      <c r="N230" s="48"/>
      <c r="O230" s="48"/>
      <c r="P230" s="38"/>
      <c r="Q230" s="48"/>
      <c r="R230" s="26" t="str">
        <f>IF($I230="","",$I230&amp;"#"&amp;COUNTIF($I$5:$I230,$I230))</f>
        <v/>
      </c>
    </row>
  </sheetData>
  <mergeCells count="2">
    <mergeCell ref="A1:H1"/>
    <mergeCell ref="A2:Q2"/>
  </mergeCells>
  <conditionalFormatting sqref="I5:I230">
    <cfRule type="cellIs" dxfId="8" priority="2" operator="equal">
      <formula>"متوفر ومكتمل"</formula>
    </cfRule>
    <cfRule type="cellIs" dxfId="7" priority="3" operator="equal">
      <formula>"متوفر ويحتاج تحسين"</formula>
    </cfRule>
    <cfRule type="cellIs" dxfId="6" priority="4" operator="equal">
      <formula>"غير متوفر"</formula>
    </cfRule>
  </conditionalFormatting>
  <conditionalFormatting sqref="J5:J230 L5:M230">
    <cfRule type="expression" dxfId="5" priority="101">
      <formula>AND($I5="متوفر ومكتمل",J5&lt;&gt;"")</formula>
    </cfRule>
    <cfRule type="expression" dxfId="4" priority="102">
      <formula>$I5="متوفر ومكتمل"</formula>
    </cfRule>
  </conditionalFormatting>
  <conditionalFormatting sqref="J5:J230">
    <cfRule type="expression" dxfId="3" priority="103">
      <formula>AND(OR($I5="متوفر ويحتاج تحسين",$I5="غير متوفر"),J5="")</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dataValidations count="5">
    <dataValidation type="list" allowBlank="1" sqref="G5:G230">
      <formula1>'الإعدادات واللجنة'!$A$35:$A$46</formula1>
    </dataValidation>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"فجوة توثيق,فجوة تطبيق"</formula1>
      <formula2>0</formula2>
    </dataValidation>
    <dataValidation type="list" allowBlank="1" sqref="M5:M230" xr:uid="{00000000-0002-0000-0700-000002000000}">
      <formula1>"خلال المرحلة الأولى,خلال فصل دراسي,خلال سنة دراسية"</formula1>
      <formula2>0</formula2>
    </dataValidation>
    <dataValidation type="list" allowBlank="1" sqref="P5:P230" xr:uid="{00000000-0002-0000-07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خطة العمل</vt:lpstr>
      <vt:lpstr>الإعدادات واللجنة</vt:lpstr>
      <vt:lpstr>لوحة المتابعة</vt:lpstr>
      <vt:lpstr>تقرير الأدلة</vt:lpstr>
      <vt:lpstr>متطلبات التقدم للاعتماد</vt:lpstr>
      <vt:lpstr>أمثلة التصنيف</vt:lpstr>
      <vt:lpstr>فحص-حاسب-بكالوريوس</vt:lpstr>
      <vt:lpstr>فحص-بيانات-بكالوريوس</vt:lpstr>
      <vt:lpstr>فحص-بيانات-ماجستير</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Nahlah Algethami</dc:creator>
  <cp:keywords/>
  <dc:description/>
  <cp:lastModifiedBy>نهلة سعد عويض القثامي</cp:lastModifiedBy>
  <dcterms:created xsi:type="dcterms:W3CDTF">2026-10-22T09:30:40Z</dcterms:created>
  <dcterms:modified xsi:type="dcterms:W3CDTF">2026-10-27T08:00:36Z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2026-10-21T12:10:33Z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dd306bc3-ed3a-441a-9373-6893e39acae9</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