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nahlahalgethami/Desktop/الاعتماد البرامجي للعام ١٤٤٨/خطة العمل/المعتمدة/النهائية/"/>
    </mc:Choice>
  </mc:AlternateContent>
  <xr:revisionPtr revIDLastSave="0" documentId="13_ncr:1_{45FC5975-3A6E-8848-A939-FA035B17B495}" xr6:coauthVersionLast="47" xr6:coauthVersionMax="47" xr10:uidLastSave="{00000000-0000-0000-0000-000000000000}"/>
  <bookViews>
    <workbookView xWindow="0" yWindow="500" windowWidth="28800" windowHeight="16380" activeTab="3" xr2:uid="{00000000-000D-0000-FFFF-FFFF00000000}"/>
  </bookViews>
  <sheets>
    <sheet name="خطة العمل" sheetId="1" r:id="rId1"/>
    <sheet name="الإعدادات واللجنة" sheetId="2" r:id="rId2"/>
    <sheet name="لوحة المتابعة" sheetId="3" r:id="rId3"/>
    <sheet name="تقرير الأدلة" sheetId="10" r:id="rId4"/>
    <sheet name="متطلبات التقدم للاعتماد" sheetId="4" r:id="rId5"/>
    <sheet name="أمثلة التصنيف" sheetId="9" r:id="rId6"/>
    <sheet name="فحص-حاسب-بكالوريوس" sheetId="6" r:id="rId7"/>
    <sheet name="فحص-بيانات-بكالوريوس" sheetId="7" r:id="rId8"/>
    <sheet name="فحص-بيانات-ماجستير" sheetId="8" r:id="rId9"/>
  </sheets>
  <definedNames>
    <definedName name="_xlnm._FilterDatabase" localSheetId="6" hidden="1">'فحص-حاسب-بكالوريوس'!$A$4:$R$208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30" i="8" l="1"/>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H31" i="3" s="1"/>
  <c r="K200" i="8"/>
  <c r="K199" i="8"/>
  <c r="K198" i="8"/>
  <c r="K197" i="8"/>
  <c r="K196" i="8"/>
  <c r="K195" i="8"/>
  <c r="K194" i="8"/>
  <c r="K193" i="8"/>
  <c r="K192" i="8"/>
  <c r="K191" i="8"/>
  <c r="K190" i="8"/>
  <c r="K189" i="8"/>
  <c r="K188" i="8"/>
  <c r="K187" i="8"/>
  <c r="K186" i="8"/>
  <c r="K185" i="8"/>
  <c r="H30" i="3" s="1"/>
  <c r="K184" i="8"/>
  <c r="K183" i="8"/>
  <c r="K182" i="8"/>
  <c r="K181" i="8"/>
  <c r="K180" i="8"/>
  <c r="K179" i="8"/>
  <c r="K178" i="8"/>
  <c r="K177" i="8"/>
  <c r="K176" i="8"/>
  <c r="K175" i="8"/>
  <c r="K174" i="8"/>
  <c r="K173" i="8"/>
  <c r="K172" i="8"/>
  <c r="K171" i="8"/>
  <c r="K170" i="8"/>
  <c r="K169" i="8"/>
  <c r="K168" i="8"/>
  <c r="K167" i="8"/>
  <c r="K166" i="8"/>
  <c r="K165" i="8"/>
  <c r="K164" i="8"/>
  <c r="K163" i="8"/>
  <c r="K162" i="8"/>
  <c r="K161" i="8"/>
  <c r="K160" i="8"/>
  <c r="K159" i="8"/>
  <c r="K158" i="8"/>
  <c r="K157" i="8"/>
  <c r="K156" i="8"/>
  <c r="K155" i="8"/>
  <c r="K154" i="8"/>
  <c r="K153" i="8"/>
  <c r="H29" i="3" s="1"/>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H27" i="3" s="1"/>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H26" i="3" s="1"/>
  <c r="K8" i="8"/>
  <c r="K7" i="8"/>
  <c r="K6" i="8"/>
  <c r="K5" i="8"/>
  <c r="A1" i="8"/>
  <c r="K208" i="7"/>
  <c r="K207" i="7"/>
  <c r="K206" i="7"/>
  <c r="K205" i="7"/>
  <c r="K204" i="7"/>
  <c r="K203" i="7"/>
  <c r="K202" i="7"/>
  <c r="K201" i="7"/>
  <c r="K200" i="7"/>
  <c r="K199" i="7"/>
  <c r="K198" i="7"/>
  <c r="K197" i="7"/>
  <c r="K196" i="7"/>
  <c r="K195" i="7"/>
  <c r="K194" i="7"/>
  <c r="K193" i="7"/>
  <c r="K192" i="7"/>
  <c r="K191" i="7"/>
  <c r="K190" i="7"/>
  <c r="H20" i="3" s="1"/>
  <c r="K189" i="7"/>
  <c r="K188" i="7"/>
  <c r="K187" i="7"/>
  <c r="K186" i="7"/>
  <c r="K185" i="7"/>
  <c r="K184" i="7"/>
  <c r="K183" i="7"/>
  <c r="K182" i="7"/>
  <c r="K181" i="7"/>
  <c r="K180" i="7"/>
  <c r="K179" i="7"/>
  <c r="K178" i="7"/>
  <c r="K177" i="7"/>
  <c r="K176" i="7"/>
  <c r="K175" i="7"/>
  <c r="K174" i="7"/>
  <c r="K173" i="7"/>
  <c r="K172" i="7"/>
  <c r="K171" i="7"/>
  <c r="K170" i="7"/>
  <c r="K169" i="7"/>
  <c r="K168" i="7"/>
  <c r="K167" i="7"/>
  <c r="K166" i="7"/>
  <c r="K165" i="7"/>
  <c r="K164" i="7"/>
  <c r="K163" i="7"/>
  <c r="K162" i="7"/>
  <c r="K161" i="7"/>
  <c r="K160" i="7"/>
  <c r="K159" i="7"/>
  <c r="K158" i="7"/>
  <c r="K157" i="7"/>
  <c r="K156" i="7"/>
  <c r="K155" i="7"/>
  <c r="K154" i="7"/>
  <c r="K153" i="7"/>
  <c r="K152" i="7"/>
  <c r="K151" i="7"/>
  <c r="K150" i="7"/>
  <c r="K149" i="7"/>
  <c r="K148" i="7"/>
  <c r="K147" i="7"/>
  <c r="K146" i="7"/>
  <c r="K145" i="7"/>
  <c r="K144" i="7"/>
  <c r="K143" i="7"/>
  <c r="K142" i="7"/>
  <c r="K141" i="7"/>
  <c r="K140" i="7"/>
  <c r="K139" i="7"/>
  <c r="K138" i="7"/>
  <c r="K137" i="7"/>
  <c r="K136" i="7"/>
  <c r="K135" i="7"/>
  <c r="K134" i="7"/>
  <c r="H18" i="3" s="1"/>
  <c r="K133" i="7"/>
  <c r="K132" i="7"/>
  <c r="K131" i="7"/>
  <c r="K130" i="7"/>
  <c r="K129" i="7"/>
  <c r="K128" i="7"/>
  <c r="K127" i="7"/>
  <c r="K126" i="7"/>
  <c r="K125" i="7"/>
  <c r="K124" i="7"/>
  <c r="K123" i="7"/>
  <c r="K122" i="7"/>
  <c r="K121" i="7"/>
  <c r="K120" i="7"/>
  <c r="K119" i="7"/>
  <c r="K118" i="7"/>
  <c r="K117" i="7"/>
  <c r="K116" i="7"/>
  <c r="K115" i="7"/>
  <c r="K114" i="7"/>
  <c r="K113" i="7"/>
  <c r="K112" i="7"/>
  <c r="K111" i="7"/>
  <c r="K110" i="7"/>
  <c r="K109" i="7"/>
  <c r="K108" i="7"/>
  <c r="K107" i="7"/>
  <c r="K106" i="7"/>
  <c r="K105" i="7"/>
  <c r="K104" i="7"/>
  <c r="K103" i="7"/>
  <c r="K102" i="7"/>
  <c r="K101" i="7"/>
  <c r="K100" i="7"/>
  <c r="K99" i="7"/>
  <c r="K98" i="7"/>
  <c r="K97" i="7"/>
  <c r="K96" i="7"/>
  <c r="K95" i="7"/>
  <c r="K94" i="7"/>
  <c r="K93" i="7"/>
  <c r="K92" i="7"/>
  <c r="K91" i="7"/>
  <c r="K90" i="7"/>
  <c r="K89" i="7"/>
  <c r="K88" i="7"/>
  <c r="K87" i="7"/>
  <c r="K86" i="7"/>
  <c r="K85" i="7"/>
  <c r="K84" i="7"/>
  <c r="K83" i="7"/>
  <c r="K82" i="7"/>
  <c r="K81" i="7"/>
  <c r="K80" i="7"/>
  <c r="K79" i="7"/>
  <c r="K78" i="7"/>
  <c r="K77" i="7"/>
  <c r="K76" i="7"/>
  <c r="K75" i="7"/>
  <c r="K74" i="7"/>
  <c r="K73" i="7"/>
  <c r="K72" i="7"/>
  <c r="K71" i="7"/>
  <c r="K70" i="7"/>
  <c r="K69" i="7"/>
  <c r="K68" i="7"/>
  <c r="K67" i="7"/>
  <c r="K66" i="7"/>
  <c r="K65" i="7"/>
  <c r="K64" i="7"/>
  <c r="K63" i="7"/>
  <c r="K62" i="7"/>
  <c r="K61" i="7"/>
  <c r="K60" i="7"/>
  <c r="K59" i="7"/>
  <c r="K58" i="7"/>
  <c r="K57" i="7"/>
  <c r="K56" i="7"/>
  <c r="K55" i="7"/>
  <c r="K54" i="7"/>
  <c r="K53" i="7"/>
  <c r="K52" i="7"/>
  <c r="K51" i="7"/>
  <c r="K50" i="7"/>
  <c r="K49" i="7"/>
  <c r="K48" i="7"/>
  <c r="K47" i="7"/>
  <c r="K46" i="7"/>
  <c r="K45" i="7"/>
  <c r="K44" i="7"/>
  <c r="K43" i="7"/>
  <c r="K42" i="7"/>
  <c r="K41" i="7"/>
  <c r="K40" i="7"/>
  <c r="K39" i="7"/>
  <c r="K38" i="7"/>
  <c r="K37" i="7"/>
  <c r="K36" i="7"/>
  <c r="K35" i="7"/>
  <c r="K34" i="7"/>
  <c r="K33" i="7"/>
  <c r="K32" i="7"/>
  <c r="K31" i="7"/>
  <c r="K30" i="7"/>
  <c r="K29" i="7"/>
  <c r="K28" i="7"/>
  <c r="K27" i="7"/>
  <c r="K26" i="7"/>
  <c r="K25" i="7"/>
  <c r="K24" i="7"/>
  <c r="K23" i="7"/>
  <c r="K22" i="7"/>
  <c r="K21" i="7"/>
  <c r="K20" i="7"/>
  <c r="K19" i="7"/>
  <c r="K18" i="7"/>
  <c r="K17" i="7"/>
  <c r="K16" i="7"/>
  <c r="K15" i="7"/>
  <c r="K14" i="7"/>
  <c r="K13" i="7"/>
  <c r="K12" i="7"/>
  <c r="K11" i="7"/>
  <c r="K10" i="7"/>
  <c r="K9" i="7"/>
  <c r="K8" i="7"/>
  <c r="K7" i="7"/>
  <c r="K6" i="7"/>
  <c r="H22" i="3" s="1"/>
  <c r="K5" i="7"/>
  <c r="A1" i="7"/>
  <c r="K208" i="6"/>
  <c r="K207" i="6"/>
  <c r="K206" i="6"/>
  <c r="K205" i="6"/>
  <c r="K204" i="6"/>
  <c r="K203" i="6"/>
  <c r="K202" i="6"/>
  <c r="K201" i="6"/>
  <c r="K200" i="6"/>
  <c r="K199" i="6"/>
  <c r="K198" i="6"/>
  <c r="K197" i="6"/>
  <c r="K196" i="6"/>
  <c r="K195" i="6"/>
  <c r="H10" i="3" s="1"/>
  <c r="K194" i="6"/>
  <c r="K193" i="6"/>
  <c r="K192" i="6"/>
  <c r="K191" i="6"/>
  <c r="K190" i="6"/>
  <c r="K189" i="6"/>
  <c r="K188" i="6"/>
  <c r="K187" i="6"/>
  <c r="K186" i="6"/>
  <c r="K185" i="6"/>
  <c r="K184" i="6"/>
  <c r="K183" i="6"/>
  <c r="K182" i="6"/>
  <c r="K181" i="6"/>
  <c r="K180" i="6"/>
  <c r="K179" i="6"/>
  <c r="K178" i="6"/>
  <c r="K177" i="6"/>
  <c r="K176" i="6"/>
  <c r="K175" i="6"/>
  <c r="K174" i="6"/>
  <c r="K173" i="6"/>
  <c r="K172" i="6"/>
  <c r="K171" i="6"/>
  <c r="K170" i="6"/>
  <c r="K169" i="6"/>
  <c r="K168" i="6"/>
  <c r="K167" i="6"/>
  <c r="K166" i="6"/>
  <c r="K165" i="6"/>
  <c r="K164" i="6"/>
  <c r="K163" i="6"/>
  <c r="K162" i="6"/>
  <c r="K161" i="6"/>
  <c r="K160" i="6"/>
  <c r="K159" i="6"/>
  <c r="K158" i="6"/>
  <c r="K157" i="6"/>
  <c r="K156" i="6"/>
  <c r="K155" i="6"/>
  <c r="K154" i="6"/>
  <c r="K153" i="6"/>
  <c r="K152" i="6"/>
  <c r="K151" i="6"/>
  <c r="K150" i="6"/>
  <c r="K149" i="6"/>
  <c r="K148" i="6"/>
  <c r="K147" i="6"/>
  <c r="K146" i="6"/>
  <c r="K145" i="6"/>
  <c r="K144" i="6"/>
  <c r="K143" i="6"/>
  <c r="K142" i="6"/>
  <c r="K141" i="6"/>
  <c r="K140" i="6"/>
  <c r="K139" i="6"/>
  <c r="H8" i="3" s="1"/>
  <c r="K138" i="6"/>
  <c r="K137" i="6"/>
  <c r="K136" i="6"/>
  <c r="K135" i="6"/>
  <c r="K134" i="6"/>
  <c r="K133" i="6"/>
  <c r="K132" i="6"/>
  <c r="K131" i="6"/>
  <c r="K130" i="6"/>
  <c r="K129" i="6"/>
  <c r="K128" i="6"/>
  <c r="K127" i="6"/>
  <c r="K126" i="6"/>
  <c r="K125" i="6"/>
  <c r="K124" i="6"/>
  <c r="K123" i="6"/>
  <c r="K122" i="6"/>
  <c r="K121" i="6"/>
  <c r="K120" i="6"/>
  <c r="K119" i="6"/>
  <c r="K118" i="6"/>
  <c r="K117" i="6"/>
  <c r="K116" i="6"/>
  <c r="K115" i="6"/>
  <c r="K114" i="6"/>
  <c r="K113" i="6"/>
  <c r="K112" i="6"/>
  <c r="K111" i="6"/>
  <c r="K110" i="6"/>
  <c r="K109" i="6"/>
  <c r="K108" i="6"/>
  <c r="K107" i="6"/>
  <c r="K106" i="6"/>
  <c r="K105" i="6"/>
  <c r="K104" i="6"/>
  <c r="K103" i="6"/>
  <c r="K102" i="6"/>
  <c r="K101" i="6"/>
  <c r="K100" i="6"/>
  <c r="K99" i="6"/>
  <c r="K98" i="6"/>
  <c r="K97" i="6"/>
  <c r="K96" i="6"/>
  <c r="K95" i="6"/>
  <c r="K94" i="6"/>
  <c r="K93" i="6"/>
  <c r="K92" i="6"/>
  <c r="K91" i="6"/>
  <c r="K90" i="6"/>
  <c r="K89" i="6"/>
  <c r="K88" i="6"/>
  <c r="K87" i="6"/>
  <c r="K86" i="6"/>
  <c r="K85" i="6"/>
  <c r="K84" i="6"/>
  <c r="K83" i="6"/>
  <c r="K82" i="6"/>
  <c r="K81" i="6"/>
  <c r="K80" i="6"/>
  <c r="K79" i="6"/>
  <c r="K78" i="6"/>
  <c r="K77" i="6"/>
  <c r="K76" i="6"/>
  <c r="K75" i="6"/>
  <c r="K74" i="6"/>
  <c r="K73" i="6"/>
  <c r="K72" i="6"/>
  <c r="K71" i="6"/>
  <c r="K70" i="6"/>
  <c r="K69" i="6"/>
  <c r="K68" i="6"/>
  <c r="K67" i="6"/>
  <c r="K66" i="6"/>
  <c r="K65" i="6"/>
  <c r="K64" i="6"/>
  <c r="K63" i="6"/>
  <c r="K62" i="6"/>
  <c r="K61" i="6"/>
  <c r="K60" i="6"/>
  <c r="K59" i="6"/>
  <c r="H7" i="3" s="1"/>
  <c r="K58" i="6"/>
  <c r="K57" i="6"/>
  <c r="K56" i="6"/>
  <c r="K55" i="6"/>
  <c r="K54" i="6"/>
  <c r="K53" i="6"/>
  <c r="K52" i="6"/>
  <c r="K51" i="6"/>
  <c r="K50" i="6"/>
  <c r="K49" i="6"/>
  <c r="K48" i="6"/>
  <c r="K47" i="6"/>
  <c r="K46" i="6"/>
  <c r="K45" i="6"/>
  <c r="K44" i="6"/>
  <c r="K43" i="6"/>
  <c r="K42" i="6"/>
  <c r="K41" i="6"/>
  <c r="K40" i="6"/>
  <c r="K39" i="6"/>
  <c r="K38" i="6"/>
  <c r="K37" i="6"/>
  <c r="K36" i="6"/>
  <c r="K35" i="6"/>
  <c r="K34" i="6"/>
  <c r="K33" i="6"/>
  <c r="K32" i="6"/>
  <c r="K31" i="6"/>
  <c r="K30" i="6"/>
  <c r="K29" i="6"/>
  <c r="K28" i="6"/>
  <c r="K27" i="6"/>
  <c r="K26" i="6"/>
  <c r="K25" i="6"/>
  <c r="K24" i="6"/>
  <c r="K23" i="6"/>
  <c r="K22" i="6"/>
  <c r="K21" i="6"/>
  <c r="K20" i="6"/>
  <c r="K19" i="6"/>
  <c r="K18" i="6"/>
  <c r="K17" i="6"/>
  <c r="K16" i="6"/>
  <c r="K15" i="6"/>
  <c r="K14" i="6"/>
  <c r="K13" i="6"/>
  <c r="K12" i="6"/>
  <c r="K11" i="6"/>
  <c r="K10" i="6"/>
  <c r="K9" i="6"/>
  <c r="K8" i="6"/>
  <c r="K7" i="6"/>
  <c r="K6" i="6"/>
  <c r="K5" i="6"/>
  <c r="A1" i="6"/>
  <c r="E18" i="4"/>
  <c r="E17" i="4"/>
  <c r="E13" i="4"/>
  <c r="E12" i="4"/>
  <c r="E11" i="4"/>
  <c r="E10" i="4"/>
  <c r="E9" i="4"/>
  <c r="E6" i="4"/>
  <c r="D47" i="3"/>
  <c r="C47" i="3"/>
  <c r="B47" i="3"/>
  <c r="D46" i="3"/>
  <c r="C46" i="3"/>
  <c r="B46" i="3"/>
  <c r="D45" i="3"/>
  <c r="C45" i="3"/>
  <c r="B45" i="3"/>
  <c r="A42" i="3"/>
  <c r="A41" i="3"/>
  <c r="A40" i="3"/>
  <c r="A39" i="3"/>
  <c r="A38" i="3"/>
  <c r="A37" i="3"/>
  <c r="I33" i="3"/>
  <c r="E33" i="3"/>
  <c r="D33" i="3"/>
  <c r="C33" i="3"/>
  <c r="B33" i="3"/>
  <c r="I32" i="3"/>
  <c r="E32" i="3"/>
  <c r="D32" i="3"/>
  <c r="C32" i="3"/>
  <c r="B32" i="3"/>
  <c r="I31" i="3"/>
  <c r="E31" i="3"/>
  <c r="D31" i="3"/>
  <c r="C31" i="3"/>
  <c r="B31" i="3"/>
  <c r="I30" i="3"/>
  <c r="E30" i="3"/>
  <c r="D30" i="3"/>
  <c r="C30" i="3"/>
  <c r="B30" i="3"/>
  <c r="I29" i="3"/>
  <c r="E29" i="3"/>
  <c r="D29" i="3"/>
  <c r="C29" i="3"/>
  <c r="B29" i="3"/>
  <c r="I28" i="3"/>
  <c r="H28" i="3"/>
  <c r="E28" i="3"/>
  <c r="D28" i="3"/>
  <c r="C28" i="3"/>
  <c r="B28" i="3"/>
  <c r="I27" i="3"/>
  <c r="E27" i="3"/>
  <c r="D27" i="3"/>
  <c r="C27" i="3"/>
  <c r="B27" i="3"/>
  <c r="I26" i="3"/>
  <c r="E26" i="3"/>
  <c r="D26" i="3"/>
  <c r="C26" i="3"/>
  <c r="B26" i="3"/>
  <c r="A24" i="3"/>
  <c r="I22" i="3"/>
  <c r="E22" i="3"/>
  <c r="D22" i="3"/>
  <c r="C22" i="3"/>
  <c r="B22" i="3"/>
  <c r="I21" i="3"/>
  <c r="E21" i="3"/>
  <c r="D21" i="3"/>
  <c r="C21" i="3"/>
  <c r="B21" i="3"/>
  <c r="I20" i="3"/>
  <c r="E20" i="3"/>
  <c r="D20" i="3"/>
  <c r="C20" i="3"/>
  <c r="B20" i="3"/>
  <c r="I19" i="3"/>
  <c r="H19" i="3"/>
  <c r="E19" i="3"/>
  <c r="D19" i="3"/>
  <c r="C19" i="3"/>
  <c r="B19" i="3"/>
  <c r="I18" i="3"/>
  <c r="E18" i="3"/>
  <c r="D18" i="3"/>
  <c r="C18" i="3"/>
  <c r="B18" i="3"/>
  <c r="I17" i="3"/>
  <c r="E17" i="3"/>
  <c r="D17" i="3"/>
  <c r="C17" i="3"/>
  <c r="B17" i="3"/>
  <c r="I16" i="3"/>
  <c r="E16" i="3"/>
  <c r="D16" i="3"/>
  <c r="C16" i="3"/>
  <c r="B16" i="3"/>
  <c r="A14" i="3"/>
  <c r="I12" i="3"/>
  <c r="E12" i="3"/>
  <c r="D12" i="3"/>
  <c r="C12" i="3"/>
  <c r="B12" i="3"/>
  <c r="I11" i="3"/>
  <c r="E11" i="3"/>
  <c r="D11" i="3"/>
  <c r="C11" i="3"/>
  <c r="B11" i="3"/>
  <c r="I10" i="3"/>
  <c r="E10" i="3"/>
  <c r="D10" i="3"/>
  <c r="C10" i="3"/>
  <c r="B10" i="3"/>
  <c r="I9" i="3"/>
  <c r="H9" i="3"/>
  <c r="E9" i="3"/>
  <c r="D9" i="3"/>
  <c r="C9" i="3"/>
  <c r="B9" i="3"/>
  <c r="I8" i="3"/>
  <c r="E8" i="3"/>
  <c r="D8" i="3"/>
  <c r="C8" i="3"/>
  <c r="B8" i="3"/>
  <c r="I7" i="3"/>
  <c r="E7" i="3"/>
  <c r="D7" i="3"/>
  <c r="C7" i="3"/>
  <c r="B7" i="3"/>
  <c r="I6" i="3"/>
  <c r="E6" i="3"/>
  <c r="D6" i="3"/>
  <c r="C6" i="3"/>
  <c r="B6" i="3"/>
  <c r="A4" i="3"/>
  <c r="E32" i="2"/>
  <c r="D32" i="2"/>
  <c r="C32" i="2"/>
  <c r="H208" i="8" s="1"/>
  <c r="E31" i="2"/>
  <c r="D31" i="2"/>
  <c r="C31" i="2"/>
  <c r="H180" i="8" s="1"/>
  <c r="E30" i="2"/>
  <c r="D30" i="2"/>
  <c r="C30" i="2"/>
  <c r="H182" i="7" s="1"/>
  <c r="E29" i="2"/>
  <c r="D29" i="2"/>
  <c r="C29" i="2"/>
  <c r="E28" i="2"/>
  <c r="D28" i="2"/>
  <c r="C28" i="2"/>
  <c r="H125" i="7" s="1"/>
  <c r="E27" i="2"/>
  <c r="D27" i="2"/>
  <c r="C27" i="2"/>
  <c r="H88" i="8" s="1"/>
  <c r="E26" i="2"/>
  <c r="D26" i="2"/>
  <c r="C26" i="2"/>
  <c r="H68" i="8" s="1"/>
  <c r="E25" i="2"/>
  <c r="D25" i="2"/>
  <c r="C25" i="2"/>
  <c r="H50" i="7" s="1"/>
  <c r="E24" i="2"/>
  <c r="D24" i="2"/>
  <c r="C24" i="2"/>
  <c r="H36" i="8" s="1"/>
  <c r="H6" i="3" l="1"/>
  <c r="H11" i="3"/>
  <c r="H12" i="3"/>
  <c r="H21" i="3"/>
  <c r="H17" i="3"/>
  <c r="H16" i="3"/>
  <c r="G33" i="3"/>
  <c r="G21" i="3"/>
  <c r="G7" i="3"/>
  <c r="G6" i="3"/>
  <c r="G32" i="3"/>
  <c r="G18" i="3"/>
  <c r="H32" i="3"/>
  <c r="G11" i="3"/>
  <c r="G26" i="3"/>
  <c r="G30" i="3"/>
  <c r="G22" i="3"/>
  <c r="G17" i="3"/>
  <c r="F33" i="3"/>
  <c r="G16" i="3"/>
  <c r="G20" i="3"/>
  <c r="G31" i="3"/>
  <c r="G9" i="3"/>
  <c r="G28" i="3"/>
  <c r="G8" i="3"/>
  <c r="G12" i="3"/>
  <c r="G27" i="3"/>
  <c r="H33" i="3"/>
  <c r="F12" i="3"/>
  <c r="G19" i="3"/>
  <c r="F32" i="3"/>
  <c r="F11" i="3"/>
  <c r="G10" i="3"/>
  <c r="G29" i="3"/>
  <c r="H163" i="7"/>
  <c r="H159" i="7"/>
  <c r="H150" i="8"/>
  <c r="H146" i="8"/>
  <c r="H142" i="8"/>
  <c r="H138" i="8"/>
  <c r="H134" i="8"/>
  <c r="H130" i="8"/>
  <c r="H126" i="8"/>
  <c r="H149" i="8"/>
  <c r="H145" i="8"/>
  <c r="H141" i="8"/>
  <c r="H137" i="8"/>
  <c r="H133" i="8"/>
  <c r="H129" i="8"/>
  <c r="H125" i="8"/>
  <c r="H162" i="6"/>
  <c r="H158" i="6"/>
  <c r="H154" i="6"/>
  <c r="H150" i="6"/>
  <c r="H146" i="6"/>
  <c r="H142" i="6"/>
  <c r="H138" i="6"/>
  <c r="H134" i="6"/>
  <c r="H160" i="7"/>
  <c r="H156" i="7"/>
  <c r="H152" i="7"/>
  <c r="H148" i="7"/>
  <c r="H144" i="7"/>
  <c r="H140" i="7"/>
  <c r="H136" i="7"/>
  <c r="H132" i="7"/>
  <c r="H151" i="8"/>
  <c r="H147" i="8"/>
  <c r="H143" i="8"/>
  <c r="H139" i="8"/>
  <c r="H135" i="8"/>
  <c r="H131" i="8"/>
  <c r="H127" i="8"/>
  <c r="H160" i="6"/>
  <c r="H156" i="6"/>
  <c r="H152" i="6"/>
  <c r="H148" i="6"/>
  <c r="H144" i="6"/>
  <c r="H140" i="6"/>
  <c r="H136" i="6"/>
  <c r="H132" i="6"/>
  <c r="H7" i="6"/>
  <c r="H11" i="6"/>
  <c r="H15" i="6"/>
  <c r="H19" i="6"/>
  <c r="H23" i="6"/>
  <c r="H27" i="6"/>
  <c r="H31" i="6"/>
  <c r="H35" i="6"/>
  <c r="H39" i="6"/>
  <c r="H43" i="6"/>
  <c r="H47" i="6"/>
  <c r="H51" i="6"/>
  <c r="H55" i="6"/>
  <c r="H59" i="6"/>
  <c r="H63" i="6"/>
  <c r="H67" i="6"/>
  <c r="H71" i="6"/>
  <c r="H75" i="6"/>
  <c r="H79" i="6"/>
  <c r="H83" i="6"/>
  <c r="H87" i="6"/>
  <c r="H91" i="6"/>
  <c r="H95" i="6"/>
  <c r="H115" i="6"/>
  <c r="H131" i="6"/>
  <c r="H147" i="6"/>
  <c r="H163" i="6"/>
  <c r="H179" i="6"/>
  <c r="H13" i="7"/>
  <c r="H22" i="7"/>
  <c r="H31" i="7"/>
  <c r="H45" i="7"/>
  <c r="H54" i="7"/>
  <c r="H63" i="7"/>
  <c r="H77" i="7"/>
  <c r="H86" i="7"/>
  <c r="H95" i="7"/>
  <c r="H109" i="7"/>
  <c r="H118" i="7"/>
  <c r="H127" i="7"/>
  <c r="H141" i="7"/>
  <c r="H150" i="7"/>
  <c r="H165" i="7"/>
  <c r="H170" i="7"/>
  <c r="H181" i="7"/>
  <c r="H186" i="7"/>
  <c r="H197" i="7"/>
  <c r="H202" i="7"/>
  <c r="H16" i="8"/>
  <c r="H48" i="8"/>
  <c r="H80" i="8"/>
  <c r="H112" i="8"/>
  <c r="H144" i="8"/>
  <c r="H176" i="8"/>
  <c r="H230" i="8"/>
  <c r="H226" i="8"/>
  <c r="H222" i="8"/>
  <c r="H218" i="8"/>
  <c r="H214" i="8"/>
  <c r="H210" i="8"/>
  <c r="H206" i="8"/>
  <c r="H202" i="8"/>
  <c r="H198" i="8"/>
  <c r="H229" i="8"/>
  <c r="H225" i="8"/>
  <c r="H221" i="8"/>
  <c r="H217" i="8"/>
  <c r="H213" i="8"/>
  <c r="H209" i="8"/>
  <c r="H205" i="8"/>
  <c r="H201" i="8"/>
  <c r="H228" i="8"/>
  <c r="H224" i="8"/>
  <c r="H220" i="8"/>
  <c r="H216" i="8"/>
  <c r="H212" i="8"/>
  <c r="H227" i="8"/>
  <c r="H223" i="8"/>
  <c r="H219" i="8"/>
  <c r="H215" i="8"/>
  <c r="H211" i="8"/>
  <c r="H207" i="8"/>
  <c r="H203" i="8"/>
  <c r="H199" i="8"/>
  <c r="F6" i="3"/>
  <c r="F7" i="3"/>
  <c r="F8" i="3"/>
  <c r="F9" i="3"/>
  <c r="F10" i="3"/>
  <c r="H105" i="6"/>
  <c r="H121" i="6"/>
  <c r="H137" i="6"/>
  <c r="H153" i="6"/>
  <c r="H169" i="6"/>
  <c r="H185" i="6"/>
  <c r="H9" i="7"/>
  <c r="H18" i="7"/>
  <c r="H27" i="7"/>
  <c r="H41" i="7"/>
  <c r="H59" i="7"/>
  <c r="H73" i="7"/>
  <c r="H82" i="7"/>
  <c r="H91" i="7"/>
  <c r="H105" i="7"/>
  <c r="H114" i="7"/>
  <c r="H123" i="7"/>
  <c r="H137" i="7"/>
  <c r="H146" i="7"/>
  <c r="H155" i="7"/>
  <c r="H100" i="8"/>
  <c r="H132" i="8"/>
  <c r="H164" i="8"/>
  <c r="H196" i="8"/>
  <c r="H54" i="8"/>
  <c r="H50" i="8"/>
  <c r="H46" i="8"/>
  <c r="H53" i="8"/>
  <c r="H49" i="8"/>
  <c r="H45" i="8"/>
  <c r="H56" i="7"/>
  <c r="H52" i="7"/>
  <c r="H48" i="7"/>
  <c r="H44" i="7"/>
  <c r="H55" i="8"/>
  <c r="H51" i="8"/>
  <c r="H47" i="8"/>
  <c r="H78" i="8"/>
  <c r="H74" i="8"/>
  <c r="H70" i="8"/>
  <c r="H66" i="8"/>
  <c r="H62" i="8"/>
  <c r="H58" i="8"/>
  <c r="H81" i="8"/>
  <c r="H77" i="8"/>
  <c r="H73" i="8"/>
  <c r="H69" i="8"/>
  <c r="H65" i="8"/>
  <c r="H61" i="8"/>
  <c r="H57" i="8"/>
  <c r="H80" i="7"/>
  <c r="H76" i="7"/>
  <c r="H72" i="7"/>
  <c r="H68" i="7"/>
  <c r="H64" i="7"/>
  <c r="H60" i="7"/>
  <c r="H79" i="8"/>
  <c r="H75" i="8"/>
  <c r="H71" i="8"/>
  <c r="H67" i="8"/>
  <c r="H63" i="8"/>
  <c r="H59" i="8"/>
  <c r="H42" i="8"/>
  <c r="H38" i="8"/>
  <c r="H34" i="8"/>
  <c r="H30" i="8"/>
  <c r="H26" i="8"/>
  <c r="H22" i="8"/>
  <c r="H18" i="8"/>
  <c r="H14" i="8"/>
  <c r="H10" i="8"/>
  <c r="H6" i="8"/>
  <c r="H41" i="8"/>
  <c r="H37" i="8"/>
  <c r="H33" i="8"/>
  <c r="H29" i="8"/>
  <c r="H25" i="8"/>
  <c r="H21" i="8"/>
  <c r="H17" i="8"/>
  <c r="H13" i="8"/>
  <c r="H9" i="8"/>
  <c r="H5" i="8"/>
  <c r="H40" i="7"/>
  <c r="H36" i="7"/>
  <c r="H32" i="7"/>
  <c r="H28" i="7"/>
  <c r="H24" i="7"/>
  <c r="H20" i="7"/>
  <c r="H16" i="7"/>
  <c r="H12" i="7"/>
  <c r="H8" i="7"/>
  <c r="H43" i="8"/>
  <c r="H39" i="8"/>
  <c r="H35" i="8"/>
  <c r="H31" i="8"/>
  <c r="H27" i="8"/>
  <c r="H23" i="8"/>
  <c r="H19" i="8"/>
  <c r="H15" i="8"/>
  <c r="H11" i="8"/>
  <c r="H7" i="8"/>
  <c r="F16" i="3"/>
  <c r="F17" i="3"/>
  <c r="F18" i="3"/>
  <c r="F19" i="3"/>
  <c r="F20" i="3"/>
  <c r="F21" i="3"/>
  <c r="F22" i="3"/>
  <c r="H8" i="6"/>
  <c r="H12" i="6"/>
  <c r="H16" i="6"/>
  <c r="H20" i="6"/>
  <c r="H24" i="6"/>
  <c r="H28" i="6"/>
  <c r="H32" i="6"/>
  <c r="H36" i="6"/>
  <c r="H40" i="6"/>
  <c r="H44" i="6"/>
  <c r="H48" i="6"/>
  <c r="H52" i="6"/>
  <c r="H56" i="6"/>
  <c r="H60" i="6"/>
  <c r="H64" i="6"/>
  <c r="H68" i="6"/>
  <c r="H72" i="6"/>
  <c r="H76" i="6"/>
  <c r="H80" i="6"/>
  <c r="H84" i="6"/>
  <c r="H88" i="6"/>
  <c r="H92" i="6"/>
  <c r="H101" i="6"/>
  <c r="H111" i="6"/>
  <c r="H127" i="6"/>
  <c r="H143" i="6"/>
  <c r="H159" i="6"/>
  <c r="H175" i="6"/>
  <c r="H191" i="6"/>
  <c r="H197" i="6"/>
  <c r="H5" i="7"/>
  <c r="H14" i="7"/>
  <c r="H23" i="7"/>
  <c r="H37" i="7"/>
  <c r="H46" i="7"/>
  <c r="H55" i="7"/>
  <c r="H69" i="7"/>
  <c r="H78" i="7"/>
  <c r="H87" i="7"/>
  <c r="H101" i="7"/>
  <c r="H110" i="7"/>
  <c r="H119" i="7"/>
  <c r="H133" i="7"/>
  <c r="H142" i="7"/>
  <c r="H151" i="7"/>
  <c r="H161" i="7"/>
  <c r="H166" i="7"/>
  <c r="H177" i="7"/>
  <c r="H193" i="7"/>
  <c r="H198" i="7"/>
  <c r="H24" i="8"/>
  <c r="H56" i="8"/>
  <c r="H120" i="8"/>
  <c r="H152" i="8"/>
  <c r="H184" i="8"/>
  <c r="H94" i="8"/>
  <c r="H90" i="8"/>
  <c r="H86" i="8"/>
  <c r="H82" i="8"/>
  <c r="H97" i="8"/>
  <c r="H93" i="8"/>
  <c r="H89" i="8"/>
  <c r="H85" i="8"/>
  <c r="H106" i="6"/>
  <c r="H104" i="7"/>
  <c r="H100" i="7"/>
  <c r="H96" i="7"/>
  <c r="H92" i="7"/>
  <c r="H88" i="7"/>
  <c r="H84" i="7"/>
  <c r="H95" i="8"/>
  <c r="H91" i="8"/>
  <c r="H87" i="8"/>
  <c r="H83" i="8"/>
  <c r="H104" i="6"/>
  <c r="H100" i="6"/>
  <c r="H96" i="6"/>
  <c r="H187" i="7"/>
  <c r="H183" i="7"/>
  <c r="H179" i="7"/>
  <c r="H175" i="7"/>
  <c r="H171" i="7"/>
  <c r="H167" i="7"/>
  <c r="H178" i="8"/>
  <c r="H174" i="8"/>
  <c r="H170" i="8"/>
  <c r="H166" i="8"/>
  <c r="H162" i="8"/>
  <c r="H158" i="8"/>
  <c r="H154" i="8"/>
  <c r="H177" i="8"/>
  <c r="H173" i="8"/>
  <c r="H169" i="8"/>
  <c r="H165" i="8"/>
  <c r="H161" i="8"/>
  <c r="H157" i="8"/>
  <c r="H153" i="8"/>
  <c r="H186" i="6"/>
  <c r="H182" i="6"/>
  <c r="H178" i="6"/>
  <c r="H174" i="6"/>
  <c r="H170" i="6"/>
  <c r="H166" i="6"/>
  <c r="H188" i="7"/>
  <c r="H184" i="7"/>
  <c r="H180" i="7"/>
  <c r="H176" i="7"/>
  <c r="H172" i="7"/>
  <c r="H168" i="7"/>
  <c r="H164" i="7"/>
  <c r="H175" i="8"/>
  <c r="H171" i="8"/>
  <c r="H167" i="8"/>
  <c r="H163" i="8"/>
  <c r="H159" i="8"/>
  <c r="H155" i="8"/>
  <c r="H188" i="6"/>
  <c r="H184" i="6"/>
  <c r="H180" i="6"/>
  <c r="H176" i="6"/>
  <c r="H172" i="6"/>
  <c r="H168" i="6"/>
  <c r="H164" i="6"/>
  <c r="F26" i="3"/>
  <c r="F27" i="3"/>
  <c r="F28" i="3"/>
  <c r="F29" i="3"/>
  <c r="F30" i="3"/>
  <c r="F31" i="3"/>
  <c r="H97" i="6"/>
  <c r="H117" i="6"/>
  <c r="H133" i="6"/>
  <c r="H149" i="6"/>
  <c r="H165" i="6"/>
  <c r="H181" i="6"/>
  <c r="H10" i="7"/>
  <c r="H19" i="7"/>
  <c r="H33" i="7"/>
  <c r="H42" i="7"/>
  <c r="H51" i="7"/>
  <c r="H65" i="7"/>
  <c r="H74" i="7"/>
  <c r="H83" i="7"/>
  <c r="H97" i="7"/>
  <c r="H106" i="7"/>
  <c r="H115" i="7"/>
  <c r="H129" i="7"/>
  <c r="H138" i="7"/>
  <c r="H147" i="7"/>
  <c r="H12" i="8"/>
  <c r="H44" i="8"/>
  <c r="H76" i="8"/>
  <c r="H108" i="8"/>
  <c r="H140" i="8"/>
  <c r="H172" i="8"/>
  <c r="H204" i="8"/>
  <c r="H5" i="6"/>
  <c r="H9" i="6"/>
  <c r="H13" i="6"/>
  <c r="H17" i="6"/>
  <c r="H21" i="6"/>
  <c r="H25" i="6"/>
  <c r="H29" i="6"/>
  <c r="H33" i="6"/>
  <c r="H37" i="6"/>
  <c r="H41" i="6"/>
  <c r="H45" i="6"/>
  <c r="H49" i="6"/>
  <c r="H53" i="6"/>
  <c r="H57" i="6"/>
  <c r="H61" i="6"/>
  <c r="H65" i="6"/>
  <c r="H69" i="6"/>
  <c r="H73" i="6"/>
  <c r="H77" i="6"/>
  <c r="H81" i="6"/>
  <c r="H85" i="6"/>
  <c r="H89" i="6"/>
  <c r="H93" i="6"/>
  <c r="H102" i="6"/>
  <c r="H107" i="6"/>
  <c r="H123" i="6"/>
  <c r="H139" i="6"/>
  <c r="H155" i="6"/>
  <c r="H171" i="6"/>
  <c r="H187" i="6"/>
  <c r="H205" i="6"/>
  <c r="H6" i="7"/>
  <c r="H15" i="7"/>
  <c r="H29" i="7"/>
  <c r="H38" i="7"/>
  <c r="H47" i="7"/>
  <c r="H61" i="7"/>
  <c r="H70" i="7"/>
  <c r="H79" i="7"/>
  <c r="H93" i="7"/>
  <c r="H102" i="7"/>
  <c r="H111" i="7"/>
  <c r="H134" i="7"/>
  <c r="H143" i="7"/>
  <c r="H157" i="7"/>
  <c r="H162" i="7"/>
  <c r="H173" i="7"/>
  <c r="H178" i="7"/>
  <c r="H189" i="7"/>
  <c r="H194" i="7"/>
  <c r="H205" i="7"/>
  <c r="H32" i="8"/>
  <c r="H64" i="8"/>
  <c r="H96" i="8"/>
  <c r="H128" i="8"/>
  <c r="H160" i="8"/>
  <c r="H192" i="8"/>
  <c r="H122" i="8"/>
  <c r="H118" i="8"/>
  <c r="H114" i="8"/>
  <c r="H110" i="8"/>
  <c r="H106" i="8"/>
  <c r="H102" i="8"/>
  <c r="H98" i="8"/>
  <c r="H121" i="8"/>
  <c r="H117" i="8"/>
  <c r="H113" i="8"/>
  <c r="H109" i="8"/>
  <c r="H105" i="8"/>
  <c r="H101" i="8"/>
  <c r="H130" i="6"/>
  <c r="H126" i="6"/>
  <c r="H122" i="6"/>
  <c r="H118" i="6"/>
  <c r="H114" i="6"/>
  <c r="H110" i="6"/>
  <c r="H128" i="7"/>
  <c r="H124" i="7"/>
  <c r="H120" i="7"/>
  <c r="H116" i="7"/>
  <c r="H112" i="7"/>
  <c r="H108" i="7"/>
  <c r="H123" i="8"/>
  <c r="H119" i="8"/>
  <c r="H115" i="8"/>
  <c r="H111" i="8"/>
  <c r="H107" i="8"/>
  <c r="H103" i="8"/>
  <c r="H99" i="8"/>
  <c r="H128" i="6"/>
  <c r="H124" i="6"/>
  <c r="H120" i="6"/>
  <c r="H116" i="6"/>
  <c r="H112" i="6"/>
  <c r="H108" i="6"/>
  <c r="H98" i="6"/>
  <c r="H113" i="6"/>
  <c r="H129" i="6"/>
  <c r="H145" i="6"/>
  <c r="H161" i="6"/>
  <c r="H177" i="6"/>
  <c r="H193" i="6"/>
  <c r="H11" i="7"/>
  <c r="H25" i="7"/>
  <c r="H34" i="7"/>
  <c r="H43" i="7"/>
  <c r="H57" i="7"/>
  <c r="H66" i="7"/>
  <c r="H75" i="7"/>
  <c r="H89" i="7"/>
  <c r="H98" i="7"/>
  <c r="H107" i="7"/>
  <c r="H121" i="7"/>
  <c r="H130" i="7"/>
  <c r="H139" i="7"/>
  <c r="H153" i="7"/>
  <c r="H20" i="8"/>
  <c r="H52" i="8"/>
  <c r="H84" i="8"/>
  <c r="H116" i="8"/>
  <c r="H148" i="8"/>
  <c r="H207" i="7"/>
  <c r="H203" i="7"/>
  <c r="H199" i="7"/>
  <c r="H195" i="7"/>
  <c r="H191" i="7"/>
  <c r="H194" i="8"/>
  <c r="H190" i="8"/>
  <c r="H186" i="8"/>
  <c r="H182" i="8"/>
  <c r="H207" i="6"/>
  <c r="H203" i="6"/>
  <c r="H199" i="6"/>
  <c r="H195" i="6"/>
  <c r="H197" i="8"/>
  <c r="H193" i="8"/>
  <c r="H189" i="8"/>
  <c r="H185" i="8"/>
  <c r="H181" i="8"/>
  <c r="H206" i="6"/>
  <c r="H202" i="6"/>
  <c r="H198" i="6"/>
  <c r="H194" i="6"/>
  <c r="H190" i="6"/>
  <c r="H208" i="7"/>
  <c r="H204" i="7"/>
  <c r="H200" i="7"/>
  <c r="H196" i="7"/>
  <c r="H192" i="7"/>
  <c r="H195" i="8"/>
  <c r="H191" i="8"/>
  <c r="H187" i="8"/>
  <c r="H183" i="8"/>
  <c r="H179" i="8"/>
  <c r="H208" i="6"/>
  <c r="H204" i="6"/>
  <c r="H200" i="6"/>
  <c r="H196" i="6"/>
  <c r="H192" i="6"/>
  <c r="H6" i="6"/>
  <c r="H10" i="6"/>
  <c r="H14" i="6"/>
  <c r="H18" i="6"/>
  <c r="H22" i="6"/>
  <c r="H26" i="6"/>
  <c r="H30" i="6"/>
  <c r="H34" i="6"/>
  <c r="H38" i="6"/>
  <c r="H42" i="6"/>
  <c r="H46" i="6"/>
  <c r="H50" i="6"/>
  <c r="H54" i="6"/>
  <c r="H58" i="6"/>
  <c r="H62" i="6"/>
  <c r="H66" i="6"/>
  <c r="H70" i="6"/>
  <c r="H74" i="6"/>
  <c r="H78" i="6"/>
  <c r="H82" i="6"/>
  <c r="H86" i="6"/>
  <c r="H90" i="6"/>
  <c r="H94" i="6"/>
  <c r="H103" i="6"/>
  <c r="H119" i="6"/>
  <c r="H135" i="6"/>
  <c r="H151" i="6"/>
  <c r="H167" i="6"/>
  <c r="H183" i="6"/>
  <c r="H7" i="7"/>
  <c r="H21" i="7"/>
  <c r="H30" i="7"/>
  <c r="H39" i="7"/>
  <c r="H53" i="7"/>
  <c r="H62" i="7"/>
  <c r="H71" i="7"/>
  <c r="H85" i="7"/>
  <c r="H94" i="7"/>
  <c r="H103" i="7"/>
  <c r="H117" i="7"/>
  <c r="H126" i="7"/>
  <c r="H135" i="7"/>
  <c r="H149" i="7"/>
  <c r="H158" i="7"/>
  <c r="H169" i="7"/>
  <c r="H174" i="7"/>
  <c r="H185" i="7"/>
  <c r="H190" i="7"/>
  <c r="H201" i="7"/>
  <c r="H206" i="7"/>
  <c r="H8" i="8"/>
  <c r="H40" i="8"/>
  <c r="H72" i="8"/>
  <c r="H104" i="8"/>
  <c r="H136" i="8"/>
  <c r="H168" i="8"/>
  <c r="H200" i="8"/>
  <c r="H99" i="6"/>
  <c r="H109" i="6"/>
  <c r="H125" i="6"/>
  <c r="H141" i="6"/>
  <c r="H157" i="6"/>
  <c r="H173" i="6"/>
  <c r="H189" i="6"/>
  <c r="H201" i="6"/>
  <c r="H17" i="7"/>
  <c r="H26" i="7"/>
  <c r="H35" i="7"/>
  <c r="H49" i="7"/>
  <c r="H58" i="7"/>
  <c r="H67" i="7"/>
  <c r="H81" i="7"/>
  <c r="H90" i="7"/>
  <c r="H99" i="7"/>
  <c r="H113" i="7"/>
  <c r="H122" i="7"/>
  <c r="H131" i="7"/>
  <c r="H145" i="7"/>
  <c r="H154" i="7"/>
  <c r="H28" i="8"/>
  <c r="H60" i="8"/>
  <c r="H92" i="8"/>
  <c r="H124" i="8"/>
  <c r="H156" i="8"/>
  <c r="H188" i="8"/>
  <c r="C42" i="3" l="1"/>
  <c r="E39" i="3"/>
  <c r="C38" i="3"/>
  <c r="B42" i="3"/>
  <c r="F40" i="3"/>
  <c r="B38" i="3"/>
  <c r="E40" i="3"/>
  <c r="C39" i="3"/>
  <c r="F41" i="3"/>
  <c r="B39" i="3"/>
  <c r="F37" i="3"/>
  <c r="E41" i="3"/>
  <c r="C40" i="3"/>
  <c r="E37" i="3"/>
  <c r="E15" i="2"/>
  <c r="F42" i="3"/>
  <c r="B40" i="3"/>
  <c r="F38" i="3"/>
  <c r="E14" i="2"/>
  <c r="E13" i="2"/>
  <c r="E20" i="2"/>
  <c r="E12" i="2"/>
  <c r="E19" i="2"/>
  <c r="E18" i="2"/>
  <c r="E17" i="2"/>
  <c r="E16" i="2"/>
  <c r="E42" i="3"/>
  <c r="C41" i="3"/>
  <c r="E38" i="3"/>
  <c r="C37" i="3"/>
  <c r="B41" i="3"/>
  <c r="F39" i="3"/>
  <c r="B37" i="3"/>
  <c r="D38" i="3" l="1"/>
  <c r="D41" i="3"/>
  <c r="D42" i="3"/>
  <c r="D39" i="3"/>
  <c r="D37" i="3"/>
  <c r="D40" i="3"/>
  <c r="R230" i="8"/>
  <c r="R229" i="8"/>
  <c r="R228" i="8"/>
  <c r="R227" i="8"/>
  <c r="R226" i="8"/>
  <c r="R225" i="8"/>
  <c r="R224" i="8"/>
  <c r="R223" i="8"/>
  <c r="R222" i="8"/>
  <c r="R221" i="8"/>
  <c r="R220" i="8"/>
  <c r="R219" i="8"/>
  <c r="R218" i="8"/>
  <c r="R217" i="8"/>
  <c r="R216" i="8"/>
  <c r="R215" i="8"/>
  <c r="R214" i="8"/>
  <c r="R213" i="8"/>
  <c r="R212" i="8"/>
  <c r="R211" i="8"/>
  <c r="R210" i="8"/>
  <c r="R209" i="8"/>
  <c r="R208" i="8"/>
  <c r="R207" i="8"/>
  <c r="R206" i="8"/>
  <c r="R205" i="8"/>
  <c r="R204" i="8"/>
  <c r="R203" i="8"/>
  <c r="R202" i="8"/>
  <c r="R201" i="8"/>
  <c r="R200" i="8"/>
  <c r="R199" i="8"/>
  <c r="R198" i="8"/>
  <c r="R197" i="8"/>
  <c r="R196" i="8"/>
  <c r="R195" i="8"/>
  <c r="R194" i="8"/>
  <c r="R193" i="8"/>
  <c r="R192" i="8"/>
  <c r="R191" i="8"/>
  <c r="R190" i="8"/>
  <c r="R189" i="8"/>
  <c r="R188" i="8"/>
  <c r="R187" i="8"/>
  <c r="R186" i="8"/>
  <c r="R185" i="8"/>
  <c r="R184" i="8"/>
  <c r="R183" i="8"/>
  <c r="R182" i="8"/>
  <c r="R181" i="8"/>
  <c r="R180" i="8"/>
  <c r="R179" i="8"/>
  <c r="R178" i="8"/>
  <c r="R177" i="8"/>
  <c r="R176" i="8"/>
  <c r="R175" i="8"/>
  <c r="R174" i="8"/>
  <c r="R173" i="8"/>
  <c r="R172" i="8"/>
  <c r="R171" i="8"/>
  <c r="R170" i="8"/>
  <c r="R169" i="8"/>
  <c r="R168" i="8"/>
  <c r="R167" i="8"/>
  <c r="R166" i="8"/>
  <c r="R165" i="8"/>
  <c r="R164" i="8"/>
  <c r="R163" i="8"/>
  <c r="R162" i="8"/>
  <c r="R161" i="8"/>
  <c r="R160" i="8"/>
  <c r="R159" i="8"/>
  <c r="R158" i="8"/>
  <c r="R157" i="8"/>
  <c r="R156" i="8"/>
  <c r="R155" i="8"/>
  <c r="R154" i="8"/>
  <c r="R153" i="8"/>
  <c r="R152" i="8"/>
  <c r="R151" i="8"/>
  <c r="R150" i="8"/>
  <c r="R149" i="8"/>
  <c r="R148" i="8"/>
  <c r="R147" i="8"/>
  <c r="R146" i="8"/>
  <c r="R145" i="8"/>
  <c r="R144" i="8"/>
  <c r="R143" i="8"/>
  <c r="R142" i="8"/>
  <c r="R141" i="8"/>
  <c r="R140" i="8"/>
  <c r="R139" i="8"/>
  <c r="R138" i="8"/>
  <c r="R137" i="8"/>
  <c r="R136" i="8"/>
  <c r="R135" i="8"/>
  <c r="R134" i="8"/>
  <c r="R133" i="8"/>
  <c r="R132" i="8"/>
  <c r="R131" i="8"/>
  <c r="R130" i="8"/>
  <c r="R129" i="8"/>
  <c r="R128" i="8"/>
  <c r="R127" i="8"/>
  <c r="R126" i="8"/>
  <c r="R125" i="8"/>
  <c r="R124" i="8"/>
  <c r="R123" i="8"/>
  <c r="R122" i="8"/>
  <c r="R121" i="8"/>
  <c r="R120" i="8"/>
  <c r="R119" i="8"/>
  <c r="R118" i="8"/>
  <c r="R117" i="8"/>
  <c r="R116" i="8"/>
  <c r="R115" i="8"/>
  <c r="R114" i="8"/>
  <c r="R113" i="8"/>
  <c r="R112" i="8"/>
  <c r="R111" i="8"/>
  <c r="R110" i="8"/>
  <c r="R109" i="8"/>
  <c r="R108" i="8"/>
  <c r="R107" i="8"/>
  <c r="R106" i="8"/>
  <c r="R105" i="8"/>
  <c r="R104" i="8"/>
  <c r="R103" i="8"/>
  <c r="R102" i="8"/>
  <c r="R101" i="8"/>
  <c r="R100" i="8"/>
  <c r="R99" i="8"/>
  <c r="R98" i="8"/>
  <c r="R97" i="8"/>
  <c r="R96" i="8"/>
  <c r="R95" i="8"/>
  <c r="R94" i="8"/>
  <c r="R93" i="8"/>
  <c r="R92" i="8"/>
  <c r="R91" i="8"/>
  <c r="R90" i="8"/>
  <c r="R89" i="8"/>
  <c r="R88" i="8"/>
  <c r="R87" i="8"/>
  <c r="R86" i="8"/>
  <c r="R85" i="8"/>
  <c r="R84" i="8"/>
  <c r="R83" i="8"/>
  <c r="R82" i="8"/>
  <c r="R81" i="8"/>
  <c r="R80" i="8"/>
  <c r="R79" i="8"/>
  <c r="R78" i="8"/>
  <c r="R77" i="8"/>
  <c r="R76" i="8"/>
  <c r="R75" i="8"/>
  <c r="R74" i="8"/>
  <c r="R73" i="8"/>
  <c r="R72" i="8"/>
  <c r="R71" i="8"/>
  <c r="R70" i="8"/>
  <c r="R69" i="8"/>
  <c r="R68" i="8"/>
  <c r="R67" i="8"/>
  <c r="R66" i="8"/>
  <c r="R65" i="8"/>
  <c r="R64" i="8"/>
  <c r="R63" i="8"/>
  <c r="R62" i="8"/>
  <c r="R61" i="8"/>
  <c r="R60" i="8"/>
  <c r="R59" i="8"/>
  <c r="R58" i="8"/>
  <c r="R57" i="8"/>
  <c r="R56" i="8"/>
  <c r="R55" i="8"/>
  <c r="R54" i="8"/>
  <c r="R53" i="8"/>
  <c r="R52" i="8"/>
  <c r="R51" i="8"/>
  <c r="R50" i="8"/>
  <c r="R49" i="8"/>
  <c r="R48" i="8"/>
  <c r="R47" i="8"/>
  <c r="R46" i="8"/>
  <c r="R45" i="8"/>
  <c r="R44" i="8"/>
  <c r="R43" i="8"/>
  <c r="R42" i="8"/>
  <c r="R41" i="8"/>
  <c r="R40" i="8"/>
  <c r="R39" i="8"/>
  <c r="R38" i="8"/>
  <c r="R37" i="8"/>
  <c r="R36" i="8"/>
  <c r="R35" i="8"/>
  <c r="R34" i="8"/>
  <c r="R33" i="8"/>
  <c r="R32" i="8"/>
  <c r="R31" i="8"/>
  <c r="R30" i="8"/>
  <c r="R29" i="8"/>
  <c r="R28" i="8"/>
  <c r="R27" i="8"/>
  <c r="R26" i="8"/>
  <c r="R25" i="8"/>
  <c r="R24" i="8"/>
  <c r="R23" i="8"/>
  <c r="R22" i="8"/>
  <c r="R21" i="8"/>
  <c r="R20" i="8"/>
  <c r="R19" i="8"/>
  <c r="R18" i="8"/>
  <c r="R17" i="8"/>
  <c r="R16" i="8"/>
  <c r="R15" i="8"/>
  <c r="R14" i="8"/>
  <c r="R13" i="8"/>
  <c r="R12" i="8"/>
  <c r="R11" i="8"/>
  <c r="R10" i="8"/>
  <c r="R9" i="8"/>
  <c r="R8" i="8"/>
  <c r="R7" i="8"/>
  <c r="R6" i="8"/>
  <c r="R5" i="8"/>
  <c r="R208" i="7"/>
  <c r="R207" i="7"/>
  <c r="R206" i="7"/>
  <c r="R205" i="7"/>
  <c r="R204" i="7"/>
  <c r="R203" i="7"/>
  <c r="R202" i="7"/>
  <c r="R201" i="7"/>
  <c r="R200" i="7"/>
  <c r="R199" i="7"/>
  <c r="R198" i="7"/>
  <c r="R197" i="7"/>
  <c r="R196" i="7"/>
  <c r="R195" i="7"/>
  <c r="R194" i="7"/>
  <c r="R193" i="7"/>
  <c r="R192" i="7"/>
  <c r="R191" i="7"/>
  <c r="R190" i="7"/>
  <c r="R189" i="7"/>
  <c r="R188" i="7"/>
  <c r="R187" i="7"/>
  <c r="R186" i="7"/>
  <c r="R185" i="7"/>
  <c r="R184" i="7"/>
  <c r="R183" i="7"/>
  <c r="R182" i="7"/>
  <c r="R181" i="7"/>
  <c r="R180" i="7"/>
  <c r="R179" i="7"/>
  <c r="R178" i="7"/>
  <c r="R177" i="7"/>
  <c r="R176" i="7"/>
  <c r="R175" i="7"/>
  <c r="R174" i="7"/>
  <c r="R173" i="7"/>
  <c r="R172" i="7"/>
  <c r="R171" i="7"/>
  <c r="R170" i="7"/>
  <c r="R169" i="7"/>
  <c r="R168" i="7"/>
  <c r="R167" i="7"/>
  <c r="R166" i="7"/>
  <c r="R165" i="7"/>
  <c r="R164" i="7"/>
  <c r="R163" i="7"/>
  <c r="R162" i="7"/>
  <c r="R161" i="7"/>
  <c r="R160" i="7"/>
  <c r="R159" i="7"/>
  <c r="R158" i="7"/>
  <c r="R157" i="7"/>
  <c r="R156" i="7"/>
  <c r="R155" i="7"/>
  <c r="R154" i="7"/>
  <c r="R153" i="7"/>
  <c r="R152" i="7"/>
  <c r="R151" i="7"/>
  <c r="R150" i="7"/>
  <c r="R149" i="7"/>
  <c r="R148" i="7"/>
  <c r="R147" i="7"/>
  <c r="R146" i="7"/>
  <c r="R145" i="7"/>
  <c r="R144" i="7"/>
  <c r="R143" i="7"/>
  <c r="R142" i="7"/>
  <c r="R141" i="7"/>
  <c r="R140" i="7"/>
  <c r="R139" i="7"/>
  <c r="R138" i="7"/>
  <c r="R137" i="7"/>
  <c r="R136" i="7"/>
  <c r="R135" i="7"/>
  <c r="R134" i="7"/>
  <c r="R133" i="7"/>
  <c r="R132" i="7"/>
  <c r="R131" i="7"/>
  <c r="R130" i="7"/>
  <c r="R129" i="7"/>
  <c r="R128" i="7"/>
  <c r="R127" i="7"/>
  <c r="R126" i="7"/>
  <c r="R125" i="7"/>
  <c r="R124" i="7"/>
  <c r="R123" i="7"/>
  <c r="R122" i="7"/>
  <c r="R121" i="7"/>
  <c r="R120" i="7"/>
  <c r="R119" i="7"/>
  <c r="R118" i="7"/>
  <c r="R117" i="7"/>
  <c r="R116" i="7"/>
  <c r="R115" i="7"/>
  <c r="R114" i="7"/>
  <c r="R113" i="7"/>
  <c r="R112" i="7"/>
  <c r="R111" i="7"/>
  <c r="R110" i="7"/>
  <c r="R109" i="7"/>
  <c r="R108" i="7"/>
  <c r="R107" i="7"/>
  <c r="R106" i="7"/>
  <c r="R105" i="7"/>
  <c r="R104" i="7"/>
  <c r="R103" i="7"/>
  <c r="R102" i="7"/>
  <c r="R101" i="7"/>
  <c r="R100" i="7"/>
  <c r="R99" i="7"/>
  <c r="R98" i="7"/>
  <c r="R97" i="7"/>
  <c r="R96" i="7"/>
  <c r="R95" i="7"/>
  <c r="R94" i="7"/>
  <c r="R93" i="7"/>
  <c r="R92" i="7"/>
  <c r="R91" i="7"/>
  <c r="R90" i="7"/>
  <c r="R89" i="7"/>
  <c r="R88" i="7"/>
  <c r="R87" i="7"/>
  <c r="R86" i="7"/>
  <c r="R85" i="7"/>
  <c r="R84" i="7"/>
  <c r="R83" i="7"/>
  <c r="R82" i="7"/>
  <c r="R81" i="7"/>
  <c r="R80" i="7"/>
  <c r="R79" i="7"/>
  <c r="R78" i="7"/>
  <c r="R77" i="7"/>
  <c r="R76" i="7"/>
  <c r="R75" i="7"/>
  <c r="R74" i="7"/>
  <c r="R73" i="7"/>
  <c r="R72" i="7"/>
  <c r="R71" i="7"/>
  <c r="R70" i="7"/>
  <c r="R69" i="7"/>
  <c r="R68" i="7"/>
  <c r="R67" i="7"/>
  <c r="R66" i="7"/>
  <c r="R65" i="7"/>
  <c r="R64" i="7"/>
  <c r="R63" i="7"/>
  <c r="R62" i="7"/>
  <c r="R61" i="7"/>
  <c r="R60" i="7"/>
  <c r="R59" i="7"/>
  <c r="R58" i="7"/>
  <c r="R57" i="7"/>
  <c r="R56" i="7"/>
  <c r="R55" i="7"/>
  <c r="R54" i="7"/>
  <c r="R53" i="7"/>
  <c r="R52" i="7"/>
  <c r="R51" i="7"/>
  <c r="R50" i="7"/>
  <c r="R49" i="7"/>
  <c r="R48" i="7"/>
  <c r="R47" i="7"/>
  <c r="R46" i="7"/>
  <c r="R45" i="7"/>
  <c r="R44" i="7"/>
  <c r="R43" i="7"/>
  <c r="R42" i="7"/>
  <c r="R41" i="7"/>
  <c r="R40" i="7"/>
  <c r="R39" i="7"/>
  <c r="R38" i="7"/>
  <c r="R37" i="7"/>
  <c r="R36" i="7"/>
  <c r="R35" i="7"/>
  <c r="R34" i="7"/>
  <c r="R33" i="7"/>
  <c r="R32" i="7"/>
  <c r="R31" i="7"/>
  <c r="R30" i="7"/>
  <c r="R29" i="7"/>
  <c r="R28" i="7"/>
  <c r="R27" i="7"/>
  <c r="R26" i="7"/>
  <c r="R25" i="7"/>
  <c r="R24" i="7"/>
  <c r="R23" i="7"/>
  <c r="R22" i="7"/>
  <c r="R21" i="7"/>
  <c r="R20" i="7"/>
  <c r="R19" i="7"/>
  <c r="R18" i="7"/>
  <c r="R17" i="7"/>
  <c r="R16" i="7"/>
  <c r="R15" i="7"/>
  <c r="R14" i="7"/>
  <c r="R13" i="7"/>
  <c r="R12" i="7"/>
  <c r="R11" i="7"/>
  <c r="R10" i="7"/>
  <c r="R9" i="7"/>
  <c r="R8" i="7"/>
  <c r="R7" i="7"/>
  <c r="R6" i="7"/>
  <c r="R5" i="7"/>
  <c r="R208" i="6"/>
  <c r="R207" i="6"/>
  <c r="R206" i="6"/>
  <c r="R205" i="6"/>
  <c r="R204" i="6"/>
  <c r="R203" i="6"/>
  <c r="R202" i="6"/>
  <c r="R201" i="6"/>
  <c r="R200" i="6"/>
  <c r="R199" i="6"/>
  <c r="R198" i="6"/>
  <c r="R197" i="6"/>
  <c r="R196" i="6"/>
  <c r="R195" i="6"/>
  <c r="R194" i="6"/>
  <c r="R193" i="6"/>
  <c r="R192" i="6"/>
  <c r="R191" i="6"/>
  <c r="R190" i="6"/>
  <c r="R189" i="6"/>
  <c r="R188" i="6"/>
  <c r="R187" i="6"/>
  <c r="R186" i="6"/>
  <c r="R185" i="6"/>
  <c r="R184" i="6"/>
  <c r="R183" i="6"/>
  <c r="R182" i="6"/>
  <c r="R181" i="6"/>
  <c r="R180" i="6"/>
  <c r="R179" i="6"/>
  <c r="R178" i="6"/>
  <c r="R177" i="6"/>
  <c r="R176" i="6"/>
  <c r="R175" i="6"/>
  <c r="R174" i="6"/>
  <c r="R173" i="6"/>
  <c r="R172" i="6"/>
  <c r="R171" i="6"/>
  <c r="R170" i="6"/>
  <c r="R169" i="6"/>
  <c r="R168" i="6"/>
  <c r="R167" i="6"/>
  <c r="R166" i="6"/>
  <c r="R165" i="6"/>
  <c r="R164" i="6"/>
  <c r="R163" i="6"/>
  <c r="R162" i="6"/>
  <c r="R161" i="6"/>
  <c r="R160" i="6"/>
  <c r="R159" i="6"/>
  <c r="R158" i="6"/>
  <c r="R157" i="6"/>
  <c r="R156" i="6"/>
  <c r="R155" i="6"/>
  <c r="R154" i="6"/>
  <c r="R153" i="6"/>
  <c r="R152" i="6"/>
  <c r="R151" i="6"/>
  <c r="R150" i="6"/>
  <c r="R149" i="6"/>
  <c r="R148" i="6"/>
  <c r="R147" i="6"/>
  <c r="R146" i="6"/>
  <c r="R145" i="6"/>
  <c r="R144" i="6"/>
  <c r="R143" i="6"/>
  <c r="R142" i="6"/>
  <c r="R141" i="6"/>
  <c r="R140" i="6"/>
  <c r="R139" i="6"/>
  <c r="R138" i="6"/>
  <c r="R137" i="6"/>
  <c r="R136" i="6"/>
  <c r="R135" i="6"/>
  <c r="R134" i="6"/>
  <c r="R133" i="6"/>
  <c r="R132" i="6"/>
  <c r="R131" i="6"/>
  <c r="R130" i="6"/>
  <c r="R129" i="6"/>
  <c r="R128" i="6"/>
  <c r="R127" i="6"/>
  <c r="R126" i="6"/>
  <c r="R125" i="6"/>
  <c r="R124" i="6"/>
  <c r="R123" i="6"/>
  <c r="R122" i="6"/>
  <c r="R121" i="6"/>
  <c r="R120" i="6"/>
  <c r="R119" i="6"/>
  <c r="R118" i="6"/>
  <c r="R117" i="6"/>
  <c r="R116" i="6"/>
  <c r="R115" i="6"/>
  <c r="R114" i="6"/>
  <c r="R113" i="6"/>
  <c r="R112" i="6"/>
  <c r="R111" i="6"/>
  <c r="R110" i="6"/>
  <c r="R109" i="6"/>
  <c r="R108" i="6"/>
  <c r="R107" i="6"/>
  <c r="R106" i="6"/>
  <c r="R105" i="6"/>
  <c r="R104" i="6"/>
  <c r="R103" i="6"/>
  <c r="R102" i="6"/>
  <c r="R101" i="6"/>
  <c r="R100" i="6"/>
  <c r="R99" i="6"/>
  <c r="R98" i="6"/>
  <c r="R97" i="6"/>
  <c r="R96" i="6"/>
  <c r="R95" i="6"/>
  <c r="R94" i="6"/>
  <c r="R93" i="6"/>
  <c r="R92" i="6"/>
  <c r="R91" i="6"/>
  <c r="R90" i="6"/>
  <c r="R89" i="6"/>
  <c r="R88" i="6"/>
  <c r="R87" i="6"/>
  <c r="R86" i="6"/>
  <c r="R85" i="6"/>
  <c r="R84" i="6"/>
  <c r="R83" i="6"/>
  <c r="R82" i="6"/>
  <c r="R81" i="6"/>
  <c r="R80" i="6"/>
  <c r="R79" i="6"/>
  <c r="R78" i="6"/>
  <c r="R77" i="6"/>
  <c r="R76" i="6"/>
  <c r="R75" i="6"/>
  <c r="R74" i="6"/>
  <c r="R73" i="6"/>
  <c r="R72" i="6"/>
  <c r="R71" i="6"/>
  <c r="R70" i="6"/>
  <c r="R69" i="6"/>
  <c r="R68" i="6"/>
  <c r="R67" i="6"/>
  <c r="R66" i="6"/>
  <c r="R65" i="6"/>
  <c r="R64" i="6"/>
  <c r="R63" i="6"/>
  <c r="R62" i="6"/>
  <c r="R61" i="6"/>
  <c r="R60" i="6"/>
  <c r="R59" i="6"/>
  <c r="R58" i="6"/>
  <c r="R57" i="6"/>
  <c r="R56" i="6"/>
  <c r="R55" i="6"/>
  <c r="R54" i="6"/>
  <c r="R53" i="6"/>
  <c r="R52" i="6"/>
  <c r="R51" i="6"/>
  <c r="R50" i="6"/>
  <c r="R49" i="6"/>
  <c r="R48" i="6"/>
  <c r="R47" i="6"/>
  <c r="R46" i="6"/>
  <c r="R45" i="6"/>
  <c r="R44" i="6"/>
  <c r="R43" i="6"/>
  <c r="R42" i="6"/>
  <c r="R41" i="6"/>
  <c r="R40" i="6"/>
  <c r="R39" i="6"/>
  <c r="R38" i="6"/>
  <c r="R37" i="6"/>
  <c r="R36" i="6"/>
  <c r="R35" i="6"/>
  <c r="R34" i="6"/>
  <c r="R33" i="6"/>
  <c r="R32" i="6"/>
  <c r="R31" i="6"/>
  <c r="R30" i="6"/>
  <c r="R29" i="6"/>
  <c r="R28" i="6"/>
  <c r="R27" i="6"/>
  <c r="R26" i="6"/>
  <c r="R25" i="6"/>
  <c r="R24" i="6"/>
  <c r="R23" i="6"/>
  <c r="R22" i="6"/>
  <c r="R21" i="6"/>
  <c r="R20" i="6"/>
  <c r="R19" i="6"/>
  <c r="R18" i="6"/>
  <c r="R17" i="6"/>
  <c r="R16" i="6"/>
  <c r="R15" i="6"/>
  <c r="R14" i="6"/>
  <c r="R13" i="6"/>
  <c r="R12" i="6"/>
  <c r="R11" i="6"/>
  <c r="R10" i="6"/>
  <c r="R9" i="6"/>
  <c r="R8" i="6"/>
  <c r="R7" i="6"/>
  <c r="R6" i="6"/>
  <c r="R5" i="6"/>
  <c r="J3" i="10"/>
  <c r="D25" i="1"/>
  <c r="D24" i="1"/>
  <c r="D23" i="1"/>
  <c r="D22" i="1"/>
  <c r="D21" i="1"/>
  <c r="D20" i="1"/>
  <c r="D18" i="1"/>
  <c r="D17" i="1"/>
  <c r="D16" i="1"/>
  <c r="D15" i="1"/>
  <c r="I102" i="10" l="1"/>
  <c r="E102" i="10" s="1"/>
  <c r="G3" i="10"/>
  <c r="I8" i="10"/>
  <c r="I16" i="10"/>
  <c r="I24" i="10"/>
  <c r="I32" i="10"/>
  <c r="I40" i="10"/>
  <c r="I48" i="10"/>
  <c r="I56" i="10"/>
  <c r="I64" i="10"/>
  <c r="I72" i="10"/>
  <c r="I80" i="10"/>
  <c r="I89" i="10"/>
  <c r="I93" i="10"/>
  <c r="I115" i="10"/>
  <c r="I120" i="10"/>
  <c r="I53" i="10"/>
  <c r="I61" i="10"/>
  <c r="I69" i="10"/>
  <c r="I77" i="10"/>
  <c r="I82" i="10"/>
  <c r="I84" i="10"/>
  <c r="I98" i="10"/>
  <c r="I103" i="10"/>
  <c r="I129" i="10"/>
  <c r="I21" i="10"/>
  <c r="I10" i="10"/>
  <c r="I42" i="10"/>
  <c r="I58" i="10"/>
  <c r="I74" i="10"/>
  <c r="I137" i="10"/>
  <c r="I29" i="10"/>
  <c r="I45" i="10"/>
  <c r="I71" i="10"/>
  <c r="I79" i="10"/>
  <c r="I94" i="10"/>
  <c r="I106" i="10"/>
  <c r="I146" i="10"/>
  <c r="I66" i="10"/>
  <c r="I63" i="10"/>
  <c r="I20" i="10"/>
  <c r="I44" i="10"/>
  <c r="I99" i="10"/>
  <c r="I109" i="10"/>
  <c r="I117" i="10"/>
  <c r="I7" i="10"/>
  <c r="I23" i="10"/>
  <c r="I31" i="10"/>
  <c r="I39" i="10"/>
  <c r="I55" i="10"/>
  <c r="I60" i="10"/>
  <c r="I68" i="10"/>
  <c r="I76" i="10"/>
  <c r="I88" i="10"/>
  <c r="I90" i="10"/>
  <c r="I9" i="10"/>
  <c r="I17" i="10"/>
  <c r="I25" i="10"/>
  <c r="I33" i="10"/>
  <c r="I41" i="10"/>
  <c r="I49" i="10"/>
  <c r="I57" i="10"/>
  <c r="I65" i="10"/>
  <c r="I73" i="10"/>
  <c r="I81" i="10"/>
  <c r="I83" i="10"/>
  <c r="I107" i="10"/>
  <c r="I110" i="10"/>
  <c r="I118" i="10"/>
  <c r="I125" i="10"/>
  <c r="I18" i="10"/>
  <c r="I6" i="10"/>
  <c r="I14" i="10"/>
  <c r="I22" i="10"/>
  <c r="I30" i="10"/>
  <c r="I38" i="10"/>
  <c r="I46" i="10"/>
  <c r="I54" i="10"/>
  <c r="I62" i="10"/>
  <c r="I70" i="10"/>
  <c r="I78" i="10"/>
  <c r="I95" i="10"/>
  <c r="I235" i="10"/>
  <c r="I234" i="10"/>
  <c r="I233" i="10"/>
  <c r="I232" i="10"/>
  <c r="I231" i="10"/>
  <c r="I230" i="10"/>
  <c r="I229" i="10"/>
  <c r="I228" i="10"/>
  <c r="I227" i="10"/>
  <c r="I226" i="10"/>
  <c r="I225" i="10"/>
  <c r="I224" i="10"/>
  <c r="I223" i="10"/>
  <c r="I222" i="10"/>
  <c r="I221" i="10"/>
  <c r="I220" i="10"/>
  <c r="I219" i="10"/>
  <c r="I218" i="10"/>
  <c r="I217" i="10"/>
  <c r="I216" i="10"/>
  <c r="I215" i="10"/>
  <c r="I214" i="10"/>
  <c r="I213" i="10"/>
  <c r="I212" i="10"/>
  <c r="I211" i="10"/>
  <c r="I210" i="10"/>
  <c r="I209" i="10"/>
  <c r="I208" i="10"/>
  <c r="I207" i="10"/>
  <c r="I206" i="10"/>
  <c r="I205" i="10"/>
  <c r="I204" i="10"/>
  <c r="I203" i="10"/>
  <c r="I202" i="10"/>
  <c r="I201" i="10"/>
  <c r="I200" i="10"/>
  <c r="I199" i="10"/>
  <c r="I198" i="10"/>
  <c r="I197" i="10"/>
  <c r="I196" i="10"/>
  <c r="I195" i="10"/>
  <c r="I194" i="10"/>
  <c r="I193" i="10"/>
  <c r="I192" i="10"/>
  <c r="I191" i="10"/>
  <c r="I190" i="10"/>
  <c r="I189" i="10"/>
  <c r="I188" i="10"/>
  <c r="I187" i="10"/>
  <c r="I186" i="10"/>
  <c r="I185" i="10"/>
  <c r="I184" i="10"/>
  <c r="I183" i="10"/>
  <c r="I182" i="10"/>
  <c r="I181" i="10"/>
  <c r="I180" i="10"/>
  <c r="I179" i="10"/>
  <c r="I178" i="10"/>
  <c r="I177" i="10"/>
  <c r="I176" i="10"/>
  <c r="I175" i="10"/>
  <c r="I174" i="10"/>
  <c r="I173" i="10"/>
  <c r="I172" i="10"/>
  <c r="I171" i="10"/>
  <c r="I170" i="10"/>
  <c r="I169" i="10"/>
  <c r="I168" i="10"/>
  <c r="I167" i="10"/>
  <c r="I166" i="10"/>
  <c r="I165" i="10"/>
  <c r="I164" i="10"/>
  <c r="I163" i="10"/>
  <c r="I162" i="10"/>
  <c r="I161" i="10"/>
  <c r="I160" i="10"/>
  <c r="I159" i="10"/>
  <c r="I158" i="10"/>
  <c r="I157" i="10"/>
  <c r="I156" i="10"/>
  <c r="I155" i="10"/>
  <c r="I154" i="10"/>
  <c r="I153" i="10"/>
  <c r="I152" i="10"/>
  <c r="I151" i="10"/>
  <c r="I130" i="10"/>
  <c r="I122" i="10"/>
  <c r="I147" i="10"/>
  <c r="I143" i="10"/>
  <c r="I139" i="10"/>
  <c r="I135" i="10"/>
  <c r="I131" i="10"/>
  <c r="I123" i="10"/>
  <c r="I124" i="10"/>
  <c r="I141" i="10"/>
  <c r="I113" i="10"/>
  <c r="I85" i="10"/>
  <c r="I134" i="10"/>
  <c r="I126" i="10"/>
  <c r="I97" i="10"/>
  <c r="I145" i="10"/>
  <c r="I132" i="10"/>
  <c r="I116" i="10"/>
  <c r="I108" i="10"/>
  <c r="I104" i="10"/>
  <c r="I100" i="10"/>
  <c r="I96" i="10"/>
  <c r="I92" i="10"/>
  <c r="I86" i="10"/>
  <c r="I149" i="10"/>
  <c r="I136" i="10"/>
  <c r="I121" i="10"/>
  <c r="I119" i="10"/>
  <c r="I111" i="10"/>
  <c r="I87" i="10"/>
  <c r="I140" i="10"/>
  <c r="I128" i="10"/>
  <c r="I114" i="10"/>
  <c r="I105" i="10"/>
  <c r="I101" i="10"/>
  <c r="I144" i="10"/>
  <c r="I138" i="10"/>
  <c r="I148" i="10"/>
  <c r="I142" i="10"/>
  <c r="I112" i="10"/>
  <c r="I150" i="10"/>
  <c r="I13" i="10"/>
  <c r="I37" i="10"/>
  <c r="I26" i="10"/>
  <c r="I34" i="10"/>
  <c r="I50" i="10"/>
  <c r="I15" i="10"/>
  <c r="I47" i="10"/>
  <c r="I12" i="10"/>
  <c r="I28" i="10"/>
  <c r="I36" i="10"/>
  <c r="I52" i="10"/>
  <c r="I11" i="10"/>
  <c r="I19" i="10"/>
  <c r="I27" i="10"/>
  <c r="I35" i="10"/>
  <c r="I43" i="10"/>
  <c r="I51" i="10"/>
  <c r="I59" i="10"/>
  <c r="I67" i="10"/>
  <c r="I75" i="10"/>
  <c r="I91" i="10"/>
  <c r="I127" i="10"/>
  <c r="I133" i="10"/>
  <c r="A102" i="10" l="1"/>
  <c r="G102" i="10"/>
  <c r="F102" i="10"/>
  <c r="B102" i="10"/>
  <c r="D102" i="10"/>
  <c r="C102" i="10"/>
  <c r="D147" i="10"/>
  <c r="B147" i="10"/>
  <c r="G147" i="10"/>
  <c r="E147" i="10"/>
  <c r="F147" i="10"/>
  <c r="C147" i="10"/>
  <c r="A147" i="10"/>
  <c r="F172" i="10"/>
  <c r="G172" i="10"/>
  <c r="E172" i="10"/>
  <c r="D172" i="10"/>
  <c r="C172" i="10"/>
  <c r="B172" i="10"/>
  <c r="A172" i="10"/>
  <c r="F180" i="10"/>
  <c r="G180" i="10"/>
  <c r="C180" i="10"/>
  <c r="B180" i="10"/>
  <c r="A180" i="10"/>
  <c r="E180" i="10"/>
  <c r="D180" i="10"/>
  <c r="F188" i="10"/>
  <c r="G188" i="10"/>
  <c r="E188" i="10"/>
  <c r="B188" i="10"/>
  <c r="A188" i="10"/>
  <c r="D188" i="10"/>
  <c r="C188" i="10"/>
  <c r="F196" i="10"/>
  <c r="G196" i="10"/>
  <c r="C196" i="10"/>
  <c r="B196" i="10"/>
  <c r="A196" i="10"/>
  <c r="E196" i="10"/>
  <c r="D196" i="10"/>
  <c r="F204" i="10"/>
  <c r="G204" i="10"/>
  <c r="E204" i="10"/>
  <c r="B204" i="10"/>
  <c r="D204" i="10"/>
  <c r="C204" i="10"/>
  <c r="A204" i="10"/>
  <c r="F212" i="10"/>
  <c r="G212" i="10"/>
  <c r="C212" i="10"/>
  <c r="B212" i="10"/>
  <c r="A212" i="10"/>
  <c r="E212" i="10"/>
  <c r="D212" i="10"/>
  <c r="F220" i="10"/>
  <c r="G220" i="10"/>
  <c r="E220" i="10"/>
  <c r="B220" i="10"/>
  <c r="A220" i="10"/>
  <c r="D220" i="10"/>
  <c r="C220" i="10"/>
  <c r="F228" i="10"/>
  <c r="G228" i="10"/>
  <c r="C228" i="10"/>
  <c r="B228" i="10"/>
  <c r="A228" i="10"/>
  <c r="E228" i="10"/>
  <c r="D228" i="10"/>
  <c r="E95" i="10"/>
  <c r="C95" i="10"/>
  <c r="G95" i="10"/>
  <c r="F95" i="10"/>
  <c r="D95" i="10"/>
  <c r="B95" i="10"/>
  <c r="A95" i="10"/>
  <c r="D22" i="10"/>
  <c r="C22" i="10"/>
  <c r="B22" i="10"/>
  <c r="E22" i="10"/>
  <c r="G22" i="10"/>
  <c r="F22" i="10"/>
  <c r="A22" i="10"/>
  <c r="E83" i="10"/>
  <c r="F83" i="10"/>
  <c r="D83" i="10"/>
  <c r="C83" i="10"/>
  <c r="G83" i="10"/>
  <c r="B83" i="10"/>
  <c r="A83" i="10"/>
  <c r="D25" i="10"/>
  <c r="C25" i="10"/>
  <c r="B25" i="10"/>
  <c r="G25" i="10"/>
  <c r="F25" i="10"/>
  <c r="A25" i="10"/>
  <c r="E25" i="10"/>
  <c r="D55" i="10"/>
  <c r="C55" i="10"/>
  <c r="B55" i="10"/>
  <c r="A55" i="10"/>
  <c r="G55" i="10"/>
  <c r="F55" i="10"/>
  <c r="E55" i="10"/>
  <c r="D44" i="10"/>
  <c r="C44" i="10"/>
  <c r="B44" i="10"/>
  <c r="F44" i="10"/>
  <c r="G44" i="10"/>
  <c r="E44" i="10"/>
  <c r="A44" i="10"/>
  <c r="D71" i="10"/>
  <c r="C71" i="10"/>
  <c r="B71" i="10"/>
  <c r="A71" i="10"/>
  <c r="G71" i="10"/>
  <c r="F71" i="10"/>
  <c r="E71" i="10"/>
  <c r="D21" i="10"/>
  <c r="C21" i="10"/>
  <c r="B21" i="10"/>
  <c r="F21" i="10"/>
  <c r="E21" i="10"/>
  <c r="A21" i="10"/>
  <c r="G21" i="10"/>
  <c r="D61" i="10"/>
  <c r="C61" i="10"/>
  <c r="B61" i="10"/>
  <c r="F61" i="10"/>
  <c r="E61" i="10"/>
  <c r="A61" i="10"/>
  <c r="G61" i="10"/>
  <c r="D64" i="10"/>
  <c r="C64" i="10"/>
  <c r="B64" i="10"/>
  <c r="G64" i="10"/>
  <c r="F64" i="10"/>
  <c r="E64" i="10"/>
  <c r="A64" i="10"/>
  <c r="E113" i="10"/>
  <c r="D113" i="10"/>
  <c r="C113" i="10"/>
  <c r="B113" i="10"/>
  <c r="G113" i="10"/>
  <c r="F113" i="10"/>
  <c r="A113" i="10"/>
  <c r="D51" i="10"/>
  <c r="C51" i="10"/>
  <c r="B51" i="10"/>
  <c r="G51" i="10"/>
  <c r="F51" i="10"/>
  <c r="E51" i="10"/>
  <c r="A51" i="10"/>
  <c r="E105" i="10"/>
  <c r="C105" i="10"/>
  <c r="A105" i="10"/>
  <c r="F105" i="10"/>
  <c r="D105" i="10"/>
  <c r="B105" i="10"/>
  <c r="G105" i="10"/>
  <c r="D122" i="10"/>
  <c r="G122" i="10"/>
  <c r="F122" i="10"/>
  <c r="B122" i="10"/>
  <c r="A122" i="10"/>
  <c r="E122" i="10"/>
  <c r="C122" i="10"/>
  <c r="F173" i="10"/>
  <c r="B173" i="10"/>
  <c r="C173" i="10"/>
  <c r="A173" i="10"/>
  <c r="E173" i="10"/>
  <c r="D173" i="10"/>
  <c r="G173" i="10"/>
  <c r="F197" i="10"/>
  <c r="B197" i="10"/>
  <c r="G197" i="10"/>
  <c r="E197" i="10"/>
  <c r="A197" i="10"/>
  <c r="D197" i="10"/>
  <c r="C197" i="10"/>
  <c r="F213" i="10"/>
  <c r="B213" i="10"/>
  <c r="G213" i="10"/>
  <c r="E213" i="10"/>
  <c r="A213" i="10"/>
  <c r="D213" i="10"/>
  <c r="C213" i="10"/>
  <c r="F221" i="10"/>
  <c r="B221" i="10"/>
  <c r="C221" i="10"/>
  <c r="A221" i="10"/>
  <c r="G221" i="10"/>
  <c r="E221" i="10"/>
  <c r="D221" i="10"/>
  <c r="F229" i="10"/>
  <c r="B229" i="10"/>
  <c r="G229" i="10"/>
  <c r="E229" i="10"/>
  <c r="A229" i="10"/>
  <c r="D229" i="10"/>
  <c r="C229" i="10"/>
  <c r="D78" i="10"/>
  <c r="C78" i="10"/>
  <c r="B78" i="10"/>
  <c r="G78" i="10"/>
  <c r="F78" i="10"/>
  <c r="E78" i="10"/>
  <c r="A78" i="10"/>
  <c r="D14" i="10"/>
  <c r="C14" i="10"/>
  <c r="B14" i="10"/>
  <c r="E14" i="10"/>
  <c r="A14" i="10"/>
  <c r="G14" i="10"/>
  <c r="F14" i="10"/>
  <c r="D81" i="10"/>
  <c r="C81" i="10"/>
  <c r="B81" i="10"/>
  <c r="G81" i="10"/>
  <c r="F81" i="10"/>
  <c r="E81" i="10"/>
  <c r="A81" i="10"/>
  <c r="D17" i="10"/>
  <c r="C17" i="10"/>
  <c r="B17" i="10"/>
  <c r="A17" i="10"/>
  <c r="G17" i="10"/>
  <c r="F17" i="10"/>
  <c r="E17" i="10"/>
  <c r="D39" i="10"/>
  <c r="C39" i="10"/>
  <c r="B39" i="10"/>
  <c r="A39" i="10"/>
  <c r="G39" i="10"/>
  <c r="F39" i="10"/>
  <c r="E39" i="10"/>
  <c r="D20" i="10"/>
  <c r="C20" i="10"/>
  <c r="B20" i="10"/>
  <c r="E20" i="10"/>
  <c r="G20" i="10"/>
  <c r="F20" i="10"/>
  <c r="A20" i="10"/>
  <c r="D45" i="10"/>
  <c r="C45" i="10"/>
  <c r="B45" i="10"/>
  <c r="F45" i="10"/>
  <c r="E45" i="10"/>
  <c r="A45" i="10"/>
  <c r="G45" i="10"/>
  <c r="D129" i="10"/>
  <c r="G129" i="10"/>
  <c r="F129" i="10"/>
  <c r="E129" i="10"/>
  <c r="C129" i="10"/>
  <c r="B129" i="10"/>
  <c r="A129" i="10"/>
  <c r="D53" i="10"/>
  <c r="C53" i="10"/>
  <c r="B53" i="10"/>
  <c r="F53" i="10"/>
  <c r="E53" i="10"/>
  <c r="A53" i="10"/>
  <c r="G53" i="10"/>
  <c r="D56" i="10"/>
  <c r="C56" i="10"/>
  <c r="B56" i="10"/>
  <c r="G56" i="10"/>
  <c r="F56" i="10"/>
  <c r="E56" i="10"/>
  <c r="A56" i="10"/>
  <c r="D59" i="10"/>
  <c r="C59" i="10"/>
  <c r="B59" i="10"/>
  <c r="G59" i="10"/>
  <c r="F59" i="10"/>
  <c r="E59" i="10"/>
  <c r="A59" i="10"/>
  <c r="D121" i="10"/>
  <c r="G121" i="10"/>
  <c r="F121" i="10"/>
  <c r="E121" i="10"/>
  <c r="C121" i="10"/>
  <c r="B121" i="10"/>
  <c r="A121" i="10"/>
  <c r="A156" i="10"/>
  <c r="G156" i="10"/>
  <c r="F156" i="10"/>
  <c r="E156" i="10"/>
  <c r="D156" i="10"/>
  <c r="C156" i="10"/>
  <c r="B156" i="10"/>
  <c r="A164" i="10"/>
  <c r="G164" i="10"/>
  <c r="D164" i="10"/>
  <c r="C164" i="10"/>
  <c r="B164" i="10"/>
  <c r="F164" i="10"/>
  <c r="E164" i="10"/>
  <c r="D28" i="10"/>
  <c r="C28" i="10"/>
  <c r="B28" i="10"/>
  <c r="F28" i="10"/>
  <c r="G28" i="10"/>
  <c r="E28" i="10"/>
  <c r="A28" i="10"/>
  <c r="D13" i="10"/>
  <c r="C13" i="10"/>
  <c r="B13" i="10"/>
  <c r="F13" i="10"/>
  <c r="E13" i="10"/>
  <c r="A13" i="10"/>
  <c r="G13" i="10"/>
  <c r="D136" i="10"/>
  <c r="B136" i="10"/>
  <c r="A136" i="10"/>
  <c r="G136" i="10"/>
  <c r="F136" i="10"/>
  <c r="E136" i="10"/>
  <c r="C136" i="10"/>
  <c r="E116" i="10"/>
  <c r="D116" i="10"/>
  <c r="C116" i="10"/>
  <c r="F116" i="10"/>
  <c r="G116" i="10"/>
  <c r="A116" i="10"/>
  <c r="B116" i="10"/>
  <c r="D141" i="10"/>
  <c r="B141" i="10"/>
  <c r="E141" i="10"/>
  <c r="C141" i="10"/>
  <c r="A141" i="10"/>
  <c r="G141" i="10"/>
  <c r="F141" i="10"/>
  <c r="B157" i="10"/>
  <c r="G157" i="10"/>
  <c r="E157" i="10"/>
  <c r="D157" i="10"/>
  <c r="C157" i="10"/>
  <c r="A157" i="10"/>
  <c r="F157" i="10"/>
  <c r="F165" i="10"/>
  <c r="B165" i="10"/>
  <c r="G165" i="10"/>
  <c r="E165" i="10"/>
  <c r="A165" i="10"/>
  <c r="C165" i="10"/>
  <c r="D165" i="10"/>
  <c r="F181" i="10"/>
  <c r="B181" i="10"/>
  <c r="G181" i="10"/>
  <c r="E181" i="10"/>
  <c r="D181" i="10"/>
  <c r="C181" i="10"/>
  <c r="A181" i="10"/>
  <c r="F189" i="10"/>
  <c r="B189" i="10"/>
  <c r="C189" i="10"/>
  <c r="A189" i="10"/>
  <c r="G189" i="10"/>
  <c r="E189" i="10"/>
  <c r="D189" i="10"/>
  <c r="F205" i="10"/>
  <c r="B205" i="10"/>
  <c r="C205" i="10"/>
  <c r="A205" i="10"/>
  <c r="G205" i="10"/>
  <c r="E205" i="10"/>
  <c r="D205" i="10"/>
  <c r="D43" i="10"/>
  <c r="C43" i="10"/>
  <c r="B43" i="10"/>
  <c r="G43" i="10"/>
  <c r="F43" i="10"/>
  <c r="E43" i="10"/>
  <c r="A43" i="10"/>
  <c r="D12" i="10"/>
  <c r="C12" i="10"/>
  <c r="B12" i="10"/>
  <c r="E12" i="10"/>
  <c r="G12" i="10"/>
  <c r="F12" i="10"/>
  <c r="A12" i="10"/>
  <c r="D150" i="10"/>
  <c r="B150" i="10"/>
  <c r="G150" i="10"/>
  <c r="F150" i="10"/>
  <c r="E150" i="10"/>
  <c r="C150" i="10"/>
  <c r="A150" i="10"/>
  <c r="E114" i="10"/>
  <c r="D114" i="10"/>
  <c r="C114" i="10"/>
  <c r="F114" i="10"/>
  <c r="G114" i="10"/>
  <c r="B114" i="10"/>
  <c r="A114" i="10"/>
  <c r="D149" i="10"/>
  <c r="B149" i="10"/>
  <c r="E149" i="10"/>
  <c r="C149" i="10"/>
  <c r="A149" i="10"/>
  <c r="G149" i="10"/>
  <c r="F149" i="10"/>
  <c r="D132" i="10"/>
  <c r="B132" i="10"/>
  <c r="A132" i="10"/>
  <c r="G132" i="10"/>
  <c r="E132" i="10"/>
  <c r="C132" i="10"/>
  <c r="F132" i="10"/>
  <c r="D124" i="10"/>
  <c r="A124" i="10"/>
  <c r="B124" i="10"/>
  <c r="G124" i="10"/>
  <c r="F124" i="10"/>
  <c r="E124" i="10"/>
  <c r="C124" i="10"/>
  <c r="D130" i="10"/>
  <c r="G130" i="10"/>
  <c r="F130" i="10"/>
  <c r="E130" i="10"/>
  <c r="C130" i="10"/>
  <c r="B130" i="10"/>
  <c r="A130" i="10"/>
  <c r="C158" i="10"/>
  <c r="A158" i="10"/>
  <c r="D158" i="10"/>
  <c r="B158" i="10"/>
  <c r="G158" i="10"/>
  <c r="F158" i="10"/>
  <c r="E158" i="10"/>
  <c r="F166" i="10"/>
  <c r="D166" i="10"/>
  <c r="B166" i="10"/>
  <c r="A166" i="10"/>
  <c r="G166" i="10"/>
  <c r="E166" i="10"/>
  <c r="C166" i="10"/>
  <c r="F174" i="10"/>
  <c r="D174" i="10"/>
  <c r="B174" i="10"/>
  <c r="G174" i="10"/>
  <c r="E174" i="10"/>
  <c r="C174" i="10"/>
  <c r="A174" i="10"/>
  <c r="F182" i="10"/>
  <c r="D182" i="10"/>
  <c r="B182" i="10"/>
  <c r="A182" i="10"/>
  <c r="C182" i="10"/>
  <c r="G182" i="10"/>
  <c r="E182" i="10"/>
  <c r="F190" i="10"/>
  <c r="D190" i="10"/>
  <c r="B190" i="10"/>
  <c r="G190" i="10"/>
  <c r="E190" i="10"/>
  <c r="C190" i="10"/>
  <c r="A190" i="10"/>
  <c r="F198" i="10"/>
  <c r="D198" i="10"/>
  <c r="B198" i="10"/>
  <c r="A198" i="10"/>
  <c r="G198" i="10"/>
  <c r="E198" i="10"/>
  <c r="C198" i="10"/>
  <c r="F206" i="10"/>
  <c r="D206" i="10"/>
  <c r="B206" i="10"/>
  <c r="G206" i="10"/>
  <c r="E206" i="10"/>
  <c r="C206" i="10"/>
  <c r="A206" i="10"/>
  <c r="F214" i="10"/>
  <c r="D214" i="10"/>
  <c r="B214" i="10"/>
  <c r="A214" i="10"/>
  <c r="G214" i="10"/>
  <c r="E214" i="10"/>
  <c r="C214" i="10"/>
  <c r="F222" i="10"/>
  <c r="D222" i="10"/>
  <c r="B222" i="10"/>
  <c r="G222" i="10"/>
  <c r="E222" i="10"/>
  <c r="C222" i="10"/>
  <c r="A222" i="10"/>
  <c r="F230" i="10"/>
  <c r="D230" i="10"/>
  <c r="B230" i="10"/>
  <c r="A230" i="10"/>
  <c r="G230" i="10"/>
  <c r="E230" i="10"/>
  <c r="C230" i="10"/>
  <c r="D70" i="10"/>
  <c r="C70" i="10"/>
  <c r="B70" i="10"/>
  <c r="G70" i="10"/>
  <c r="F70" i="10"/>
  <c r="A70" i="10"/>
  <c r="E70" i="10"/>
  <c r="D6" i="10"/>
  <c r="C6" i="10"/>
  <c r="B6" i="10"/>
  <c r="F6" i="10"/>
  <c r="G6" i="10"/>
  <c r="A6" i="10"/>
  <c r="E6" i="10"/>
  <c r="D73" i="10"/>
  <c r="C73" i="10"/>
  <c r="B73" i="10"/>
  <c r="E73" i="10"/>
  <c r="G73" i="10"/>
  <c r="F73" i="10"/>
  <c r="A73" i="10"/>
  <c r="D9" i="10"/>
  <c r="C9" i="10"/>
  <c r="B9" i="10"/>
  <c r="G9" i="10"/>
  <c r="F9" i="10"/>
  <c r="E9" i="10"/>
  <c r="A9" i="10"/>
  <c r="D31" i="10"/>
  <c r="C31" i="10"/>
  <c r="B31" i="10"/>
  <c r="A31" i="10"/>
  <c r="G31" i="10"/>
  <c r="F31" i="10"/>
  <c r="E31" i="10"/>
  <c r="D63" i="10"/>
  <c r="C63" i="10"/>
  <c r="B63" i="10"/>
  <c r="A63" i="10"/>
  <c r="G63" i="10"/>
  <c r="F63" i="10"/>
  <c r="E63" i="10"/>
  <c r="D29" i="10"/>
  <c r="C29" i="10"/>
  <c r="B29" i="10"/>
  <c r="F29" i="10"/>
  <c r="E29" i="10"/>
  <c r="A29" i="10"/>
  <c r="G29" i="10"/>
  <c r="E103" i="10"/>
  <c r="C103" i="10"/>
  <c r="G103" i="10"/>
  <c r="F103" i="10"/>
  <c r="D103" i="10"/>
  <c r="A103" i="10"/>
  <c r="B103" i="10"/>
  <c r="D120" i="10"/>
  <c r="F120" i="10"/>
  <c r="E120" i="10"/>
  <c r="C120" i="10"/>
  <c r="B120" i="10"/>
  <c r="A120" i="10"/>
  <c r="G120" i="10"/>
  <c r="D48" i="10"/>
  <c r="C48" i="10"/>
  <c r="B48" i="10"/>
  <c r="G48" i="10"/>
  <c r="F48" i="10"/>
  <c r="E48" i="10"/>
  <c r="A48" i="10"/>
  <c r="D47" i="10"/>
  <c r="C47" i="10"/>
  <c r="B47" i="10"/>
  <c r="A47" i="10"/>
  <c r="G47" i="10"/>
  <c r="F47" i="10"/>
  <c r="E47" i="10"/>
  <c r="D159" i="10"/>
  <c r="B159" i="10"/>
  <c r="G159" i="10"/>
  <c r="F159" i="10"/>
  <c r="E159" i="10"/>
  <c r="C159" i="10"/>
  <c r="A159" i="10"/>
  <c r="F183" i="10"/>
  <c r="G183" i="10"/>
  <c r="D183" i="10"/>
  <c r="E183" i="10"/>
  <c r="C183" i="10"/>
  <c r="B183" i="10"/>
  <c r="A183" i="10"/>
  <c r="F191" i="10"/>
  <c r="G191" i="10"/>
  <c r="D191" i="10"/>
  <c r="A191" i="10"/>
  <c r="E191" i="10"/>
  <c r="C191" i="10"/>
  <c r="B191" i="10"/>
  <c r="F199" i="10"/>
  <c r="G199" i="10"/>
  <c r="D199" i="10"/>
  <c r="E199" i="10"/>
  <c r="C199" i="10"/>
  <c r="B199" i="10"/>
  <c r="A199" i="10"/>
  <c r="F207" i="10"/>
  <c r="G207" i="10"/>
  <c r="D207" i="10"/>
  <c r="A207" i="10"/>
  <c r="E207" i="10"/>
  <c r="C207" i="10"/>
  <c r="B207" i="10"/>
  <c r="F215" i="10"/>
  <c r="G215" i="10"/>
  <c r="D215" i="10"/>
  <c r="E215" i="10"/>
  <c r="C215" i="10"/>
  <c r="B215" i="10"/>
  <c r="A215" i="10"/>
  <c r="F223" i="10"/>
  <c r="G223" i="10"/>
  <c r="D223" i="10"/>
  <c r="A223" i="10"/>
  <c r="E223" i="10"/>
  <c r="C223" i="10"/>
  <c r="B223" i="10"/>
  <c r="F231" i="10"/>
  <c r="G231" i="10"/>
  <c r="D231" i="10"/>
  <c r="E231" i="10"/>
  <c r="C231" i="10"/>
  <c r="B231" i="10"/>
  <c r="A231" i="10"/>
  <c r="D62" i="10"/>
  <c r="C62" i="10"/>
  <c r="B62" i="10"/>
  <c r="E62" i="10"/>
  <c r="G62" i="10"/>
  <c r="F62" i="10"/>
  <c r="A62" i="10"/>
  <c r="D18" i="10"/>
  <c r="C18" i="10"/>
  <c r="B18" i="10"/>
  <c r="E18" i="10"/>
  <c r="A18" i="10"/>
  <c r="G18" i="10"/>
  <c r="F18" i="10"/>
  <c r="D65" i="10"/>
  <c r="C65" i="10"/>
  <c r="B65" i="10"/>
  <c r="G65" i="10"/>
  <c r="F65" i="10"/>
  <c r="E65" i="10"/>
  <c r="A65" i="10"/>
  <c r="E90" i="10"/>
  <c r="D90" i="10"/>
  <c r="C90" i="10"/>
  <c r="B90" i="10"/>
  <c r="G90" i="10"/>
  <c r="F90" i="10"/>
  <c r="A90" i="10"/>
  <c r="D23" i="10"/>
  <c r="C23" i="10"/>
  <c r="B23" i="10"/>
  <c r="A23" i="10"/>
  <c r="G23" i="10"/>
  <c r="E23" i="10"/>
  <c r="F23" i="10"/>
  <c r="D66" i="10"/>
  <c r="C66" i="10"/>
  <c r="B66" i="10"/>
  <c r="E66" i="10"/>
  <c r="A66" i="10"/>
  <c r="G66" i="10"/>
  <c r="F66" i="10"/>
  <c r="D137" i="10"/>
  <c r="B137" i="10"/>
  <c r="E137" i="10"/>
  <c r="C137" i="10"/>
  <c r="A137" i="10"/>
  <c r="G137" i="10"/>
  <c r="F137" i="10"/>
  <c r="E98" i="10"/>
  <c r="C98" i="10"/>
  <c r="D98" i="10"/>
  <c r="B98" i="10"/>
  <c r="A98" i="10"/>
  <c r="F98" i="10"/>
  <c r="G98" i="10"/>
  <c r="E115" i="10"/>
  <c r="D115" i="10"/>
  <c r="C115" i="10"/>
  <c r="F115" i="10"/>
  <c r="B115" i="10"/>
  <c r="A115" i="10"/>
  <c r="G115" i="10"/>
  <c r="D40" i="10"/>
  <c r="C40" i="10"/>
  <c r="B40" i="10"/>
  <c r="G40" i="10"/>
  <c r="F40" i="10"/>
  <c r="E40" i="10"/>
  <c r="A40" i="10"/>
  <c r="D32" i="10"/>
  <c r="C32" i="10"/>
  <c r="B32" i="10"/>
  <c r="G32" i="10"/>
  <c r="A32" i="10"/>
  <c r="F32" i="10"/>
  <c r="E32" i="10"/>
  <c r="D36" i="10"/>
  <c r="C36" i="10"/>
  <c r="B36" i="10"/>
  <c r="G36" i="10"/>
  <c r="F36" i="10"/>
  <c r="E36" i="10"/>
  <c r="A36" i="10"/>
  <c r="E108" i="10"/>
  <c r="C108" i="10"/>
  <c r="G108" i="10"/>
  <c r="F108" i="10"/>
  <c r="B108" i="10"/>
  <c r="A108" i="10"/>
  <c r="D108" i="10"/>
  <c r="E112" i="10"/>
  <c r="D112" i="10"/>
  <c r="C112" i="10"/>
  <c r="B112" i="10"/>
  <c r="A112" i="10"/>
  <c r="G112" i="10"/>
  <c r="F112" i="10"/>
  <c r="D145" i="10"/>
  <c r="B145" i="10"/>
  <c r="E145" i="10"/>
  <c r="C145" i="10"/>
  <c r="A145" i="10"/>
  <c r="G145" i="10"/>
  <c r="F145" i="10"/>
  <c r="F167" i="10"/>
  <c r="G167" i="10"/>
  <c r="D167" i="10"/>
  <c r="E167" i="10"/>
  <c r="C167" i="10"/>
  <c r="B167" i="10"/>
  <c r="A167" i="10"/>
  <c r="D27" i="10"/>
  <c r="C27" i="10"/>
  <c r="B27" i="10"/>
  <c r="G27" i="10"/>
  <c r="F27" i="10"/>
  <c r="E27" i="10"/>
  <c r="A27" i="10"/>
  <c r="D140" i="10"/>
  <c r="B140" i="10"/>
  <c r="A140" i="10"/>
  <c r="G140" i="10"/>
  <c r="F140" i="10"/>
  <c r="E140" i="10"/>
  <c r="C140" i="10"/>
  <c r="D131" i="10"/>
  <c r="G131" i="10"/>
  <c r="C131" i="10"/>
  <c r="B131" i="10"/>
  <c r="A131" i="10"/>
  <c r="F131" i="10"/>
  <c r="E131" i="10"/>
  <c r="F168" i="10"/>
  <c r="G168" i="10"/>
  <c r="A168" i="10"/>
  <c r="B168" i="10"/>
  <c r="E168" i="10"/>
  <c r="C168" i="10"/>
  <c r="D168" i="10"/>
  <c r="F192" i="10"/>
  <c r="G192" i="10"/>
  <c r="E192" i="10"/>
  <c r="D192" i="10"/>
  <c r="C192" i="10"/>
  <c r="B192" i="10"/>
  <c r="A192" i="10"/>
  <c r="F216" i="10"/>
  <c r="G216" i="10"/>
  <c r="A216" i="10"/>
  <c r="D216" i="10"/>
  <c r="C216" i="10"/>
  <c r="B216" i="10"/>
  <c r="E216" i="10"/>
  <c r="D54" i="10"/>
  <c r="C54" i="10"/>
  <c r="B54" i="10"/>
  <c r="G54" i="10"/>
  <c r="F54" i="10"/>
  <c r="E54" i="10"/>
  <c r="A54" i="10"/>
  <c r="E88" i="10"/>
  <c r="B88" i="10"/>
  <c r="A88" i="10"/>
  <c r="G88" i="10"/>
  <c r="F88" i="10"/>
  <c r="D88" i="10"/>
  <c r="C88" i="10"/>
  <c r="D74" i="10"/>
  <c r="C74" i="10"/>
  <c r="B74" i="10"/>
  <c r="E74" i="10"/>
  <c r="A74" i="10"/>
  <c r="G74" i="10"/>
  <c r="F74" i="10"/>
  <c r="E91" i="10"/>
  <c r="C91" i="10"/>
  <c r="G91" i="10"/>
  <c r="F91" i="10"/>
  <c r="D91" i="10"/>
  <c r="B91" i="10"/>
  <c r="A91" i="10"/>
  <c r="D19" i="10"/>
  <c r="C19" i="10"/>
  <c r="B19" i="10"/>
  <c r="E19" i="10"/>
  <c r="G19" i="10"/>
  <c r="F19" i="10"/>
  <c r="A19" i="10"/>
  <c r="D50" i="10"/>
  <c r="C50" i="10"/>
  <c r="B50" i="10"/>
  <c r="E50" i="10"/>
  <c r="G50" i="10"/>
  <c r="A50" i="10"/>
  <c r="F50" i="10"/>
  <c r="D148" i="10"/>
  <c r="B148" i="10"/>
  <c r="A148" i="10"/>
  <c r="E148" i="10"/>
  <c r="C148" i="10"/>
  <c r="G148" i="10"/>
  <c r="F148" i="10"/>
  <c r="E87" i="10"/>
  <c r="A87" i="10"/>
  <c r="G87" i="10"/>
  <c r="F87" i="10"/>
  <c r="D87" i="10"/>
  <c r="C87" i="10"/>
  <c r="B87" i="10"/>
  <c r="E96" i="10"/>
  <c r="C96" i="10"/>
  <c r="G96" i="10"/>
  <c r="A96" i="10"/>
  <c r="F96" i="10"/>
  <c r="D96" i="10"/>
  <c r="B96" i="10"/>
  <c r="D126" i="10"/>
  <c r="C126" i="10"/>
  <c r="B126" i="10"/>
  <c r="A126" i="10"/>
  <c r="G126" i="10"/>
  <c r="F126" i="10"/>
  <c r="E126" i="10"/>
  <c r="D135" i="10"/>
  <c r="B135" i="10"/>
  <c r="G135" i="10"/>
  <c r="E135" i="10"/>
  <c r="C135" i="10"/>
  <c r="A135" i="10"/>
  <c r="F135" i="10"/>
  <c r="F153" i="10"/>
  <c r="D153" i="10"/>
  <c r="G153" i="10"/>
  <c r="E153" i="10"/>
  <c r="C153" i="10"/>
  <c r="A153" i="10"/>
  <c r="B153" i="10"/>
  <c r="F161" i="10"/>
  <c r="D161" i="10"/>
  <c r="C161" i="10"/>
  <c r="B161" i="10"/>
  <c r="A161" i="10"/>
  <c r="G161" i="10"/>
  <c r="E161" i="10"/>
  <c r="F169" i="10"/>
  <c r="B169" i="10"/>
  <c r="E169" i="10"/>
  <c r="D169" i="10"/>
  <c r="C169" i="10"/>
  <c r="G169" i="10"/>
  <c r="A169" i="10"/>
  <c r="F177" i="10"/>
  <c r="B177" i="10"/>
  <c r="G177" i="10"/>
  <c r="E177" i="10"/>
  <c r="D177" i="10"/>
  <c r="C177" i="10"/>
  <c r="A177" i="10"/>
  <c r="F185" i="10"/>
  <c r="B185" i="10"/>
  <c r="E185" i="10"/>
  <c r="D185" i="10"/>
  <c r="C185" i="10"/>
  <c r="G185" i="10"/>
  <c r="A185" i="10"/>
  <c r="F193" i="10"/>
  <c r="B193" i="10"/>
  <c r="D193" i="10"/>
  <c r="G193" i="10"/>
  <c r="E193" i="10"/>
  <c r="C193" i="10"/>
  <c r="A193" i="10"/>
  <c r="F201" i="10"/>
  <c r="B201" i="10"/>
  <c r="E201" i="10"/>
  <c r="D201" i="10"/>
  <c r="C201" i="10"/>
  <c r="G201" i="10"/>
  <c r="A201" i="10"/>
  <c r="F209" i="10"/>
  <c r="B209" i="10"/>
  <c r="D209" i="10"/>
  <c r="C209" i="10"/>
  <c r="A209" i="10"/>
  <c r="G209" i="10"/>
  <c r="E209" i="10"/>
  <c r="F217" i="10"/>
  <c r="B217" i="10"/>
  <c r="E217" i="10"/>
  <c r="D217" i="10"/>
  <c r="C217" i="10"/>
  <c r="G217" i="10"/>
  <c r="A217" i="10"/>
  <c r="F225" i="10"/>
  <c r="B225" i="10"/>
  <c r="D225" i="10"/>
  <c r="G225" i="10"/>
  <c r="E225" i="10"/>
  <c r="C225" i="10"/>
  <c r="A225" i="10"/>
  <c r="F233" i="10"/>
  <c r="B233" i="10"/>
  <c r="E233" i="10"/>
  <c r="D233" i="10"/>
  <c r="C233" i="10"/>
  <c r="G233" i="10"/>
  <c r="A233" i="10"/>
  <c r="D46" i="10"/>
  <c r="C46" i="10"/>
  <c r="B46" i="10"/>
  <c r="G46" i="10"/>
  <c r="F46" i="10"/>
  <c r="E46" i="10"/>
  <c r="A46" i="10"/>
  <c r="E118" i="10"/>
  <c r="D118" i="10"/>
  <c r="C118" i="10"/>
  <c r="G118" i="10"/>
  <c r="F118" i="10"/>
  <c r="B118" i="10"/>
  <c r="A118" i="10"/>
  <c r="D49" i="10"/>
  <c r="C49" i="10"/>
  <c r="B49" i="10"/>
  <c r="A49" i="10"/>
  <c r="G49" i="10"/>
  <c r="F49" i="10"/>
  <c r="E49" i="10"/>
  <c r="D76" i="10"/>
  <c r="C76" i="10"/>
  <c r="B76" i="10"/>
  <c r="G76" i="10"/>
  <c r="F76" i="10"/>
  <c r="E76" i="10"/>
  <c r="A76" i="10"/>
  <c r="E117" i="10"/>
  <c r="D117" i="10"/>
  <c r="C117" i="10"/>
  <c r="A117" i="10"/>
  <c r="G117" i="10"/>
  <c r="F117" i="10"/>
  <c r="B117" i="10"/>
  <c r="E106" i="10"/>
  <c r="C106" i="10"/>
  <c r="D106" i="10"/>
  <c r="B106" i="10"/>
  <c r="A106" i="10"/>
  <c r="G106" i="10"/>
  <c r="F106" i="10"/>
  <c r="D58" i="10"/>
  <c r="C58" i="10"/>
  <c r="B58" i="10"/>
  <c r="E58" i="10"/>
  <c r="A58" i="10"/>
  <c r="G58" i="10"/>
  <c r="F58" i="10"/>
  <c r="E82" i="10"/>
  <c r="D82" i="10"/>
  <c r="C82" i="10"/>
  <c r="B82" i="10"/>
  <c r="F82" i="10"/>
  <c r="A82" i="10"/>
  <c r="G82" i="10"/>
  <c r="E89" i="10"/>
  <c r="C89" i="10"/>
  <c r="B89" i="10"/>
  <c r="A89" i="10"/>
  <c r="G89" i="10"/>
  <c r="F89" i="10"/>
  <c r="D89" i="10"/>
  <c r="D24" i="10"/>
  <c r="C24" i="10"/>
  <c r="B24" i="10"/>
  <c r="G24" i="10"/>
  <c r="A24" i="10"/>
  <c r="F24" i="10"/>
  <c r="E24" i="10"/>
  <c r="D37" i="10"/>
  <c r="C37" i="10"/>
  <c r="B37" i="10"/>
  <c r="F37" i="10"/>
  <c r="E37" i="10"/>
  <c r="A37" i="10"/>
  <c r="G37" i="10"/>
  <c r="D133" i="10"/>
  <c r="B133" i="10"/>
  <c r="E133" i="10"/>
  <c r="C133" i="10"/>
  <c r="A133" i="10"/>
  <c r="F133" i="10"/>
  <c r="G133" i="10"/>
  <c r="D128" i="10"/>
  <c r="F128" i="10"/>
  <c r="E128" i="10"/>
  <c r="C128" i="10"/>
  <c r="G128" i="10"/>
  <c r="B128" i="10"/>
  <c r="A128" i="10"/>
  <c r="D123" i="10"/>
  <c r="G123" i="10"/>
  <c r="C123" i="10"/>
  <c r="F123" i="10"/>
  <c r="E123" i="10"/>
  <c r="B123" i="10"/>
  <c r="A123" i="10"/>
  <c r="F175" i="10"/>
  <c r="G175" i="10"/>
  <c r="D175" i="10"/>
  <c r="A175" i="10"/>
  <c r="E175" i="10"/>
  <c r="C175" i="10"/>
  <c r="B175" i="10"/>
  <c r="D15" i="10"/>
  <c r="C15" i="10"/>
  <c r="B15" i="10"/>
  <c r="A15" i="10"/>
  <c r="G15" i="10"/>
  <c r="F15" i="10"/>
  <c r="E15" i="10"/>
  <c r="E92" i="10"/>
  <c r="C92" i="10"/>
  <c r="G92" i="10"/>
  <c r="F92" i="10"/>
  <c r="D92" i="10"/>
  <c r="B92" i="10"/>
  <c r="A92" i="10"/>
  <c r="E152" i="10"/>
  <c r="C152" i="10"/>
  <c r="B152" i="10"/>
  <c r="A152" i="10"/>
  <c r="G152" i="10"/>
  <c r="F152" i="10"/>
  <c r="D152" i="10"/>
  <c r="F176" i="10"/>
  <c r="G176" i="10"/>
  <c r="E176" i="10"/>
  <c r="D176" i="10"/>
  <c r="C176" i="10"/>
  <c r="B176" i="10"/>
  <c r="A176" i="10"/>
  <c r="F200" i="10"/>
  <c r="G200" i="10"/>
  <c r="A200" i="10"/>
  <c r="D200" i="10"/>
  <c r="E200" i="10"/>
  <c r="C200" i="10"/>
  <c r="B200" i="10"/>
  <c r="F224" i="10"/>
  <c r="G224" i="10"/>
  <c r="E224" i="10"/>
  <c r="D224" i="10"/>
  <c r="C224" i="10"/>
  <c r="B224" i="10"/>
  <c r="A224" i="10"/>
  <c r="D125" i="10"/>
  <c r="B125" i="10"/>
  <c r="A125" i="10"/>
  <c r="G125" i="10"/>
  <c r="F125" i="10"/>
  <c r="E125" i="10"/>
  <c r="C125" i="10"/>
  <c r="D146" i="10"/>
  <c r="B146" i="10"/>
  <c r="G146" i="10"/>
  <c r="F146" i="10"/>
  <c r="E146" i="10"/>
  <c r="A146" i="10"/>
  <c r="C146" i="10"/>
  <c r="E93" i="10"/>
  <c r="C93" i="10"/>
  <c r="A93" i="10"/>
  <c r="G93" i="10"/>
  <c r="F93" i="10"/>
  <c r="D93" i="10"/>
  <c r="B93" i="10"/>
  <c r="D75" i="10"/>
  <c r="C75" i="10"/>
  <c r="B75" i="10"/>
  <c r="G75" i="10"/>
  <c r="F75" i="10"/>
  <c r="E75" i="10"/>
  <c r="A75" i="10"/>
  <c r="D11" i="10"/>
  <c r="C11" i="10"/>
  <c r="B11" i="10"/>
  <c r="G11" i="10"/>
  <c r="F11" i="10"/>
  <c r="E11" i="10"/>
  <c r="A11" i="10"/>
  <c r="D34" i="10"/>
  <c r="C34" i="10"/>
  <c r="B34" i="10"/>
  <c r="E34" i="10"/>
  <c r="A34" i="10"/>
  <c r="G34" i="10"/>
  <c r="F34" i="10"/>
  <c r="D138" i="10"/>
  <c r="B138" i="10"/>
  <c r="G138" i="10"/>
  <c r="F138" i="10"/>
  <c r="E138" i="10"/>
  <c r="C138" i="10"/>
  <c r="A138" i="10"/>
  <c r="E111" i="10"/>
  <c r="D111" i="10"/>
  <c r="C111" i="10"/>
  <c r="G111" i="10"/>
  <c r="B111" i="10"/>
  <c r="A111" i="10"/>
  <c r="F111" i="10"/>
  <c r="E100" i="10"/>
  <c r="C100" i="10"/>
  <c r="F100" i="10"/>
  <c r="G100" i="10"/>
  <c r="D100" i="10"/>
  <c r="B100" i="10"/>
  <c r="A100" i="10"/>
  <c r="D134" i="10"/>
  <c r="B134" i="10"/>
  <c r="G134" i="10"/>
  <c r="F134" i="10"/>
  <c r="E134" i="10"/>
  <c r="C134" i="10"/>
  <c r="A134" i="10"/>
  <c r="D139" i="10"/>
  <c r="B139" i="10"/>
  <c r="G139" i="10"/>
  <c r="F139" i="10"/>
  <c r="A139" i="10"/>
  <c r="E139" i="10"/>
  <c r="C139" i="10"/>
  <c r="G154" i="10"/>
  <c r="E154" i="10"/>
  <c r="F154" i="10"/>
  <c r="D154" i="10"/>
  <c r="C154" i="10"/>
  <c r="B154" i="10"/>
  <c r="A154" i="10"/>
  <c r="G162" i="10"/>
  <c r="E162" i="10"/>
  <c r="F162" i="10"/>
  <c r="D162" i="10"/>
  <c r="C162" i="10"/>
  <c r="B162" i="10"/>
  <c r="A162" i="10"/>
  <c r="F170" i="10"/>
  <c r="D170" i="10"/>
  <c r="B170" i="10"/>
  <c r="E170" i="10"/>
  <c r="C170" i="10"/>
  <c r="A170" i="10"/>
  <c r="G170" i="10"/>
  <c r="F178" i="10"/>
  <c r="D178" i="10"/>
  <c r="B178" i="10"/>
  <c r="E178" i="10"/>
  <c r="C178" i="10"/>
  <c r="A178" i="10"/>
  <c r="G178" i="10"/>
  <c r="F186" i="10"/>
  <c r="D186" i="10"/>
  <c r="B186" i="10"/>
  <c r="G186" i="10"/>
  <c r="E186" i="10"/>
  <c r="C186" i="10"/>
  <c r="A186" i="10"/>
  <c r="F194" i="10"/>
  <c r="D194" i="10"/>
  <c r="B194" i="10"/>
  <c r="E194" i="10"/>
  <c r="C194" i="10"/>
  <c r="A194" i="10"/>
  <c r="G194" i="10"/>
  <c r="F202" i="10"/>
  <c r="D202" i="10"/>
  <c r="B202" i="10"/>
  <c r="C202" i="10"/>
  <c r="A202" i="10"/>
  <c r="G202" i="10"/>
  <c r="E202" i="10"/>
  <c r="F210" i="10"/>
  <c r="D210" i="10"/>
  <c r="B210" i="10"/>
  <c r="E210" i="10"/>
  <c r="C210" i="10"/>
  <c r="A210" i="10"/>
  <c r="G210" i="10"/>
  <c r="F218" i="10"/>
  <c r="D218" i="10"/>
  <c r="B218" i="10"/>
  <c r="C218" i="10"/>
  <c r="G218" i="10"/>
  <c r="E218" i="10"/>
  <c r="A218" i="10"/>
  <c r="F226" i="10"/>
  <c r="D226" i="10"/>
  <c r="B226" i="10"/>
  <c r="E226" i="10"/>
  <c r="C226" i="10"/>
  <c r="A226" i="10"/>
  <c r="G226" i="10"/>
  <c r="F234" i="10"/>
  <c r="D234" i="10"/>
  <c r="B234" i="10"/>
  <c r="E234" i="10"/>
  <c r="C234" i="10"/>
  <c r="G234" i="10"/>
  <c r="A234" i="10"/>
  <c r="D38" i="10"/>
  <c r="C38" i="10"/>
  <c r="B38" i="10"/>
  <c r="G38" i="10"/>
  <c r="F38" i="10"/>
  <c r="E38" i="10"/>
  <c r="A38" i="10"/>
  <c r="E110" i="10"/>
  <c r="D110" i="10"/>
  <c r="C110" i="10"/>
  <c r="G110" i="10"/>
  <c r="A110" i="10"/>
  <c r="F110" i="10"/>
  <c r="B110" i="10"/>
  <c r="D41" i="10"/>
  <c r="C41" i="10"/>
  <c r="B41" i="10"/>
  <c r="G41" i="10"/>
  <c r="F41" i="10"/>
  <c r="E41" i="10"/>
  <c r="A41" i="10"/>
  <c r="D68" i="10"/>
  <c r="C68" i="10"/>
  <c r="B68" i="10"/>
  <c r="G68" i="10"/>
  <c r="F68" i="10"/>
  <c r="E68" i="10"/>
  <c r="A68" i="10"/>
  <c r="E109" i="10"/>
  <c r="D109" i="10"/>
  <c r="C109" i="10"/>
  <c r="A109" i="10"/>
  <c r="G109" i="10"/>
  <c r="F109" i="10"/>
  <c r="B109" i="10"/>
  <c r="E94" i="10"/>
  <c r="C94" i="10"/>
  <c r="D94" i="10"/>
  <c r="B94" i="10"/>
  <c r="A94" i="10"/>
  <c r="G94" i="10"/>
  <c r="F94" i="10"/>
  <c r="D42" i="10"/>
  <c r="C42" i="10"/>
  <c r="B42" i="10"/>
  <c r="E42" i="10"/>
  <c r="A42" i="10"/>
  <c r="F42" i="10"/>
  <c r="G42" i="10"/>
  <c r="D77" i="10"/>
  <c r="C77" i="10"/>
  <c r="B77" i="10"/>
  <c r="F77" i="10"/>
  <c r="E77" i="10"/>
  <c r="A77" i="10"/>
  <c r="G77" i="10"/>
  <c r="D80" i="10"/>
  <c r="C80" i="10"/>
  <c r="B80" i="10"/>
  <c r="G80" i="10"/>
  <c r="F80" i="10"/>
  <c r="E80" i="10"/>
  <c r="A80" i="10"/>
  <c r="D16" i="10"/>
  <c r="C16" i="10"/>
  <c r="B16" i="10"/>
  <c r="G16" i="10"/>
  <c r="A16" i="10"/>
  <c r="F16" i="10"/>
  <c r="E16" i="10"/>
  <c r="E101" i="10"/>
  <c r="C101" i="10"/>
  <c r="A101" i="10"/>
  <c r="G101" i="10"/>
  <c r="F101" i="10"/>
  <c r="D101" i="10"/>
  <c r="B101" i="10"/>
  <c r="D35" i="10"/>
  <c r="C35" i="10"/>
  <c r="B35" i="10"/>
  <c r="G35" i="10"/>
  <c r="F35" i="10"/>
  <c r="E35" i="10"/>
  <c r="A35" i="10"/>
  <c r="E86" i="10"/>
  <c r="G86" i="10"/>
  <c r="B86" i="10"/>
  <c r="A86" i="10"/>
  <c r="F86" i="10"/>
  <c r="D86" i="10"/>
  <c r="C86" i="10"/>
  <c r="D151" i="10"/>
  <c r="B151" i="10"/>
  <c r="G151" i="10"/>
  <c r="F151" i="10"/>
  <c r="E151" i="10"/>
  <c r="C151" i="10"/>
  <c r="A151" i="10"/>
  <c r="D127" i="10"/>
  <c r="E127" i="10"/>
  <c r="C127" i="10"/>
  <c r="B127" i="10"/>
  <c r="G127" i="10"/>
  <c r="F127" i="10"/>
  <c r="A127" i="10"/>
  <c r="D142" i="10"/>
  <c r="B142" i="10"/>
  <c r="G142" i="10"/>
  <c r="F142" i="10"/>
  <c r="E142" i="10"/>
  <c r="C142" i="10"/>
  <c r="A142" i="10"/>
  <c r="E97" i="10"/>
  <c r="C97" i="10"/>
  <c r="A97" i="10"/>
  <c r="G97" i="10"/>
  <c r="F97" i="10"/>
  <c r="D97" i="10"/>
  <c r="B97" i="10"/>
  <c r="E160" i="10"/>
  <c r="C160" i="10"/>
  <c r="B160" i="10"/>
  <c r="A160" i="10"/>
  <c r="G160" i="10"/>
  <c r="D160" i="10"/>
  <c r="F160" i="10"/>
  <c r="F184" i="10"/>
  <c r="G184" i="10"/>
  <c r="A184" i="10"/>
  <c r="E184" i="10"/>
  <c r="D184" i="10"/>
  <c r="C184" i="10"/>
  <c r="B184" i="10"/>
  <c r="F208" i="10"/>
  <c r="G208" i="10"/>
  <c r="E208" i="10"/>
  <c r="D208" i="10"/>
  <c r="C208" i="10"/>
  <c r="B208" i="10"/>
  <c r="A208" i="10"/>
  <c r="F232" i="10"/>
  <c r="G232" i="10"/>
  <c r="A232" i="10"/>
  <c r="E232" i="10"/>
  <c r="D232" i="10"/>
  <c r="C232" i="10"/>
  <c r="B232" i="10"/>
  <c r="D57" i="10"/>
  <c r="C57" i="10"/>
  <c r="B57" i="10"/>
  <c r="F57" i="10"/>
  <c r="E57" i="10"/>
  <c r="G57" i="10"/>
  <c r="A57" i="10"/>
  <c r="D7" i="10"/>
  <c r="C7" i="10"/>
  <c r="B7" i="10"/>
  <c r="A7" i="10"/>
  <c r="G7" i="10"/>
  <c r="E7" i="10"/>
  <c r="F7" i="10"/>
  <c r="E84" i="10"/>
  <c r="G84" i="10"/>
  <c r="F84" i="10"/>
  <c r="D84" i="10"/>
  <c r="B84" i="10"/>
  <c r="A84" i="10"/>
  <c r="C84" i="10"/>
  <c r="D67" i="10"/>
  <c r="C67" i="10"/>
  <c r="B67" i="10"/>
  <c r="A67" i="10"/>
  <c r="G67" i="10"/>
  <c r="F67" i="10"/>
  <c r="E67" i="10"/>
  <c r="D52" i="10"/>
  <c r="C52" i="10"/>
  <c r="B52" i="10"/>
  <c r="G52" i="10"/>
  <c r="F52" i="10"/>
  <c r="E52" i="10"/>
  <c r="A52" i="10"/>
  <c r="D26" i="10"/>
  <c r="C26" i="10"/>
  <c r="B26" i="10"/>
  <c r="E26" i="10"/>
  <c r="G26" i="10"/>
  <c r="A26" i="10"/>
  <c r="F26" i="10"/>
  <c r="D144" i="10"/>
  <c r="B144" i="10"/>
  <c r="A144" i="10"/>
  <c r="C144" i="10"/>
  <c r="G144" i="10"/>
  <c r="F144" i="10"/>
  <c r="E144" i="10"/>
  <c r="E119" i="10"/>
  <c r="D119" i="10"/>
  <c r="C119" i="10"/>
  <c r="G119" i="10"/>
  <c r="F119" i="10"/>
  <c r="B119" i="10"/>
  <c r="A119" i="10"/>
  <c r="E104" i="10"/>
  <c r="C104" i="10"/>
  <c r="F104" i="10"/>
  <c r="G104" i="10"/>
  <c r="D104" i="10"/>
  <c r="B104" i="10"/>
  <c r="A104" i="10"/>
  <c r="E85" i="10"/>
  <c r="G85" i="10"/>
  <c r="F85" i="10"/>
  <c r="D85" i="10"/>
  <c r="C85" i="10"/>
  <c r="B85" i="10"/>
  <c r="A85" i="10"/>
  <c r="D143" i="10"/>
  <c r="B143" i="10"/>
  <c r="G143" i="10"/>
  <c r="F143" i="10"/>
  <c r="E143" i="10"/>
  <c r="C143" i="10"/>
  <c r="A143" i="10"/>
  <c r="F155" i="10"/>
  <c r="C155" i="10"/>
  <c r="B155" i="10"/>
  <c r="A155" i="10"/>
  <c r="D155" i="10"/>
  <c r="E155" i="10"/>
  <c r="G155" i="10"/>
  <c r="F163" i="10"/>
  <c r="A163" i="10"/>
  <c r="G163" i="10"/>
  <c r="E163" i="10"/>
  <c r="D163" i="10"/>
  <c r="B163" i="10"/>
  <c r="C163" i="10"/>
  <c r="F171" i="10"/>
  <c r="G171" i="10"/>
  <c r="D171" i="10"/>
  <c r="C171" i="10"/>
  <c r="B171" i="10"/>
  <c r="A171" i="10"/>
  <c r="E171" i="10"/>
  <c r="F179" i="10"/>
  <c r="G179" i="10"/>
  <c r="D179" i="10"/>
  <c r="B179" i="10"/>
  <c r="A179" i="10"/>
  <c r="E179" i="10"/>
  <c r="C179" i="10"/>
  <c r="F187" i="10"/>
  <c r="G187" i="10"/>
  <c r="D187" i="10"/>
  <c r="C187" i="10"/>
  <c r="B187" i="10"/>
  <c r="A187" i="10"/>
  <c r="E187" i="10"/>
  <c r="F195" i="10"/>
  <c r="G195" i="10"/>
  <c r="D195" i="10"/>
  <c r="B195" i="10"/>
  <c r="A195" i="10"/>
  <c r="E195" i="10"/>
  <c r="C195" i="10"/>
  <c r="F203" i="10"/>
  <c r="G203" i="10"/>
  <c r="D203" i="10"/>
  <c r="C203" i="10"/>
  <c r="B203" i="10"/>
  <c r="A203" i="10"/>
  <c r="E203" i="10"/>
  <c r="F211" i="10"/>
  <c r="G211" i="10"/>
  <c r="D211" i="10"/>
  <c r="B211" i="10"/>
  <c r="E211" i="10"/>
  <c r="C211" i="10"/>
  <c r="A211" i="10"/>
  <c r="F219" i="10"/>
  <c r="G219" i="10"/>
  <c r="D219" i="10"/>
  <c r="C219" i="10"/>
  <c r="B219" i="10"/>
  <c r="A219" i="10"/>
  <c r="E219" i="10"/>
  <c r="F227" i="10"/>
  <c r="G227" i="10"/>
  <c r="D227" i="10"/>
  <c r="B227" i="10"/>
  <c r="A227" i="10"/>
  <c r="E227" i="10"/>
  <c r="C227" i="10"/>
  <c r="F235" i="10"/>
  <c r="G235" i="10"/>
  <c r="D235" i="10"/>
  <c r="A235" i="10"/>
  <c r="E235" i="10"/>
  <c r="C235" i="10"/>
  <c r="B235" i="10"/>
  <c r="D30" i="10"/>
  <c r="C30" i="10"/>
  <c r="B30" i="10"/>
  <c r="E30" i="10"/>
  <c r="G30" i="10"/>
  <c r="F30" i="10"/>
  <c r="A30" i="10"/>
  <c r="E107" i="10"/>
  <c r="C107" i="10"/>
  <c r="G107" i="10"/>
  <c r="B107" i="10"/>
  <c r="F107" i="10"/>
  <c r="D107" i="10"/>
  <c r="A107" i="10"/>
  <c r="D33" i="10"/>
  <c r="C33" i="10"/>
  <c r="B33" i="10"/>
  <c r="A33" i="10"/>
  <c r="G33" i="10"/>
  <c r="F33" i="10"/>
  <c r="E33" i="10"/>
  <c r="D60" i="10"/>
  <c r="C60" i="10"/>
  <c r="B60" i="10"/>
  <c r="G60" i="10"/>
  <c r="F60" i="10"/>
  <c r="E60" i="10"/>
  <c r="A60" i="10"/>
  <c r="E99" i="10"/>
  <c r="C99" i="10"/>
  <c r="G99" i="10"/>
  <c r="F99" i="10"/>
  <c r="D99" i="10"/>
  <c r="B99" i="10"/>
  <c r="A99" i="10"/>
  <c r="D79" i="10"/>
  <c r="C79" i="10"/>
  <c r="B79" i="10"/>
  <c r="A79" i="10"/>
  <c r="G79" i="10"/>
  <c r="F79" i="10"/>
  <c r="E79" i="10"/>
  <c r="D10" i="10"/>
  <c r="C10" i="10"/>
  <c r="B10" i="10"/>
  <c r="E10" i="10"/>
  <c r="A10" i="10"/>
  <c r="G10" i="10"/>
  <c r="F10" i="10"/>
  <c r="D69" i="10"/>
  <c r="C69" i="10"/>
  <c r="B69" i="10"/>
  <c r="F69" i="10"/>
  <c r="E69" i="10"/>
  <c r="A69" i="10"/>
  <c r="G69" i="10"/>
  <c r="D72" i="10"/>
  <c r="C72" i="10"/>
  <c r="B72" i="10"/>
  <c r="G72" i="10"/>
  <c r="F72" i="10"/>
  <c r="E72" i="10"/>
  <c r="A72" i="10"/>
  <c r="D8" i="10"/>
  <c r="C8" i="10"/>
  <c r="B8" i="10"/>
  <c r="G8" i="10"/>
  <c r="F8" i="10"/>
  <c r="E8" i="10"/>
  <c r="A8" i="10"/>
</calcChain>
</file>

<file path=xl/sharedStrings.xml><?xml version="1.0" encoding="utf-8"?>
<sst xmlns="http://schemas.openxmlformats.org/spreadsheetml/2006/main" count="3347" uniqueCount="651">
  <si>
    <t>البرامج المستهدفة: بكالوريوس علوم الحاسب • بكالوريوس علوم البيانات • ماجستير علوم البيانات</t>
  </si>
  <si>
    <t>الخطة العامة للاعتماد البرامجي</t>
  </si>
  <si>
    <t>المرحلة / المسار</t>
  </si>
  <si>
    <t>المسمى</t>
  </si>
  <si>
    <t>أبرز الأعمال</t>
  </si>
  <si>
    <t>المخرج الرئيس</t>
  </si>
  <si>
    <t>المدة / التوقيت</t>
  </si>
  <si>
    <t>الجهة</t>
  </si>
  <si>
    <t>ملاحظات</t>
  </si>
  <si>
    <t>المرحلة الأولى</t>
  </si>
  <si>
    <t>تقييم الجاهزية وفحص الأدلة</t>
  </si>
  <si>
    <t>تقرير جاهزية أولي + سجل الأدلة غير المكتملة وفجوات التطبيق والتوثيق + فهرس الأدلة + خطة الاستكمال والمعالجة</t>
  </si>
  <si>
    <t>8 أسابيع</t>
  </si>
  <si>
    <t>فريق الاعتماد البرامجي</t>
  </si>
  <si>
    <t>مرحلة التنفيذ الحالية – مفصلة أدناه</t>
  </si>
  <si>
    <t>مسار موازٍ</t>
  </si>
  <si>
    <t>مراجعة البرنامج الأكاديمي</t>
  </si>
  <si>
    <t>بالتوازي مع المرحلة الأولى</t>
  </si>
  <si>
    <t>القسم العلمي</t>
  </si>
  <si>
    <t>المرحلة الثانية</t>
  </si>
  <si>
    <t>إعداد الدراسة الذاتية واستكمال ملف الأدلة</t>
  </si>
  <si>
    <t>الدراسة الذاتية + ملف أدلة مكتمل</t>
  </si>
  <si>
    <t>بعد تحقق مستوى مناسب من الجاهزية</t>
  </si>
  <si>
    <t>تحدد تفاصيلها بعد نتائج المرحلة الأولى</t>
  </si>
  <si>
    <t>المرحلة الثالثة</t>
  </si>
  <si>
    <t>المراجعة النهائية والتقديم والاستعداد للزيارة</t>
  </si>
  <si>
    <t>المراجعة الداخلية/التجريبية، إغلاق الملاحظات، استكمال متطلبات التقديم، وتجهيز المقابلات والأدلة والاستعداد للزيارة.</t>
  </si>
  <si>
    <t>ملف تقديم نهائي + جاهزية للزيارة</t>
  </si>
  <si>
    <t>وفق خطة التقديم</t>
  </si>
  <si>
    <t>فريق الاعتماد والجهات ذات العلاقة</t>
  </si>
  <si>
    <t>تفصل لاحقًا</t>
  </si>
  <si>
    <t>أولًا: الخطة التفصيلية للمرحلة الأولى – تقييم الجاهزية وفحص الأدلة</t>
  </si>
  <si>
    <t>المدة: 8 أسابيع   |   يبدأ الأسبوع 1 يوم الأحد 25 أكتوبر 2026</t>
  </si>
  <si>
    <t>الأسبوع</t>
  </si>
  <si>
    <t>المهمة</t>
  </si>
  <si>
    <t>المسؤول</t>
  </si>
  <si>
    <t>المخرج</t>
  </si>
  <si>
    <t>الحالة</t>
  </si>
  <si>
    <t>الأسبوع 1</t>
  </si>
  <si>
    <t>د. نهلة بنت سعد القثامي</t>
  </si>
  <si>
    <t>لم تبدأ</t>
  </si>
  <si>
    <t>د. عبدالله بن محمد البركاتي</t>
  </si>
  <si>
    <t>دليل الترميز</t>
  </si>
  <si>
    <t>الأسبوع 1 – 7</t>
  </si>
  <si>
    <t>د. عبير بنت عبدالله راجحي</t>
  </si>
  <si>
    <t>كل عضو في معياره</t>
  </si>
  <si>
    <t>الأسبوع 2 – 6</t>
  </si>
  <si>
    <t>أ. فاطمة بنت سلمان الخزعل</t>
  </si>
  <si>
    <t>الأسبوع 4</t>
  </si>
  <si>
    <t>الأسبوع 6</t>
  </si>
  <si>
    <t>الأسبوع 7</t>
  </si>
  <si>
    <t>الأسبوع 8</t>
  </si>
  <si>
    <t>متابعة التنفيذ</t>
  </si>
  <si>
    <t>• ملف مشترك: يعبّئ كل عضو ورقة الفحص مباشرة، وتستخدم لوحة المتابعة لمتابعة الإنجاز.</t>
  </si>
  <si>
    <t>• رسالة متابعة أسبوعية: توضح نسبة الإنجاز والعوائق وما يحتاج إلى قرار أو دعم.</t>
  </si>
  <si>
    <t>• اجتماعات اللجنة الأساسية: الانطلاق (الأسبوع 1)، منتصف الخطة (الأسبوع 4)، ومناقشة الفجوات (الأسبوع 7).</t>
  </si>
  <si>
    <t>ما المقصود بالفجوات في المرحلة الأولى؟</t>
  </si>
  <si>
    <t>• فجوة توثيق/دليل: الممارسة موجودة، لكن الدليل مفقود أو قديم أو غير معتمد أو لا يثبت التنفيذ بشكل كافٍ.</t>
  </si>
  <si>
    <t>الإعدادات وتشكيل لجنة الاعتماد البرامجي</t>
  </si>
  <si>
    <t>هذه الصفحة هي المكان الوحيد لتعديل الأسماء: أي تعديل في الخلايا الصفراء يتحدث تلقائياً في الخطة وأوراق الفحص ولوحة المتابعة.</t>
  </si>
  <si>
    <t>البرامج</t>
  </si>
  <si>
    <t>البرنامج 1</t>
  </si>
  <si>
    <t>بكالوريوس علوم الحاسب</t>
  </si>
  <si>
    <t>البرنامج 2</t>
  </si>
  <si>
    <t>بكالوريوس علوم البيانات</t>
  </si>
  <si>
    <t>البرنامج 3</t>
  </si>
  <si>
    <t>ماجستير علوم البيانات</t>
  </si>
  <si>
    <t>نطاق التنفيذ الحالي: البرامج الثلاثة – بكالوريوس علوم الحاسب، بكالوريوس علوم البيانات، وماجستير علوم البيانات.</t>
  </si>
  <si>
    <t>أعضاء اللجنة</t>
  </si>
  <si>
    <t>م</t>
  </si>
  <si>
    <t>الاسم</t>
  </si>
  <si>
    <t>الدور</t>
  </si>
  <si>
    <t>المسؤولية</t>
  </si>
  <si>
    <t>عدد الأدلة المسندة</t>
  </si>
  <si>
    <t>رئيسة اللجنة</t>
  </si>
  <si>
    <t>القيادة والمتابعة، واعتماد المخرجات، ومراجعة كفاية أدلة المعايير الأساسية (14 للبكالوريوس و16 للماجستير)، والتواصل مع إدارة الكلية</t>
  </si>
  <si>
    <t>رئيسة الجودة</t>
  </si>
  <si>
    <t>متطلبات التقدم مع لجنة الجودة (التوصيفات، والتقارير السنوية، والإطار الوطني، ونواتج التعلم، ومؤشرات الأداء) وعرض حالتها في الأسبوعين 4 و7</t>
  </si>
  <si>
    <t>أمينة اللجنة والمراجِعة</t>
  </si>
  <si>
    <t>مراجعة جميع الأدلة أسبوعياً (الوجود، الرابط، الاعتماد والتاريخ، الترميز، المطابقة للمحك)، ولوحة المتابعة، ورسالة الخميس، والمحاضر</t>
  </si>
  <si>
    <t>د. سلطان بن سعيد الشمراني</t>
  </si>
  <si>
    <t>عضو</t>
  </si>
  <si>
    <t>المعيار 1: إدارة البرنامج (1-1) للبرامج الثلاثة</t>
  </si>
  <si>
    <t>د. احمد بن عوض البشري</t>
  </si>
  <si>
    <t>المعيار 2: نواتج التعلم والمنهج الدراسي (2-1، 2-2) للبرامج الثلاثة</t>
  </si>
  <si>
    <t>د. يثرب بنت سعد القحطاني</t>
  </si>
  <si>
    <t>المعيار 2: جودة التدريس وتقييم الطالب (2-3) للبرامج الثلاثة</t>
  </si>
  <si>
    <t>عضو + مسؤول الفهرسة</t>
  </si>
  <si>
    <t>المعيار 3: الطالب للبرامج الثلاثة، ونظام ترميز الأدلة وفهرستها وفهرس الأدلة النهائي</t>
  </si>
  <si>
    <t>د. عمر بن محمد موسى</t>
  </si>
  <si>
    <t>د. حسن بن سعد القحطاني</t>
  </si>
  <si>
    <t>توزيع المحاور (المسؤول عن المحور للبرامج الثلاثة) – يمكن تغيير المسؤول من القائمة المنسدلة</t>
  </si>
  <si>
    <t>الرمز</t>
  </si>
  <si>
    <t>المحور</t>
  </si>
  <si>
    <t>عدد المحكات (البرامج الثلاثة)</t>
  </si>
  <si>
    <t>عدد الأدلة (البرامج الثلاثة)</t>
  </si>
  <si>
    <t>1-1</t>
  </si>
  <si>
    <t>إدارة البرنامج</t>
  </si>
  <si>
    <t>1-2</t>
  </si>
  <si>
    <t>ضمان جودة البرنامج</t>
  </si>
  <si>
    <t>2-1</t>
  </si>
  <si>
    <t>نواتج التعلم</t>
  </si>
  <si>
    <t>2-2</t>
  </si>
  <si>
    <t>المنهج الدراسي</t>
  </si>
  <si>
    <t>2-3</t>
  </si>
  <si>
    <t>جودة التدريس وتقييم الطالب</t>
  </si>
  <si>
    <t>3-0</t>
  </si>
  <si>
    <t>الطالب</t>
  </si>
  <si>
    <t>4-0</t>
  </si>
  <si>
    <t>هيئة التدريس</t>
  </si>
  <si>
    <t>5-0</t>
  </si>
  <si>
    <t>مصادر التعلم والمرافق والتجهيزات</t>
  </si>
  <si>
    <t>6-0</t>
  </si>
  <si>
    <t>البحث والمشاريع (ماجستير فقط)</t>
  </si>
  <si>
    <t>لوحة المتابعة (تتحدث تلقائياً)</t>
  </si>
  <si>
    <t>نسبة الاكتمال = الأدلة المتوفرة والمكتملة ÷ إجمالي الأدلة. تُستخدم هذه الصفحة لرسالة الخميس وتقرير الأسبوع 8.</t>
  </si>
  <si>
    <t>المعيار</t>
  </si>
  <si>
    <t>عدد الأدلة</t>
  </si>
  <si>
    <t>مكتمل</t>
  </si>
  <si>
    <t>يحتاج تحسين</t>
  </si>
  <si>
    <t>غير متوفر</t>
  </si>
  <si>
    <t>لم يُقيَّم</t>
  </si>
  <si>
    <t>نسبة الاكتمال</t>
  </si>
  <si>
    <t>أولوية عالية</t>
  </si>
  <si>
    <t>راجعتها أ. فاطمة</t>
  </si>
  <si>
    <t>1. إدارة البرنامج وضمان جودته</t>
  </si>
  <si>
    <t>2. التعليم والتعلم</t>
  </si>
  <si>
    <t>3. الطالب</t>
  </si>
  <si>
    <t>4. هيئة التدريس</t>
  </si>
  <si>
    <t>5. مصادر التعلم والمرافق والتجهيزات</t>
  </si>
  <si>
    <t>المحكات الأساسية ★</t>
  </si>
  <si>
    <t>الإجمالي</t>
  </si>
  <si>
    <t>6. البحث والمشاريع</t>
  </si>
  <si>
    <t>إنجاز الأعضاء (للبرامج الثلاثة)</t>
  </si>
  <si>
    <t>الأدلة المسندة</t>
  </si>
  <si>
    <t>تم تقييمها</t>
  </si>
  <si>
    <t>نسبة الإنجاز</t>
  </si>
  <si>
    <t>تحتاج تعديل</t>
  </si>
  <si>
    <t>نوع الفجوات</t>
  </si>
  <si>
    <t>نوع الفجوة</t>
  </si>
  <si>
    <t>مرجع للجنة: متطلبات التقدم كما في عرض المركز الوطني للتقويم والاعتماد الأكاديمي (النماذج المعتمدة إصدار 2024)، ومكان معالجة كل بند والمسؤول عنه.</t>
  </si>
  <si>
    <t>المتطلب</t>
  </si>
  <si>
    <t>المطلوب تحديداً</t>
  </si>
  <si>
    <t>أين يُعالج</t>
  </si>
  <si>
    <t>ملاحظة</t>
  </si>
  <si>
    <t>شرطا الأهلية</t>
  </si>
  <si>
    <t>الترخيص</t>
  </si>
  <si>
    <t>قرار إنشاء البرنامج أو قرار ترخيصه النهائي</t>
  </si>
  <si>
    <t>محقق – يُجلب القرار</t>
  </si>
  <si>
    <t>قرار الإنشاء أو الترخيص لكل برنامج من البرامج الثلاثة</t>
  </si>
  <si>
    <t>دفعة متخرجة</t>
  </si>
  <si>
    <t>تخرّج دفعة واحدة على الأقل من البرنامج</t>
  </si>
  <si>
    <t>محقق</t>
  </si>
  <si>
    <t>—</t>
  </si>
  <si>
    <t>تخرّجت دفعات من البرامج الثلاثة</t>
  </si>
  <si>
    <t>متطلبات التقدم</t>
  </si>
  <si>
    <t>الإطار الوطني للمؤهلات (TP-150)</t>
  </si>
  <si>
    <t>تقرير اتساق البرنامج مع الإطار الوطني</t>
  </si>
  <si>
    <t>لجنة الجودة</t>
  </si>
  <si>
    <t>تُعرض حالته في اجتماعي الأسبوعين 4 و7</t>
  </si>
  <si>
    <t>التوصيفات (TP-151، TP-153، TP-155)</t>
  </si>
  <si>
    <t>توصيف البرنامج وجميع المقررات والخبرة الميدانية (إن وُجدت) وفق نماذج المركز</t>
  </si>
  <si>
    <t>تُعرض حالتها في اجتماعي الأسبوعين 4 و7</t>
  </si>
  <si>
    <t>التقارير السنوية (TP-152، TP-154، TP-156)</t>
  </si>
  <si>
    <t>تقرير البرنامج لآخر سنتين وتقارير المقررات والخبرة الميدانية</t>
  </si>
  <si>
    <t>خطة تقييم نواتج التعلم وتقاريرها</t>
  </si>
  <si>
    <t>مؤشرات الأداء</t>
  </si>
  <si>
    <t>القياس والمقارنة المرجعية لآخر ثلاث سنوات</t>
  </si>
  <si>
    <t>الدراسة الذاتية (TP-102)</t>
  </si>
  <si>
    <t>مقاييس التقويم الذاتي والتقرير والأدلة الداعمة</t>
  </si>
  <si>
    <t>تبدأ كتابتها تدريجيًا بعد مراجعة البرنامج ومعالجة الفجوات الجوهرية، مع استكمال الأدلة بالتوازي</t>
  </si>
  <si>
    <t>تُستكمل معها</t>
  </si>
  <si>
    <t>أدلة البرنامج ولوائحه</t>
  </si>
  <si>
    <t>أدلة البرنامج وسياساته ولوائحه</t>
  </si>
  <si>
    <t>داخل المحكات في أوراق الفحص</t>
  </si>
  <si>
    <t>أعضاء الفحص</t>
  </si>
  <si>
    <t>مثل 1-1-5 و1-1-7 و1-1-8 و1-1-9 و2-2-1 و3-0-1 و3-0-2 و3-0-3</t>
  </si>
  <si>
    <t>نظام ضمان الجودة</t>
  </si>
  <si>
    <t>نظام جودة البرنامج المنسجم مع النظام المؤسسي</t>
  </si>
  <si>
    <t>المحك 1-2-1 في أوراق الفحص</t>
  </si>
  <si>
    <t>اللجنة الاستشارية للبرنامج</t>
  </si>
  <si>
    <t>قرار تشكيلها ومهامها ومحاضرها</t>
  </si>
  <si>
    <t>المحك 1-1-6 في أوراق الفحص</t>
  </si>
  <si>
    <t>الوضع المؤسسي</t>
  </si>
  <si>
    <t>المؤسسة معتمدة أو مؤهلة مؤسسياً</t>
  </si>
  <si>
    <t>الجامعة حاصلة على الاعتماد المؤسسي الكامل</t>
  </si>
  <si>
    <t>عبّئ الخلايا الصفراء: حالة الدليل، وإن كان ناقصاً: نوع الفجوة (توثيق أو تطبيق) والإجراء والموعد، ثم رابط الدليل. الأعمدة P–Q لأ. فاطمة. الصفوف المظللة = محكات أساسية ★</t>
  </si>
  <si>
    <t>نص المحك</t>
  </si>
  <si>
    <t>أساسي</t>
  </si>
  <si>
    <t>الدليل / الشاهد</t>
  </si>
  <si>
    <t>مصدر الدليل</t>
  </si>
  <si>
    <t>حالة الدليل</t>
  </si>
  <si>
    <t>الأولوية</t>
  </si>
  <si>
    <t>الإجراء المطلوب</t>
  </si>
  <si>
    <t>الموعد</t>
  </si>
  <si>
    <t>رابط الدليل في المستودع</t>
  </si>
  <si>
    <t>ملاحظات العضو</t>
  </si>
  <si>
    <t>مراجعة أ. فاطمة</t>
  </si>
  <si>
    <t>ملاحظات المراجعة</t>
  </si>
  <si>
    <t>1-1-1</t>
  </si>
  <si>
    <t>تتسق رسالة البرنامج وأهدافه مع رسالة المؤسسة/الكلية وتوجّه جميع عملياته وأنشطته.</t>
  </si>
  <si>
    <t>مصفوفة اتساق رسالة وأهداف البرنامج مع رسالة وأهداف الجامعة والكلية.</t>
  </si>
  <si>
    <t>الدليل الاسترشادي</t>
  </si>
  <si>
    <t>إعلان رسالة وأهداف البرنامج على الموقع الإلكتروني للبرنامج.</t>
  </si>
  <si>
    <t>الخطة التشغيلية للبرنامج وتقاريرها وتشمل البحث العلمي وخدمة المجتمع.</t>
  </si>
  <si>
    <t>تقرير استطلاع رأي المستفيدين حول وضوح ونشر الرسالة والأهداف.</t>
  </si>
  <si>
    <t>1-1-2</t>
  </si>
  <si>
    <t>يتوفر لدى البرنامج العدد الكافي من الكوادر المؤهلة للقيام بالمهام الإدارية والمهنية والفنية، ولهم مهام وصلاحيات محددة.</t>
  </si>
  <si>
    <t>★</t>
  </si>
  <si>
    <t>قاعدة بيانات محدثة لأعضاء هيئة التدريس بالبرنامج والإداريين والفنيين.</t>
  </si>
  <si>
    <t>السير الذاتية لأعضاء هيئة التدريس، وقيادات البرنامج، والإداريين، والفنيين.</t>
  </si>
  <si>
    <t>نماذج من تشكيلات اللجان بالبرنامج محددة المهام.</t>
  </si>
  <si>
    <t>معايير اختيار القيادات الأكاديمية والإدارية.</t>
  </si>
  <si>
    <t>استبانة تقييم القيادات الأكاديمية والإدارية بالبرنامج.</t>
  </si>
  <si>
    <t>1-1-3</t>
  </si>
  <si>
    <t>يتوفر للبرنامج منظومة تحفيزية وبيئة أكاديمية داعمة.</t>
  </si>
  <si>
    <t>دليل جوائز التميز بالكلية/الجامعة.</t>
  </si>
  <si>
    <t>نماذج من شهادات (تميز/تقدير) منسوبي البرنامج والإداريين والفنيين.</t>
  </si>
  <si>
    <t>قائمة بالمرافق والتجهيزات التعليمية والبحثية للبرنامج.</t>
  </si>
  <si>
    <t>قائمة بالمرافق والتجهيزات الخاصة بالأنشطة اللاصفية بالبرنامج.</t>
  </si>
  <si>
    <t>تقييمات أعضاء هيئة التدريس والإداريين والفنيين والطلاب للمناخ التنظيمي والبيئة الأكاديمية.</t>
  </si>
  <si>
    <t>1-1-4</t>
  </si>
  <si>
    <t>يتم القياس المستمر لمؤشرات أداء البرنامج الرئيسة، وتُتخذ الإجراءات اللازمة للتحسين.</t>
  </si>
  <si>
    <t>تقرير مؤشرات الأداء الرئيسة للبرنامج.</t>
  </si>
  <si>
    <t>تقرير إنجاز الخطة التشغيلية للبرنامج مع خطة التحسين.</t>
  </si>
  <si>
    <t>1-1-5</t>
  </si>
  <si>
    <t>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</si>
  <si>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لوحة/دليل موضح فيه السياسات والحقوق والواجبات وتكون معلنة.</t>
  </si>
  <si>
    <t>استطلاع رأي أعضاء هيئة التدريس والطلبة عن تطبيق إدارة البرنامج لآليات النزاهة والعدالة والمساواة.</t>
  </si>
  <si>
    <t>الشواهد على مدى تكافؤ الإمكانيات المادية والبشرية بين شطري الطالب والطالبات.</t>
  </si>
  <si>
    <t>تشكيل اللجان والمجالس العاملة بالقسم بما يتضمن إشراك الجنسين والفروع (إن وجدت)، وكذا تمويل الأبحاث والمشاريع وحضور المؤتمرات.</t>
  </si>
  <si>
    <t>1-1-6</t>
  </si>
  <si>
    <t>تستفيد إدارة البرنامج من آراء المختصين والخبراء في تشكيل لجنة استشارية متنوعة الأعضاء وموضحة المهام، وتخصص البرنامج في تقييم وتطوير وتحسين أدائه.</t>
  </si>
  <si>
    <t>قرار تشكيل اللجنة الاستشارية للبرنامج المتنوعة الأعضاء والموضح مهامها.</t>
  </si>
  <si>
    <t>نماذج من محاضر اللجنة الاستشارية للبرنامج متضمنة التوصيات وخطط تفعيلها.</t>
  </si>
  <si>
    <t>تقرير استطلاع رأي جهات التوظيف حول الخريجين وتوصيات وخطط التحسين.</t>
  </si>
  <si>
    <t>محاضر مجلس القسم متضمنة مناقشة توصيات اللجنة الاستشارية واستطلاع رأي جهات التوظيف وأي مقترحات تطوير من خبراء التخصص.</t>
  </si>
  <si>
    <t>1-1-7</t>
  </si>
  <si>
    <t>تتيح إدارة البرنامج معلومات موثوقة ومحدّثة تُبرز إنجازات البرنامج بما يتناسب مع احتياجات المستفيدين.</t>
  </si>
  <si>
    <t>الدليل التعريفي للبرنامج.</t>
  </si>
  <si>
    <t>الموقع الإلكتروني للبرنامج متضمناً توصيف البرنامج والمقررات الدراسية وأنشطته وإنجازاته محدّثاً.</t>
  </si>
  <si>
    <t>أنشطة لجنة خدمة المجتمع للتعريف بالبرنامج وإمكاناته والخدمات التي يقدمها للمجتمع.</t>
  </si>
  <si>
    <t>نماذج من إعلانات ولقاءات التعريف بالبرنامج مع المستفيدين.</t>
  </si>
  <si>
    <t>نتائج استطلاع رأي المستفيدين حول إتاحة المعلومات الخاصة بالبرنامج.</t>
  </si>
  <si>
    <t>1-1-8</t>
  </si>
  <si>
    <t>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</si>
  <si>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السياسات والإجراءات الموثقة التي يطبقها البرنامج بشأن عمليات الاقتباس والملكية الفكرية للطلبة وأعضاء هيئة التدريس.</t>
  </si>
  <si>
    <t>دليل الإطار الأخلاقي للطلبة ومنسوبي الجامعة.</t>
  </si>
  <si>
    <t>دليل أخلاقيات البحث العلمي.</t>
  </si>
  <si>
    <t>قائمة بالدورات التدريبية المتعلقة بقيم الأمانة العلمية وحقوق الملكية الفكرية وقواعد الممارسات الأخلاقية.</t>
  </si>
  <si>
    <t>نماذج من تعميمات رئيس القسم على ضرورة الالتزام بقيم الأمانة العلمية وحقوق الملكية الفكرية.</t>
  </si>
  <si>
    <t>عينات من تقارير فحص الاستلال العلمي لأعمال الطلبة.</t>
  </si>
  <si>
    <t>1-1-9</t>
  </si>
  <si>
    <t>تتبنى إدارة البرنامج آلية واضحة وإجراءات معتمدة من قِبل المؤسسة/الكلية للشكاوى والتظلم والقضايا التأديبية.</t>
  </si>
  <si>
    <t>سياسات وآليات الشكاوى والتظلم المعتمدة سواء للطالب أو أعضاء هيئة التدريس.</t>
  </si>
  <si>
    <t>نماذج من محاضر الرفع بالشكاوى والتظلمات وقرارات الرد عليها.</t>
  </si>
  <si>
    <t>نماذج من قرارات لجان التأديب.</t>
  </si>
  <si>
    <t>استطلاعات رأي المستفيدين حول عدالة التعامل مع الشكاوى والتظلمات.</t>
  </si>
  <si>
    <t>1-2-1</t>
  </si>
  <si>
    <t>تتبنى إدارة البرنامج نظاماً إدارياً كاملاً ومعلناً لضمان الجودة، ينسجم مع نظام الجودة المؤسسي.</t>
  </si>
  <si>
    <t>دليل ضمان الجودة بالبرنامج.</t>
  </si>
  <si>
    <t>دليل ضمان الجودة بالجامعة.</t>
  </si>
  <si>
    <t>الهيكل التنظيمي الموثق والمعلن للبرنامج متضمناً اللجان العاملة به.</t>
  </si>
  <si>
    <t>قرارات تشكيل لجان الجودة بالبرنامج.</t>
  </si>
  <si>
    <t>1-2-2</t>
  </si>
  <si>
    <t>يقوم البرنامج بتحليل مؤشرات الأداء الرئيسة وبيانات التقويم سنوياً، ويُستفاد منها في عمليات التخطيط والتطوير واتخاذ القرارات.</t>
  </si>
  <si>
    <t>تقارير قياس مؤشرات الأداء الرئيسة وتشمل المقارنات المرجعية.</t>
  </si>
  <si>
    <t>مناقشة تقارير قياس مؤشرات الأداء في مجلس القسم والخطط التحسينية والقرارات المبنية عليها.</t>
  </si>
  <si>
    <t>معايير البرنامج/المؤسسة لاختيار جهات المقارنة المرجعية.</t>
  </si>
  <si>
    <t>1-2-3</t>
  </si>
  <si>
    <t>يُجري البرنامج تقويماً دورياً شاملاً ووفق خطة للتحسين ويتابع تنفيذها.</t>
  </si>
  <si>
    <t>سياسات إجراء التقويم الدوري الشامل للبرنامج.</t>
  </si>
  <si>
    <t>تشكيلات لجان تنفيذ عمليات التقويم الدوري الشامل للبرنامج.</t>
  </si>
  <si>
    <t>تقارير التقويم الدوري الشامل للبرنامج مع الخطط التحسينية.</t>
  </si>
  <si>
    <t>مناقشة نتائج عملية التقويم الشامل في مجلس القسم.</t>
  </si>
  <si>
    <t>تقرير الدراسة الذاتية السابقة (إن وجد).</t>
  </si>
  <si>
    <t>تقارير متابعة الخطط التحسينية للبرنامج.</t>
  </si>
  <si>
    <t>2-1-1</t>
  </si>
  <si>
    <t>تُحدَّد نواتج تعلم البرنامج المستهدفة وتتواءم مع خصائص الخريجين على المستوى المؤسسي، ويتم اعتمادها من مجلس القسم والكلية ومراجعتها دورياً.</t>
  </si>
  <si>
    <t>توصيف البرنامج (يشمل نواتج تعلم البرنامج) معتمد من مجلس القسم والكلية.</t>
  </si>
  <si>
    <t>الدليل الإجرائي لصياغة وقياس نواتج التعلم على مستوى البرنامج / المؤسسة.</t>
  </si>
  <si>
    <t>مصفوفة الاتساق بين نواتج تعلم البرنامج والمعايير الأكاديمية التخصصية (الاختبارات المعيارية – جاهزية أو ما يكافئها).</t>
  </si>
  <si>
    <t>مصفوفة الاتساق بين نواتج تعلم البرنامج ورسالته.</t>
  </si>
  <si>
    <t>مصفوفة الاتساق بين نواتج تعلم البرنامج وخصائص خريجي الجامعة.</t>
  </si>
  <si>
    <t>استطلاعات رأي الطلاب والخريجين وجهات التوظيف حول مدى وضوح نواتج التعلم.</t>
  </si>
  <si>
    <t>تقارير اللجان المعنية التي تفيد مراجعة نواتج التعلم.</t>
  </si>
  <si>
    <t>عينة من وسائل إعلان نواتج التعلم مثل الموقع الإلكتروني للبرنامج وكتيب البرنامج.</t>
  </si>
  <si>
    <t>سياسات إجراء التقويم الدوري الشامل للبرنامج (وتشمل السياسات والإجراءات المعتمدة للمراجعة الدورية لنواتج تعلم البرنامج).</t>
  </si>
  <si>
    <t>تقرير توافق نواتج تعلم البرنامج مع الإطار الوطني للمؤهلات (نموذج الاتساق مع الإطار الوطني للمؤهلات).</t>
  </si>
  <si>
    <t>2-1-2</t>
  </si>
  <si>
    <t>تتوافق نواتج التعلم مع متطلبات الإطار الوطني للمؤهلات والمعايير التخصصية ومتطلبات سوق العمل.</t>
  </si>
  <si>
    <t>مصفوفة الاتساق بين نواتج تعلم البرنامج والمعايير التخصصية.</t>
  </si>
  <si>
    <t>تقارير استطلاعات رأي جهات التوظيف حول توافق نواتج التعلم مع متطلبات سوق العمل.</t>
  </si>
  <si>
    <t>نماذج من محاضر لجان ومجلس القسم لمناقشة توافق خصائص الخريجين ونواتج التعلم مع متطلبات سوق العمل.</t>
  </si>
  <si>
    <t>2-1-3</t>
  </si>
  <si>
    <t>يحدد البرنامج نواتج تعلم للمسارات المختلفة (إن وجدت).</t>
  </si>
  <si>
    <t>توصيف البرنامج (يشمل نواتج تعلم المسارات المختلفة بالبرنامج إن وجدت) معتمد من مجلس القسم والكلية.</t>
  </si>
  <si>
    <t>مصفوفة الاتساق بين نواتج التعلم المحددة بالمسارات المختلفة (إن وجدت) وخصائص خريجي الجامعة.</t>
  </si>
  <si>
    <t>استطلاعات الرأي المتعلقة بإشراك المستفيدين في تحديد نواتج التعلم في المسارات المختلفة.</t>
  </si>
  <si>
    <t>تقرير استطلاعات الرأي حول رضا المستفيدين عن مدى وضوح نواتج التعلم في المسارات المحددة بالبرنامج.</t>
  </si>
  <si>
    <t>2-1-4</t>
  </si>
  <si>
    <t>يطبق البرنامج آليات وأدوات مناسبة لقياس نواتج التعلم والتحقق من استيفائها وفق مستويات أداء وخطط تقييم محددة.</t>
  </si>
  <si>
    <t>خطة قياس نواتج تعلم البرنامج.</t>
  </si>
  <si>
    <t>تقرير البرنامج لآخر عامين موضحاً به تقييم نواتج التعلم وخطط التحسين المرتبطة بتقييم نواتج التعلم.</t>
  </si>
  <si>
    <t>تقارير قياس نواتج تعلم البرنامج والخطة التحسينية.</t>
  </si>
  <si>
    <t>2-1-5</t>
  </si>
  <si>
    <t>يتبنى البرنامج استراتيجيات واضحة ومعتمدة للتعليم والتعلم والتقييم تحقق فلسفته التعليمية وتكفل تحقيق نواتج التعلم في البرنامج.</t>
  </si>
  <si>
    <t>توصيف البرنامج (يشمل استراتيجيات التعليم والتعلم وطرق تقويم نواتج التعلم للبرنامج) معتمد من مجلس القسم والكلية.</t>
  </si>
  <si>
    <t>نماذج من تقارير المقررات والبرنامج تظهر الخطط التطويرية بها والمبنية على نتائج تقييم تحقق نواتج التعلم.</t>
  </si>
  <si>
    <t>الدورات التدريبية المقدمة لأعضاء هيئة التدريس حول استراتيجيات التدريس وأساليب التقويم.</t>
  </si>
  <si>
    <t>استطلاع رأي الطلاب حول استراتيجيات التعليم والتعلم وأساليب التقييم.</t>
  </si>
  <si>
    <t>2-2-1</t>
  </si>
  <si>
    <t>يراعي المنهج الدراسي تحقيق أهداف البرنامج ونواتجه التعليمية والتطورات العلمية والتقنية والمهنية في مجال التخصص، ويُراجع بصورة دورية.</t>
  </si>
  <si>
    <t>الدليل الإجرائي لاستحداث وتطوير البرامج والخطط الدراسية.</t>
  </si>
  <si>
    <t>توصيف البرنامج (يشمل مصفوفة الربط بين كل من نواتج تعلم البرنامج والمقررات) معتمد من مجلس القسم والكلية.</t>
  </si>
  <si>
    <t>توصيفات المقررات موضحاً بها أحدث الكتب والمراجع المقررة في مجال التخصص.</t>
  </si>
  <si>
    <t>محاضر اجتماع اللجنة الاستشارية واللجان المعنية ومجلس القسم التي ناقشت تطوير الخطة الدراسية.</t>
  </si>
  <si>
    <t>استطلاعات رأي الخريجين وأرباب العمل حول مواكبة نواتج تعلم البرنامج للتطورات العلمية والتقنية والمهنية.</t>
  </si>
  <si>
    <t>نماذج من محاضر مراجعة توصيف البرنامج وتوصيف المقررات متضمنة التطورات التي تم إقرارها.</t>
  </si>
  <si>
    <t>2-2-2</t>
  </si>
  <si>
    <t>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</si>
  <si>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مصفوفة التوازن بين المتطلبات العامة (الكلية) ومتطلبات التخصص في الخطة الدراسية للبرنامج.</t>
  </si>
  <si>
    <t>مصفوفة التوازن بين الجوانب النظرية والتطبيقية في الخطة الدراسية للبرنامج وفق المقارنة المرجعية الخارجية.</t>
  </si>
  <si>
    <t>تقييم مراجع مستقل حول التوازن والتتابع والتكامل في الخطة الدراسية للبرنامج.</t>
  </si>
  <si>
    <t>2-2-3</t>
  </si>
  <si>
    <t>يراعى في بناء الخطة الدراسية للبرنامج تحديد متطلبات نقاط الخروج (إن وجدت) طبقاً للممارسات العالمية والبرامج المناظرة.</t>
  </si>
  <si>
    <t>تقرير مختصر معتمد يوضح نسب التوازن بين الجوانب النظرية والتطبيقية في خطة البرنامج.</t>
  </si>
  <si>
    <t>دليل البرنامج موضحاً به مسارات البرنامج ونقاط التخرج.</t>
  </si>
  <si>
    <t>المقارنات المرجعية التي تم الاستناد عليها في بناء نقاط الخروج.</t>
  </si>
  <si>
    <t>توصيف البرنامج موضحاً به نقاط الخروج (إن وجدت).</t>
  </si>
  <si>
    <t>2-2-4</t>
  </si>
  <si>
    <t>ترتبط نواتج التعلم بالمقررات بنواتج التعلم بالبرنامج (مصفوفة توزيع نواتج تعلم البرنامج على المقررات).</t>
  </si>
  <si>
    <t>توصيف الخبرة الميدانية (إن وجد).</t>
  </si>
  <si>
    <t>دليل التدريب الميداني/التعاوني (إن وجد).</t>
  </si>
  <si>
    <t>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</si>
  <si>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2-2-5</t>
  </si>
  <si>
    <t>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</si>
  <si>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نماذج من محاضر اللجان الاستشارية التي ناقشت توافق ومناسبة استراتيجيات التعليم والتعلم وطرق التقييم.</t>
  </si>
  <si>
    <t>تقرير استطلاع رأي الطلبة والخريجين حول استراتيجيات التعليم والتعلم وطرق التقييم.</t>
  </si>
  <si>
    <t>2-2-6</t>
  </si>
  <si>
    <t>يتحقق البرنامج من فاعلية التدريب الميداني وجودة الإشراف عليه، ويتابع البرنامج قدرته على تحقيق المخرجات الموكلة إليه بآليات محددة.</t>
  </si>
  <si>
    <t>نماذج من توزيع الطالب وهيئة التدريس على التدريب الميداني.</t>
  </si>
  <si>
    <t>نماذج من تقارير التدريب الميداني.</t>
  </si>
  <si>
    <t>استطلاعات وتقارير رضا الطلاب وهيئة التدريس عن أنشطة التدريب الميداني.</t>
  </si>
  <si>
    <t>2-2-7</t>
  </si>
  <si>
    <t>يتأكد البرنامج من تطبيق موحد للخطة الدراسية وتوصيف البرنامج والمقررات التي تُقدم في أكثر من موقع (أقسام الطلاب والطالبات وفي الفروع المختلفة).</t>
  </si>
  <si>
    <t>أدلة تثبت التطبيق الموحد (مثل التعميمات والتقارير) في الشطرين والفروع للخطة الدراسية وتوصيف البرنامج والمقررات والاختبارات.</t>
  </si>
  <si>
    <t>نماذج من تقارير المقررات والبرنامج موضحاً بها توحيد الخطة بين البنين والبنات والفروع المختلفة.</t>
  </si>
  <si>
    <t>2-3-1</t>
  </si>
  <si>
    <t>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</si>
  <si>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التعاميم الواردة من إدارة البرنامج بضرورة الالتزام باستراتيجيات التعليم والتعلم وطرق التقييم الواردة في توصيفات البرنامج والمقررات.</t>
  </si>
  <si>
    <t>نماذج من ملف المقرر.</t>
  </si>
  <si>
    <t>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</si>
  <si>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تقارير الزيارات المتبادلة بين أعضاء هيئة التدريس حول الالتزام باستراتيجيات التعليم والتعلم وطرق التقييم.</t>
  </si>
  <si>
    <t>قائمة دورات تدريب أعضاء هيئة التدريس على استراتيجيات التعليم والتعلم وطرق التقييم واستخدام التقنيات في التعليم.</t>
  </si>
  <si>
    <t>2-3-2</t>
  </si>
  <si>
    <t>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</si>
  <si>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قائمة حضور أعضاء هيئة التدريس بالبرنامج للدورات التدريبية، ونماذج من شهادات الحضور.</t>
  </si>
  <si>
    <t>تقييم رضا أعضاء هيئة التدريس عن الدورات التدريبية المقدمة لهم.</t>
  </si>
  <si>
    <t>تقرير عمادة التعليم الإلكتروني للبرنامج حول تفعيل تقنيات التعليم في التدريس.</t>
  </si>
  <si>
    <t>مناقشة مجلس القسم لتقرير عمادة التعليم الإلكتروني للبرنامج حول تفعيل تقنيات التعليم في التدريس.</t>
  </si>
  <si>
    <t>2-3-3</t>
  </si>
  <si>
    <t>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</si>
  <si>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نماذج من إعلان توصيف المقررات الدراسية للطلبة إلكترونياً.</t>
  </si>
  <si>
    <t>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</si>
  <si>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عينات من التغذية الراجعة المقدمة للطلبة.</t>
  </si>
  <si>
    <t>2-3-4</t>
  </si>
  <si>
    <t>يتبنى البرنامج آليات لدعم وتحفيز التميز في التدريس وتشجيع الإبداع والابتكار لدى هيئة التدريس.</t>
  </si>
  <si>
    <t>جوائز التميز على مستوى البرنامج/المؤسسة حول التميز في التدريس والإبداع والابتكار.</t>
  </si>
  <si>
    <t>نماذج من التقييم الدوري لأداء أعضاء هيئة التدريس (ويشمل مجالات التدريس والبحث العلمي وخدمة المجتمع).</t>
  </si>
  <si>
    <t>تقرير استطلاعات رأي أعضاء هيئة التدريس حول رضاهم عن الدعم والتحفيز للتميز والإبداع والابتكار المقدم لهم.</t>
  </si>
  <si>
    <t>2-3-5</t>
  </si>
  <si>
    <t>يتبنى البرنامج إجراءات واضحة ومعلنة للتحقق من جودة طرق التقييم ومصداقيتها والتأكد من مستوى تحصيل الطالب.</t>
  </si>
  <si>
    <t>خطة قياس نواتج تعلم البرنامج وتقاريرها.</t>
  </si>
  <si>
    <t>نماذج من تحليل نتائج الاختبارات لبعض المقررات في البرنامج.</t>
  </si>
  <si>
    <t>تقييمات الطالب والخريجين لأساليب التقويم والاختبارات في البرنامج.</t>
  </si>
  <si>
    <t>نماذج من مواصفات إعداد الورقة الاختبارية، وطرق التصحيح.</t>
  </si>
  <si>
    <t>نماذج لكراسات إجابة موقع عليها مقيّم آخر.</t>
  </si>
  <si>
    <t>2-3-6</t>
  </si>
  <si>
    <t>تُستخدم إجراءات فعّالة لضبط النزاهة الأكاديمية على مستوى البرنامج للتحقق من أن الأعمال والواجبات التي يقدمها الطالب هي من إنتاجهم.</t>
  </si>
  <si>
    <t>دليل الطالب موضحاً به ميثاق الأخلاقيات ومعايير الاقتباس.</t>
  </si>
  <si>
    <t>النظام الإلكتروني المستخدم في كشف الاستلال العلمي.</t>
  </si>
  <si>
    <t>الدورات التدريبية المقدمة والمتعلقة بتعريف الطلبة وأعضاء هيئة التدريس حول استخدام برامج الاستلال العلمي.</t>
  </si>
  <si>
    <t>نماذج من لقاءات التهيئة للطلاب الجدد متضمناً توعية الطالب بمقتضيات النزاهة الأكاديمية.</t>
  </si>
  <si>
    <t>نماذج من تقارير الاستلال العلمي في الأعمال والواجبات التي يقدمها الطلبة.</t>
  </si>
  <si>
    <t>3-0-1</t>
  </si>
  <si>
    <t>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</si>
  <si>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شروط القبول محددة ومعتمدة في توصيف البرنامج، ومتضمنة في دليل البرنامج.</t>
  </si>
  <si>
    <t>شروط القبول معلنة على الموقع الإلكتروني للبرنامج.</t>
  </si>
  <si>
    <t>شروط الانتقال إلى البرنامج (التحويل) معلنة ومحددة في دليل البرنامج.</t>
  </si>
  <si>
    <t>نماذج معادلة الدراسة السابقة / آلية المعادلة لاستقبال الطلاب المحولين.</t>
  </si>
  <si>
    <t>نماذج من قرارات مجلس القسم بقبول أو رفض انتقال طلبة إلى البرنامج.</t>
  </si>
  <si>
    <t>3-0-2</t>
  </si>
  <si>
    <t>يوفر البرنامج المعلومات الأساسية للطالب مثل: متطلبات الدراسة، الخدمات، والتكاليف المالية (إن وجدت)، بوسائل متنوعة.</t>
  </si>
  <si>
    <t>دليل الطالب للخدمات الإلكترونية.</t>
  </si>
  <si>
    <t>دليل الطالب أو البرنامج متضمناً متطلبات الدراسة، الخدمات، والتكاليف المالية (إن وجدت).</t>
  </si>
  <si>
    <t>الموقع الإلكتروني للبرنامج.</t>
  </si>
  <si>
    <t>3-0-3</t>
  </si>
  <si>
    <t>يتوفر لطالب البرنامج خدمات فعالة للإرشاد والتوجيه الأكاديمي والمهني والنفسي والاجتماعي، من خلال كوادر مؤهلة وكافية.</t>
  </si>
  <si>
    <t>قرار إنشاء لجنة أو وحدة الإرشاد الأكاديمي بالبرنامج أو الكلية.</t>
  </si>
  <si>
    <t>دليل الإرشاد والتوجيه الأكاديمي والمهني والنفسي والاجتماعي للطالب.</t>
  </si>
  <si>
    <t>السير الذاتية للعاملين بوحدة الإرشاد الأكاديمي.</t>
  </si>
  <si>
    <t>نماذج من البرامج التوجيهية لاستقبال الطلاب الجدد على مستوى البرنامج/الكلية.</t>
  </si>
  <si>
    <t>الخدمات المقدمة من جهة تقديم الإرشاد المهني للطالب (مثل الدورات المقدمة من وحدة التدريب أو وحدة الخريجين الخاصة بالجانب المهني).</t>
  </si>
  <si>
    <t>الخدمات المقدمة من جهة تقديم الإرشاد والدعم النفسي والاجتماعي للطالب (وحدة الإرشاد والتوجيه في الكلية والجامعة).</t>
  </si>
  <si>
    <t>استطلاعات الرأي الشاملة التحليل للطلبة والخريجين عن رضاهم حول جودة الإرشاد المقدم إليهم من البرنامج.</t>
  </si>
  <si>
    <t>3-0-4</t>
  </si>
  <si>
    <t>تُطبَّق آلية ملائمة للتعرف على الطلاب الموهوبين والمبدعين والمتفوقين والمتعثرين في البرنامج، وتتوفر برامج مناسبة لرعاية وتحفيز ودعم كل فئة منهم.</t>
  </si>
  <si>
    <t>الإجراءات الموثقة في البرنامج/المؤسسة للكشف عن الطلاب الموهوبين.</t>
  </si>
  <si>
    <t>قائمة بالخدمات والبرامج المقدمة من الجهة المسؤولة عن رعاية الطلبة الموهوبين والمبدعين في البرنامج/المؤسسة.</t>
  </si>
  <si>
    <t>آليات دعم الطلبة المتفوقين والمتعثرين بالبرنامج.</t>
  </si>
  <si>
    <t>آليات الإعلان عن الأنشطة اللاصفية وتحفيز الطلبة على المشاركة فيها.</t>
  </si>
  <si>
    <t>3-0-5</t>
  </si>
  <si>
    <t>تتوفر لطالب البرنامج أنشطة لا صفية في العديد من المجالات لتنمية قدراتهم ومهاراتهم، ويتخذ البرنامج الإجراءات المناسبة لدعم وتحفيز مشاركتهم.</t>
  </si>
  <si>
    <t>آليات الإعلان عن الأنشطة اللاصفية وتحفيز الطلاب على المشاركة فيها.</t>
  </si>
  <si>
    <t>بيان بالخدمات اللاصفية المقدمة للطالب.</t>
  </si>
  <si>
    <t>تقرير رضا الطلبة عن الأنشطة اللاصفية المقدمة لهم من قبل البرنامج.</t>
  </si>
  <si>
    <t>خطة البرنامج فيما يتعلق بالأنشطة اللاصفية وعلاقتها بنواتج تعلم البرنامج وبتنمية قدرات ومهارات الطالب.</t>
  </si>
  <si>
    <t>3-0-6</t>
  </si>
  <si>
    <t>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</si>
  <si>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قرار إنشاء وحدة/لجنة تعنى بالخريجين بالبرنامج/المؤسسة وأهدافها ومهامها.</t>
  </si>
  <si>
    <t>آليات التواصل مع خريجي البرنامج، وقاعدة البيانات الموثقة الخاصة بالخريجين.</t>
  </si>
  <si>
    <t>قائمة بالخدمات التي يقدمها البرنامج لخريجيه.</t>
  </si>
  <si>
    <t>تقرير موثق حول مشاركة الخريجين في فعاليات البرنامج مثل محاضر الاجتماعات أو اللجنة الاستشارية للبرنامج أو يوم المهنة.</t>
  </si>
  <si>
    <t>تقرير استطلاع رأي الخريجين حول البرنامج.</t>
  </si>
  <si>
    <t>قرار تشكيل اللجنة الاستشارية للبرنامج متضمناً في التشكيل خريجي البرنامج ضمن أعضاء اللجنة.</t>
  </si>
  <si>
    <t>3-0-7</t>
  </si>
  <si>
    <t>تُطبَّق آلية فعالة لتقويم كفاية وجودة الخدمات المقدمة للطالب وقياس رضاهم عنها، والاستفادة من النتائج في التحسين.</t>
  </si>
  <si>
    <t>قرار تشكيل المجلس الطلابي ومهامه.</t>
  </si>
  <si>
    <t>تقرير استطلاعات رأي الطلبة حول جودة الخدمات المقدمة لهم.</t>
  </si>
  <si>
    <t>التقرير السنوي للبرنامج متضمناً خطط التحسين والتطوير بناءً على نتائج استطلاعات رأي الطلبة.</t>
  </si>
  <si>
    <t>4-0-1</t>
  </si>
  <si>
    <t>يتوافر في البرنامج العدد الكافي من أعضاء هيئة التدريس، في جميع المواقع التي يقدم فيها البرنامج، وتُطبَّق آليات مناسبة للتحقق منها.</t>
  </si>
  <si>
    <t>قائمة مفصلة لأعضاء هيئة التدريس في كل موقع يقدم فيه البرنامج مثل: (شطري الطالب والطالبات والفروع إن وجدت).</t>
  </si>
  <si>
    <t>نسبة أعضاء هيئة التدريس إلى الطلبة/في كل موقع.</t>
  </si>
  <si>
    <t>التقرير السنوي للبرنامج متضمناً مناقشة مؤشر نسبة عدد الطالب إلى عدد أعضاء هيئة التدريس.</t>
  </si>
  <si>
    <t>الخطة المستقبلية لتحديد الاحتياجات من أعضاء هيئة التدريس والمقدمة من قِبل البرنامج.</t>
  </si>
  <si>
    <t>4-0-2</t>
  </si>
  <si>
    <t>تضم هيئة التدريس أو المتعاونين في البرامج المهنية من ذوي الخبرة والمهارة العالية في مجال البرنامج.</t>
  </si>
  <si>
    <t>السير الذاتية لأعضاء هيئة التدريس أو المتعاونين من ذوي الخبرة في مجال البرنامج.</t>
  </si>
  <si>
    <t>محضر مجلس القسم الخاص بمناقشة احتياجات البرنامج المستقبلية من أعضاء هيئة التدريس المهنيين.</t>
  </si>
  <si>
    <t>4-0-3</t>
  </si>
  <si>
    <t>يشارك أعضاء هيئة التدريس في الأنشطة الأكاديمية والبحثية والإنتاج العلمي بكفاءة وانتظام، وتُعد مشاركتهم في هذه الأنشطة أحد محكات تقييمهم.</t>
  </si>
  <si>
    <t>نماذج من مشاركات أعضاء هيئة التدريس في فعاليات البرنامج الأكاديمية مثل: ورش العمل، والمؤتمرات العلمية، والندوات.</t>
  </si>
  <si>
    <t>نماذج من مشاركة أعضاء هيئة التدريس بالبرنامج (مثل القرارات والشهادات وصور المشاركة) في اللجان على مستوى البرنامج والكلية والجامعة.</t>
  </si>
  <si>
    <t>نماذج من مشاركة أعضاء هيئة التدريس بالبرنامج في الإشراف العلمي على الرسائل والمشاريع البحثية.</t>
  </si>
  <si>
    <t>أمثلة من تحكيم المقترحات البحثية والمقالات العلمية من قبل أعضاء هيئة التدريس في البرنامج.</t>
  </si>
  <si>
    <t>قاعدة بيانات الإنتاج البحثي لأعضاء هيئة التدريس في البرنامج.</t>
  </si>
  <si>
    <t>تقرير مؤشرات الأداء المتعلقة بمجالات البحث العلمي.</t>
  </si>
  <si>
    <t>نموذج ملف تقييم أداء أعضاء هيئة التدريس الذي يتضمن أنشطة بحثية وأكاديمية للأعضاء.</t>
  </si>
  <si>
    <t>4-0-4</t>
  </si>
  <si>
    <t>تشارك هيئة التدريس في أنشطة الشراكة المجتمعية، وتُعد مشاركتهم في هذه الأنشطة أحد محكات تقييمهم.</t>
  </si>
  <si>
    <t>قائمة بمشاركات أعضاء هيئة التدريس في فعاليات خدمة المجتمع.</t>
  </si>
  <si>
    <t>تقرير الشراكة المجتمعية للبرنامج.</t>
  </si>
  <si>
    <t>نموذج ملف تقييم أداء أعضاء هيئة التدريس الذي يتضمن أنشطة خدمة المجتمع للأعضاء.</t>
  </si>
  <si>
    <t>4-0-5</t>
  </si>
  <si>
    <t>يتلقى أعضاء هيئة التدريس برامج في التطوير المهني والأكاديمي، وفق خطة تلبي احتياجاتهم وتسهم في تطوير أدائهم.</t>
  </si>
  <si>
    <t>تقرير تحديد الاحتياجات التدريبية لأعضاء هيئة التدريس بالبرنامج.</t>
  </si>
  <si>
    <t>خطة التطوير المهني لأعضاء هيئة التدريس بالبرنامج.</t>
  </si>
  <si>
    <t>قائمة بالدورات التدريبية المقدمة لأعضاء هيئة التدريس، ونماذج من شهادات الحضور.</t>
  </si>
  <si>
    <t>تقرير استطلاعات رأي أعضاء هيئة التدريس عن برامج التدريب وأنشطة التطوير المهني.</t>
  </si>
  <si>
    <t>تقرير قياس أثر الدورات التدريبية المقدمة.</t>
  </si>
  <si>
    <t>4-0-6</t>
  </si>
  <si>
    <t>يُقيَّم أداء هيئة التدريس بانتظام وفق معايير محددة ومعلنة، وتُقدَّم التغذية الراجعة لهم، ويُستفاد من النتائج في تحسين الأداء.</t>
  </si>
  <si>
    <t>نموذج تقييم أداء أعضاء هيئة التدريس السنوي.</t>
  </si>
  <si>
    <t>تقرير تقييم الطلبة للمقرر.</t>
  </si>
  <si>
    <t>نماذج من التغذية الراجعة المقدمة عن أداء أعضاء التدريس.</t>
  </si>
  <si>
    <t>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</si>
  <si>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خطة تحسين أداء أعضاء هيئة التدريس في ضوء عمليات التقييم.</t>
  </si>
  <si>
    <t>5-0-1</t>
  </si>
  <si>
    <t>يتحقق البرنامج من كفاية ومناسبة مصادر التعلم والخدمات المقدمة بما يتناسب مع احتياجاته وأعداد الطالب، ويتم تحديثها بصورة دورية.</t>
  </si>
  <si>
    <t>قائمة بالكتب المقررة والمراجع مع عدد النسخ المتوفرة بالمكتبة.</t>
  </si>
  <si>
    <t>رابط المكتبة الرقمية السعودية.</t>
  </si>
  <si>
    <t>تقرير تقييم الطلبة وأعضاء هيئة التدريس عن كفاية ومناسبة مصادر التعلم والخدمات المقدمة.</t>
  </si>
  <si>
    <t>5-0-2</t>
  </si>
  <si>
    <t>يتوفر لهيئة التدريس والطالب والموظفين في البرنامج التهيئة والدعم الفني المناسبين للاستخدام الفعال لمصادر ووسائل التعلم.</t>
  </si>
  <si>
    <t>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</si>
  <si>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حصر خدمات الدعم الفني المتوفرة في المكتبة المركزية للطلبة وأعضاء هيئة التدريس في البرنامج.</t>
  </si>
  <si>
    <t>تقرير رضا المستفيدين (طلبة، أعضاء هيئة تدريس، موظفين) عن خدمات التدريب والتهيئة حول الاستخدام الفعال لمصادر التعلم.</t>
  </si>
  <si>
    <t>5-0-3</t>
  </si>
  <si>
    <t>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</si>
  <si>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دليل إدارة المخاطر بالبرنامج / المؤسسة.</t>
  </si>
  <si>
    <t>قائمة بمتطلبات الصحة والسلامة العامة والمهنية في المرافق والتجهيزات، والأنشطة التعليمية والبحثية في البرنامج/الكلية.</t>
  </si>
  <si>
    <t>صور توضيحية لمتطلبات الصحة والسلامة العامة والمهنية في المرافق والتجهيزات، والأنشطة التعليمية والبحثية في البرنامج/الكلية.</t>
  </si>
  <si>
    <t>نماذج من تقارير مراجعة كفاءة وسائل الصحة، والسلامة العامة، والمهنية.</t>
  </si>
  <si>
    <t>عقد الشركة المسؤولة عن التخلص من النفايات الخطرة.</t>
  </si>
  <si>
    <t>سجل التخلص الآمن من النفايات الخطرة.</t>
  </si>
  <si>
    <t>5-0-4</t>
  </si>
  <si>
    <t>يتوفر للبرنامج التقنيات والخدمات والبيئة المناسبة للمقررات التي تُقدَّم إلكترونياً أو عن بُعد وفق المعايير الخاصة بها.</t>
  </si>
  <si>
    <t>قائمة بالخدمات التقنية ووسائل الاستخدام التي يقدمها نظام التعلم الإلكتروني للطلبة وأعضاء هيئة التدريس.</t>
  </si>
  <si>
    <t>أمثلة من تقارير حضور الطلبة من خلال نظام التعلم الإلكتروني ونماذج من تكليفات الطلبة والمنتديات.</t>
  </si>
  <si>
    <t>بيان بالمعامل الإلكترونية بالبرنامج / الكلية.</t>
  </si>
  <si>
    <t>الخدمات التي تقدمها المكتبة الرقمية لطلبة البرنامج وأعضاء هيئة التدريس.</t>
  </si>
  <si>
    <t>استطلاع رأي الطلبة حول التقنيات والخدمات والبيئة المناسبة للمقررات التي تقدم إلكترونياً أو عن بُعد.</t>
  </si>
  <si>
    <t>5-0-5</t>
  </si>
  <si>
    <t>يعمل البرنامج على تقويم فاعلية وكفاءة مصادر التعلم والمرافق والتجهيزات بأنواعها، ويُستفاد من ذلك في التحسين.</t>
  </si>
  <si>
    <t>تقارير استطلاعات رأي الطلبة وأعضاء هيئة التدريس حول فاعلية وكفاءة مصادر التعلم والمرافق والتجهيزات.</t>
  </si>
  <si>
    <t>مناقشة مجلس القسم للتقرير السنوي للبرنامج وخطط التحسين والقرارات المبنية عليها.</t>
  </si>
  <si>
    <t>من دليل البكالوريوس</t>
  </si>
  <si>
    <t>يتابع البرنامج التزام هيئة التدريس باستراتيجيات التعليم والتعلم وطرق التقييم الواردة في توصيفات البرنامج والمقررات وفق آليات محددة.</t>
  </si>
  <si>
    <t>2-3-7</t>
  </si>
  <si>
    <t>6-0-1</t>
  </si>
  <si>
    <t>يتابع البرنامج معدلات نشاطه البحثي بما يتسق مع دوره في الخطة البحثية المؤسسية، وفق مؤشرات أداء واضحة ومحددة، ويعمل على تطوير أدائه.</t>
  </si>
  <si>
    <t>خطة البحث العلمي للبرنامج مرتبطة بالخطة البحثية للمؤسسة.</t>
  </si>
  <si>
    <t>مقترح</t>
  </si>
  <si>
    <t>تقرير سنوي عن النشاط البحثي ومؤشراته (KPI-PG-9 إلى KPI-PG-13) مع المقارنة المرجعية.</t>
  </si>
  <si>
    <t>إجراءات التحسين المتخذة بناءً على نتائج المؤشرات البحثية.</t>
  </si>
  <si>
    <t>6-0-2</t>
  </si>
  <si>
    <t>يحدد البرنامج أولويات بحثية تتسق مع رسالة المؤسسة والتوجهات الوطنية وخطط التنمية.</t>
  </si>
  <si>
    <t>وثيقة الأولويات البحثية للبرنامج معتمدة من المجلس.</t>
  </si>
  <si>
    <t>مصفوفة ربط الأولويات البحثية برسالة المؤسسة والتوجهات الوطنية.</t>
  </si>
  <si>
    <t>نماذج من عناوين الرسائل والمشاريع المرتبطة بالأولويات البحثية.</t>
  </si>
  <si>
    <t>6-0-3</t>
  </si>
  <si>
    <t>تتوفر في البرنامج بيئة داعمة ومحفزة ودعم مالي وتجهيزات للأنشطة البحثية.</t>
  </si>
  <si>
    <t>قائمة بالمعامل والتجهيزات والبرمجيات وقواعد البيانات المتاحة للبحث.</t>
  </si>
  <si>
    <t>بيانات الدعم المالي للبحوث (منح داخلية وخارجية).</t>
  </si>
  <si>
    <t>استطلاع رأي هيئة التدريس والطلاب حول البيئة البحثية.</t>
  </si>
  <si>
    <t>6-0-4</t>
  </si>
  <si>
    <t>يطبق البرنامج آليات متنوعة لتنمية المهارات البحثية ومهارات النشر لدى منسوبيه، وتبادل الخبرات ونتائج البحوث، ويطوّر هذه الآليات ويحسّنها.</t>
  </si>
  <si>
    <t>خطة وسجل الورش والدورات في المهارات البحثية والنشر العلمي.</t>
  </si>
  <si>
    <t>نماذج من الحلقات العلمية (السمنارات) ولقاءات تبادل الخبرات.</t>
  </si>
  <si>
    <t>تقرير تقييم فاعلية هذه الآليات وتطويرها.</t>
  </si>
  <si>
    <t>6-0-5</t>
  </si>
  <si>
    <t>يطبق البرنامج آليات متنوعة لتوليد التمويل للأنشطة البحثية من الجهات المانحة والاستثمارية.</t>
  </si>
  <si>
    <t>قائمة بالمشاريع البحثية الممولة من جهات خارجية.</t>
  </si>
  <si>
    <t>اتفاقيات وشراكات التمويل البحثي.</t>
  </si>
  <si>
    <t>آليات البرنامج للتقديم على المنح البحثية.</t>
  </si>
  <si>
    <t>6-0-6</t>
  </si>
  <si>
    <t>تُطبَّق في البرنامج إجراءات أكاديمية وإدارية محددة لاعتماد الرسائل العلمية والمشاريع البحثية في إطار زمني مناسب.</t>
  </si>
  <si>
    <t>الإجراءات المعتمدة لتسجيل مقترحات الرسائل واعتمادها ومددها الزمنية.</t>
  </si>
  <si>
    <t>نماذج من محاضر اعتماد خطط الرسائل.</t>
  </si>
  <si>
    <t>إحصاء بمتوسط مدة اعتماد مقترحات الرسائل.</t>
  </si>
  <si>
    <t>6-0-7</t>
  </si>
  <si>
    <t>يتوفر لدى البرنامج تعليمات وأدلة واضحة ومعلنة ومتاحة لإعداد البحوث والرسائل والمشاريع وتقويمها.</t>
  </si>
  <si>
    <t>دليل إعداد الرسائل العلمية وتقويمها.</t>
  </si>
  <si>
    <t>دليل طالب الدراسات العليا.</t>
  </si>
  <si>
    <t>روابط نشر الأدلة على الموقع الإلكتروني.</t>
  </si>
  <si>
    <t>6-0-8</t>
  </si>
  <si>
    <t>يطبق البرنامج آليات محددة لمتابعة كفاءة الإشراف العلمي على الرسائل والبحوث والمشاريع، ويقوّم هذه الآليات ويطورها.</t>
  </si>
  <si>
    <t>لائحة أو معايير الإشراف العلمي وعبء الإشراف.</t>
  </si>
  <si>
    <t>نماذج تقارير متابعة تقدم الطالب البحثي.</t>
  </si>
  <si>
    <t>نتائج تقييم الطلاب لجودة الإشراف (KPI-PG-3) وإجراءات التحسين.</t>
  </si>
  <si>
    <t>6-0-9</t>
  </si>
  <si>
    <t>يتابع البرنامج عدالة وموضوعية ومصداقية تقويم البحوث ومناقشة الرسائل العلمية وإجازتها.</t>
  </si>
  <si>
    <t>إجراءات تشكيل لجان المناقشة ومعايير اختيار الممتحنين الداخليين والخارجيين.</t>
  </si>
  <si>
    <t>نماذج من تقارير التحكيم ومحاضر المناقشة.</t>
  </si>
  <si>
    <t>نماذج استمارات التقويم وسلالم التقدير.</t>
  </si>
  <si>
    <t>6-0-10</t>
  </si>
  <si>
    <t>يتحقق البرنامج من أصالة البحوث وإثرائها المعرفي والابتكار في أنشطته البحثية بما يتناسب مع مستوى المؤهل والمعايير الدولية.</t>
  </si>
  <si>
    <t>تقارير فحص الاستلال (الانتحال) للرسائل والبحوث.</t>
  </si>
  <si>
    <t>قائمة الأبحاث المنشورة للطلاب وهيئة التدريس في أوعية محكمة.</t>
  </si>
  <si>
    <t>براءات الاختراع والجوائز (KPI-PG-13).</t>
  </si>
  <si>
    <t>6-0-11</t>
  </si>
  <si>
    <t>يطبق البرنامج سياسات واضحة لأخلاقيات البحث وضوابطه، ويتحقق من التزام الباحثين بها وفق آليات مناسبة ويطورها.</t>
  </si>
  <si>
    <t>سياسة أخلاقيات البحث العلمي المعتمدة.</t>
  </si>
  <si>
    <t>موافقات لجنة أخلاقيات البحث على الأبحاث.</t>
  </si>
  <si>
    <t>نماذج تعهدات الباحثين وآليات التحقق من الالتزام.</t>
  </si>
  <si>
    <t>تشكيل الفريق، تنظيم المستودع، حصر الأدلة، والتحقق من توفرها واعتمادها وحداثتها ومدى إثباتها للتطبيق، وتحديد الأدلة غير المتوفرة أو غير المكتملة وفجوات التطبيق والتوثيق.</t>
  </si>
  <si>
    <t>إعداد الدراسة الذاتية تدريجيًا، وتدعيم نتائج التقويم بالأدلة والشواهد المناسبة، واستكمال ما تبقى من متطلبات وأدلة، والاستفادة من أي تحديثات أكاديمية معتمدة.</t>
  </si>
  <si>
    <t>مراجعة رسالة البرنامج وأهدافه، ونواتج تعلم البرنامج والمقررات، وأساليب التدريس والتقويم، وتحديد الملاحظات والتحديثات الأكاديمية المطلوبة وفق الإجراءات المعتمدة في القسم.</t>
  </si>
  <si>
    <t>تقرير مراجعة أكاديمية يتضمن الملاحظات والتحديثات المقترحة وأولويات المعالجة.</t>
  </si>
  <si>
    <t>تُراعى أي تحديثات أكاديمية يتم اعتمادها خلال فترة تنفيذ الخطة، ويُعتمد أحدث إصدار معتمد من الوثائق ضمن ملف الأدلة، على أن تُنفذ التحديثات الأكاديمية وفق أولوياتها والإجراءات المعتمدة والجدول الزمني للاعتماد.</t>
  </si>
  <si>
    <t>اجتماع الانطلاق: شرح المعايير ومنهجية تقييم الأدلة، وتأكيد توزيع المحكات</t>
  </si>
  <si>
    <t>محضر + توزيع معتمد</t>
  </si>
  <si>
    <t>اعتماد نظام ترميز الأدلة وهيكل مجلدات المستودع</t>
  </si>
  <si>
    <t>إنشاء المستودع والملف المشترك وصلاحيات الأعضاء</t>
  </si>
  <si>
    <t>مستودع جاهز</t>
  </si>
  <si>
    <t>متابعة متطلبات التقدم مع لجنة الجودة (انظر ورقة متطلبات التقدم للاعتماد)</t>
  </si>
  <si>
    <t>حالة المتطلبات في الأسبوعين 4 و7</t>
  </si>
  <si>
    <t>جميع الأدلة مقيّمة</t>
  </si>
  <si>
    <t>المراجعة الأسبوعية للأدلة المرفوعة، ورسالة المتابعة</t>
  </si>
  <si>
    <t>عمود المراجعة + رسالة أسبوعية</t>
  </si>
  <si>
    <t>اجتماع منتصف الخطة: الإنجاز والعوائق وحالة المتطلبات</t>
  </si>
  <si>
    <t>محضر</t>
  </si>
  <si>
    <t>مراجعة كفاية أدلة المحكات الأساسية وتحديد النواقص الحرجة</t>
  </si>
  <si>
    <t>قائمة النواقص الحرجة</t>
  </si>
  <si>
    <t>خطة استكمال معتمدة</t>
  </si>
  <si>
    <t>إعداد فهرس الأدلة المبدئي لكل برنامج</t>
  </si>
  <si>
    <t>3 فهارس</t>
  </si>
  <si>
    <t>إعداد تقرير الجاهزية لكل برنامج وعرضه على إدارة الكلية</t>
  </si>
  <si>
    <t>3 تقارير + اعتماد نتائج المرحلة الأولى</t>
  </si>
  <si>
    <t>جمع الأدلة وتقييمها، وتسجيل الفجوات والإجراء المطلوب لكل دليل ناقص في أوراق الفحص</t>
  </si>
  <si>
    <t>مراجعة خطة الاستكمال (الإجراء، والمسؤول، والأولوية، والموعد) واعتمادها في اجتماع الفجوات</t>
  </si>
  <si>
    <t>آلية فحص الأدلة</t>
  </si>
  <si>
    <t>يقوم كل عضو بمراجعة الأدلة المرتبطة بالمعيار المسند إليه، والتحقق من مدى كفايتها لإثبات استيفاء المحك، وذلك وفق الآتي:
1. توفر الدليل: التحقق من وجود الدليل المطلوب.
2. الاعتماد: التحقق من أن الدليل معتمد من الجهة المختصة، متى ما كان الاعتماد مطلوبًا.
3. الحداثة: التحقق من أن الدليل محدث ويعكس الوضع الحالي للبرنامج والفترة المطلوبة.
4. الارتباط بالمحك: التأكد من أن الدليل يغطي متطلبات المحك بصورة مباشرة وكافية.
5. إثبات التطبيق: التحقق من أن الدليل يثبت التطبيق الفعلي، ولا يقتصر على وجود سياسة أو نموذج فقط، وأن نتائج القياس استُخدمت في التحسين، متى ما كان المحك يتطلب ذلك.</t>
  </si>
  <si>
    <t>• فجوة تطبيق: يوجد متطلب أو إجراء، لكن التطبيق الفعلي غير مكتمل أو غير منتظم أو لا توجد نتائج كافية تثبته. وإذا كان العمل لا يتم ولا يوجد دليل عليه، تُصنّف فجوة تطبيق.</t>
  </si>
  <si>
    <t>المعيار 4: هيئة التدريس، ومحور ضمان الجودة (1-2) للبرامج الثلاثة</t>
  </si>
  <si>
    <t>المعيار 5: مصادر التعلم والمرافق للبرامج الثلاثة، والمعيار 6: البحث والمشاريع للماجستير (اعتماد الأدلة المقترحة وفحصها)</t>
  </si>
  <si>
    <t>فجوة توثيق</t>
  </si>
  <si>
    <t>فجوة تطبيق</t>
  </si>
  <si>
    <t>تقرير الأدلة حسب البرنامج والحالة</t>
  </si>
  <si>
    <t>اختر البرنامج وحالة الدليل من الخانتين الصفراوين، فتظهر قائمة الأدلة المطابقة تلقائياً. لا تكتب في الجدول.</t>
  </si>
  <si>
    <t>البرنامج</t>
  </si>
  <si>
    <t>الدليل</t>
  </si>
  <si>
    <t>أمثلة تصنيف الأدلة (لاجتماع الانطلاق وجلسة توحيد الحكم)</t>
  </si>
  <si>
    <t>الأدلة من الدليل الاسترشادي، ووضعها افتراضي للتوضيح.  القاعدة: حالة الدليل ← بنود الفحص الخمسة • نوع الفجوة ← هل العمل يتم فعلاً؟ (نعم = فجوة توثيق • لا أو جزئياً = فجوة تطبيق) • الأولوية تلقائية: عالية إذا كان الدليل غير متوفر أو المحك أساسياً ★.</t>
  </si>
  <si>
    <t>المحك</t>
  </si>
  <si>
    <t>الوضع</t>
  </si>
  <si>
    <t>متوفر ومكتمل</t>
  </si>
  <si>
    <t>1-1-1 اتساق الرسالة والأهداف</t>
  </si>
  <si>
    <t>إعلان رسالة البرنامج وأهدافه على الموقع الإلكتروني</t>
  </si>
  <si>
    <t>منشورة، وهي الصيغة المعتمدة الحالية</t>
  </si>
  <si>
    <t>5-0-3 ★ السلامة</t>
  </si>
  <si>
    <t>عقد الشركة المسؤولة عن التخلص من النفايات الخطرة</t>
  </si>
  <si>
    <t>العقد ساري ومعتمد</t>
  </si>
  <si>
    <t>متوفر ويحتاج تحسين</t>
  </si>
  <si>
    <t>مصفوفة اتساق رسالة البرنامج وأهدافه مع رسالة الجامعة والكلية</t>
  </si>
  <si>
    <t>موجودة، لكنها على رسالة الكلية القديمة (غير محدّثة)</t>
  </si>
  <si>
    <t>تحديثها واعتمادها من مجلس القسم</t>
  </si>
  <si>
    <t>خلال المرحلة الأولى</t>
  </si>
  <si>
    <t>متوسطة</t>
  </si>
  <si>
    <t>2-2-4 ربط نواتج المقررات بالبرنامج</t>
  </si>
  <si>
    <t>توصيف البرنامج مع مصفوفة ربط نواتج المقررات بنواتج البرنامج</t>
  </si>
  <si>
    <t>موجود، لكنه غير معتمد من مجلس الكلية</t>
  </si>
  <si>
    <t>رفعه لمجلس الكلية لاعتماده</t>
  </si>
  <si>
    <t>3-0-3 ★ الإرشاد الأكاديمي</t>
  </si>
  <si>
    <t>دليل الإرشاد والتوجيه الأكاديمي للطالب</t>
  </si>
  <si>
    <t>الدليل موجود، لكن الإرشاد لا يُطبّق بانتظام ولا توجد سجلات جلسات</t>
  </si>
  <si>
    <t>تفعيل الساعات الإرشادية وتوثيق الجلسات (القسم)</t>
  </si>
  <si>
    <t>خلال فصل دراسي</t>
  </si>
  <si>
    <t>عالية</t>
  </si>
  <si>
    <t>1-2-2 ★ تحليل مؤشرات الأداء</t>
  </si>
  <si>
    <t>تقارير قياس مؤشرات الأداء الرئيسة</t>
  </si>
  <si>
    <t>التقارير موجودة، لكن لم تُناقش ولم تُبنَ عليها خطة تحسين</t>
  </si>
  <si>
    <t>مناقشتها في مجلس القسم وإعداد خطة تحسين</t>
  </si>
  <si>
    <t>3-0-7 ★ رضا الطلاب عن الخدمات</t>
  </si>
  <si>
    <t>تقرير استطلاعات رأي الطلبة حول جودة الخدمات</t>
  </si>
  <si>
    <t>عمادة الجودة طبّقت الاستطلاع، لكن لا يوجد تقرير خاص بالبرنامج</t>
  </si>
  <si>
    <t>طلب النتائج من عمادة الجودة وإعداد تقرير للبرنامج</t>
  </si>
  <si>
    <t>4-0-6 تقييم أداء هيئة التدريس</t>
  </si>
  <si>
    <t>نماذج من التغذية الراجعة المقدمة عن أداء أعضاء هيئة التدريس</t>
  </si>
  <si>
    <t>التغذية الراجعة تُقدَّم شفهياً أو بالبريد، لكن لا تُحفظ</t>
  </si>
  <si>
    <t>جمع نماذج منها وحفظها في المستودع</t>
  </si>
  <si>
    <t>استطلاع رأي أعضاء هيئة التدريس عن رضاهم عن طرق تقييم أدائهم</t>
  </si>
  <si>
    <t>لم يُطبَّق أصلاً</t>
  </si>
  <si>
    <t>تصميم الاستطلاع وتطبيقه وإعداد تقريره</t>
  </si>
  <si>
    <t>6-0-8 كفاءة الإشراف العلمي (ماجستير)</t>
  </si>
  <si>
    <t>نتائج تقييم الطلاب لجودة الإشراف العلمي</t>
  </si>
  <si>
    <t>لا يوجد تقييم للإشراف</t>
  </si>
  <si>
    <t>تطبيق تقييم سنوي للإشراف ثم تحليله والتحسين</t>
  </si>
  <si>
    <t>خلال سنة دراسية</t>
  </si>
  <si>
    <t>خطأ شائع 🔴</t>
  </si>
  <si>
    <t>مصفوفة اتساق رسالة البرنامج وأهدافه</t>
  </si>
  <si>
    <t>اختار العضو "متوفر ومكتمل" ثم كتب في الإجراء: "تحديث المصفوفة"</t>
  </si>
  <si>
    <t>تتلون الخانة بالأحمر: ما دام يحتاج تحديثاً فهو "متوفر ويحتاج تحسين" وليس "مكتملاً"</t>
  </si>
  <si>
    <t>الخطة التنفيذية للاعتماد البرامجي – برامج كلية الحوسبة والمعلوماتية المستهدفة</t>
  </si>
  <si>
    <r>
      <rPr>
        <b/>
        <sz val="10"/>
        <color rgb="FF000000"/>
        <rFont val="Frutiger LT Arabic 45 Light"/>
      </rPr>
      <t>تصنيف حالة الدليل:</t>
    </r>
    <r>
      <rPr>
        <sz val="10"/>
        <color rgb="FF000000"/>
        <rFont val="Frutiger LT Arabic 45 Light"/>
      </rPr>
      <t xml:space="preserve">
• متوفر ومكتمل: مستوفٍ لمتطلبات الفحص أعلاه.
• متوفر ويحتاج تحسين: الدليل موجود، إلا أنه يحتاج إلى استكمال أو تحديث أو اعتماد أو تعزيز بما يثبت التطبيق.
• غير متوفر: لم يتم العثور على دليل يثبت استيفاء المتطلب.
وعند وجود نقص، يتم تحديد نوع الفجوة (توثيق أو تطبيق) والإجراء المطلوب لاستكمال الدليل ضمن ورقة الفحص.</t>
    </r>
  </si>
  <si>
    <r>
      <t xml:space="preserve">
</t>
    </r>
    <r>
      <rPr>
        <b/>
        <sz val="10"/>
        <color rgb="FF000000"/>
        <rFont val="Frutiger LT Arabic 45 Light"/>
      </rPr>
      <t>خطوات العمل في ورقة الفحص</t>
    </r>
    <r>
      <rPr>
        <sz val="10"/>
        <color rgb="FF000000"/>
        <rFont val="Frutiger LT Arabic 45 Light"/>
      </rPr>
      <t>:
1. يصفّي العضو عمود "المسؤول" على اسمه، ويرفع كل دليل للمستودع بالترميز المعتمد ويضع رابطه.
2. يختار "حالة الدليل"، وإن لم يكن مكتملاً يختار "نوع الفجوة" بسؤال: هل العمل يتم فعلاً؟ (نعم = فجوة توثيق • لا أو جزئياً = فجوة تطبيق)، ويكتب "الإجراء المطلوب" والجهة التي ستستكمله ويختار "الموعد". وتظهر "الأولوية" تلقائياً.
3. تراجع أمينة اللجنة الأدلة أسبوعياً (تمت • تحتاج تعديل)، وتراجع رئيسة اللجنة كفاية أدلة المحكات الأساسية ★ في الأسبوع 6.
4. تُراجع خطة الاستكمال وتُعتمد في اجتماع الأسبوع 7، وتتحدث "لوحة المتابعة" تلقائياً مع كل إدخال.</t>
    </r>
  </si>
  <si>
    <t>تمت المراجعة (أمينة اللجنة)</t>
  </si>
  <si>
    <t xml:space="preserve">متطلبات التقدم للاعتماد البرامجي </t>
  </si>
  <si>
    <t>تحديث من القسم</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</si>
</sst>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ont>
    <font>
      <sz val="10"/>
      <name val="Arial"/>
      <family val="2"/>
    </font>
    <font>
      <sz val="10"/>
      <name val="Arial"/>
      <family val="2"/>
    </font>
    <font>
      <b/>
      <sz val="12"/>
      <color rgb="FFFFFFFF"/>
      <name val="Arial"/>
      <family val="2"/>
    </font>
    <font>
      <b/>
      <sz val="14"/>
      <color rgb="FF1F3864"/>
      <name val="Arial"/>
      <family val="2"/>
    </font>
    <font>
      <b/>
      <sz val="16"/>
      <color rgb="FFFFFFFF"/>
      <name val="Arial"/>
      <family val="2"/>
    </font>
    <font>
      <b/>
      <sz val="11"/>
      <color rgb="FF34205C"/>
      <name val="Arial"/>
      <family val="2"/>
    </font>
    <font>
      <b/>
      <sz val="10"/>
      <color rgb="FF2B1B47"/>
      <name val="Arial"/>
      <family val="2"/>
    </font>
    <font>
      <b/>
      <sz val="10"/>
      <color rgb="FF000000"/>
      <name val="Arial"/>
      <family val="2"/>
    </font>
    <font>
      <sz val="10"/>
      <color rgb="FF000000"/>
      <name val="Arial"/>
      <family val="2"/>
    </font>
    <font>
      <b/>
      <sz val="10"/>
      <color rgb="FF34205C"/>
      <name val="Arial"/>
      <family val="2"/>
    </font>
    <font>
      <b/>
      <sz val="12"/>
      <color rgb="FFFFFFFF"/>
      <name val="Frutiger LT Arabic 45 Light"/>
    </font>
    <font>
      <b/>
      <sz val="10"/>
      <color rgb="FF2B1B47"/>
      <name val="Frutiger LT Arabic 45 Light"/>
    </font>
    <font>
      <b/>
      <sz val="10"/>
      <color rgb="FF000000"/>
      <name val="Frutiger LT Arabic 45 Light"/>
    </font>
    <font>
      <sz val="10"/>
      <color rgb="FF000000"/>
      <name val="Frutiger LT Arabic 45 Light"/>
    </font>
    <font>
      <b/>
      <sz val="10"/>
      <color rgb="FF34205C"/>
      <name val="Frutiger LT Arabic 45 Light"/>
    </font>
    <font>
      <b/>
      <sz val="15"/>
      <color rgb="FF1F3864"/>
      <name val="Frutiger LT Arabic 45 Light"/>
    </font>
    <font>
      <sz val="11"/>
      <color theme="1"/>
      <name val="Frutiger LT Arabic 45 Light"/>
    </font>
    <font>
      <sz val="10"/>
      <name val="Frutiger LT Arabic 45 Light"/>
    </font>
    <font>
      <b/>
      <sz val="11"/>
      <color rgb="FFFFFFFF"/>
      <name val="Frutiger LT Arabic 45 Light"/>
    </font>
    <font>
      <b/>
      <sz val="10"/>
      <name val="Frutiger LT Arabic 45 Light"/>
    </font>
    <font>
      <b/>
      <sz val="10"/>
      <color rgb="FF375623"/>
      <name val="Frutiger LT Arabic 45 Light"/>
    </font>
    <font>
      <b/>
      <sz val="10"/>
      <color rgb="FFFFFFFF"/>
      <name val="Frutiger LT Arabic 45 Light"/>
    </font>
    <font>
      <sz val="9"/>
      <name val="Frutiger LT Arabic 45 Light"/>
    </font>
    <font>
      <b/>
      <sz val="9"/>
      <name val="Frutiger LT Arabic 45 Light"/>
    </font>
    <font>
      <sz val="8"/>
      <color rgb="FF595959"/>
      <name val="Frutiger LT Arabic 45 Light"/>
    </font>
    <font>
      <b/>
      <sz val="10"/>
      <color rgb="FFC00000"/>
      <name val="Frutiger LT Arabic 45 Light"/>
    </font>
    <font>
      <b/>
      <sz val="8"/>
      <color rgb="FFC00000"/>
      <name val="Frutiger LT Arabic 45 Light"/>
    </font>
  </fonts>
  <fills count="22">
    <fill>
      <patternFill patternType="none"/>
    </fill>
    <fill>
      <patternFill patternType="gray125"/>
    </fill>
    <fill>
      <patternFill patternType="solid">
        <fgColor rgb="FF1F3864"/>
      </patternFill>
    </fill>
    <fill>
      <patternFill patternType="solid">
        <fgColor rgb="FFF2F2F2"/>
      </patternFill>
    </fill>
    <fill>
      <patternFill patternType="solid">
        <fgColor rgb="FFFFF9DB"/>
      </patternFill>
    </fill>
    <fill>
      <patternFill patternType="solid">
        <fgColor rgb="FFDDEBF7"/>
      </patternFill>
    </fill>
    <fill>
      <patternFill patternType="solid">
        <fgColor rgb="FFE2EFDA"/>
      </patternFill>
    </fill>
    <fill>
      <patternFill patternType="solid">
        <fgColor rgb="FFFCE4D6"/>
      </patternFill>
    </fill>
    <fill>
      <patternFill patternType="solid">
        <fgColor rgb="FF2E5395"/>
      </patternFill>
    </fill>
    <fill>
      <patternFill patternType="solid">
        <fgColor rgb="FFD9E2F3"/>
      </patternFill>
    </fill>
    <fill>
      <patternFill patternType="solid">
        <fgColor rgb="FFFFF2CC"/>
      </patternFill>
    </fill>
    <fill>
      <patternFill patternType="solid">
        <fgColor rgb="FFE2F0D9"/>
      </patternFill>
    </fill>
    <fill>
      <patternFill patternType="solid">
        <fgColor rgb="FFFFFFFF"/>
      </patternFill>
    </fill>
    <fill>
      <patternFill patternType="solid">
        <fgColor rgb="FF34205C"/>
      </patternFill>
    </fill>
    <fill>
      <patternFill patternType="solid">
        <fgColor rgb="FFEEEAF6"/>
      </patternFill>
    </fill>
    <fill>
      <patternFill patternType="solid">
        <fgColor rgb="FF5B3A8E"/>
      </patternFill>
    </fill>
    <fill>
      <patternFill patternType="solid">
        <fgColor rgb="FFF5F2F9"/>
      </patternFill>
    </fill>
    <fill>
      <patternFill patternType="solid">
        <fgColor rgb="FFD9CCE9"/>
      </patternFill>
    </fill>
    <fill>
      <patternFill patternType="solid">
        <fgColor rgb="FFD9CCE9"/>
      </patternFill>
    </fill>
    <fill>
      <patternFill patternType="solid">
        <fgColor rgb="FFF4EEF9"/>
      </patternFill>
    </fill>
    <fill>
      <patternFill patternType="solid">
        <fgColor rgb="FF5B3A8E"/>
      </patternFill>
    </fill>
    <fill>
      <patternFill patternType="solid">
        <fgColor rgb="FFFFFFFF"/>
      </patternFill>
    </fill>
  </fills>
  <borders count="18">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EA9DB"/>
      </top>
      <bottom style="thin">
        <color rgb="FFBFBFBF"/>
      </bottom>
      <diagonal/>
    </border>
    <border>
      <left style="thin">
        <color rgb="FFBFBFBF"/>
      </left>
      <right style="thin">
        <color rgb="FFBFBFBF"/>
      </right>
      <top style="thin">
        <color rgb="FFBFBFBF"/>
      </top>
      <bottom/>
      <diagonal/>
    </border>
    <border>
      <left/>
      <right/>
      <top style="thin">
        <color theme="0" tint="-0.14999847407452621"/>
      </top>
      <bottom/>
      <diagonal/>
    </border>
    <border>
      <left style="thin">
        <color theme="0" tint="-0.14999847407452621"/>
      </left>
      <right style="thin">
        <color rgb="FFBFBFBF"/>
      </right>
      <top style="thin">
        <color rgb="FFBFBFBF"/>
      </top>
      <bottom style="thin">
        <color rgb="FFBFBFBF"/>
      </bottom>
      <diagonal/>
    </border>
    <border>
      <left style="thin">
        <color indexed="64"/>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indexed="64"/>
      </left>
      <right style="thin">
        <color theme="0" tint="-0.14999847407452621"/>
      </right>
      <top style="thin">
        <color theme="0" tint="-0.14999847407452621"/>
      </top>
      <bottom style="thin">
        <color theme="0" tint="-0.14999847407452621"/>
      </bottom>
      <diagonal/>
    </border>
    <border>
      <left style="thin">
        <color rgb="FFBFBFBF"/>
      </left>
      <right style="thin">
        <color rgb="FFBFBFBF"/>
      </right>
      <top style="thin">
        <color rgb="FFBFBFBF"/>
      </top>
      <bottom style="thin">
        <color theme="0" tint="-0.14999847407452621"/>
      </bottom>
      <diagonal/>
    </border>
    <border>
      <left style="thin">
        <color theme="0" tint="-0.14999847407452621"/>
      </left>
      <right style="thin">
        <color indexed="64"/>
      </right>
      <top style="thin">
        <color theme="0" tint="-0.14999847407452621"/>
      </top>
      <bottom style="thin">
        <color theme="0" tint="-0.14999847407452621"/>
      </bottom>
      <diagonal/>
    </border>
    <border>
      <left/>
      <right/>
      <top/>
      <bottom style="thin">
        <color theme="0" tint="-0.14999847407452621"/>
      </bottom>
      <diagonal/>
    </border>
    <border>
      <left/>
      <right style="thin">
        <color theme="0" tint="-0.14999847407452621"/>
      </right>
      <top/>
      <bottom/>
      <diagonal/>
    </border>
    <border>
      <left/>
      <right style="thin">
        <color theme="0" tint="-0.14999847407452621"/>
      </right>
      <top style="thin">
        <color theme="0" tint="-0.14999847407452621"/>
      </top>
      <bottom style="thin">
        <color theme="0" tint="-0.14999847407452621"/>
      </bottom>
      <diagonal/>
    </border>
    <border>
      <left/>
      <right/>
      <top style="thin">
        <color theme="0" tint="-0.14999847407452621"/>
      </top>
      <bottom style="thin">
        <color theme="0" tint="-0.14999847407452621"/>
      </bottom>
      <diagonal/>
    </border>
    <border>
      <left style="thin">
        <color theme="0" tint="-0.14999847407452621"/>
      </left>
      <right/>
      <top/>
      <bottom/>
      <diagonal/>
    </border>
    <border>
      <left style="thin">
        <color theme="0" tint="-0.14999847407452621"/>
      </left>
      <right/>
      <top/>
      <bottom style="thin">
        <color theme="0" tint="-0.14999847407452621"/>
      </bottom>
      <diagonal/>
    </border>
    <border>
      <left/>
      <right style="thin">
        <color theme="0" tint="-0.14999847407452621"/>
      </right>
      <top/>
      <bottom style="thin">
        <color theme="0" tint="-0.14999847407452621"/>
      </bottom>
      <diagonal/>
    </border>
  </borders>
  <cellStyleXfs count="1">
    <xf numFmtId="0" fontId="0" fillId="0" borderId="0"/>
  </cellStyleXfs>
  <cellXfs count="110">
    <xf numFmtId="0" fontId="0" fillId="0" borderId="0" xfId="0"/>
    <xf numFmtId="0" fontId="8" fillId="12" borderId="1" xfId="0" applyFont="1" applyFill="1" applyBorder="1" applyAlignment="1">
      <alignment horizontal="center" vertical="center" wrapText="1"/>
    </xf>
    <xf numFmtId="0" fontId="9" fillId="12" borderId="1" xfId="0" applyFont="1" applyFill="1" applyBorder="1" applyAlignment="1">
      <alignment horizontal="right" vertical="center" wrapText="1"/>
    </xf>
    <xf numFmtId="0" fontId="9" fillId="12" borderId="1" xfId="0" applyFont="1" applyFill="1" applyBorder="1" applyAlignment="1">
      <alignment horizontal="center" vertical="center" wrapText="1"/>
    </xf>
    <xf numFmtId="0" fontId="9" fillId="12" borderId="0" xfId="0" applyFont="1" applyFill="1" applyAlignment="1">
      <alignment horizontal="right" vertical="center" wrapText="1"/>
    </xf>
    <xf numFmtId="0" fontId="7" fillId="17" borderId="1" xfId="0" applyFont="1" applyFill="1" applyBorder="1" applyAlignment="1">
      <alignment horizontal="center" vertical="center" wrapText="1"/>
    </xf>
    <xf numFmtId="0" fontId="12" fillId="18" borderId="1" xfId="0" applyFont="1" applyFill="1" applyBorder="1" applyAlignment="1">
      <alignment horizontal="center" vertical="center" wrapText="1"/>
    </xf>
    <xf numFmtId="0" fontId="13" fillId="19" borderId="1" xfId="0" applyFont="1" applyFill="1" applyBorder="1" applyAlignment="1">
      <alignment horizontal="center" vertical="center" wrapText="1"/>
    </xf>
    <xf numFmtId="0" fontId="14" fillId="19" borderId="1" xfId="0" applyFont="1" applyFill="1" applyBorder="1" applyAlignment="1">
      <alignment horizontal="right" vertical="center" wrapText="1"/>
    </xf>
    <xf numFmtId="0" fontId="14" fillId="19" borderId="1"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14" fillId="12" borderId="1" xfId="0" applyFont="1" applyFill="1" applyBorder="1" applyAlignment="1">
      <alignment horizontal="right" vertical="center" wrapText="1"/>
    </xf>
    <xf numFmtId="0" fontId="14" fillId="12" borderId="1" xfId="0" applyFont="1" applyFill="1" applyBorder="1" applyAlignment="1">
      <alignment horizontal="center" vertical="center" wrapText="1"/>
    </xf>
    <xf numFmtId="0" fontId="9" fillId="12" borderId="4" xfId="0" applyFont="1" applyFill="1" applyBorder="1" applyAlignment="1">
      <alignment horizontal="right" vertical="center" wrapText="1"/>
    </xf>
    <xf numFmtId="0" fontId="0" fillId="0" borderId="15" xfId="0" applyBorder="1"/>
    <xf numFmtId="0" fontId="0" fillId="0" borderId="7" xfId="0" applyBorder="1"/>
    <xf numFmtId="0" fontId="12" fillId="17" borderId="1" xfId="0" applyFont="1" applyFill="1" applyBorder="1" applyAlignment="1">
      <alignment horizontal="center" vertical="center" wrapText="1"/>
    </xf>
    <xf numFmtId="0" fontId="12" fillId="17" borderId="1" xfId="0" applyFont="1" applyFill="1" applyBorder="1" applyAlignment="1">
      <alignment horizontal="right" vertical="center" wrapText="1"/>
    </xf>
    <xf numFmtId="0" fontId="13" fillId="12" borderId="3" xfId="0" applyFont="1" applyFill="1" applyBorder="1" applyAlignment="1">
      <alignment horizontal="center" vertical="center" wrapText="1"/>
    </xf>
    <xf numFmtId="0" fontId="14" fillId="12" borderId="3" xfId="0" applyFont="1" applyFill="1" applyBorder="1" applyAlignment="1">
      <alignment horizontal="right" vertical="center" wrapText="1"/>
    </xf>
    <xf numFmtId="0" fontId="14" fillId="12" borderId="9" xfId="0" applyFont="1" applyFill="1" applyBorder="1" applyAlignment="1">
      <alignment horizontal="right" vertical="center" wrapText="1"/>
    </xf>
    <xf numFmtId="0" fontId="14" fillId="12" borderId="3" xfId="0" applyFont="1" applyFill="1" applyBorder="1" applyAlignment="1">
      <alignment horizontal="center" vertical="center" wrapText="1"/>
    </xf>
    <xf numFmtId="0" fontId="14" fillId="12" borderId="6" xfId="0" applyFont="1" applyFill="1" applyBorder="1" applyAlignment="1">
      <alignment horizontal="center" vertical="center" wrapText="1"/>
    </xf>
    <xf numFmtId="0" fontId="14" fillId="12" borderId="7" xfId="0" applyFont="1" applyFill="1" applyBorder="1" applyAlignment="1">
      <alignment horizontal="right" vertical="center" wrapText="1"/>
    </xf>
    <xf numFmtId="0" fontId="14" fillId="12" borderId="7" xfId="0" applyFont="1" applyFill="1" applyBorder="1" applyAlignment="1">
      <alignment horizontal="center" vertical="center" wrapText="1"/>
    </xf>
    <xf numFmtId="0" fontId="14" fillId="12" borderId="5" xfId="0" applyFont="1" applyFill="1" applyBorder="1" applyAlignment="1">
      <alignment horizontal="right" vertical="center" wrapText="1"/>
    </xf>
    <xf numFmtId="0" fontId="17" fillId="0" borderId="0" xfId="0" applyFont="1"/>
    <xf numFmtId="0" fontId="20" fillId="9" borderId="1" xfId="0" applyFont="1" applyFill="1" applyBorder="1" applyAlignment="1">
      <alignment horizontal="right" vertical="center" wrapText="1"/>
    </xf>
    <xf numFmtId="0" fontId="20" fillId="4" borderId="1" xfId="0" applyFont="1" applyFill="1" applyBorder="1" applyAlignment="1">
      <alignment horizontal="right" vertical="center" wrapText="1"/>
    </xf>
    <xf numFmtId="0" fontId="22" fillId="2"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18" fillId="0" borderId="1" xfId="0" applyFont="1" applyBorder="1" applyAlignment="1">
      <alignment horizontal="right" vertical="center" wrapText="1"/>
    </xf>
    <xf numFmtId="0" fontId="20" fillId="0" borderId="1" xfId="0" applyFont="1" applyBorder="1" applyAlignment="1">
      <alignment horizontal="center" vertical="center" wrapText="1"/>
    </xf>
    <xf numFmtId="0" fontId="18" fillId="4" borderId="1" xfId="0" applyFont="1" applyFill="1" applyBorder="1" applyAlignment="1">
      <alignment horizontal="center" vertical="center" wrapText="1"/>
    </xf>
    <xf numFmtId="0" fontId="20" fillId="0" borderId="1" xfId="0" applyFont="1" applyBorder="1" applyAlignment="1">
      <alignment horizontal="right" vertical="center" wrapText="1"/>
    </xf>
    <xf numFmtId="9" fontId="18" fillId="0" borderId="1" xfId="0" applyNumberFormat="1" applyFont="1" applyBorder="1" applyAlignment="1">
      <alignment horizontal="center" vertical="center" wrapText="1"/>
    </xf>
    <xf numFmtId="0" fontId="18" fillId="9" borderId="1" xfId="0" applyFont="1" applyFill="1" applyBorder="1" applyAlignment="1">
      <alignment horizontal="center" vertical="center" wrapText="1"/>
    </xf>
    <xf numFmtId="9" fontId="18" fillId="9" borderId="1" xfId="0" applyNumberFormat="1" applyFont="1" applyFill="1" applyBorder="1" applyAlignment="1">
      <alignment horizontal="center" vertical="center" wrapText="1"/>
    </xf>
    <xf numFmtId="0" fontId="23" fillId="4" borderId="1" xfId="0" applyFont="1" applyFill="1" applyBorder="1" applyAlignment="1">
      <alignment horizontal="center" vertical="center" wrapText="1"/>
    </xf>
    <xf numFmtId="0" fontId="18" fillId="6" borderId="1" xfId="0" applyFont="1" applyFill="1" applyBorder="1" applyAlignment="1">
      <alignment horizontal="center" vertical="center" wrapText="1"/>
    </xf>
    <xf numFmtId="0" fontId="18" fillId="7" borderId="1" xfId="0" applyFont="1" applyFill="1" applyBorder="1" applyAlignment="1">
      <alignment horizontal="center" vertical="center" wrapText="1"/>
    </xf>
    <xf numFmtId="0" fontId="18" fillId="3" borderId="1" xfId="0" applyFont="1" applyFill="1" applyBorder="1" applyAlignment="1">
      <alignment horizontal="center" vertical="center" wrapText="1"/>
    </xf>
    <xf numFmtId="0" fontId="18" fillId="5" borderId="1" xfId="0" applyFont="1" applyFill="1" applyBorder="1" applyAlignment="1">
      <alignment horizontal="center" vertical="center" wrapText="1"/>
    </xf>
    <xf numFmtId="0" fontId="24" fillId="0" borderId="1" xfId="0" applyFont="1" applyBorder="1" applyAlignment="1">
      <alignment horizontal="center" vertical="center" wrapText="1"/>
    </xf>
    <xf numFmtId="0" fontId="23" fillId="0" borderId="1" xfId="0" applyFont="1" applyBorder="1" applyAlignment="1">
      <alignment horizontal="right" vertical="center" wrapText="1"/>
    </xf>
    <xf numFmtId="0" fontId="26"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25" fillId="0" borderId="1" xfId="0" applyFont="1" applyBorder="1" applyAlignment="1">
      <alignment horizontal="center" vertical="center" wrapText="1"/>
    </xf>
    <xf numFmtId="0" fontId="23" fillId="4" borderId="1" xfId="0" applyFont="1" applyFill="1" applyBorder="1" applyAlignment="1">
      <alignment horizontal="right" vertical="center" wrapText="1"/>
    </xf>
    <xf numFmtId="0" fontId="24" fillId="10" borderId="2" xfId="0" applyFont="1" applyFill="1" applyBorder="1" applyAlignment="1">
      <alignment horizontal="center" vertical="center" wrapText="1"/>
    </xf>
    <xf numFmtId="0" fontId="23" fillId="10" borderId="2" xfId="0" applyFont="1" applyFill="1" applyBorder="1" applyAlignment="1">
      <alignment horizontal="right" vertical="center" wrapText="1"/>
    </xf>
    <xf numFmtId="0" fontId="26" fillId="10" borderId="2" xfId="0" applyFont="1" applyFill="1" applyBorder="1" applyAlignment="1">
      <alignment horizontal="center" vertical="center" wrapText="1"/>
    </xf>
    <xf numFmtId="0" fontId="23" fillId="10" borderId="2" xfId="0" applyFont="1" applyFill="1" applyBorder="1" applyAlignment="1">
      <alignment horizontal="center" vertical="center" wrapText="1"/>
    </xf>
    <xf numFmtId="0" fontId="25" fillId="0" borderId="2" xfId="0" applyFont="1" applyBorder="1" applyAlignment="1">
      <alignment horizontal="center" vertical="center" wrapText="1"/>
    </xf>
    <xf numFmtId="0" fontId="23" fillId="0" borderId="2" xfId="0" applyFont="1" applyBorder="1" applyAlignment="1">
      <alignment horizontal="center" vertical="center" wrapText="1"/>
    </xf>
    <xf numFmtId="0" fontId="23" fillId="4" borderId="2" xfId="0" applyFont="1" applyFill="1" applyBorder="1" applyAlignment="1">
      <alignment horizontal="center" vertical="center" wrapText="1"/>
    </xf>
    <xf numFmtId="0" fontId="23" fillId="4" borderId="2" xfId="0" applyFont="1" applyFill="1" applyBorder="1" applyAlignment="1">
      <alignment horizontal="right" vertical="center" wrapText="1"/>
    </xf>
    <xf numFmtId="0" fontId="23" fillId="10" borderId="1" xfId="0" applyFont="1" applyFill="1" applyBorder="1" applyAlignment="1">
      <alignment horizontal="center" vertical="center" wrapText="1"/>
    </xf>
    <xf numFmtId="0" fontId="23" fillId="10" borderId="1" xfId="0" applyFont="1" applyFill="1" applyBorder="1" applyAlignment="1">
      <alignment horizontal="right" vertical="center" wrapText="1"/>
    </xf>
    <xf numFmtId="0" fontId="26" fillId="10" borderId="1" xfId="0" applyFont="1" applyFill="1" applyBorder="1" applyAlignment="1">
      <alignment horizontal="center" vertical="center" wrapText="1"/>
    </xf>
    <xf numFmtId="0" fontId="24" fillId="0" borderId="2" xfId="0" applyFont="1" applyBorder="1" applyAlignment="1">
      <alignment horizontal="center" vertical="center" wrapText="1"/>
    </xf>
    <xf numFmtId="0" fontId="23" fillId="0" borderId="2" xfId="0" applyFont="1" applyBorder="1" applyAlignment="1">
      <alignment horizontal="right" vertical="center" wrapText="1"/>
    </xf>
    <xf numFmtId="0" fontId="26" fillId="0" borderId="2" xfId="0" applyFont="1" applyBorder="1" applyAlignment="1">
      <alignment horizontal="center" vertical="center" wrapText="1"/>
    </xf>
    <xf numFmtId="0" fontId="25" fillId="0" borderId="1" xfId="0" applyFont="1" applyBorder="1" applyAlignment="1">
      <alignment horizontal="right" vertical="center" wrapText="1" readingOrder="2"/>
    </xf>
    <xf numFmtId="0" fontId="25" fillId="10" borderId="2" xfId="0" applyFont="1" applyFill="1" applyBorder="1" applyAlignment="1">
      <alignment horizontal="right" vertical="center" wrapText="1" readingOrder="2"/>
    </xf>
    <xf numFmtId="0" fontId="25" fillId="10" borderId="1" xfId="0" applyFont="1" applyFill="1" applyBorder="1" applyAlignment="1">
      <alignment horizontal="right" vertical="center" wrapText="1" readingOrder="2"/>
    </xf>
    <xf numFmtId="0" fontId="25" fillId="0" borderId="2" xfId="0" applyFont="1" applyBorder="1" applyAlignment="1">
      <alignment horizontal="right" vertical="center" wrapText="1" readingOrder="2"/>
    </xf>
    <xf numFmtId="0" fontId="22" fillId="2" borderId="1" xfId="0" applyFont="1" applyFill="1" applyBorder="1" applyAlignment="1">
      <alignment horizontal="center" vertical="center" wrapText="1" readingOrder="2"/>
    </xf>
    <xf numFmtId="0" fontId="0" fillId="0" borderId="0" xfId="0" applyAlignment="1">
      <alignment readingOrder="2"/>
    </xf>
    <xf numFmtId="0" fontId="27" fillId="0" borderId="2" xfId="0" applyFont="1" applyBorder="1" applyAlignment="1">
      <alignment horizontal="center" vertical="center" wrapText="1"/>
    </xf>
    <xf numFmtId="0" fontId="27" fillId="0" borderId="1" xfId="0" applyFont="1" applyBorder="1" applyAlignment="1">
      <alignment horizontal="center" vertical="center" wrapText="1"/>
    </xf>
    <xf numFmtId="0" fontId="5" fillId="13" borderId="0" xfId="0" applyFont="1" applyFill="1" applyAlignment="1">
      <alignment horizontal="center" vertical="center" wrapText="1"/>
    </xf>
    <xf numFmtId="0" fontId="6" fillId="14" borderId="0" xfId="0" applyFont="1" applyFill="1" applyAlignment="1">
      <alignment horizontal="center" vertical="center" wrapText="1"/>
    </xf>
    <xf numFmtId="0" fontId="11" fillId="15" borderId="1" xfId="0" applyFont="1" applyFill="1" applyBorder="1" applyAlignment="1">
      <alignment horizontal="right" vertical="center" wrapText="1"/>
    </xf>
    <xf numFmtId="0" fontId="11" fillId="15" borderId="1" xfId="0" applyFont="1" applyFill="1" applyBorder="1" applyAlignment="1">
      <alignment horizontal="center" vertical="center" wrapText="1"/>
    </xf>
    <xf numFmtId="0" fontId="15" fillId="16" borderId="1" xfId="0" applyFont="1" applyFill="1" applyBorder="1" applyAlignment="1">
      <alignment horizontal="center" vertical="center" wrapText="1"/>
    </xf>
    <xf numFmtId="0" fontId="15" fillId="16" borderId="1" xfId="0" applyFont="1" applyFill="1" applyBorder="1" applyAlignment="1">
      <alignment horizontal="right" vertical="center" wrapText="1"/>
    </xf>
    <xf numFmtId="0" fontId="11" fillId="20" borderId="0" xfId="0" applyFont="1" applyFill="1" applyAlignment="1">
      <alignment horizontal="right" vertical="center" wrapText="1"/>
    </xf>
    <xf numFmtId="0" fontId="14" fillId="21" borderId="0" xfId="0" applyFont="1" applyFill="1" applyAlignment="1">
      <alignment horizontal="right" vertical="center" wrapText="1" readingOrder="2"/>
    </xf>
    <xf numFmtId="0" fontId="14" fillId="21" borderId="12" xfId="0" applyFont="1" applyFill="1" applyBorder="1" applyAlignment="1">
      <alignment horizontal="right" vertical="center" wrapText="1" readingOrder="2"/>
    </xf>
    <xf numFmtId="0" fontId="11" fillId="15" borderId="0" xfId="0" applyFont="1" applyFill="1" applyAlignment="1">
      <alignment horizontal="right" vertical="center" wrapText="1"/>
    </xf>
    <xf numFmtId="0" fontId="14" fillId="12" borderId="11" xfId="0" applyFont="1" applyFill="1" applyBorder="1" applyAlignment="1">
      <alignment horizontal="right" vertical="center" wrapText="1" readingOrder="2"/>
    </xf>
    <xf numFmtId="0" fontId="14" fillId="12" borderId="14" xfId="0" applyFont="1" applyFill="1" applyBorder="1" applyAlignment="1">
      <alignment horizontal="right" vertical="center" wrapText="1" readingOrder="2"/>
    </xf>
    <xf numFmtId="0" fontId="14" fillId="12" borderId="13" xfId="0" applyFont="1" applyFill="1" applyBorder="1" applyAlignment="1">
      <alignment horizontal="right" vertical="center" wrapText="1" readingOrder="2"/>
    </xf>
    <xf numFmtId="0" fontId="14" fillId="21" borderId="11" xfId="0" applyFont="1" applyFill="1" applyBorder="1" applyAlignment="1">
      <alignment horizontal="right" vertical="center" wrapText="1" readingOrder="2"/>
    </xf>
    <xf numFmtId="0" fontId="14" fillId="21" borderId="17" xfId="0" applyFont="1" applyFill="1" applyBorder="1" applyAlignment="1">
      <alignment horizontal="right" vertical="center" wrapText="1" readingOrder="2"/>
    </xf>
    <xf numFmtId="0" fontId="12" fillId="17" borderId="1" xfId="0" applyFont="1" applyFill="1" applyBorder="1" applyAlignment="1">
      <alignment horizontal="right" vertical="center" wrapText="1"/>
    </xf>
    <xf numFmtId="0" fontId="14" fillId="12" borderId="1" xfId="0" applyFont="1" applyFill="1" applyBorder="1" applyAlignment="1">
      <alignment horizontal="right" vertical="center" wrapText="1"/>
    </xf>
    <xf numFmtId="0" fontId="14" fillId="12" borderId="3" xfId="0" applyFont="1" applyFill="1" applyBorder="1" applyAlignment="1">
      <alignment horizontal="right" vertical="center" wrapText="1"/>
    </xf>
    <xf numFmtId="0" fontId="14" fillId="12" borderId="10" xfId="0" applyFont="1" applyFill="1" applyBorder="1" applyAlignment="1">
      <alignment horizontal="right" vertical="center" wrapText="1"/>
    </xf>
    <xf numFmtId="0" fontId="14" fillId="12" borderId="8" xfId="0" applyFont="1" applyFill="1" applyBorder="1" applyAlignment="1">
      <alignment horizontal="right" vertical="center" wrapText="1"/>
    </xf>
    <xf numFmtId="0" fontId="14" fillId="12" borderId="16" xfId="0" applyFont="1" applyFill="1" applyBorder="1" applyAlignment="1">
      <alignment horizontal="right" vertical="center" wrapText="1"/>
    </xf>
    <xf numFmtId="0" fontId="14" fillId="12" borderId="11" xfId="0" applyFont="1" applyFill="1" applyBorder="1" applyAlignment="1">
      <alignment horizontal="right" vertical="center" wrapText="1"/>
    </xf>
    <xf numFmtId="0" fontId="14" fillId="12" borderId="17" xfId="0" applyFont="1" applyFill="1" applyBorder="1" applyAlignment="1">
      <alignment horizontal="right" vertical="center" wrapText="1"/>
    </xf>
    <xf numFmtId="0" fontId="14" fillId="12" borderId="14" xfId="0" applyFont="1" applyFill="1" applyBorder="1" applyAlignment="1">
      <alignment horizontal="right" vertical="center" wrapText="1"/>
    </xf>
    <xf numFmtId="0" fontId="14" fillId="12" borderId="13" xfId="0" applyFont="1" applyFill="1" applyBorder="1" applyAlignment="1">
      <alignment horizontal="right" vertical="center" wrapText="1"/>
    </xf>
    <xf numFmtId="0" fontId="20" fillId="4" borderId="1" xfId="0" applyFont="1" applyFill="1" applyBorder="1" applyAlignment="1">
      <alignment horizontal="right" vertical="center" wrapText="1"/>
    </xf>
    <xf numFmtId="0" fontId="19" fillId="8" borderId="0" xfId="0" applyFont="1" applyFill="1" applyAlignment="1">
      <alignment horizontal="right" vertical="center" wrapText="1"/>
    </xf>
    <xf numFmtId="0" fontId="16" fillId="0" borderId="0" xfId="0" applyFont="1" applyAlignment="1">
      <alignment horizontal="right" vertical="center" wrapText="1"/>
    </xf>
    <xf numFmtId="0" fontId="18" fillId="0" borderId="0" xfId="0" applyFont="1" applyAlignment="1">
      <alignment horizontal="right" vertical="center" wrapText="1"/>
    </xf>
    <xf numFmtId="0" fontId="21" fillId="11" borderId="0" xfId="0" applyFont="1" applyFill="1" applyAlignment="1">
      <alignment horizontal="center" vertical="center" wrapText="1"/>
    </xf>
    <xf numFmtId="0" fontId="11" fillId="8" borderId="0" xfId="0" applyFont="1" applyFill="1"/>
    <xf numFmtId="0" fontId="17" fillId="0" borderId="0" xfId="0" applyFont="1"/>
    <xf numFmtId="0" fontId="23" fillId="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0" fillId="0" borderId="0" xfId="0"/>
    <xf numFmtId="0" fontId="10" fillId="16" borderId="1" xfId="0" applyFont="1" applyFill="1" applyBorder="1" applyAlignment="1">
      <alignment horizontal="center" vertical="center" wrapText="1"/>
    </xf>
    <xf numFmtId="0" fontId="4" fillId="0" borderId="0" xfId="0" applyFont="1"/>
    <xf numFmtId="0" fontId="1" fillId="0" borderId="0" xfId="0" applyFont="1" applyAlignment="1">
      <alignment horizontal="right" vertical="center" wrapText="1"/>
    </xf>
    <xf numFmtId="0" fontId="2" fillId="0" borderId="0" xfId="0" applyFont="1" applyAlignment="1">
      <alignment horizontal="right" vertical="center" wrapText="1"/>
    </xf>
  </cellXfs>
  <cellStyles count="1">
    <cellStyle name="Normal" xfId="0" builtinId="0"/>
  </cellStyles>
  <dxfs count="29">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FFBE6-0547-8449-97C0-D91A54BED5DA}">
  <sheetPr>
    <tabColor rgb="FF1F3864"/>
  </sheetPr>
  <dimension ref="A1:H40"/>
  <sheetViews>
    <sheetView rightToLeft="1" topLeftCell="A3" workbookViewId="0">
      <selection activeCell="C9" sqref="C9"/>
    </sheetView>
  </sheetViews>
  <sheetFormatPr baseColWidth="10" defaultColWidth="8.6640625" defaultRowHeight="15" x14ac:dyDescent="0.2"/>
  <cols>
    <col min="1" max="1" width="14" customWidth="1"/>
    <col min="2" max="2" width="20" customWidth="1"/>
    <col min="3" max="3" width="48" customWidth="1"/>
    <col min="4" max="4" width="28" customWidth="1"/>
    <col min="5" max="5" width="32" customWidth="1"/>
    <col min="6" max="6" width="16" customWidth="1"/>
    <col min="7" max="7" width="22" customWidth="1"/>
  </cols>
  <sheetData>
    <row r="1" spans="1:7" ht="53.25" customHeight="1" x14ac:dyDescent="0.2">
      <c r="A1" s="71" t="s">
        <v>645</v>
      </c>
      <c r="B1" s="71"/>
      <c r="C1" s="71"/>
      <c r="D1" s="71"/>
      <c r="E1" s="71"/>
      <c r="F1" s="71"/>
      <c r="G1" s="71"/>
    </row>
    <row r="2" spans="1:7" ht="42.75" customHeight="1" x14ac:dyDescent="0.2">
      <c r="A2" s="72" t="s">
        <v>0</v>
      </c>
      <c r="B2" s="72"/>
      <c r="C2" s="72"/>
      <c r="D2" s="72"/>
      <c r="E2" s="72"/>
      <c r="F2" s="72"/>
      <c r="G2" s="72"/>
    </row>
    <row r="3" spans="1:7" x14ac:dyDescent="0.2">
      <c r="A3" s="4"/>
      <c r="B3" s="4"/>
      <c r="C3" s="4"/>
      <c r="D3" s="4"/>
      <c r="E3" s="4"/>
      <c r="F3" s="4"/>
      <c r="G3" s="4"/>
    </row>
    <row r="4" spans="1:7" ht="42.75" customHeight="1" x14ac:dyDescent="0.2">
      <c r="A4" s="73" t="s">
        <v>1</v>
      </c>
      <c r="B4" s="73"/>
      <c r="C4" s="73"/>
      <c r="D4" s="73"/>
      <c r="E4" s="73"/>
      <c r="F4" s="73"/>
      <c r="G4" s="73"/>
    </row>
    <row r="5" spans="1:7" ht="49.75" customHeight="1" x14ac:dyDescent="0.2">
      <c r="A5" s="6" t="s">
        <v>2</v>
      </c>
      <c r="B5" s="6" t="s">
        <v>3</v>
      </c>
      <c r="C5" s="6" t="s">
        <v>4</v>
      </c>
      <c r="D5" s="6" t="s">
        <v>5</v>
      </c>
      <c r="E5" s="6" t="s">
        <v>6</v>
      </c>
      <c r="F5" s="6" t="s">
        <v>7</v>
      </c>
      <c r="G5" s="6" t="s">
        <v>8</v>
      </c>
    </row>
    <row r="6" spans="1:7" ht="103" customHeight="1" x14ac:dyDescent="0.2">
      <c r="A6" s="7" t="s">
        <v>9</v>
      </c>
      <c r="B6" s="8" t="s">
        <v>10</v>
      </c>
      <c r="C6" s="8" t="s">
        <v>557</v>
      </c>
      <c r="D6" s="8" t="s">
        <v>11</v>
      </c>
      <c r="E6" s="8" t="s">
        <v>12</v>
      </c>
      <c r="F6" s="9" t="s">
        <v>13</v>
      </c>
      <c r="G6" s="8" t="s">
        <v>14</v>
      </c>
    </row>
    <row r="7" spans="1:7" ht="103" customHeight="1" x14ac:dyDescent="0.2">
      <c r="A7" s="10" t="s">
        <v>15</v>
      </c>
      <c r="B7" s="11" t="s">
        <v>16</v>
      </c>
      <c r="C7" s="11" t="s">
        <v>559</v>
      </c>
      <c r="D7" s="11" t="s">
        <v>560</v>
      </c>
      <c r="E7" s="11" t="s">
        <v>17</v>
      </c>
      <c r="F7" s="12" t="s">
        <v>18</v>
      </c>
      <c r="G7" s="11" t="s">
        <v>561</v>
      </c>
    </row>
    <row r="8" spans="1:7" ht="103" customHeight="1" x14ac:dyDescent="0.2">
      <c r="A8" s="10" t="s">
        <v>19</v>
      </c>
      <c r="B8" s="11" t="s">
        <v>20</v>
      </c>
      <c r="C8" s="11" t="s">
        <v>558</v>
      </c>
      <c r="D8" s="11" t="s">
        <v>21</v>
      </c>
      <c r="E8" s="11" t="s">
        <v>22</v>
      </c>
      <c r="F8" s="12" t="s">
        <v>13</v>
      </c>
      <c r="G8" s="11" t="s">
        <v>23</v>
      </c>
    </row>
    <row r="9" spans="1:7" ht="103" customHeight="1" x14ac:dyDescent="0.2">
      <c r="A9" s="10" t="s">
        <v>24</v>
      </c>
      <c r="B9" s="11" t="s">
        <v>25</v>
      </c>
      <c r="C9" s="11" t="s">
        <v>26</v>
      </c>
      <c r="D9" s="11" t="s">
        <v>27</v>
      </c>
      <c r="E9" s="11" t="s">
        <v>28</v>
      </c>
      <c r="F9" s="12" t="s">
        <v>29</v>
      </c>
      <c r="G9" s="11" t="s">
        <v>30</v>
      </c>
    </row>
    <row r="10" spans="1:7" ht="64" customHeight="1" x14ac:dyDescent="0.2">
      <c r="A10" s="1"/>
      <c r="B10" s="2"/>
      <c r="C10" s="2"/>
      <c r="D10" s="2"/>
      <c r="E10" s="2"/>
      <c r="F10" s="3"/>
      <c r="G10" s="2"/>
    </row>
    <row r="11" spans="1:7" ht="42.75" customHeight="1" x14ac:dyDescent="0.2">
      <c r="A11" s="74" t="s">
        <v>31</v>
      </c>
      <c r="B11" s="73"/>
      <c r="C11" s="73"/>
      <c r="D11" s="73"/>
      <c r="E11" s="73"/>
      <c r="F11" s="74"/>
      <c r="G11" s="73"/>
    </row>
    <row r="12" spans="1:7" ht="39" customHeight="1" x14ac:dyDescent="0.2">
      <c r="A12" s="75" t="s">
        <v>32</v>
      </c>
      <c r="B12" s="76"/>
      <c r="C12" s="76"/>
      <c r="D12" s="76"/>
      <c r="E12" s="76"/>
      <c r="F12" s="75"/>
      <c r="G12" s="76"/>
    </row>
    <row r="13" spans="1:7" ht="64" customHeight="1" x14ac:dyDescent="0.2">
      <c r="A13" s="10"/>
      <c r="B13" s="11"/>
      <c r="C13" s="11"/>
      <c r="D13" s="11"/>
      <c r="E13" s="11"/>
      <c r="F13" s="12"/>
      <c r="G13" s="11"/>
    </row>
    <row r="14" spans="1:7" ht="32" customHeight="1" x14ac:dyDescent="0.2">
      <c r="A14" s="16" t="s">
        <v>33</v>
      </c>
      <c r="B14" s="86" t="s">
        <v>34</v>
      </c>
      <c r="C14" s="86"/>
      <c r="D14" s="17" t="s">
        <v>35</v>
      </c>
      <c r="E14" s="17" t="s">
        <v>36</v>
      </c>
      <c r="F14" s="16" t="s">
        <v>37</v>
      </c>
      <c r="G14" s="17" t="s">
        <v>8</v>
      </c>
    </row>
    <row r="15" spans="1:7" ht="40" customHeight="1" x14ac:dyDescent="0.2">
      <c r="A15" s="10" t="s">
        <v>38</v>
      </c>
      <c r="B15" s="87" t="s">
        <v>562</v>
      </c>
      <c r="C15" s="87"/>
      <c r="D15" s="11" t="str">
        <f>'الإعدادات واللجنة'!$B$12</f>
        <v>د. نهلة بنت سعد القثامي</v>
      </c>
      <c r="E15" s="11" t="s">
        <v>563</v>
      </c>
      <c r="F15" s="12" t="s">
        <v>40</v>
      </c>
      <c r="G15" s="11"/>
    </row>
    <row r="16" spans="1:7" ht="40" customHeight="1" x14ac:dyDescent="0.2">
      <c r="A16" s="10" t="s">
        <v>38</v>
      </c>
      <c r="B16" s="87" t="s">
        <v>564</v>
      </c>
      <c r="C16" s="87"/>
      <c r="D16" s="11" t="str">
        <f>'الإعدادات واللجنة'!$B$18</f>
        <v>د. عبدالله بن محمد البركاتي</v>
      </c>
      <c r="E16" s="11" t="s">
        <v>42</v>
      </c>
      <c r="F16" s="12" t="s">
        <v>40</v>
      </c>
      <c r="G16" s="11"/>
    </row>
    <row r="17" spans="1:8" ht="40" customHeight="1" x14ac:dyDescent="0.2">
      <c r="A17" s="10" t="s">
        <v>38</v>
      </c>
      <c r="B17" s="87" t="s">
        <v>565</v>
      </c>
      <c r="C17" s="87"/>
      <c r="D17" s="11" t="str">
        <f>'الإعدادات واللجنة'!$B$12</f>
        <v>د. نهلة بنت سعد القثامي</v>
      </c>
      <c r="E17" s="11" t="s">
        <v>566</v>
      </c>
      <c r="F17" s="12" t="s">
        <v>40</v>
      </c>
      <c r="G17" s="11"/>
    </row>
    <row r="18" spans="1:8" ht="40" customHeight="1" x14ac:dyDescent="0.2">
      <c r="A18" s="10" t="s">
        <v>43</v>
      </c>
      <c r="B18" s="87" t="s">
        <v>567</v>
      </c>
      <c r="C18" s="87"/>
      <c r="D18" s="11" t="str">
        <f>'الإعدادات واللجنة'!$B$13</f>
        <v>د. عبير بنت عبدالله راجحي</v>
      </c>
      <c r="E18" s="11" t="s">
        <v>568</v>
      </c>
      <c r="F18" s="12" t="s">
        <v>40</v>
      </c>
      <c r="G18" s="11"/>
    </row>
    <row r="19" spans="1:8" ht="40" customHeight="1" x14ac:dyDescent="0.2">
      <c r="A19" s="10" t="s">
        <v>46</v>
      </c>
      <c r="B19" s="87" t="s">
        <v>581</v>
      </c>
      <c r="C19" s="87"/>
      <c r="D19" s="11" t="s">
        <v>45</v>
      </c>
      <c r="E19" s="11" t="s">
        <v>569</v>
      </c>
      <c r="F19" s="12" t="s">
        <v>40</v>
      </c>
      <c r="G19" s="11"/>
    </row>
    <row r="20" spans="1:8" ht="40" customHeight="1" x14ac:dyDescent="0.2">
      <c r="A20" s="10" t="s">
        <v>46</v>
      </c>
      <c r="B20" s="87" t="s">
        <v>570</v>
      </c>
      <c r="C20" s="87"/>
      <c r="D20" s="11" t="str">
        <f>'الإعدادات واللجنة'!$B$14</f>
        <v>أ. فاطمة بنت سلمان الخزعل</v>
      </c>
      <c r="E20" s="11" t="s">
        <v>571</v>
      </c>
      <c r="F20" s="12" t="s">
        <v>40</v>
      </c>
      <c r="G20" s="11"/>
    </row>
    <row r="21" spans="1:8" ht="40" customHeight="1" x14ac:dyDescent="0.2">
      <c r="A21" s="10" t="s">
        <v>48</v>
      </c>
      <c r="B21" s="87" t="s">
        <v>572</v>
      </c>
      <c r="C21" s="87"/>
      <c r="D21" s="11" t="str">
        <f>'الإعدادات واللجنة'!$B$12</f>
        <v>د. نهلة بنت سعد القثامي</v>
      </c>
      <c r="E21" s="11" t="s">
        <v>573</v>
      </c>
      <c r="F21" s="12" t="s">
        <v>40</v>
      </c>
      <c r="G21" s="11"/>
    </row>
    <row r="22" spans="1:8" ht="40" customHeight="1" x14ac:dyDescent="0.2">
      <c r="A22" s="10" t="s">
        <v>49</v>
      </c>
      <c r="B22" s="87" t="s">
        <v>574</v>
      </c>
      <c r="C22" s="87"/>
      <c r="D22" s="11" t="str">
        <f>'الإعدادات واللجنة'!$B$12</f>
        <v>د. نهلة بنت سعد القثامي</v>
      </c>
      <c r="E22" s="11" t="s">
        <v>575</v>
      </c>
      <c r="F22" s="12" t="s">
        <v>40</v>
      </c>
      <c r="G22" s="11"/>
    </row>
    <row r="23" spans="1:8" ht="40" customHeight="1" x14ac:dyDescent="0.2">
      <c r="A23" s="10" t="s">
        <v>50</v>
      </c>
      <c r="B23" s="87" t="s">
        <v>582</v>
      </c>
      <c r="C23" s="87"/>
      <c r="D23" s="11" t="str">
        <f>"الأعضاء + "&amp;'الإعدادات واللجنة'!$B$12</f>
        <v>الأعضاء + د. نهلة بنت سعد القثامي</v>
      </c>
      <c r="E23" s="11" t="s">
        <v>576</v>
      </c>
      <c r="F23" s="12" t="s">
        <v>40</v>
      </c>
      <c r="G23" s="11"/>
    </row>
    <row r="24" spans="1:8" ht="40" customHeight="1" x14ac:dyDescent="0.2">
      <c r="A24" s="18" t="s">
        <v>50</v>
      </c>
      <c r="B24" s="88" t="s">
        <v>577</v>
      </c>
      <c r="C24" s="88"/>
      <c r="D24" s="20" t="str">
        <f>'الإعدادات واللجنة'!$B$18</f>
        <v>د. عبدالله بن محمد البركاتي</v>
      </c>
      <c r="E24" s="19" t="s">
        <v>578</v>
      </c>
      <c r="F24" s="21" t="s">
        <v>40</v>
      </c>
      <c r="G24" s="11"/>
    </row>
    <row r="25" spans="1:8" ht="40" customHeight="1" x14ac:dyDescent="0.2">
      <c r="A25" s="22" t="s">
        <v>51</v>
      </c>
      <c r="B25" s="89" t="s">
        <v>579</v>
      </c>
      <c r="C25" s="90"/>
      <c r="D25" s="23" t="str">
        <f>'الإعدادات واللجنة'!$B$12&amp;" + "&amp;'الإعدادات واللجنة'!$B$14&amp;" + "&amp;'الإعدادات واللجنة'!$B$13</f>
        <v>د. نهلة بنت سعد القثامي + أ. فاطمة بنت سلمان الخزعل + د. عبير بنت عبدالله راجحي</v>
      </c>
      <c r="E25" s="23" t="s">
        <v>580</v>
      </c>
      <c r="F25" s="24" t="s">
        <v>40</v>
      </c>
      <c r="G25" s="25"/>
    </row>
    <row r="26" spans="1:8" ht="26.75" customHeight="1" x14ac:dyDescent="0.2">
      <c r="A26" s="13"/>
      <c r="B26" s="13"/>
      <c r="C26" s="13"/>
      <c r="D26" s="13"/>
      <c r="E26" s="4"/>
      <c r="F26" s="13"/>
      <c r="G26" s="4"/>
    </row>
    <row r="27" spans="1:8" ht="42.75" customHeight="1" x14ac:dyDescent="0.2">
      <c r="A27" s="80" t="s">
        <v>52</v>
      </c>
      <c r="B27" s="80"/>
      <c r="C27" s="80"/>
      <c r="D27" s="80"/>
      <c r="E27" s="80"/>
      <c r="F27" s="80"/>
      <c r="G27" s="80"/>
    </row>
    <row r="28" spans="1:8" ht="44.25" customHeight="1" x14ac:dyDescent="0.2">
      <c r="A28" s="81" t="s">
        <v>53</v>
      </c>
      <c r="B28" s="81"/>
      <c r="C28" s="81"/>
      <c r="D28" s="81"/>
      <c r="E28" s="81"/>
      <c r="F28" s="81"/>
      <c r="G28" s="81"/>
    </row>
    <row r="29" spans="1:8" ht="44.25" customHeight="1" x14ac:dyDescent="0.2">
      <c r="A29" s="82" t="s">
        <v>54</v>
      </c>
      <c r="B29" s="82"/>
      <c r="C29" s="82"/>
      <c r="D29" s="82"/>
      <c r="E29" s="82"/>
      <c r="F29" s="82"/>
      <c r="G29" s="83"/>
    </row>
    <row r="30" spans="1:8" ht="44.25" customHeight="1" x14ac:dyDescent="0.2">
      <c r="A30" s="82" t="s">
        <v>55</v>
      </c>
      <c r="B30" s="82"/>
      <c r="C30" s="82"/>
      <c r="D30" s="82"/>
      <c r="E30" s="82"/>
      <c r="F30" s="82"/>
      <c r="G30" s="83"/>
    </row>
    <row r="31" spans="1:8" ht="42.75" customHeight="1" x14ac:dyDescent="0.2">
      <c r="A31" s="80" t="s">
        <v>583</v>
      </c>
      <c r="B31" s="80"/>
      <c r="C31" s="80"/>
      <c r="D31" s="80"/>
      <c r="E31" s="80"/>
      <c r="F31" s="80"/>
      <c r="G31" s="80"/>
    </row>
    <row r="32" spans="1:8" ht="125" customHeight="1" x14ac:dyDescent="0.2">
      <c r="A32" s="91" t="s">
        <v>584</v>
      </c>
      <c r="B32" s="92"/>
      <c r="C32" s="92"/>
      <c r="D32" s="92"/>
      <c r="E32" s="92"/>
      <c r="F32" s="92"/>
      <c r="G32" s="93"/>
      <c r="H32" s="14"/>
    </row>
    <row r="33" spans="1:7" ht="90" customHeight="1" x14ac:dyDescent="0.2">
      <c r="A33" s="94" t="s">
        <v>646</v>
      </c>
      <c r="B33" s="94"/>
      <c r="C33" s="94"/>
      <c r="D33" s="94"/>
      <c r="E33" s="94"/>
      <c r="F33" s="94"/>
      <c r="G33" s="95"/>
    </row>
    <row r="34" spans="1:7" ht="140" customHeight="1" x14ac:dyDescent="0.2">
      <c r="A34" s="94" t="s">
        <v>647</v>
      </c>
      <c r="B34" s="94"/>
      <c r="C34" s="94"/>
      <c r="D34" s="94"/>
      <c r="E34" s="94"/>
      <c r="F34" s="94"/>
      <c r="G34" s="95"/>
    </row>
    <row r="35" spans="1:7" ht="42.75" customHeight="1" x14ac:dyDescent="0.2">
      <c r="A35" s="77" t="s">
        <v>56</v>
      </c>
      <c r="B35" s="77"/>
      <c r="C35" s="77"/>
      <c r="D35" s="77"/>
      <c r="E35" s="77"/>
      <c r="F35" s="77"/>
      <c r="G35" s="77"/>
    </row>
    <row r="36" spans="1:7" ht="48" customHeight="1" x14ac:dyDescent="0.2">
      <c r="A36" s="78" t="s">
        <v>585</v>
      </c>
      <c r="B36" s="78"/>
      <c r="C36" s="78"/>
      <c r="D36" s="78"/>
      <c r="E36" s="78"/>
      <c r="F36" s="78"/>
      <c r="G36" s="79"/>
    </row>
    <row r="37" spans="1:7" ht="30" customHeight="1" x14ac:dyDescent="0.2">
      <c r="A37" s="84" t="s">
        <v>57</v>
      </c>
      <c r="B37" s="84"/>
      <c r="C37" s="84"/>
      <c r="D37" s="84"/>
      <c r="E37" s="84"/>
      <c r="F37" s="84"/>
      <c r="G37" s="85"/>
    </row>
    <row r="40" spans="1:7" x14ac:dyDescent="0.2">
      <c r="A40" s="15"/>
    </row>
  </sheetData>
  <mergeCells count="28">
    <mergeCell ref="A37:G37"/>
    <mergeCell ref="B14:C14"/>
    <mergeCell ref="B15:C15"/>
    <mergeCell ref="B16:C16"/>
    <mergeCell ref="B17:C17"/>
    <mergeCell ref="B18:C18"/>
    <mergeCell ref="B24:C24"/>
    <mergeCell ref="B25:C25"/>
    <mergeCell ref="B19:C19"/>
    <mergeCell ref="B20:C20"/>
    <mergeCell ref="B21:C21"/>
    <mergeCell ref="B22:C22"/>
    <mergeCell ref="B23:C23"/>
    <mergeCell ref="A32:G32"/>
    <mergeCell ref="A33:G33"/>
    <mergeCell ref="A34:G34"/>
    <mergeCell ref="A35:G35"/>
    <mergeCell ref="A36:G36"/>
    <mergeCell ref="A27:G27"/>
    <mergeCell ref="A28:G28"/>
    <mergeCell ref="A29:G29"/>
    <mergeCell ref="A30:G30"/>
    <mergeCell ref="A31:G31"/>
    <mergeCell ref="A1:G1"/>
    <mergeCell ref="A2:G2"/>
    <mergeCell ref="A4:G4"/>
    <mergeCell ref="A11:G11"/>
    <mergeCell ref="A12:G12"/>
  </mergeCells>
  <conditionalFormatting sqref="F15:F25">
    <cfRule type="cellIs" dxfId="28" priority="2" operator="equal">
      <formula>"مكتملة"</formula>
    </cfRule>
    <cfRule type="cellIs" dxfId="27" priority="3" operator="equal">
      <formula>"متأخرة"</formula>
    </cfRule>
  </conditionalFormatting>
  <dataValidations count="1">
    <dataValidation type="list" allowBlank="1" sqref="F15:F25" xr:uid="{00000000-0002-0000-0000-000000000000}">
      <formula1>"لم تبدأ,قيد التنفيذ,مكتملة,متأخرة"</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F76BD-1E17-DC4F-93F9-7A03DF44BB80}">
  <dimension ref="A1:F32"/>
  <sheetViews>
    <sheetView rightToLeft="1" workbookViewId="0">
      <selection activeCell="B7" sqref="B7:C7"/>
    </sheetView>
  </sheetViews>
  <sheetFormatPr baseColWidth="10" defaultColWidth="8.6640625" defaultRowHeight="15" x14ac:dyDescent="0.2"/>
  <cols>
    <col min="1" max="1" width="16" customWidth="1"/>
    <col min="2" max="2" width="30" customWidth="1"/>
    <col min="3" max="3" width="22" customWidth="1"/>
    <col min="4" max="4" width="70" customWidth="1"/>
    <col min="5" max="5" width="18" customWidth="1"/>
  </cols>
  <sheetData>
    <row r="1" spans="1:6" ht="33" customHeight="1" x14ac:dyDescent="0.55000000000000004">
      <c r="A1" s="98" t="s">
        <v>58</v>
      </c>
      <c r="B1" s="98"/>
      <c r="C1" s="98"/>
      <c r="D1" s="98"/>
      <c r="E1" s="98"/>
      <c r="F1" s="26"/>
    </row>
    <row r="2" spans="1:6" ht="26.75" customHeight="1" x14ac:dyDescent="0.55000000000000004">
      <c r="A2" s="99" t="s">
        <v>59</v>
      </c>
      <c r="B2" s="99"/>
      <c r="C2" s="99"/>
      <c r="D2" s="99"/>
      <c r="E2" s="99"/>
      <c r="F2" s="26"/>
    </row>
    <row r="3" spans="1:6" ht="26" x14ac:dyDescent="0.55000000000000004">
      <c r="A3" s="26"/>
      <c r="B3" s="26"/>
      <c r="C3" s="26"/>
      <c r="D3" s="26"/>
      <c r="E3" s="26"/>
      <c r="F3" s="26"/>
    </row>
    <row r="4" spans="1:6" ht="26.75" customHeight="1" x14ac:dyDescent="0.55000000000000004">
      <c r="A4" s="97" t="s">
        <v>60</v>
      </c>
      <c r="B4" s="97"/>
      <c r="C4" s="97"/>
      <c r="D4" s="97"/>
      <c r="E4" s="97"/>
      <c r="F4" s="26"/>
    </row>
    <row r="5" spans="1:6" ht="26.75" customHeight="1" x14ac:dyDescent="0.55000000000000004">
      <c r="A5" s="27" t="s">
        <v>61</v>
      </c>
      <c r="B5" s="96" t="s">
        <v>62</v>
      </c>
      <c r="C5" s="96"/>
      <c r="D5" s="26"/>
      <c r="E5" s="26"/>
      <c r="F5" s="26"/>
    </row>
    <row r="6" spans="1:6" ht="26.75" customHeight="1" x14ac:dyDescent="0.55000000000000004">
      <c r="A6" s="27" t="s">
        <v>63</v>
      </c>
      <c r="B6" s="96" t="s">
        <v>64</v>
      </c>
      <c r="C6" s="96"/>
      <c r="D6" s="26"/>
      <c r="E6" s="26"/>
      <c r="F6" s="26"/>
    </row>
    <row r="7" spans="1:6" ht="26.75" customHeight="1" x14ac:dyDescent="0.55000000000000004">
      <c r="A7" s="27" t="s">
        <v>65</v>
      </c>
      <c r="B7" s="96" t="s">
        <v>66</v>
      </c>
      <c r="C7" s="96"/>
      <c r="D7" s="26"/>
      <c r="E7" s="26"/>
      <c r="F7" s="26"/>
    </row>
    <row r="8" spans="1:6" ht="53.25" customHeight="1" x14ac:dyDescent="0.55000000000000004">
      <c r="A8" s="100" t="s">
        <v>67</v>
      </c>
      <c r="B8" s="100"/>
      <c r="C8" s="100"/>
      <c r="D8" s="100"/>
      <c r="E8" s="100"/>
      <c r="F8" s="26"/>
    </row>
    <row r="9" spans="1:6" ht="26" x14ac:dyDescent="0.55000000000000004">
      <c r="A9" s="26"/>
      <c r="B9" s="26"/>
      <c r="C9" s="26"/>
      <c r="D9" s="26"/>
      <c r="E9" s="26"/>
      <c r="F9" s="26"/>
    </row>
    <row r="10" spans="1:6" ht="26.75" customHeight="1" x14ac:dyDescent="0.55000000000000004">
      <c r="A10" s="97" t="s">
        <v>68</v>
      </c>
      <c r="B10" s="97"/>
      <c r="C10" s="97"/>
      <c r="D10" s="97"/>
      <c r="E10" s="97"/>
      <c r="F10" s="26"/>
    </row>
    <row r="11" spans="1:6" ht="26" x14ac:dyDescent="0.55000000000000004">
      <c r="A11" s="29" t="s">
        <v>69</v>
      </c>
      <c r="B11" s="29" t="s">
        <v>70</v>
      </c>
      <c r="C11" s="29" t="s">
        <v>71</v>
      </c>
      <c r="D11" s="29" t="s">
        <v>72</v>
      </c>
      <c r="E11" s="29" t="s">
        <v>73</v>
      </c>
      <c r="F11" s="26"/>
    </row>
    <row r="12" spans="1:6" ht="74.75" customHeight="1" x14ac:dyDescent="0.55000000000000004">
      <c r="A12" s="30">
        <v>1</v>
      </c>
      <c r="B12" s="28" t="s">
        <v>39</v>
      </c>
      <c r="C12" s="30" t="s">
        <v>74</v>
      </c>
      <c r="D12" s="31" t="s">
        <v>75</v>
      </c>
      <c r="E12" s="30">
        <f>COUNTIF('فحص-حاسب-بكالوريوس'!$H:$H,B12)+COUNTIF('فحص-بيانات-بكالوريوس'!$H:$H,B12)+COUNTIF('فحص-بيانات-ماجستير'!$H:$H,B12)</f>
        <v>0</v>
      </c>
      <c r="F12" s="26"/>
    </row>
    <row r="13" spans="1:6" ht="74.75" customHeight="1" x14ac:dyDescent="0.55000000000000004">
      <c r="A13" s="30">
        <v>2</v>
      </c>
      <c r="B13" s="28" t="s">
        <v>44</v>
      </c>
      <c r="C13" s="30" t="s">
        <v>76</v>
      </c>
      <c r="D13" s="31" t="s">
        <v>77</v>
      </c>
      <c r="E13" s="30">
        <f>COUNTIF('فحص-حاسب-بكالوريوس'!$H:$H,B13)+COUNTIF('فحص-بيانات-بكالوريوس'!$H:$H,B13)+COUNTIF('فحص-بيانات-ماجستير'!$H:$H,B13)</f>
        <v>0</v>
      </c>
      <c r="F13" s="26"/>
    </row>
    <row r="14" spans="1:6" ht="74.75" customHeight="1" x14ac:dyDescent="0.55000000000000004">
      <c r="A14" s="30">
        <v>3</v>
      </c>
      <c r="B14" s="28" t="s">
        <v>47</v>
      </c>
      <c r="C14" s="30" t="s">
        <v>78</v>
      </c>
      <c r="D14" s="31" t="s">
        <v>79</v>
      </c>
      <c r="E14" s="30">
        <f>COUNTIF('فحص-حاسب-بكالوريوس'!$H:$H,B14)+COUNTIF('فحص-بيانات-بكالوريوس'!$H:$H,B14)+COUNTIF('فحص-بيانات-ماجستير'!$H:$H,B14)</f>
        <v>0</v>
      </c>
      <c r="F14" s="26"/>
    </row>
    <row r="15" spans="1:6" ht="74.75" customHeight="1" x14ac:dyDescent="0.55000000000000004">
      <c r="A15" s="30">
        <v>4</v>
      </c>
      <c r="B15" s="28" t="s">
        <v>80</v>
      </c>
      <c r="C15" s="30" t="s">
        <v>81</v>
      </c>
      <c r="D15" s="31" t="s">
        <v>82</v>
      </c>
      <c r="E15" s="30">
        <f>COUNTIF('فحص-حاسب-بكالوريوس'!$H:$H,B15)+COUNTIF('فحص-بيانات-بكالوريوس'!$H:$H,B15)+COUNTIF('فحص-بيانات-ماجستير'!$H:$H,B15)</f>
        <v>117</v>
      </c>
      <c r="F15" s="26"/>
    </row>
    <row r="16" spans="1:6" ht="74.75" customHeight="1" x14ac:dyDescent="0.55000000000000004">
      <c r="A16" s="30">
        <v>5</v>
      </c>
      <c r="B16" s="28" t="s">
        <v>83</v>
      </c>
      <c r="C16" s="30" t="s">
        <v>81</v>
      </c>
      <c r="D16" s="31" t="s">
        <v>84</v>
      </c>
      <c r="E16" s="30">
        <f>COUNTIF('فحص-حاسب-بكالوريوس'!$H:$H,B16)+COUNTIF('فحص-بيانات-بكالوريوس'!$H:$H,B16)+COUNTIF('فحص-بيانات-ماجستير'!$H:$H,B16)</f>
        <v>141</v>
      </c>
      <c r="F16" s="26"/>
    </row>
    <row r="17" spans="1:6" ht="74.75" customHeight="1" x14ac:dyDescent="0.55000000000000004">
      <c r="A17" s="30">
        <v>6</v>
      </c>
      <c r="B17" s="28" t="s">
        <v>85</v>
      </c>
      <c r="C17" s="30" t="s">
        <v>81</v>
      </c>
      <c r="D17" s="31" t="s">
        <v>86</v>
      </c>
      <c r="E17" s="30">
        <f>COUNTIF('فحص-حاسب-بكالوريوس'!$H:$H,B17)+COUNTIF('فحص-بيانات-بكالوريوس'!$H:$H,B17)+COUNTIF('فحص-بيانات-ماجستير'!$H:$H,B17)</f>
        <v>77</v>
      </c>
      <c r="F17" s="26"/>
    </row>
    <row r="18" spans="1:6" ht="74.75" customHeight="1" x14ac:dyDescent="0.55000000000000004">
      <c r="A18" s="30">
        <v>7</v>
      </c>
      <c r="B18" s="28" t="s">
        <v>41</v>
      </c>
      <c r="C18" s="30" t="s">
        <v>87</v>
      </c>
      <c r="D18" s="31" t="s">
        <v>88</v>
      </c>
      <c r="E18" s="30">
        <f>COUNTIF('فحص-حاسب-بكالوريوس'!$H:$H,B18)+COUNTIF('فحص-بيانات-بكالوريوس'!$H:$H,B18)+COUNTIF('فحص-بيانات-ماجستير'!$H:$H,B18)</f>
        <v>92</v>
      </c>
      <c r="F18" s="26"/>
    </row>
    <row r="19" spans="1:6" ht="74.75" customHeight="1" x14ac:dyDescent="0.55000000000000004">
      <c r="A19" s="30">
        <v>8</v>
      </c>
      <c r="B19" s="28" t="s">
        <v>89</v>
      </c>
      <c r="C19" s="30" t="s">
        <v>81</v>
      </c>
      <c r="D19" s="31" t="s">
        <v>586</v>
      </c>
      <c r="E19" s="30">
        <f>COUNTIF('فحص-حاسب-بكالوريوس'!$H:$H,B19)+COUNTIF('فحص-بيانات-بكالوريوس'!$H:$H,B19)+COUNTIF('فحص-بيانات-ماجستير'!$H:$H,B19)</f>
        <v>117</v>
      </c>
      <c r="F19" s="26"/>
    </row>
    <row r="20" spans="1:6" ht="74.75" customHeight="1" x14ac:dyDescent="0.55000000000000004">
      <c r="A20" s="30">
        <v>9</v>
      </c>
      <c r="B20" s="28" t="s">
        <v>90</v>
      </c>
      <c r="C20" s="30" t="s">
        <v>81</v>
      </c>
      <c r="D20" s="31" t="s">
        <v>587</v>
      </c>
      <c r="E20" s="30">
        <f>COUNTIF('فحص-حاسب-بكالوريوس'!$H:$H,B20)+COUNTIF('فحص-بيانات-بكالوريوس'!$H:$H,B20)+COUNTIF('فحص-بيانات-ماجستير'!$H:$H,B20)</f>
        <v>90</v>
      </c>
      <c r="F20" s="26"/>
    </row>
    <row r="21" spans="1:6" ht="26" x14ac:dyDescent="0.55000000000000004">
      <c r="A21" s="26"/>
      <c r="B21" s="26"/>
      <c r="C21" s="26"/>
      <c r="D21" s="26"/>
      <c r="E21" s="26"/>
      <c r="F21" s="26"/>
    </row>
    <row r="22" spans="1:6" ht="26.75" customHeight="1" x14ac:dyDescent="0.55000000000000004">
      <c r="A22" s="97" t="s">
        <v>91</v>
      </c>
      <c r="B22" s="97"/>
      <c r="C22" s="97"/>
      <c r="D22" s="97"/>
      <c r="E22" s="97"/>
      <c r="F22" s="26"/>
    </row>
    <row r="23" spans="1:6" ht="52" x14ac:dyDescent="0.55000000000000004">
      <c r="A23" s="29" t="s">
        <v>92</v>
      </c>
      <c r="B23" s="29" t="s">
        <v>93</v>
      </c>
      <c r="C23" s="29" t="s">
        <v>35</v>
      </c>
      <c r="D23" s="29" t="s">
        <v>94</v>
      </c>
      <c r="E23" s="29" t="s">
        <v>95</v>
      </c>
      <c r="F23" s="26"/>
    </row>
    <row r="24" spans="1:6" ht="26" x14ac:dyDescent="0.55000000000000004">
      <c r="A24" s="32" t="s">
        <v>96</v>
      </c>
      <c r="B24" s="31" t="s">
        <v>97</v>
      </c>
      <c r="C24" s="33" t="str">
        <f>'الإعدادات واللجنة'!$B$15</f>
        <v>د. سلطان بن سعيد الشمراني</v>
      </c>
      <c r="D24" s="30">
        <f>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30">
        <f>COUNTIF('فحص-حاسب-بكالوريوس'!$A:$A,A24&amp;"-*")+COUNTIF('فحص-بيانات-بكالوريوس'!$A:$A,A24&amp;"-*")+COUNTIF('فحص-بيانات-ماجستير'!$A:$A,A24&amp;"-*")</f>
        <v>117</v>
      </c>
      <c r="F24" s="26"/>
    </row>
    <row r="25" spans="1:6" ht="26" x14ac:dyDescent="0.55000000000000004">
      <c r="A25" s="32" t="s">
        <v>98</v>
      </c>
      <c r="B25" s="31" t="s">
        <v>99</v>
      </c>
      <c r="C25" s="33" t="str">
        <f>'الإعدادات واللجنة'!$B$19</f>
        <v>د. عمر بن محمد موسى</v>
      </c>
      <c r="D25" s="30">
        <f>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30">
        <f>COUNTIF('فحص-حاسب-بكالوريوس'!$A:$A,A25&amp;"-*")+COUNTIF('فحص-بيانات-بكالوريوس'!$A:$A,A25&amp;"-*")+COUNTIF('فحص-بيانات-ماجستير'!$A:$A,A25&amp;"-*")</f>
        <v>39</v>
      </c>
      <c r="F25" s="26"/>
    </row>
    <row r="26" spans="1:6" ht="26" x14ac:dyDescent="0.55000000000000004">
      <c r="A26" s="32" t="s">
        <v>100</v>
      </c>
      <c r="B26" s="31" t="s">
        <v>101</v>
      </c>
      <c r="C26" s="33" t="str">
        <f>'الإعدادات واللجنة'!$B$16</f>
        <v>د. احمد بن عوض البشري</v>
      </c>
      <c r="D26" s="30">
        <f>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30">
        <f>COUNTIF('فحص-حاسب-بكالوريوس'!$A:$A,A26&amp;"-*")+COUNTIF('فحص-بيانات-بكالوريوس'!$A:$A,A26&amp;"-*")+COUNTIF('فحص-بيانات-ماجستير'!$A:$A,A26&amp;"-*")</f>
        <v>75</v>
      </c>
      <c r="F26" s="26"/>
    </row>
    <row r="27" spans="1:6" ht="26" x14ac:dyDescent="0.55000000000000004">
      <c r="A27" s="32" t="s">
        <v>102</v>
      </c>
      <c r="B27" s="31" t="s">
        <v>103</v>
      </c>
      <c r="C27" s="33" t="str">
        <f>'الإعدادات واللجنة'!$B$16</f>
        <v>د. احمد بن عوض البشري</v>
      </c>
      <c r="D27" s="30">
        <f>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30">
        <f>COUNTIF('فحص-حاسب-بكالوريوس'!$A:$A,A27&amp;"-*")+COUNTIF('فحص-بيانات-بكالوريوس'!$A:$A,A27&amp;"-*")+COUNTIF('فحص-بيانات-ماجستير'!$A:$A,A27&amp;"-*")</f>
        <v>66</v>
      </c>
      <c r="F27" s="26"/>
    </row>
    <row r="28" spans="1:6" ht="26" x14ac:dyDescent="0.55000000000000004">
      <c r="A28" s="32" t="s">
        <v>104</v>
      </c>
      <c r="B28" s="31" t="s">
        <v>105</v>
      </c>
      <c r="C28" s="33" t="str">
        <f>'الإعدادات واللجنة'!$B$17</f>
        <v>د. يثرب بنت سعد القحطاني</v>
      </c>
      <c r="D28" s="30">
        <f>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30">
        <f>COUNTIF('فحص-حاسب-بكالوريوس'!$A:$A,A28&amp;"-*")+COUNTIF('فحص-بيانات-بكالوريوس'!$A:$A,A28&amp;"-*")+COUNTIF('فحص-بيانات-ماجستير'!$A:$A,A28&amp;"-*")</f>
        <v>77</v>
      </c>
      <c r="F28" s="26"/>
    </row>
    <row r="29" spans="1:6" ht="26" x14ac:dyDescent="0.55000000000000004">
      <c r="A29" s="32" t="s">
        <v>106</v>
      </c>
      <c r="B29" s="31" t="s">
        <v>107</v>
      </c>
      <c r="C29" s="33" t="str">
        <f>'الإعدادات واللجنة'!$B$18</f>
        <v>د. عبدالله بن محمد البركاتي</v>
      </c>
      <c r="D29" s="30">
        <f>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30">
        <f>COUNTIF('فحص-حاسب-بكالوريوس'!$A:$A,A29&amp;"-*")+COUNTIF('فحص-بيانات-بكالوريوس'!$A:$A,A29&amp;"-*")+COUNTIF('فحص-بيانات-ماجستير'!$A:$A,A29&amp;"-*")</f>
        <v>92</v>
      </c>
      <c r="F29" s="26"/>
    </row>
    <row r="30" spans="1:6" ht="26" x14ac:dyDescent="0.55000000000000004">
      <c r="A30" s="32" t="s">
        <v>108</v>
      </c>
      <c r="B30" s="31" t="s">
        <v>109</v>
      </c>
      <c r="C30" s="33" t="str">
        <f>'الإعدادات واللجنة'!$B$19</f>
        <v>د. عمر بن محمد موسى</v>
      </c>
      <c r="D30" s="30">
        <f>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30">
        <f>COUNTIF('فحص-حاسب-بكالوريوس'!$A:$A,A30&amp;"-*")+COUNTIF('فحص-بيانات-بكالوريوس'!$A:$A,A30&amp;"-*")+COUNTIF('فحص-بيانات-ماجستير'!$A:$A,A30&amp;"-*")</f>
        <v>78</v>
      </c>
      <c r="F30" s="26"/>
    </row>
    <row r="31" spans="1:6" ht="26" x14ac:dyDescent="0.55000000000000004">
      <c r="A31" s="32" t="s">
        <v>110</v>
      </c>
      <c r="B31" s="31" t="s">
        <v>111</v>
      </c>
      <c r="C31" s="33" t="str">
        <f>'الإعدادات واللجنة'!$B$20</f>
        <v>د. حسن بن سعد القحطاني</v>
      </c>
      <c r="D31" s="30">
        <f>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30">
        <f>COUNTIF('فحص-حاسب-بكالوريوس'!$A:$A,A31&amp;"-*")+COUNTIF('فحص-بيانات-بكالوريوس'!$A:$A,A31&amp;"-*")+COUNTIF('فحص-بيانات-ماجستير'!$A:$A,A31&amp;"-*")</f>
        <v>57</v>
      </c>
      <c r="F31" s="26"/>
    </row>
    <row r="32" spans="1:6" ht="26" x14ac:dyDescent="0.55000000000000004">
      <c r="A32" s="32" t="s">
        <v>112</v>
      </c>
      <c r="B32" s="31" t="s">
        <v>113</v>
      </c>
      <c r="C32" s="33" t="str">
        <f>'الإعدادات واللجنة'!$B$20</f>
        <v>د. حسن بن سعد القحطاني</v>
      </c>
      <c r="D32" s="30">
        <f>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30">
        <f>COUNTIF('فحص-حاسب-بكالوريوس'!$A:$A,A32&amp;"-*")+COUNTIF('فحص-بيانات-بكالوريوس'!$A:$A,A32&amp;"-*")+COUNTIF('فحص-بيانات-ماجستير'!$A:$A,A32&amp;"-*")</f>
        <v>33</v>
      </c>
      <c r="F32" s="26"/>
    </row>
  </sheetData>
  <mergeCells count="9">
    <mergeCell ref="B7:C7"/>
    <mergeCell ref="A10:E10"/>
    <mergeCell ref="A22:E22"/>
    <mergeCell ref="A1:E1"/>
    <mergeCell ref="A2:E2"/>
    <mergeCell ref="A4:E4"/>
    <mergeCell ref="B5:C5"/>
    <mergeCell ref="B6:C6"/>
    <mergeCell ref="A8:E8"/>
  </mergeCells>
  <dataValidations count="1">
    <dataValidation type="list" allowBlank="1" sqref="C24:C32" xr:uid="{00000000-0002-0000-0100-000000000000}">
      <formula1>$B$12:$B$20</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95FAB-3879-8A4D-8B7E-9AC5ACC5111B}">
  <sheetPr>
    <tabColor rgb="FF2E75B6"/>
  </sheetPr>
  <dimension ref="A1:J47"/>
  <sheetViews>
    <sheetView rightToLeft="1" topLeftCell="A32" workbookViewId="0">
      <selection activeCell="C51" sqref="C51"/>
    </sheetView>
  </sheetViews>
  <sheetFormatPr baseColWidth="10" defaultColWidth="8.6640625" defaultRowHeight="15" x14ac:dyDescent="0.2"/>
  <cols>
    <col min="1" max="1" width="42" customWidth="1"/>
    <col min="2" max="4" width="14" customWidth="1"/>
    <col min="5" max="6" width="11" customWidth="1"/>
    <col min="7" max="7" width="13" customWidth="1"/>
    <col min="8" max="8" width="12" customWidth="1"/>
    <col min="9" max="9" width="25.33203125" customWidth="1"/>
  </cols>
  <sheetData>
    <row r="1" spans="1:10" ht="33" customHeight="1" x14ac:dyDescent="0.55000000000000004">
      <c r="A1" s="98" t="s">
        <v>114</v>
      </c>
      <c r="B1" s="98"/>
      <c r="C1" s="98"/>
      <c r="D1" s="98"/>
      <c r="E1" s="98"/>
      <c r="F1" s="98"/>
      <c r="G1" s="98"/>
      <c r="H1" s="98"/>
      <c r="I1" s="98"/>
      <c r="J1" s="26"/>
    </row>
    <row r="2" spans="1:10" ht="26.75" customHeight="1" x14ac:dyDescent="0.55000000000000004">
      <c r="A2" s="99" t="s">
        <v>115</v>
      </c>
      <c r="B2" s="99"/>
      <c r="C2" s="99"/>
      <c r="D2" s="99"/>
      <c r="E2" s="99"/>
      <c r="F2" s="99"/>
      <c r="G2" s="99"/>
      <c r="H2" s="99"/>
      <c r="I2" s="99"/>
      <c r="J2" s="26"/>
    </row>
    <row r="3" spans="1:10" ht="26" x14ac:dyDescent="0.55000000000000004">
      <c r="A3" s="26"/>
      <c r="B3" s="26"/>
      <c r="C3" s="26"/>
      <c r="D3" s="26"/>
      <c r="E3" s="26"/>
      <c r="F3" s="26"/>
      <c r="G3" s="26"/>
      <c r="H3" s="26"/>
      <c r="I3" s="26"/>
      <c r="J3" s="26"/>
    </row>
    <row r="4" spans="1:10" ht="28" x14ac:dyDescent="0.6">
      <c r="A4" s="101" t="str">
        <f>'الإعدادات واللجنة'!$B$5</f>
        <v>بكالوريوس علوم الحاسب</v>
      </c>
      <c r="B4" s="101"/>
      <c r="C4" s="101"/>
      <c r="D4" s="101"/>
      <c r="E4" s="101"/>
      <c r="F4" s="101"/>
      <c r="G4" s="101"/>
      <c r="H4" s="101"/>
      <c r="I4" s="101"/>
      <c r="J4" s="26"/>
    </row>
    <row r="5" spans="1:10" ht="26" x14ac:dyDescent="0.55000000000000004">
      <c r="A5" s="29" t="s">
        <v>116</v>
      </c>
      <c r="B5" s="29" t="s">
        <v>117</v>
      </c>
      <c r="C5" s="29" t="s">
        <v>118</v>
      </c>
      <c r="D5" s="29" t="s">
        <v>119</v>
      </c>
      <c r="E5" s="29" t="s">
        <v>120</v>
      </c>
      <c r="F5" s="29" t="s">
        <v>121</v>
      </c>
      <c r="G5" s="29" t="s">
        <v>122</v>
      </c>
      <c r="H5" s="29" t="s">
        <v>123</v>
      </c>
      <c r="I5" s="29" t="s">
        <v>648</v>
      </c>
      <c r="J5" s="26"/>
    </row>
    <row r="6" spans="1:10" ht="26" x14ac:dyDescent="0.55000000000000004">
      <c r="A6" s="34" t="s">
        <v>125</v>
      </c>
      <c r="B6" s="30">
        <f>COUNTIF('فحص-حاسب-بكالوريوس'!$B$5:$B$208,"1. إدارة البرنامج وضمان جودته")</f>
        <v>52</v>
      </c>
      <c r="C6" s="30">
        <f>COUNTIFS('فحص-حاسب-بكالوريوس'!$B$5:$B$208,"1. إدارة البرنامج وضمان جودته",'فحص-حاسب-بكالوريوس'!$I$5:$I$208,"متوفر ومكتمل")</f>
        <v>1</v>
      </c>
      <c r="D6" s="30">
        <f>COUNTIFS('فحص-حاسب-بكالوريوس'!$B$5:$B$208,"1. إدارة البرنامج وضمان جودته",'فحص-حاسب-بكالوريوس'!$I$5:$I$208,"متوفر ويحتاج تحسين")</f>
        <v>1</v>
      </c>
      <c r="E6" s="30">
        <f>COUNTIFS('فحص-حاسب-بكالوريوس'!$B$5:$B$208,"1. إدارة البرنامج وضمان جودته",'فحص-حاسب-بكالوريوس'!$I$5:$I$208,"غير متوفر")</f>
        <v>1</v>
      </c>
      <c r="F6" s="30">
        <f t="shared" ref="F6:F12" si="0">B6-SUM(C6:E6)</f>
        <v>49</v>
      </c>
      <c r="G6" s="35">
        <f t="shared" ref="G6:G12" si="1">IF(B6=0,0,C6/B6)</f>
        <v>1.9230769230769232E-2</v>
      </c>
      <c r="H6" s="30">
        <f>COUNTIFS('فحص-حاسب-بكالوريوس'!$B$5:$B$208,"1. إدارة البرنامج وضمان جودته",'فحص-حاسب-بكالوريوس'!$K$5:$K$208,"عالية")</f>
        <v>1</v>
      </c>
      <c r="I6" s="30">
        <f>COUNTIFS('فحص-حاسب-بكالوريوس'!$B$5:$B$208,"1. إدارة البرنامج وضمان جودته",'فحص-حاسب-بكالوريوس'!$P$5:$P$208,"&lt;&gt;")</f>
        <v>0</v>
      </c>
      <c r="J6" s="26"/>
    </row>
    <row r="7" spans="1:10" ht="26" x14ac:dyDescent="0.55000000000000004">
      <c r="A7" s="34" t="s">
        <v>126</v>
      </c>
      <c r="B7" s="30">
        <f>COUNTIF('فحص-حاسب-بكالوريوس'!$B$5:$B$208,"2. التعليم والتعلم")</f>
        <v>75</v>
      </c>
      <c r="C7" s="30">
        <f>COUNTIFS('فحص-حاسب-بكالوريوس'!$B$5:$B$208,"2. التعليم والتعلم",'فحص-حاسب-بكالوريوس'!$I$5:$I$208,"متوفر ومكتمل")</f>
        <v>0</v>
      </c>
      <c r="D7" s="30">
        <f>COUNTIFS('فحص-حاسب-بكالوريوس'!$B$5:$B$208,"2. التعليم والتعلم",'فحص-حاسب-بكالوريوس'!$I$5:$I$208,"متوفر ويحتاج تحسين")</f>
        <v>0</v>
      </c>
      <c r="E7" s="30">
        <f>COUNTIFS('فحص-حاسب-بكالوريوس'!$B$5:$B$208,"2. التعليم والتعلم",'فحص-حاسب-بكالوريوس'!$I$5:$I$208,"غير متوفر")</f>
        <v>0</v>
      </c>
      <c r="F7" s="30">
        <f t="shared" si="0"/>
        <v>75</v>
      </c>
      <c r="G7" s="35">
        <f t="shared" si="1"/>
        <v>0</v>
      </c>
      <c r="H7" s="30">
        <f>COUNTIFS('فحص-حاسب-بكالوريوس'!$B$5:$B$208,"2. التعليم والتعلم",'فحص-حاسب-بكالوريوس'!$K$5:$K$208,"عالية")</f>
        <v>0</v>
      </c>
      <c r="I7" s="30">
        <f>COUNTIFS('فحص-حاسب-بكالوريوس'!$B$5:$B$208,"2. التعليم والتعلم",'فحص-حاسب-بكالوريوس'!$P$5:$P$208,"&lt;&gt;")</f>
        <v>0</v>
      </c>
      <c r="J7" s="26"/>
    </row>
    <row r="8" spans="1:10" ht="26" x14ac:dyDescent="0.55000000000000004">
      <c r="A8" s="34" t="s">
        <v>127</v>
      </c>
      <c r="B8" s="30">
        <f>COUNTIF('فحص-حاسب-بكالوريوس'!$B$5:$B$208,"3. الطالب")</f>
        <v>32</v>
      </c>
      <c r="C8" s="30">
        <f>COUNTIFS('فحص-حاسب-بكالوريوس'!$B$5:$B$208,"3. الطالب",'فحص-حاسب-بكالوريوس'!$I$5:$I$208,"متوفر ومكتمل")</f>
        <v>0</v>
      </c>
      <c r="D8" s="30">
        <f>COUNTIFS('فحص-حاسب-بكالوريوس'!$B$5:$B$208,"3. الطالب",'فحص-حاسب-بكالوريوس'!$I$5:$I$208,"متوفر ويحتاج تحسين")</f>
        <v>0</v>
      </c>
      <c r="E8" s="30">
        <f>COUNTIFS('فحص-حاسب-بكالوريوس'!$B$5:$B$208,"3. الطالب",'فحص-حاسب-بكالوريوس'!$I$5:$I$208,"غير متوفر")</f>
        <v>0</v>
      </c>
      <c r="F8" s="30">
        <f t="shared" si="0"/>
        <v>32</v>
      </c>
      <c r="G8" s="35">
        <f t="shared" si="1"/>
        <v>0</v>
      </c>
      <c r="H8" s="30">
        <f>COUNTIFS('فحص-حاسب-بكالوريوس'!$B$5:$B$208,"3. الطالب",'فحص-حاسب-بكالوريوس'!$K$5:$K$208,"عالية")</f>
        <v>0</v>
      </c>
      <c r="I8" s="30">
        <f>COUNTIFS('فحص-حاسب-بكالوريوس'!$B$5:$B$208,"3. الطالب",'فحص-حاسب-بكالوريوس'!$P$5:$P$208,"&lt;&gt;")</f>
        <v>0</v>
      </c>
      <c r="J8" s="26"/>
    </row>
    <row r="9" spans="1:10" ht="26" x14ac:dyDescent="0.55000000000000004">
      <c r="A9" s="34" t="s">
        <v>128</v>
      </c>
      <c r="B9" s="30">
        <f>COUNTIF('فحص-حاسب-بكالوريوس'!$B$5:$B$208,"4. هيئة التدريس")</f>
        <v>26</v>
      </c>
      <c r="C9" s="30">
        <f>COUNTIFS('فحص-حاسب-بكالوريوس'!$B$5:$B$208,"4. هيئة التدريس",'فحص-حاسب-بكالوريوس'!$I$5:$I$208,"متوفر ومكتمل")</f>
        <v>0</v>
      </c>
      <c r="D9" s="30">
        <f>COUNTIFS('فحص-حاسب-بكالوريوس'!$B$5:$B$208,"4. هيئة التدريس",'فحص-حاسب-بكالوريوس'!$I$5:$I$208,"متوفر ويحتاج تحسين")</f>
        <v>0</v>
      </c>
      <c r="E9" s="30">
        <f>COUNTIFS('فحص-حاسب-بكالوريوس'!$B$5:$B$208,"4. هيئة التدريس",'فحص-حاسب-بكالوريوس'!$I$5:$I$208,"غير متوفر")</f>
        <v>0</v>
      </c>
      <c r="F9" s="30">
        <f t="shared" si="0"/>
        <v>26</v>
      </c>
      <c r="G9" s="35">
        <f t="shared" si="1"/>
        <v>0</v>
      </c>
      <c r="H9" s="30">
        <f>COUNTIFS('فحص-حاسب-بكالوريوس'!$B$5:$B$208,"4. هيئة التدريس",'فحص-حاسب-بكالوريوس'!$K$5:$K$208,"عالية")</f>
        <v>0</v>
      </c>
      <c r="I9" s="30">
        <f>COUNTIFS('فحص-حاسب-بكالوريوس'!$B$5:$B$208,"4. هيئة التدريس",'فحص-حاسب-بكالوريوس'!$P$5:$P$208,"&lt;&gt;")</f>
        <v>0</v>
      </c>
      <c r="J9" s="26"/>
    </row>
    <row r="10" spans="1:10" ht="26" x14ac:dyDescent="0.55000000000000004">
      <c r="A10" s="34" t="s">
        <v>129</v>
      </c>
      <c r="B10" s="30">
        <f>COUNTIF('فحص-حاسب-بكالوريوس'!$B$5:$B$208,"5. مصادر التعلم والمرافق والتجهيزات")</f>
        <v>19</v>
      </c>
      <c r="C10" s="30">
        <f>COUNTIFS('فحص-حاسب-بكالوريوس'!$B$5:$B$208,"5. مصادر التعلم والمرافق والتجهيزات",'فحص-حاسب-بكالوريوس'!$I$5:$I$208,"متوفر ومكتمل")</f>
        <v>0</v>
      </c>
      <c r="D10" s="30">
        <f>COUNTIFS('فحص-حاسب-بكالوريوس'!$B$5:$B$208,"5. مصادر التعلم والمرافق والتجهيزات",'فحص-حاسب-بكالوريوس'!$I$5:$I$208,"متوفر ويحتاج تحسين")</f>
        <v>0</v>
      </c>
      <c r="E10" s="30">
        <f>COUNTIFS('فحص-حاسب-بكالوريوس'!$B$5:$B$208,"5. مصادر التعلم والمرافق والتجهيزات",'فحص-حاسب-بكالوريوس'!$I$5:$I$208,"غير متوفر")</f>
        <v>0</v>
      </c>
      <c r="F10" s="30">
        <f t="shared" si="0"/>
        <v>19</v>
      </c>
      <c r="G10" s="35">
        <f t="shared" si="1"/>
        <v>0</v>
      </c>
      <c r="H10" s="30">
        <f>COUNTIFS('فحص-حاسب-بكالوريوس'!$B$5:$B$208,"5. مصادر التعلم والمرافق والتجهيزات",'فحص-حاسب-بكالوريوس'!$K$5:$K$208,"عالية")</f>
        <v>0</v>
      </c>
      <c r="I10" s="30">
        <f>COUNTIFS('فحص-حاسب-بكالوريوس'!$B$5:$B$208,"5. مصادر التعلم والمرافق والتجهيزات",'فحص-حاسب-بكالوريوس'!$P$5:$P$208,"&lt;&gt;")</f>
        <v>0</v>
      </c>
      <c r="J10" s="26"/>
    </row>
    <row r="11" spans="1:10" ht="26" x14ac:dyDescent="0.55000000000000004">
      <c r="A11" s="27" t="s">
        <v>130</v>
      </c>
      <c r="B11" s="36">
        <f>COUNTIF('فحص-حاسب-بكالوريوس'!$D$5:$D$208,"★")</f>
        <v>63</v>
      </c>
      <c r="C11" s="36">
        <f>COUNTIFS('فحص-حاسب-بكالوريوس'!$D$5:$D$208,"★",'فحص-حاسب-بكالوريوس'!$I$5:$I$208,"متوفر ومكتمل")</f>
        <v>0</v>
      </c>
      <c r="D11" s="36">
        <f>COUNTIFS('فحص-حاسب-بكالوريوس'!$D$5:$D$208,"★",'فحص-حاسب-بكالوريوس'!$I$5:$I$208,"متوفر ويحتاج تحسين")</f>
        <v>0</v>
      </c>
      <c r="E11" s="36">
        <f>COUNTIFS('فحص-حاسب-بكالوريوس'!$D$5:$D$208,"★",'فحص-حاسب-بكالوريوس'!$I$5:$I$208,"غير متوفر")</f>
        <v>1</v>
      </c>
      <c r="F11" s="36">
        <f t="shared" si="0"/>
        <v>62</v>
      </c>
      <c r="G11" s="37">
        <f t="shared" si="1"/>
        <v>0</v>
      </c>
      <c r="H11" s="36">
        <f>COUNTIFS('فحص-حاسب-بكالوريوس'!$D$5:$D$208,"★",'فحص-حاسب-بكالوريوس'!$K$5:$K$208,"عالية")</f>
        <v>1</v>
      </c>
      <c r="I11" s="36">
        <f>COUNTIFS('فحص-حاسب-بكالوريوس'!$D$5:$D$208,"★",'فحص-حاسب-بكالوريوس'!$P$5:$P$208,"&lt;&gt;")</f>
        <v>0</v>
      </c>
      <c r="J11" s="26"/>
    </row>
    <row r="12" spans="1:10" ht="26" x14ac:dyDescent="0.55000000000000004">
      <c r="A12" s="27" t="s">
        <v>131</v>
      </c>
      <c r="B12" s="36">
        <f>COUNTIF('فحص-حاسب-بكالوريوس'!$A$5:$A$208,"*")</f>
        <v>204</v>
      </c>
      <c r="C12" s="36">
        <f>COUNTIFS('فحص-حاسب-بكالوريوس'!$A$5:$A$208,"*",'فحص-حاسب-بكالوريوس'!$I$5:$I$208,"متوفر ومكتمل")</f>
        <v>1</v>
      </c>
      <c r="D12" s="36">
        <f>COUNTIFS('فحص-حاسب-بكالوريوس'!$A$5:$A$208,"*",'فحص-حاسب-بكالوريوس'!$I$5:$I$208,"متوفر ويحتاج تحسين")</f>
        <v>1</v>
      </c>
      <c r="E12" s="36">
        <f>COUNTIFS('فحص-حاسب-بكالوريوس'!$A$5:$A$208,"*",'فحص-حاسب-بكالوريوس'!$I$5:$I$208,"غير متوفر")</f>
        <v>1</v>
      </c>
      <c r="F12" s="36">
        <f t="shared" si="0"/>
        <v>201</v>
      </c>
      <c r="G12" s="37">
        <f t="shared" si="1"/>
        <v>4.9019607843137254E-3</v>
      </c>
      <c r="H12" s="36">
        <f>COUNTIFS('فحص-حاسب-بكالوريوس'!$A$5:$A$208,"*",'فحص-حاسب-بكالوريوس'!$K$5:$K$208,"عالية")</f>
        <v>1</v>
      </c>
      <c r="I12" s="36">
        <f>COUNTIFS('فحص-حاسب-بكالوريوس'!$A$5:$A$208,"*",'فحص-حاسب-بكالوريوس'!$P$5:$P$208,"&lt;&gt;")</f>
        <v>0</v>
      </c>
      <c r="J12" s="26"/>
    </row>
    <row r="13" spans="1:10" ht="26" x14ac:dyDescent="0.55000000000000004">
      <c r="A13" s="26"/>
      <c r="B13" s="26"/>
      <c r="C13" s="26"/>
      <c r="D13" s="26"/>
      <c r="E13" s="26"/>
      <c r="F13" s="26"/>
      <c r="G13" s="26"/>
      <c r="H13" s="26"/>
      <c r="I13" s="26"/>
      <c r="J13" s="26"/>
    </row>
    <row r="14" spans="1:10" ht="28" x14ac:dyDescent="0.6">
      <c r="A14" s="101" t="str">
        <f>'الإعدادات واللجنة'!$B$6</f>
        <v>بكالوريوس علوم البيانات</v>
      </c>
      <c r="B14" s="101"/>
      <c r="C14" s="101"/>
      <c r="D14" s="101"/>
      <c r="E14" s="101"/>
      <c r="F14" s="101"/>
      <c r="G14" s="101"/>
      <c r="H14" s="101"/>
      <c r="I14" s="101"/>
      <c r="J14" s="26"/>
    </row>
    <row r="15" spans="1:10" ht="26" x14ac:dyDescent="0.55000000000000004">
      <c r="A15" s="29" t="s">
        <v>116</v>
      </c>
      <c r="B15" s="29" t="s">
        <v>117</v>
      </c>
      <c r="C15" s="29" t="s">
        <v>118</v>
      </c>
      <c r="D15" s="29" t="s">
        <v>119</v>
      </c>
      <c r="E15" s="29" t="s">
        <v>120</v>
      </c>
      <c r="F15" s="29" t="s">
        <v>121</v>
      </c>
      <c r="G15" s="29" t="s">
        <v>122</v>
      </c>
      <c r="H15" s="29" t="s">
        <v>123</v>
      </c>
      <c r="I15" s="29" t="s">
        <v>648</v>
      </c>
      <c r="J15" s="26"/>
    </row>
    <row r="16" spans="1:10" ht="26" x14ac:dyDescent="0.55000000000000004">
      <c r="A16" s="34" t="s">
        <v>125</v>
      </c>
      <c r="B16" s="30">
        <f>COUNTIF('فحص-بيانات-بكالوريوس'!$B$5:$B$208,"1. إدارة البرنامج وضمان جودته")</f>
        <v>52</v>
      </c>
      <c r="C16" s="30">
        <f>COUNTIFS('فحص-بيانات-بكالوريوس'!$B$5:$B$208,"1. إدارة البرنامج وضمان جودته",'فحص-بيانات-بكالوريوس'!$I$5:$I$208,"متوفر ومكتمل")</f>
        <v>0</v>
      </c>
      <c r="D16" s="30">
        <f>COUNTIFS('فحص-بيانات-بكالوريوس'!$B$5:$B$208,"1. إدارة البرنامج وضمان جودته",'فحص-بيانات-بكالوريوس'!$I$5:$I$208,"متوفر ويحتاج تحسين")</f>
        <v>0</v>
      </c>
      <c r="E16" s="30">
        <f>COUNTIFS('فحص-بيانات-بكالوريوس'!$B$5:$B$208,"1. إدارة البرنامج وضمان جودته",'فحص-بيانات-بكالوريوس'!$I$5:$I$208,"غير متوفر")</f>
        <v>0</v>
      </c>
      <c r="F16" s="30">
        <f t="shared" ref="F16:F22" si="2">B16-SUM(C16:E16)</f>
        <v>52</v>
      </c>
      <c r="G16" s="35">
        <f t="shared" ref="G16:G22" si="3">IF(B16=0,0,C16/B16)</f>
        <v>0</v>
      </c>
      <c r="H16" s="30">
        <f>COUNTIFS('فحص-بيانات-بكالوريوس'!$B$5:$B$208,"1. إدارة البرنامج وضمان جودته",'فحص-بيانات-بكالوريوس'!$K$5:$K$208,"عالية")</f>
        <v>0</v>
      </c>
      <c r="I16" s="30">
        <f>COUNTIFS('فحص-بيانات-بكالوريوس'!$B$5:$B$208,"1. إدارة البرنامج وضمان جودته",'فحص-بيانات-بكالوريوس'!$P$5:$P$208,"&lt;&gt;")</f>
        <v>0</v>
      </c>
      <c r="J16" s="26"/>
    </row>
    <row r="17" spans="1:10" ht="26" x14ac:dyDescent="0.55000000000000004">
      <c r="A17" s="34" t="s">
        <v>126</v>
      </c>
      <c r="B17" s="30">
        <f>COUNTIF('فحص-بيانات-بكالوريوس'!$B$5:$B$208,"2. التعليم والتعلم")</f>
        <v>75</v>
      </c>
      <c r="C17" s="30">
        <f>COUNTIFS('فحص-بيانات-بكالوريوس'!$B$5:$B$208,"2. التعليم والتعلم",'فحص-بيانات-بكالوريوس'!$I$5:$I$208,"متوفر ومكتمل")</f>
        <v>0</v>
      </c>
      <c r="D17" s="30">
        <f>COUNTIFS('فحص-بيانات-بكالوريوس'!$B$5:$B$208,"2. التعليم والتعلم",'فحص-بيانات-بكالوريوس'!$I$5:$I$208,"متوفر ويحتاج تحسين")</f>
        <v>0</v>
      </c>
      <c r="E17" s="30">
        <f>COUNTIFS('فحص-بيانات-بكالوريوس'!$B$5:$B$208,"2. التعليم والتعلم",'فحص-بيانات-بكالوريوس'!$I$5:$I$208,"غير متوفر")</f>
        <v>0</v>
      </c>
      <c r="F17" s="30">
        <f t="shared" si="2"/>
        <v>75</v>
      </c>
      <c r="G17" s="35">
        <f t="shared" si="3"/>
        <v>0</v>
      </c>
      <c r="H17" s="30">
        <f>COUNTIFS('فحص-بيانات-بكالوريوس'!$B$5:$B$208,"2. التعليم والتعلم",'فحص-بيانات-بكالوريوس'!$K$5:$K$208,"عالية")</f>
        <v>0</v>
      </c>
      <c r="I17" s="30">
        <f>COUNTIFS('فحص-بيانات-بكالوريوس'!$B$5:$B$208,"2. التعليم والتعلم",'فحص-بيانات-بكالوريوس'!$P$5:$P$208,"&lt;&gt;")</f>
        <v>0</v>
      </c>
      <c r="J17" s="26"/>
    </row>
    <row r="18" spans="1:10" ht="26" x14ac:dyDescent="0.55000000000000004">
      <c r="A18" s="34" t="s">
        <v>127</v>
      </c>
      <c r="B18" s="30">
        <f>COUNTIF('فحص-بيانات-بكالوريوس'!$B$5:$B$208,"3. الطالب")</f>
        <v>32</v>
      </c>
      <c r="C18" s="30">
        <f>COUNTIFS('فحص-بيانات-بكالوريوس'!$B$5:$B$208,"3. الطالب",'فحص-بيانات-بكالوريوس'!$I$5:$I$208,"متوفر ومكتمل")</f>
        <v>0</v>
      </c>
      <c r="D18" s="30">
        <f>COUNTIFS('فحص-بيانات-بكالوريوس'!$B$5:$B$208,"3. الطالب",'فحص-بيانات-بكالوريوس'!$I$5:$I$208,"متوفر ويحتاج تحسين")</f>
        <v>0</v>
      </c>
      <c r="E18" s="30">
        <f>COUNTIFS('فحص-بيانات-بكالوريوس'!$B$5:$B$208,"3. الطالب",'فحص-بيانات-بكالوريوس'!$I$5:$I$208,"غير متوفر")</f>
        <v>0</v>
      </c>
      <c r="F18" s="30">
        <f t="shared" si="2"/>
        <v>32</v>
      </c>
      <c r="G18" s="35">
        <f t="shared" si="3"/>
        <v>0</v>
      </c>
      <c r="H18" s="30">
        <f>COUNTIFS('فحص-بيانات-بكالوريوس'!$B$5:$B$208,"3. الطالب",'فحص-بيانات-بكالوريوس'!$K$5:$K$208,"عالية")</f>
        <v>0</v>
      </c>
      <c r="I18" s="30">
        <f>COUNTIFS('فحص-بيانات-بكالوريوس'!$B$5:$B$208,"3. الطالب",'فحص-بيانات-بكالوريوس'!$P$5:$P$208,"&lt;&gt;")</f>
        <v>0</v>
      </c>
      <c r="J18" s="26"/>
    </row>
    <row r="19" spans="1:10" ht="26" x14ac:dyDescent="0.55000000000000004">
      <c r="A19" s="34" t="s">
        <v>128</v>
      </c>
      <c r="B19" s="30">
        <f>COUNTIF('فحص-بيانات-بكالوريوس'!$B$5:$B$208,"4. هيئة التدريس")</f>
        <v>26</v>
      </c>
      <c r="C19" s="30">
        <f>COUNTIFS('فحص-بيانات-بكالوريوس'!$B$5:$B$208,"4. هيئة التدريس",'فحص-بيانات-بكالوريوس'!$I$5:$I$208,"متوفر ومكتمل")</f>
        <v>0</v>
      </c>
      <c r="D19" s="30">
        <f>COUNTIFS('فحص-بيانات-بكالوريوس'!$B$5:$B$208,"4. هيئة التدريس",'فحص-بيانات-بكالوريوس'!$I$5:$I$208,"متوفر ويحتاج تحسين")</f>
        <v>0</v>
      </c>
      <c r="E19" s="30">
        <f>COUNTIFS('فحص-بيانات-بكالوريوس'!$B$5:$B$208,"4. هيئة التدريس",'فحص-بيانات-بكالوريوس'!$I$5:$I$208,"غير متوفر")</f>
        <v>0</v>
      </c>
      <c r="F19" s="30">
        <f t="shared" si="2"/>
        <v>26</v>
      </c>
      <c r="G19" s="35">
        <f t="shared" si="3"/>
        <v>0</v>
      </c>
      <c r="H19" s="30">
        <f>COUNTIFS('فحص-بيانات-بكالوريوس'!$B$5:$B$208,"4. هيئة التدريس",'فحص-بيانات-بكالوريوس'!$K$5:$K$208,"عالية")</f>
        <v>0</v>
      </c>
      <c r="I19" s="30">
        <f>COUNTIFS('فحص-بيانات-بكالوريوس'!$B$5:$B$208,"4. هيئة التدريس",'فحص-بيانات-بكالوريوس'!$P$5:$P$208,"&lt;&gt;")</f>
        <v>0</v>
      </c>
      <c r="J19" s="26"/>
    </row>
    <row r="20" spans="1:10" ht="26" x14ac:dyDescent="0.55000000000000004">
      <c r="A20" s="34" t="s">
        <v>129</v>
      </c>
      <c r="B20" s="30">
        <f>COUNTIF('فحص-بيانات-بكالوريوس'!$B$5:$B$208,"5. مصادر التعلم والمرافق والتجهيزات")</f>
        <v>19</v>
      </c>
      <c r="C20" s="30">
        <f>COUNTIFS('فحص-بيانات-بكالوريوس'!$B$5:$B$208,"5. مصادر التعلم والمرافق والتجهيزات",'فحص-بيانات-بكالوريوس'!$I$5:$I$208,"متوفر ومكتمل")</f>
        <v>0</v>
      </c>
      <c r="D20" s="30">
        <f>COUNTIFS('فحص-بيانات-بكالوريوس'!$B$5:$B$208,"5. مصادر التعلم والمرافق والتجهيزات",'فحص-بيانات-بكالوريوس'!$I$5:$I$208,"متوفر ويحتاج تحسين")</f>
        <v>0</v>
      </c>
      <c r="E20" s="30">
        <f>COUNTIFS('فحص-بيانات-بكالوريوس'!$B$5:$B$208,"5. مصادر التعلم والمرافق والتجهيزات",'فحص-بيانات-بكالوريوس'!$I$5:$I$208,"غير متوفر")</f>
        <v>0</v>
      </c>
      <c r="F20" s="30">
        <f t="shared" si="2"/>
        <v>19</v>
      </c>
      <c r="G20" s="35">
        <f t="shared" si="3"/>
        <v>0</v>
      </c>
      <c r="H20" s="30">
        <f>COUNTIFS('فحص-بيانات-بكالوريوس'!$B$5:$B$208,"5. مصادر التعلم والمرافق والتجهيزات",'فحص-بيانات-بكالوريوس'!$K$5:$K$208,"عالية")</f>
        <v>0</v>
      </c>
      <c r="I20" s="30">
        <f>COUNTIFS('فحص-بيانات-بكالوريوس'!$B$5:$B$208,"5. مصادر التعلم والمرافق والتجهيزات",'فحص-بيانات-بكالوريوس'!$P$5:$P$208,"&lt;&gt;")</f>
        <v>0</v>
      </c>
      <c r="J20" s="26"/>
    </row>
    <row r="21" spans="1:10" ht="26" x14ac:dyDescent="0.55000000000000004">
      <c r="A21" s="27" t="s">
        <v>130</v>
      </c>
      <c r="B21" s="36">
        <f>COUNTIF('فحص-بيانات-بكالوريوس'!$D$5:$D$208,"★")</f>
        <v>63</v>
      </c>
      <c r="C21" s="36">
        <f>COUNTIFS('فحص-بيانات-بكالوريوس'!$D$5:$D$208,"★",'فحص-بيانات-بكالوريوس'!$I$5:$I$208,"متوفر ومكتمل")</f>
        <v>0</v>
      </c>
      <c r="D21" s="36">
        <f>COUNTIFS('فحص-بيانات-بكالوريوس'!$D$5:$D$208,"★",'فحص-بيانات-بكالوريوس'!$I$5:$I$208,"متوفر ويحتاج تحسين")</f>
        <v>0</v>
      </c>
      <c r="E21" s="36">
        <f>COUNTIFS('فحص-بيانات-بكالوريوس'!$D$5:$D$208,"★",'فحص-بيانات-بكالوريوس'!$I$5:$I$208,"غير متوفر")</f>
        <v>0</v>
      </c>
      <c r="F21" s="36">
        <f t="shared" si="2"/>
        <v>63</v>
      </c>
      <c r="G21" s="37">
        <f t="shared" si="3"/>
        <v>0</v>
      </c>
      <c r="H21" s="36">
        <f>COUNTIFS('فحص-بيانات-بكالوريوس'!$D$5:$D$208,"★",'فحص-بيانات-بكالوريوس'!$K$5:$K$208,"عالية")</f>
        <v>0</v>
      </c>
      <c r="I21" s="36">
        <f>COUNTIFS('فحص-بيانات-بكالوريوس'!$D$5:$D$208,"★",'فحص-بيانات-بكالوريوس'!$P$5:$P$208,"&lt;&gt;")</f>
        <v>0</v>
      </c>
      <c r="J21" s="26"/>
    </row>
    <row r="22" spans="1:10" ht="26" x14ac:dyDescent="0.55000000000000004">
      <c r="A22" s="27" t="s">
        <v>131</v>
      </c>
      <c r="B22" s="36">
        <f>COUNTIF('فحص-بيانات-بكالوريوس'!$A$5:$A$208,"*")</f>
        <v>204</v>
      </c>
      <c r="C22" s="36">
        <f>COUNTIFS('فحص-بيانات-بكالوريوس'!$A$5:$A$208,"*",'فحص-بيانات-بكالوريوس'!$I$5:$I$208,"متوفر ومكتمل")</f>
        <v>0</v>
      </c>
      <c r="D22" s="36">
        <f>COUNTIFS('فحص-بيانات-بكالوريوس'!$A$5:$A$208,"*",'فحص-بيانات-بكالوريوس'!$I$5:$I$208,"متوفر ويحتاج تحسين")</f>
        <v>0</v>
      </c>
      <c r="E22" s="36">
        <f>COUNTIFS('فحص-بيانات-بكالوريوس'!$A$5:$A$208,"*",'فحص-بيانات-بكالوريوس'!$I$5:$I$208,"غير متوفر")</f>
        <v>0</v>
      </c>
      <c r="F22" s="36">
        <f t="shared" si="2"/>
        <v>204</v>
      </c>
      <c r="G22" s="37">
        <f t="shared" si="3"/>
        <v>0</v>
      </c>
      <c r="H22" s="36">
        <f>COUNTIFS('فحص-بيانات-بكالوريوس'!$A$5:$A$208,"*",'فحص-بيانات-بكالوريوس'!$K$5:$K$208,"عالية")</f>
        <v>0</v>
      </c>
      <c r="I22" s="36">
        <f>COUNTIFS('فحص-بيانات-بكالوريوس'!$A$5:$A$208,"*",'فحص-بيانات-بكالوريوس'!$P$5:$P$208,"&lt;&gt;")</f>
        <v>0</v>
      </c>
      <c r="J22" s="26"/>
    </row>
    <row r="23" spans="1:10" ht="26" x14ac:dyDescent="0.55000000000000004">
      <c r="A23" s="26"/>
      <c r="B23" s="26"/>
      <c r="C23" s="26"/>
      <c r="D23" s="26"/>
      <c r="E23" s="26"/>
      <c r="F23" s="26"/>
      <c r="G23" s="26"/>
      <c r="H23" s="26"/>
      <c r="I23" s="26"/>
      <c r="J23" s="26"/>
    </row>
    <row r="24" spans="1:10" ht="28" x14ac:dyDescent="0.6">
      <c r="A24" s="101" t="str">
        <f>'الإعدادات واللجنة'!$B$7</f>
        <v>ماجستير علوم البيانات</v>
      </c>
      <c r="B24" s="101"/>
      <c r="C24" s="101"/>
      <c r="D24" s="101"/>
      <c r="E24" s="101"/>
      <c r="F24" s="101"/>
      <c r="G24" s="101"/>
      <c r="H24" s="101"/>
      <c r="I24" s="101"/>
      <c r="J24" s="26"/>
    </row>
    <row r="25" spans="1:10" ht="26" x14ac:dyDescent="0.55000000000000004">
      <c r="A25" s="29" t="s">
        <v>116</v>
      </c>
      <c r="B25" s="29" t="s">
        <v>117</v>
      </c>
      <c r="C25" s="29" t="s">
        <v>118</v>
      </c>
      <c r="D25" s="29" t="s">
        <v>119</v>
      </c>
      <c r="E25" s="29" t="s">
        <v>120</v>
      </c>
      <c r="F25" s="29" t="s">
        <v>121</v>
      </c>
      <c r="G25" s="29" t="s">
        <v>122</v>
      </c>
      <c r="H25" s="29" t="s">
        <v>123</v>
      </c>
      <c r="I25" s="29" t="s">
        <v>648</v>
      </c>
      <c r="J25" s="26"/>
    </row>
    <row r="26" spans="1:10" ht="26" x14ac:dyDescent="0.55000000000000004">
      <c r="A26" s="34" t="s">
        <v>125</v>
      </c>
      <c r="B26" s="30">
        <f>COUNTIF('فحص-بيانات-ماجستير'!$B$5:$B$230,"1. إدارة البرنامج وضمان جودته")</f>
        <v>52</v>
      </c>
      <c r="C26" s="30">
        <f>COUNTIFS('فحص-بيانات-ماجستير'!$B$5:$B$230,"1. إدارة البرنامج وضمان جودته",'فحص-بيانات-ماجستير'!$I$5:$I$230,"متوفر ومكتمل")</f>
        <v>0</v>
      </c>
      <c r="D26" s="30">
        <f>COUNTIFS('فحص-بيانات-ماجستير'!$B$5:$B$230,"1. إدارة البرنامج وضمان جودته",'فحص-بيانات-ماجستير'!$I$5:$I$230,"متوفر ويحتاج تحسين")</f>
        <v>0</v>
      </c>
      <c r="E26" s="30">
        <f>COUNTIFS('فحص-بيانات-ماجستير'!$B$5:$B$230,"1. إدارة البرنامج وضمان جودته",'فحص-بيانات-ماجستير'!$I$5:$I$230,"غير متوفر")</f>
        <v>0</v>
      </c>
      <c r="F26" s="30">
        <f t="shared" ref="F26:F33" si="4">B26-SUM(C26:E26)</f>
        <v>52</v>
      </c>
      <c r="G26" s="35">
        <f t="shared" ref="G26:G33" si="5">IF(B26=0,0,C26/B26)</f>
        <v>0</v>
      </c>
      <c r="H26" s="30">
        <f>COUNTIFS('فحص-بيانات-ماجستير'!$B$5:$B$230,"1. إدارة البرنامج وضمان جودته",'فحص-بيانات-ماجستير'!$K$5:$K$230,"عالية")</f>
        <v>0</v>
      </c>
      <c r="I26" s="30">
        <f>COUNTIFS('فحص-بيانات-ماجستير'!$B$5:$B$230,"1. إدارة البرنامج وضمان جودته",'فحص-بيانات-ماجستير'!$P$5:$P$230,"&lt;&gt;")</f>
        <v>0</v>
      </c>
      <c r="J26" s="26"/>
    </row>
    <row r="27" spans="1:10" ht="26" x14ac:dyDescent="0.55000000000000004">
      <c r="A27" s="34" t="s">
        <v>126</v>
      </c>
      <c r="B27" s="30">
        <f>COUNTIF('فحص-بيانات-ماجستير'!$B$5:$B$230,"2. التعليم والتعلم")</f>
        <v>68</v>
      </c>
      <c r="C27" s="30">
        <f>COUNTIFS('فحص-بيانات-ماجستير'!$B$5:$B$230,"2. التعليم والتعلم",'فحص-بيانات-ماجستير'!$I$5:$I$230,"متوفر ومكتمل")</f>
        <v>0</v>
      </c>
      <c r="D27" s="30">
        <f>COUNTIFS('فحص-بيانات-ماجستير'!$B$5:$B$230,"2. التعليم والتعلم",'فحص-بيانات-ماجستير'!$I$5:$I$230,"متوفر ويحتاج تحسين")</f>
        <v>0</v>
      </c>
      <c r="E27" s="30">
        <f>COUNTIFS('فحص-بيانات-ماجستير'!$B$5:$B$230,"2. التعليم والتعلم",'فحص-بيانات-ماجستير'!$I$5:$I$230,"غير متوفر")</f>
        <v>0</v>
      </c>
      <c r="F27" s="30">
        <f t="shared" si="4"/>
        <v>68</v>
      </c>
      <c r="G27" s="35">
        <f t="shared" si="5"/>
        <v>0</v>
      </c>
      <c r="H27" s="30">
        <f>COUNTIFS('فحص-بيانات-ماجستير'!$B$5:$B$230,"2. التعليم والتعلم",'فحص-بيانات-ماجستير'!$K$5:$K$230,"عالية")</f>
        <v>0</v>
      </c>
      <c r="I27" s="30">
        <f>COUNTIFS('فحص-بيانات-ماجستير'!$B$5:$B$230,"2. التعليم والتعلم",'فحص-بيانات-ماجستير'!$P$5:$P$230,"&lt;&gt;")</f>
        <v>0</v>
      </c>
      <c r="J27" s="26"/>
    </row>
    <row r="28" spans="1:10" ht="26" x14ac:dyDescent="0.55000000000000004">
      <c r="A28" s="34" t="s">
        <v>127</v>
      </c>
      <c r="B28" s="30">
        <f>COUNTIF('فحص-بيانات-ماجستير'!$B$5:$B$230,"3. الطالب")</f>
        <v>28</v>
      </c>
      <c r="C28" s="30">
        <f>COUNTIFS('فحص-بيانات-ماجستير'!$B$5:$B$230,"3. الطالب",'فحص-بيانات-ماجستير'!$I$5:$I$230,"متوفر ومكتمل")</f>
        <v>0</v>
      </c>
      <c r="D28" s="30">
        <f>COUNTIFS('فحص-بيانات-ماجستير'!$B$5:$B$230,"3. الطالب",'فحص-بيانات-ماجستير'!$I$5:$I$230,"متوفر ويحتاج تحسين")</f>
        <v>0</v>
      </c>
      <c r="E28" s="30">
        <f>COUNTIFS('فحص-بيانات-ماجستير'!$B$5:$B$230,"3. الطالب",'فحص-بيانات-ماجستير'!$I$5:$I$230,"غير متوفر")</f>
        <v>0</v>
      </c>
      <c r="F28" s="30">
        <f t="shared" si="4"/>
        <v>28</v>
      </c>
      <c r="G28" s="35">
        <f t="shared" si="5"/>
        <v>0</v>
      </c>
      <c r="H28" s="30">
        <f>COUNTIFS('فحص-بيانات-ماجستير'!$B$5:$B$230,"3. الطالب",'فحص-بيانات-ماجستير'!$K$5:$K$230,"عالية")</f>
        <v>0</v>
      </c>
      <c r="I28" s="30">
        <f>COUNTIFS('فحص-بيانات-ماجستير'!$B$5:$B$230,"3. الطالب",'فحص-بيانات-ماجستير'!$P$5:$P$230,"&lt;&gt;")</f>
        <v>0</v>
      </c>
      <c r="J28" s="26"/>
    </row>
    <row r="29" spans="1:10" ht="26" x14ac:dyDescent="0.55000000000000004">
      <c r="A29" s="34" t="s">
        <v>128</v>
      </c>
      <c r="B29" s="30">
        <f>COUNTIF('فحص-بيانات-ماجستير'!$B$5:$B$230,"4. هيئة التدريس")</f>
        <v>26</v>
      </c>
      <c r="C29" s="30">
        <f>COUNTIFS('فحص-بيانات-ماجستير'!$B$5:$B$230,"4. هيئة التدريس",'فحص-بيانات-ماجستير'!$I$5:$I$230,"متوفر ومكتمل")</f>
        <v>0</v>
      </c>
      <c r="D29" s="30">
        <f>COUNTIFS('فحص-بيانات-ماجستير'!$B$5:$B$230,"4. هيئة التدريس",'فحص-بيانات-ماجستير'!$I$5:$I$230,"متوفر ويحتاج تحسين")</f>
        <v>0</v>
      </c>
      <c r="E29" s="30">
        <f>COUNTIFS('فحص-بيانات-ماجستير'!$B$5:$B$230,"4. هيئة التدريس",'فحص-بيانات-ماجستير'!$I$5:$I$230,"غير متوفر")</f>
        <v>0</v>
      </c>
      <c r="F29" s="30">
        <f t="shared" si="4"/>
        <v>26</v>
      </c>
      <c r="G29" s="35">
        <f t="shared" si="5"/>
        <v>0</v>
      </c>
      <c r="H29" s="30">
        <f>COUNTIFS('فحص-بيانات-ماجستير'!$B$5:$B$230,"4. هيئة التدريس",'فحص-بيانات-ماجستير'!$K$5:$K$230,"عالية")</f>
        <v>0</v>
      </c>
      <c r="I29" s="30">
        <f>COUNTIFS('فحص-بيانات-ماجستير'!$B$5:$B$230,"4. هيئة التدريس",'فحص-بيانات-ماجستير'!$P$5:$P$230,"&lt;&gt;")</f>
        <v>0</v>
      </c>
      <c r="J29" s="26"/>
    </row>
    <row r="30" spans="1:10" ht="26" x14ac:dyDescent="0.55000000000000004">
      <c r="A30" s="34" t="s">
        <v>129</v>
      </c>
      <c r="B30" s="30">
        <f>COUNTIF('فحص-بيانات-ماجستير'!$B$5:$B$230,"5. مصادر التعلم والمرافق والتجهيزات")</f>
        <v>19</v>
      </c>
      <c r="C30" s="30">
        <f>COUNTIFS('فحص-بيانات-ماجستير'!$B$5:$B$230,"5. مصادر التعلم والمرافق والتجهيزات",'فحص-بيانات-ماجستير'!$I$5:$I$230,"متوفر ومكتمل")</f>
        <v>0</v>
      </c>
      <c r="D30" s="30">
        <f>COUNTIFS('فحص-بيانات-ماجستير'!$B$5:$B$230,"5. مصادر التعلم والمرافق والتجهيزات",'فحص-بيانات-ماجستير'!$I$5:$I$230,"متوفر ويحتاج تحسين")</f>
        <v>0</v>
      </c>
      <c r="E30" s="30">
        <f>COUNTIFS('فحص-بيانات-ماجستير'!$B$5:$B$230,"5. مصادر التعلم والمرافق والتجهيزات",'فحص-بيانات-ماجستير'!$I$5:$I$230,"غير متوفر")</f>
        <v>0</v>
      </c>
      <c r="F30" s="30">
        <f t="shared" si="4"/>
        <v>19</v>
      </c>
      <c r="G30" s="35">
        <f t="shared" si="5"/>
        <v>0</v>
      </c>
      <c r="H30" s="30">
        <f>COUNTIFS('فحص-بيانات-ماجستير'!$B$5:$B$230,"5. مصادر التعلم والمرافق والتجهيزات",'فحص-بيانات-ماجستير'!$K$5:$K$230,"عالية")</f>
        <v>0</v>
      </c>
      <c r="I30" s="30">
        <f>COUNTIFS('فحص-بيانات-ماجستير'!$B$5:$B$230,"5. مصادر التعلم والمرافق والتجهيزات",'فحص-بيانات-ماجستير'!$P$5:$P$230,"&lt;&gt;")</f>
        <v>0</v>
      </c>
      <c r="J30" s="26"/>
    </row>
    <row r="31" spans="1:10" ht="26" x14ac:dyDescent="0.55000000000000004">
      <c r="A31" s="34" t="s">
        <v>132</v>
      </c>
      <c r="B31" s="30">
        <f>COUNTIF('فحص-بيانات-ماجستير'!$B$5:$B$230,"6. البحث والمشاريع")</f>
        <v>33</v>
      </c>
      <c r="C31" s="30">
        <f>COUNTIFS('فحص-بيانات-ماجستير'!$B$5:$B$230,"6. البحث والمشاريع",'فحص-بيانات-ماجستير'!$I$5:$I$230,"متوفر ومكتمل")</f>
        <v>0</v>
      </c>
      <c r="D31" s="30">
        <f>COUNTIFS('فحص-بيانات-ماجستير'!$B$5:$B$230,"6. البحث والمشاريع",'فحص-بيانات-ماجستير'!$I$5:$I$230,"متوفر ويحتاج تحسين")</f>
        <v>0</v>
      </c>
      <c r="E31" s="30">
        <f>COUNTIFS('فحص-بيانات-ماجستير'!$B$5:$B$230,"6. البحث والمشاريع",'فحص-بيانات-ماجستير'!$I$5:$I$230,"غير متوفر")</f>
        <v>0</v>
      </c>
      <c r="F31" s="30">
        <f t="shared" si="4"/>
        <v>33</v>
      </c>
      <c r="G31" s="35">
        <f t="shared" si="5"/>
        <v>0</v>
      </c>
      <c r="H31" s="30">
        <f>COUNTIFS('فحص-بيانات-ماجستير'!$B$5:$B$230,"6. البحث والمشاريع",'فحص-بيانات-ماجستير'!$K$5:$K$230,"عالية")</f>
        <v>0</v>
      </c>
      <c r="I31" s="30">
        <f>COUNTIFS('فحص-بيانات-ماجستير'!$B$5:$B$230,"6. البحث والمشاريع",'فحص-بيانات-ماجستير'!$P$5:$P$230,"&lt;&gt;")</f>
        <v>0</v>
      </c>
      <c r="J31" s="26"/>
    </row>
    <row r="32" spans="1:10" ht="26" x14ac:dyDescent="0.55000000000000004">
      <c r="A32" s="27" t="s">
        <v>130</v>
      </c>
      <c r="B32" s="36">
        <f>COUNTIF('فحص-بيانات-ماجستير'!$D$5:$D$230,"★")</f>
        <v>69</v>
      </c>
      <c r="C32" s="36">
        <f>COUNTIFS('فحص-بيانات-ماجستير'!$D$5:$D$230,"★",'فحص-بيانات-ماجستير'!$I$5:$I$230,"متوفر ومكتمل")</f>
        <v>0</v>
      </c>
      <c r="D32" s="36">
        <f>COUNTIFS('فحص-بيانات-ماجستير'!$D$5:$D$230,"★",'فحص-بيانات-ماجستير'!$I$5:$I$230,"متوفر ويحتاج تحسين")</f>
        <v>0</v>
      </c>
      <c r="E32" s="36">
        <f>COUNTIFS('فحص-بيانات-ماجستير'!$D$5:$D$230,"★",'فحص-بيانات-ماجستير'!$I$5:$I$230,"غير متوفر")</f>
        <v>0</v>
      </c>
      <c r="F32" s="36">
        <f t="shared" si="4"/>
        <v>69</v>
      </c>
      <c r="G32" s="37">
        <f t="shared" si="5"/>
        <v>0</v>
      </c>
      <c r="H32" s="36">
        <f>COUNTIFS('فحص-بيانات-ماجستير'!$D$5:$D$230,"★",'فحص-بيانات-ماجستير'!$K$5:$K$230,"عالية")</f>
        <v>0</v>
      </c>
      <c r="I32" s="36">
        <f>COUNTIFS('فحص-بيانات-ماجستير'!$D$5:$D$230,"★",'فحص-بيانات-ماجستير'!$P$5:$P$230,"&lt;&gt;")</f>
        <v>0</v>
      </c>
      <c r="J32" s="26"/>
    </row>
    <row r="33" spans="1:10" ht="26" x14ac:dyDescent="0.55000000000000004">
      <c r="A33" s="27" t="s">
        <v>131</v>
      </c>
      <c r="B33" s="36">
        <f>COUNTIF('فحص-بيانات-ماجستير'!$A$5:$A$230,"*")</f>
        <v>226</v>
      </c>
      <c r="C33" s="36">
        <f>COUNTIFS('فحص-بيانات-ماجستير'!$A$5:$A$230,"*",'فحص-بيانات-ماجستير'!$I$5:$I$230,"متوفر ومكتمل")</f>
        <v>0</v>
      </c>
      <c r="D33" s="36">
        <f>COUNTIFS('فحص-بيانات-ماجستير'!$A$5:$A$230,"*",'فحص-بيانات-ماجستير'!$I$5:$I$230,"متوفر ويحتاج تحسين")</f>
        <v>0</v>
      </c>
      <c r="E33" s="36">
        <f>COUNTIFS('فحص-بيانات-ماجستير'!$A$5:$A$230,"*",'فحص-بيانات-ماجستير'!$I$5:$I$230,"غير متوفر")</f>
        <v>0</v>
      </c>
      <c r="F33" s="36">
        <f t="shared" si="4"/>
        <v>226</v>
      </c>
      <c r="G33" s="37">
        <f t="shared" si="5"/>
        <v>0</v>
      </c>
      <c r="H33" s="36">
        <f>COUNTIFS('فحص-بيانات-ماجستير'!$A$5:$A$230,"*",'فحص-بيانات-ماجستير'!$K$5:$K$230,"عالية")</f>
        <v>0</v>
      </c>
      <c r="I33" s="36">
        <f>COUNTIFS('فحص-بيانات-ماجستير'!$A$5:$A$230,"*",'فحص-بيانات-ماجستير'!$P$5:$P$230,"&lt;&gt;")</f>
        <v>0</v>
      </c>
      <c r="J33" s="26"/>
    </row>
    <row r="34" spans="1:10" ht="26" x14ac:dyDescent="0.55000000000000004">
      <c r="A34" s="26"/>
      <c r="B34" s="26"/>
      <c r="C34" s="26"/>
      <c r="D34" s="26"/>
      <c r="E34" s="26"/>
      <c r="F34" s="26"/>
      <c r="G34" s="26"/>
      <c r="H34" s="26"/>
      <c r="I34" s="26"/>
      <c r="J34" s="26"/>
    </row>
    <row r="35" spans="1:10" ht="26.75" customHeight="1" x14ac:dyDescent="0.55000000000000004">
      <c r="A35" s="97" t="s">
        <v>133</v>
      </c>
      <c r="B35" s="97"/>
      <c r="C35" s="97"/>
      <c r="D35" s="97"/>
      <c r="E35" s="97"/>
      <c r="F35" s="97"/>
      <c r="G35" s="97"/>
      <c r="H35" s="97"/>
      <c r="I35" s="97"/>
      <c r="J35" s="26"/>
    </row>
    <row r="36" spans="1:10" ht="52" x14ac:dyDescent="0.55000000000000004">
      <c r="A36" s="29" t="s">
        <v>70</v>
      </c>
      <c r="B36" s="29" t="s">
        <v>134</v>
      </c>
      <c r="C36" s="29" t="s">
        <v>135</v>
      </c>
      <c r="D36" s="29" t="s">
        <v>136</v>
      </c>
      <c r="E36" s="29" t="s">
        <v>124</v>
      </c>
      <c r="F36" s="29" t="s">
        <v>137</v>
      </c>
      <c r="G36" s="29"/>
      <c r="H36" s="29"/>
      <c r="I36" s="29"/>
      <c r="J36" s="26"/>
    </row>
    <row r="37" spans="1:10" ht="26" x14ac:dyDescent="0.55000000000000004">
      <c r="A37" s="34" t="str">
        <f>'الإعدادات واللجنة'!$B$15</f>
        <v>د. سلطان بن سعيد الشمراني</v>
      </c>
      <c r="B37" s="30">
        <f>COUNTIFS('فحص-حاسب-بكالوريوس'!$H$5:$H$208,'الإعدادات واللجنة'!$B$15)+COUNTIFS('فحص-بيانات-بكالوريوس'!$H$5:$H$208,'الإعدادات واللجنة'!$B$15)+COUNTIFS('فحص-بيانات-ماجستير'!$H$5:$H$230,'الإعدادات واللجنة'!$B$15)</f>
        <v>117</v>
      </c>
      <c r="C37" s="30">
        <f>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3</v>
      </c>
      <c r="D37" s="35">
        <f t="shared" ref="D37:D42" si="6">IF(B37=0,0,C37/B37)</f>
        <v>2.564102564102564E-2</v>
      </c>
      <c r="E37" s="30">
        <f>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30">
        <f>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c r="G37" s="26"/>
      <c r="H37" s="26"/>
      <c r="I37" s="26"/>
      <c r="J37" s="26"/>
    </row>
    <row r="38" spans="1:10" ht="26" x14ac:dyDescent="0.55000000000000004">
      <c r="A38" s="34" t="str">
        <f>'الإعدادات واللجنة'!$B$16</f>
        <v>د. احمد بن عوض البشري</v>
      </c>
      <c r="B38" s="30">
        <f>COUNTIFS('فحص-حاسب-بكالوريوس'!$H$5:$H$208,'الإعدادات واللجنة'!$B$16)+COUNTIFS('فحص-بيانات-بكالوريوس'!$H$5:$H$208,'الإعدادات واللجنة'!$B$16)+COUNTIFS('فحص-بيانات-ماجستير'!$H$5:$H$230,'الإعدادات واللجنة'!$B$16)</f>
        <v>141</v>
      </c>
      <c r="C38" s="30">
        <f>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35">
        <f t="shared" si="6"/>
        <v>0</v>
      </c>
      <c r="E38" s="30">
        <f>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30">
        <f>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c r="G38" s="26"/>
      <c r="H38" s="26"/>
      <c r="I38" s="26"/>
      <c r="J38" s="26"/>
    </row>
    <row r="39" spans="1:10" ht="26" x14ac:dyDescent="0.55000000000000004">
      <c r="A39" s="34" t="str">
        <f>'الإعدادات واللجنة'!$B$17</f>
        <v>د. يثرب بنت سعد القحطاني</v>
      </c>
      <c r="B39" s="30">
        <f>COUNTIFS('فحص-حاسب-بكالوريوس'!$H$5:$H$208,'الإعدادات واللجنة'!$B$17)+COUNTIFS('فحص-بيانات-بكالوريوس'!$H$5:$H$208,'الإعدادات واللجنة'!$B$17)+COUNTIFS('فحص-بيانات-ماجستير'!$H$5:$H$230,'الإعدادات واللجنة'!$B$17)</f>
        <v>77</v>
      </c>
      <c r="C39" s="30">
        <f>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35">
        <f t="shared" si="6"/>
        <v>0</v>
      </c>
      <c r="E39" s="30">
        <f>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30">
        <f>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c r="G39" s="26"/>
      <c r="H39" s="26"/>
      <c r="I39" s="26"/>
      <c r="J39" s="26"/>
    </row>
    <row r="40" spans="1:10" ht="26" x14ac:dyDescent="0.55000000000000004">
      <c r="A40" s="34" t="str">
        <f>'الإعدادات واللجنة'!$B$18</f>
        <v>د. عبدالله بن محمد البركاتي</v>
      </c>
      <c r="B40" s="30">
        <f>COUNTIFS('فحص-حاسب-بكالوريوس'!$H$5:$H$208,'الإعدادات واللجنة'!$B$18)+COUNTIFS('فحص-بيانات-بكالوريوس'!$H$5:$H$208,'الإعدادات واللجنة'!$B$18)+COUNTIFS('فحص-بيانات-ماجستير'!$H$5:$H$230,'الإعدادات واللجنة'!$B$18)</f>
        <v>92</v>
      </c>
      <c r="C40" s="30">
        <f>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35">
        <f t="shared" si="6"/>
        <v>0</v>
      </c>
      <c r="E40" s="30">
        <f>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30">
        <f>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c r="G40" s="26"/>
      <c r="H40" s="26"/>
      <c r="I40" s="26"/>
      <c r="J40" s="26"/>
    </row>
    <row r="41" spans="1:10" ht="26" x14ac:dyDescent="0.55000000000000004">
      <c r="A41" s="34" t="str">
        <f>'الإعدادات واللجنة'!$B$19</f>
        <v>د. عمر بن محمد موسى</v>
      </c>
      <c r="B41" s="30">
        <f>COUNTIFS('فحص-حاسب-بكالوريوس'!$H$5:$H$208,'الإعدادات واللجنة'!$B$19)+COUNTIFS('فحص-بيانات-بكالوريوس'!$H$5:$H$208,'الإعدادات واللجنة'!$B$19)+COUNTIFS('فحص-بيانات-ماجستير'!$H$5:$H$230,'الإعدادات واللجنة'!$B$19)</f>
        <v>117</v>
      </c>
      <c r="C41" s="30">
        <f>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35">
        <f t="shared" si="6"/>
        <v>0</v>
      </c>
      <c r="E41" s="30">
        <f>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30">
        <f>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c r="G41" s="26"/>
      <c r="H41" s="26"/>
      <c r="I41" s="26"/>
      <c r="J41" s="26"/>
    </row>
    <row r="42" spans="1:10" ht="26" x14ac:dyDescent="0.55000000000000004">
      <c r="A42" s="34" t="str">
        <f>'الإعدادات واللجنة'!$B$20</f>
        <v>د. حسن بن سعد القحطاني</v>
      </c>
      <c r="B42" s="30">
        <f>COUNTIFS('فحص-حاسب-بكالوريوس'!$H$5:$H$208,'الإعدادات واللجنة'!$B$20)+COUNTIFS('فحص-بيانات-بكالوريوس'!$H$5:$H$208,'الإعدادات واللجنة'!$B$20)+COUNTIFS('فحص-بيانات-ماجستير'!$H$5:$H$230,'الإعدادات واللجنة'!$B$20)</f>
        <v>90</v>
      </c>
      <c r="C42" s="30">
        <f>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35">
        <f t="shared" si="6"/>
        <v>0</v>
      </c>
      <c r="E42" s="30">
        <f>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30">
        <f>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c r="G42" s="26"/>
      <c r="H42" s="26"/>
      <c r="I42" s="26"/>
      <c r="J42" s="26"/>
    </row>
    <row r="43" spans="1:10" ht="26" x14ac:dyDescent="0.55000000000000004">
      <c r="A43" s="26"/>
      <c r="B43" s="26"/>
      <c r="C43" s="26"/>
      <c r="D43" s="26"/>
      <c r="E43" s="26"/>
      <c r="F43" s="26"/>
      <c r="G43" s="26"/>
      <c r="H43" s="26"/>
      <c r="I43" s="26"/>
      <c r="J43" s="26"/>
    </row>
    <row r="44" spans="1:10" ht="26.75" customHeight="1" x14ac:dyDescent="0.55000000000000004">
      <c r="A44" s="97" t="s">
        <v>138</v>
      </c>
      <c r="B44" s="97"/>
      <c r="C44" s="97"/>
      <c r="D44" s="97"/>
      <c r="E44" s="97"/>
      <c r="F44" s="97"/>
      <c r="G44" s="97"/>
      <c r="H44" s="97"/>
      <c r="I44" s="97"/>
      <c r="J44" s="26"/>
    </row>
    <row r="45" spans="1:10" ht="52" x14ac:dyDescent="0.55000000000000004">
      <c r="A45" s="29" t="s">
        <v>139</v>
      </c>
      <c r="B45" s="29" t="str">
        <f>'الإعدادات واللجنة'!$B$5</f>
        <v>بكالوريوس علوم الحاسب</v>
      </c>
      <c r="C45" s="29" t="str">
        <f>'الإعدادات واللجنة'!$B$6</f>
        <v>بكالوريوس علوم البيانات</v>
      </c>
      <c r="D45" s="29" t="str">
        <f>'الإعدادات واللجنة'!$B$7</f>
        <v>ماجستير علوم البيانات</v>
      </c>
      <c r="E45" s="26"/>
      <c r="F45" s="26"/>
      <c r="G45" s="26"/>
      <c r="H45" s="26"/>
      <c r="I45" s="26"/>
      <c r="J45" s="26"/>
    </row>
    <row r="46" spans="1:10" ht="26" x14ac:dyDescent="0.55000000000000004">
      <c r="A46" s="34" t="s">
        <v>588</v>
      </c>
      <c r="B46" s="30">
        <f>COUNTIF('فحص-حاسب-بكالوريوس'!$J$5:$J$208,"فجوة توثيق")</f>
        <v>1</v>
      </c>
      <c r="C46" s="30">
        <f>COUNTIF('فحص-بيانات-بكالوريوس'!$J$5:$J$208,"فجوة توثيق")</f>
        <v>0</v>
      </c>
      <c r="D46" s="30">
        <f>COUNTIF('فحص-بيانات-ماجستير'!$J$5:$J$230,"فجوة توثيق")</f>
        <v>0</v>
      </c>
      <c r="E46" s="26"/>
      <c r="F46" s="26"/>
      <c r="G46" s="26"/>
      <c r="H46" s="26"/>
      <c r="I46" s="26"/>
      <c r="J46" s="26"/>
    </row>
    <row r="47" spans="1:10" ht="26" x14ac:dyDescent="0.55000000000000004">
      <c r="A47" s="34" t="s">
        <v>589</v>
      </c>
      <c r="B47" s="30">
        <f>COUNTIF('فحص-حاسب-بكالوريوس'!$J$5:$J$208,"فجوة تطبيق")</f>
        <v>1</v>
      </c>
      <c r="C47" s="30">
        <f>COUNTIF('فحص-بيانات-بكالوريوس'!$J$5:$J$208,"فجوة تطبيق")</f>
        <v>0</v>
      </c>
      <c r="D47" s="30">
        <f>COUNTIF('فحص-بيانات-ماجستير'!$J$5:$J$230,"فجوة تطبيق")</f>
        <v>0</v>
      </c>
      <c r="E47" s="26"/>
      <c r="F47" s="26"/>
      <c r="G47" s="26"/>
      <c r="H47" s="26"/>
      <c r="I47" s="26"/>
      <c r="J47" s="26"/>
    </row>
  </sheetData>
  <mergeCells count="7">
    <mergeCell ref="A35:I35"/>
    <mergeCell ref="A44:I44"/>
    <mergeCell ref="A1:I1"/>
    <mergeCell ref="A2:I2"/>
    <mergeCell ref="A4:I4"/>
    <mergeCell ref="A14:I14"/>
    <mergeCell ref="A24:I24"/>
  </mergeCells>
  <conditionalFormatting sqref="D37:D42">
    <cfRule type="dataBar" priority="5">
      <dataBar>
        <cfvo type="num" val="0"/>
        <cfvo type="num" val="1"/>
        <color rgb="FF70AD47"/>
      </dataBar>
    </cfRule>
    <cfRule type="dataBar" priority="6">
      <dataBar>
        <cfvo type="num" val="0"/>
        <cfvo type="num" val="1"/>
        <color rgb="FF70AD47"/>
      </dataBar>
    </cfRule>
    <cfRule type="dataBar" priority="10">
      <dataBar>
        <cfvo type="num" val="0"/>
        <cfvo type="num" val="1"/>
        <color rgb="FF70AD47"/>
      </dataBar>
      <extLst>
        <ext xmlns:x14="http://schemas.microsoft.com/office/spreadsheetml/2009/9/main" uri="{B025F937-C7B1-47D3-B67F-A62EFF666E3E}">
          <x14:id>{5FB871AB-4E2D-48DD-9AE0-C8FD87A9AD7D}</x14:id>
        </ext>
      </extLst>
    </cfRule>
  </conditionalFormatting>
  <conditionalFormatting sqref="G6:G12">
    <cfRule type="dataBar" priority="2">
      <dataBar>
        <cfvo type="num" val="0"/>
        <cfvo type="num" val="1"/>
        <color rgb="FF5B9BD5"/>
      </dataBar>
    </cfRule>
    <cfRule type="dataBar" priority="7">
      <dataBar>
        <cfvo type="num" val="0"/>
        <cfvo type="num" val="1"/>
        <color rgb="FF5B9BD5"/>
      </dataBar>
    </cfRule>
    <cfRule type="dataBar" priority="11">
      <dataBar>
        <cfvo type="num" val="0"/>
        <cfvo type="num" val="1"/>
        <color rgb="FF5B9BD5"/>
      </dataBar>
      <extLst>
        <ext xmlns:x14="http://schemas.microsoft.com/office/spreadsheetml/2009/9/main" uri="{B025F937-C7B1-47D3-B67F-A62EFF666E3E}">
          <x14:id>{3385169E-CA70-4B7D-8470-29DC1E962E10}</x14:id>
        </ext>
      </extLst>
    </cfRule>
  </conditionalFormatting>
  <conditionalFormatting sqref="G16:G22">
    <cfRule type="dataBar" priority="3">
      <dataBar>
        <cfvo type="num" val="0"/>
        <cfvo type="num" val="1"/>
        <color rgb="FF5B9BD5"/>
      </dataBar>
    </cfRule>
    <cfRule type="dataBar" priority="8">
      <dataBar>
        <cfvo type="num" val="0"/>
        <cfvo type="num" val="1"/>
        <color rgb="FF5B9BD5"/>
      </dataBar>
    </cfRule>
    <cfRule type="dataBar" priority="12">
      <dataBar>
        <cfvo type="num" val="0"/>
        <cfvo type="num" val="1"/>
        <color rgb="FF5B9BD5"/>
      </dataBar>
      <extLst>
        <ext xmlns:x14="http://schemas.microsoft.com/office/spreadsheetml/2009/9/main" uri="{B025F937-C7B1-47D3-B67F-A62EFF666E3E}">
          <x14:id>{BFE9761E-F0C6-40F7-997F-A4177A875D6C}</x14:id>
        </ext>
      </extLst>
    </cfRule>
  </conditionalFormatting>
  <conditionalFormatting sqref="G26:G33">
    <cfRule type="dataBar" priority="4">
      <dataBar>
        <cfvo type="num" val="0"/>
        <cfvo type="num" val="1"/>
        <color rgb="FF5B9BD5"/>
      </dataBar>
    </cfRule>
    <cfRule type="dataBar" priority="9">
      <dataBar>
        <cfvo type="num" val="0"/>
        <cfvo type="num" val="1"/>
        <color rgb="FF5B9BD5"/>
      </dataBar>
    </cfRule>
    <cfRule type="dataBar" priority="13">
      <dataBar>
        <cfvo type="num" val="0"/>
        <cfvo type="num" val="1"/>
        <color rgb="FF5B9BD5"/>
      </dataBar>
      <extLst>
        <ext xmlns:x14="http://schemas.microsoft.com/office/spreadsheetml/2009/9/main" uri="{B025F937-C7B1-47D3-B67F-A62EFF666E3E}">
          <x14:id>{89BBA577-6837-4B9C-B61B-62FF5024EAF4}</x14:id>
        </ext>
      </extLst>
    </cfRule>
  </conditionalFormatting>
  <pageMargins left="0.7" right="0.7" top="0.75" bottom="0.75" header="0.3" footer="0.3"/>
  <headerFooter>
    <oddFooter xml:space="preserve">&amp;L_x000D_&amp;1#&amp;"Aptos"&amp;10&amp;K000000 Restricted - مقيد </oddFooter>
  </headerFooter>
  <extLst>
    <ext xmlns:x14="http://schemas.microsoft.com/office/spreadsheetml/2009/9/main" uri="{78C0D931-6437-407d-A8EE-F0AAD7539E65}">
      <x14:conditionalFormattings>
        <x14:conditionalFormatting xmlns:xm="http://schemas.microsoft.com/office/excel/2006/main">
          <x14:cfRule type="dataBar" id="{5FB871AB-4E2D-48DD-9AE0-C8FD87A9AD7D}">
            <x14:dataBar>
              <x14:cfvo type="num">
                <xm:f>0</xm:f>
              </x14:cfvo>
              <x14:cfvo type="num">
                <xm:f>1</xm:f>
              </x14:cfvo>
              <x14:negativeFillColor rgb="FF70AD47"/>
              <x14:axisColor auto="1"/>
            </x14:dataBar>
          </x14:cfRule>
          <xm:sqref>D37:D42</xm:sqref>
        </x14:conditionalFormatting>
        <x14:conditionalFormatting xmlns:xm="http://schemas.microsoft.com/office/excel/2006/main">
          <x14:cfRule type="dataBar" id="{3385169E-CA70-4B7D-8470-29DC1E962E10}">
            <x14:dataBar>
              <x14:cfvo type="num">
                <xm:f>0</xm:f>
              </x14:cfvo>
              <x14:cfvo type="num">
                <xm:f>1</xm:f>
              </x14:cfvo>
              <x14:negativeFillColor rgb="FF5B9BD5"/>
              <x14:axisColor auto="1"/>
            </x14:dataBar>
          </x14:cfRule>
          <xm:sqref>G6:G12</xm:sqref>
        </x14:conditionalFormatting>
        <x14:conditionalFormatting xmlns:xm="http://schemas.microsoft.com/office/excel/2006/main">
          <x14:cfRule type="dataBar" id="{BFE9761E-F0C6-40F7-997F-A4177A875D6C}">
            <x14:dataBar>
              <x14:cfvo type="num">
                <xm:f>0</xm:f>
              </x14:cfvo>
              <x14:cfvo type="num">
                <xm:f>1</xm:f>
              </x14:cfvo>
              <x14:negativeFillColor rgb="FF5B9BD5"/>
              <x14:axisColor auto="1"/>
            </x14:dataBar>
          </x14:cfRule>
          <xm:sqref>G16:G22</xm:sqref>
        </x14:conditionalFormatting>
        <x14:conditionalFormatting xmlns:xm="http://schemas.microsoft.com/office/excel/2006/main">
          <x14:cfRule type="dataBar" id="{89BBA577-6837-4B9C-B61B-62FF5024EAF4}">
            <x14:dataBar>
              <x14:cfvo type="num">
                <xm:f>0</xm:f>
              </x14:cfvo>
              <x14:cfvo type="num">
                <xm:f>1</xm:f>
              </x14:cfvo>
              <x14:negativeFillColor rgb="FF5B9BD5"/>
              <x14:axisColor auto="1"/>
            </x14:dataBar>
          </x14:cfRule>
          <xm:sqref>G26:G33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6D899-D0E7-A14D-966D-CF424C8168F3}">
  <sheetPr>
    <tabColor rgb="FF2E75B6"/>
  </sheetPr>
  <dimension ref="A1:J235"/>
  <sheetViews>
    <sheetView rightToLeft="1" tabSelected="1" workbookViewId="0">
      <pane ySplit="5" topLeftCell="A6" activePane="bottomLeft" state="frozen"/>
      <selection pane="bottomLeft" activeCell="E12" sqref="E12"/>
    </sheetView>
  </sheetViews>
  <sheetFormatPr baseColWidth="10" defaultColWidth="8.83203125" defaultRowHeight="15" x14ac:dyDescent="0.2"/>
  <cols>
    <col min="1" max="1" width="6" customWidth="1"/>
    <col min="2" max="2" width="10" customWidth="1"/>
    <col min="3" max="3" width="48" customWidth="1"/>
    <col min="4" max="4" width="26" customWidth="1"/>
    <col min="5" max="5" width="13" customWidth="1"/>
    <col min="6" max="6" width="40" customWidth="1"/>
    <col min="7" max="7" width="18" customWidth="1"/>
    <col min="8" max="8" width="4" customWidth="1"/>
    <col min="9" max="10" width="6" hidden="1" customWidth="1"/>
  </cols>
  <sheetData>
    <row r="1" spans="1:10" ht="30" customHeight="1" x14ac:dyDescent="0.55000000000000004">
      <c r="A1" s="74" t="s">
        <v>590</v>
      </c>
      <c r="B1" s="102"/>
      <c r="C1" s="102"/>
      <c r="D1" s="102"/>
      <c r="E1" s="102"/>
      <c r="F1" s="102"/>
      <c r="G1" s="102"/>
    </row>
    <row r="2" spans="1:10" ht="22" customHeight="1" x14ac:dyDescent="0.55000000000000004">
      <c r="A2" s="75" t="s">
        <v>591</v>
      </c>
      <c r="B2" s="102"/>
      <c r="C2" s="102"/>
      <c r="D2" s="102"/>
      <c r="E2" s="102"/>
      <c r="F2" s="102"/>
      <c r="G2" s="102"/>
    </row>
    <row r="3" spans="1:10" ht="28" customHeight="1" x14ac:dyDescent="0.55000000000000004">
      <c r="A3" s="16" t="s">
        <v>592</v>
      </c>
      <c r="B3" s="103" t="s">
        <v>62</v>
      </c>
      <c r="C3" s="102"/>
      <c r="D3" s="16" t="s">
        <v>191</v>
      </c>
      <c r="E3" s="38" t="s">
        <v>120</v>
      </c>
      <c r="F3" s="16" t="s">
        <v>117</v>
      </c>
      <c r="G3" s="10">
        <f>IFERROR(CHOOSE($J$3,COUNTIF('فحص-حاسب-بكالوريوس'!$I$5:$I$208,$E$3),COUNTIF('فحص-بيانات-بكالوريوس'!$I$5:$I$208,$E$3),COUNTIF('فحص-بيانات-ماجستير'!$I$5:$I$230,$E$3)),0)</f>
        <v>1</v>
      </c>
      <c r="J3" s="2">
        <f>IFERROR(MATCH($B$3,'الإعدادات واللجنة'!$B$5:$B$7,0),1)</f>
        <v>1</v>
      </c>
    </row>
    <row r="4" spans="1:10" ht="26" x14ac:dyDescent="0.55000000000000004">
      <c r="A4" s="26"/>
      <c r="B4" s="26"/>
      <c r="C4" s="26"/>
      <c r="D4" s="26"/>
      <c r="E4" s="26"/>
      <c r="F4" s="26"/>
      <c r="G4" s="26"/>
    </row>
    <row r="5" spans="1:10" ht="28" customHeight="1" x14ac:dyDescent="0.2">
      <c r="A5" s="16" t="s">
        <v>69</v>
      </c>
      <c r="B5" s="16" t="s">
        <v>92</v>
      </c>
      <c r="C5" s="16" t="s">
        <v>593</v>
      </c>
      <c r="D5" s="16" t="s">
        <v>35</v>
      </c>
      <c r="E5" s="16" t="s">
        <v>139</v>
      </c>
      <c r="F5" s="16" t="s">
        <v>193</v>
      </c>
      <c r="G5" s="16" t="s">
        <v>194</v>
      </c>
    </row>
    <row r="6" spans="1:10" x14ac:dyDescent="0.2">
      <c r="A6" s="1">
        <f>IF($I6="","",1)</f>
        <v>1</v>
      </c>
      <c r="B6" s="2" t="str">
        <f>IF($I6="","",INDEX(CHOOSE($J$3,'فحص-حاسب-بكالوريوس'!$A$5:$A$208,'فحص-بيانات-بكالوريوس'!$A$5:$A$208,'فحص-بيانات-ماجستير'!$A$5:$A$230),$I6)&amp;"")</f>
        <v>1-1-2</v>
      </c>
      <c r="C6" s="2" t="str">
        <f>IF($I6="","",INDEX(CHOOSE($J$3,'فحص-حاسب-بكالوريوس'!$F$5:$F$208,'فحص-بيانات-بكالوريوس'!$F$5:$F$208,'فحص-بيانات-ماجستير'!$F$5:$F$230),$I6)&amp;"")</f>
        <v>استبانة تقييم القيادات الأكاديمية والإدارية بالبرنامج.</v>
      </c>
      <c r="D6" s="2" t="str">
        <f>IF($I6="","",INDEX(CHOOSE($J$3,'فحص-حاسب-بكالوريوس'!$H$5:$H$208,'فحص-بيانات-بكالوريوس'!$H$5:$H$208,'فحص-بيانات-ماجستير'!$H$5:$H$230),$I6)&amp;"")</f>
        <v>د. سلطان بن سعيد الشمراني</v>
      </c>
      <c r="E6" s="2" t="str">
        <f>IF($I6="","",INDEX(CHOOSE($J$3,'فحص-حاسب-بكالوريوس'!$J$5:$J$208,'فحص-بيانات-بكالوريوس'!$J$5:$J$208,'فحص-بيانات-ماجستير'!$J$5:$J$230),$I6)&amp;"")</f>
        <v>فجوة تطبيق</v>
      </c>
      <c r="F6" s="2" t="str">
        <f>IF($I6="","",INDEX(CHOOSE($J$3,'فحص-حاسب-بكالوريوس'!$L$5:$L$208,'فحص-بيانات-بكالوريوس'!$L$5:$L$208,'فحص-بيانات-ماجستير'!$L$5:$L$230),$I6)&amp;"")</f>
        <v/>
      </c>
      <c r="G6" s="2" t="str">
        <f>IF($I6="","",INDEX(CHOOSE($J$3,'فحص-حاسب-بكالوريوس'!$M$5:$M$208,'فحص-بيانات-بكالوريوس'!$M$5:$M$208,'فحص-بيانات-ماجستير'!$M$5:$M$230),$I6)&amp;"")</f>
        <v/>
      </c>
      <c r="I6" s="2">
        <f>IFERROR(MATCH($E$3&amp;"#"&amp;1,CHOOSE($J$3,'فحص-حاسب-بكالوريوس'!$R$5:$R$208,'فحص-بيانات-بكالوريوس'!$R$5:$R$208,'فحص-بيانات-ماجستير'!$R$5:$R$230),0),"")</f>
        <v>9</v>
      </c>
    </row>
    <row r="7" spans="1:10" x14ac:dyDescent="0.2">
      <c r="A7" s="1" t="str">
        <f>IF($I7="","",2)</f>
        <v/>
      </c>
      <c r="B7" s="2" t="str">
        <f>IF($I7="","",INDEX(CHOOSE($J$3,'فحص-حاسب-بكالوريوس'!$A$5:$A$208,'فحص-بيانات-بكالوريوس'!$A$5:$A$208,'فحص-بيانات-ماجستير'!$A$5:$A$230),$I7)&amp;"")</f>
        <v/>
      </c>
      <c r="C7" s="2" t="str">
        <f>IF($I7="","",INDEX(CHOOSE($J$3,'فحص-حاسب-بكالوريوس'!$F$5:$F$208,'فحص-بيانات-بكالوريوس'!$F$5:$F$208,'فحص-بيانات-ماجستير'!$F$5:$F$230),$I7)&amp;"")</f>
        <v/>
      </c>
      <c r="D7" s="2" t="str">
        <f>IF($I7="","",INDEX(CHOOSE($J$3,'فحص-حاسب-بكالوريوس'!$H$5:$H$208,'فحص-بيانات-بكالوريوس'!$H$5:$H$208,'فحص-بيانات-ماجستير'!$H$5:$H$230),$I7)&amp;"")</f>
        <v/>
      </c>
      <c r="E7" s="2" t="str">
        <f>IF($I7="","",INDEX(CHOOSE($J$3,'فحص-حاسب-بكالوريوس'!$J$5:$J$208,'فحص-بيانات-بكالوريوس'!$J$5:$J$208,'فحص-بيانات-ماجستير'!$J$5:$J$230),$I7)&amp;"")</f>
        <v/>
      </c>
      <c r="F7" s="2" t="str">
        <f>IF($I7="","",INDEX(CHOOSE($J$3,'فحص-حاسب-بكالوريوس'!$L$5:$L$208,'فحص-بيانات-بكالوريوس'!$L$5:$L$208,'فحص-بيانات-ماجستير'!$L$5:$L$230),$I7)&amp;"")</f>
        <v/>
      </c>
      <c r="G7" s="2" t="str">
        <f>IF($I7="","",INDEX(CHOOSE($J$3,'فحص-حاسب-بكالوريوس'!$M$5:$M$208,'فحص-بيانات-بكالوريوس'!$M$5:$M$208,'فحص-بيانات-ماجستير'!$M$5:$M$230),$I7)&amp;"")</f>
        <v/>
      </c>
      <c r="I7" s="2" t="str">
        <f>IFERROR(MATCH($E$3&amp;"#"&amp;2,CHOOSE($J$3,'فحص-حاسب-بكالوريوس'!$R$5:$R$208,'فحص-بيانات-بكالوريوس'!$R$5:$R$208,'فحص-بيانات-ماجستير'!$R$5:$R$230),0),"")</f>
        <v/>
      </c>
    </row>
    <row r="8" spans="1:10" x14ac:dyDescent="0.2">
      <c r="A8" s="1" t="str">
        <f>IF($I8="","",3)</f>
        <v/>
      </c>
      <c r="B8" s="2" t="str">
        <f>IF($I8="","",INDEX(CHOOSE($J$3,'فحص-حاسب-بكالوريوس'!$A$5:$A$208,'فحص-بيانات-بكالوريوس'!$A$5:$A$208,'فحص-بيانات-ماجستير'!$A$5:$A$230),$I8)&amp;"")</f>
        <v/>
      </c>
      <c r="C8" s="2" t="str">
        <f>IF($I8="","",INDEX(CHOOSE($J$3,'فحص-حاسب-بكالوريوس'!$F$5:$F$208,'فحص-بيانات-بكالوريوس'!$F$5:$F$208,'فحص-بيانات-ماجستير'!$F$5:$F$230),$I8)&amp;"")</f>
        <v/>
      </c>
      <c r="D8" s="2" t="str">
        <f>IF($I8="","",INDEX(CHOOSE($J$3,'فحص-حاسب-بكالوريوس'!$H$5:$H$208,'فحص-بيانات-بكالوريوس'!$H$5:$H$208,'فحص-بيانات-ماجستير'!$H$5:$H$230),$I8)&amp;"")</f>
        <v/>
      </c>
      <c r="E8" s="2" t="str">
        <f>IF($I8="","",INDEX(CHOOSE($J$3,'فحص-حاسب-بكالوريوس'!$J$5:$J$208,'فحص-بيانات-بكالوريوس'!$J$5:$J$208,'فحص-بيانات-ماجستير'!$J$5:$J$230),$I8)&amp;"")</f>
        <v/>
      </c>
      <c r="F8" s="2" t="str">
        <f>IF($I8="","",INDEX(CHOOSE($J$3,'فحص-حاسب-بكالوريوس'!$L$5:$L$208,'فحص-بيانات-بكالوريوس'!$L$5:$L$208,'فحص-بيانات-ماجستير'!$L$5:$L$230),$I8)&amp;"")</f>
        <v/>
      </c>
      <c r="G8" s="2" t="str">
        <f>IF($I8="","",INDEX(CHOOSE($J$3,'فحص-حاسب-بكالوريوس'!$M$5:$M$208,'فحص-بيانات-بكالوريوس'!$M$5:$M$208,'فحص-بيانات-ماجستير'!$M$5:$M$230),$I8)&amp;"")</f>
        <v/>
      </c>
      <c r="I8" s="2" t="str">
        <f>IFERROR(MATCH($E$3&amp;"#"&amp;3,CHOOSE($J$3,'فحص-حاسب-بكالوريوس'!$R$5:$R$208,'فحص-بيانات-بكالوريوس'!$R$5:$R$208,'فحص-بيانات-ماجستير'!$R$5:$R$230),0),"")</f>
        <v/>
      </c>
    </row>
    <row r="9" spans="1:10" x14ac:dyDescent="0.2">
      <c r="A9" s="1" t="str">
        <f>IF($I9="","",4)</f>
        <v/>
      </c>
      <c r="B9" s="2" t="str">
        <f>IF($I9="","",INDEX(CHOOSE($J$3,'فحص-حاسب-بكالوريوس'!$A$5:$A$208,'فحص-بيانات-بكالوريوس'!$A$5:$A$208,'فحص-بيانات-ماجستير'!$A$5:$A$230),$I9)&amp;"")</f>
        <v/>
      </c>
      <c r="C9" s="2" t="str">
        <f>IF($I9="","",INDEX(CHOOSE($J$3,'فحص-حاسب-بكالوريوس'!$F$5:$F$208,'فحص-بيانات-بكالوريوس'!$F$5:$F$208,'فحص-بيانات-ماجستير'!$F$5:$F$230),$I9)&amp;"")</f>
        <v/>
      </c>
      <c r="D9" s="2" t="str">
        <f>IF($I9="","",INDEX(CHOOSE($J$3,'فحص-حاسب-بكالوريوس'!$H$5:$H$208,'فحص-بيانات-بكالوريوس'!$H$5:$H$208,'فحص-بيانات-ماجستير'!$H$5:$H$230),$I9)&amp;"")</f>
        <v/>
      </c>
      <c r="E9" s="2" t="str">
        <f>IF($I9="","",INDEX(CHOOSE($J$3,'فحص-حاسب-بكالوريوس'!$J$5:$J$208,'فحص-بيانات-بكالوريوس'!$J$5:$J$208,'فحص-بيانات-ماجستير'!$J$5:$J$230),$I9)&amp;"")</f>
        <v/>
      </c>
      <c r="F9" s="2" t="str">
        <f>IF($I9="","",INDEX(CHOOSE($J$3,'فحص-حاسب-بكالوريوس'!$L$5:$L$208,'فحص-بيانات-بكالوريوس'!$L$5:$L$208,'فحص-بيانات-ماجستير'!$L$5:$L$230),$I9)&amp;"")</f>
        <v/>
      </c>
      <c r="G9" s="2" t="str">
        <f>IF($I9="","",INDEX(CHOOSE($J$3,'فحص-حاسب-بكالوريوس'!$M$5:$M$208,'فحص-بيانات-بكالوريوس'!$M$5:$M$208,'فحص-بيانات-ماجستير'!$M$5:$M$230),$I9)&amp;"")</f>
        <v/>
      </c>
      <c r="I9" s="2" t="str">
        <f>IFERROR(MATCH($E$3&amp;"#"&amp;4,CHOOSE($J$3,'فحص-حاسب-بكالوريوس'!$R$5:$R$208,'فحص-بيانات-بكالوريوس'!$R$5:$R$208,'فحص-بيانات-ماجستير'!$R$5:$R$230),0),"")</f>
        <v/>
      </c>
    </row>
    <row r="10" spans="1:10" x14ac:dyDescent="0.2">
      <c r="A10" s="1" t="str">
        <f>IF($I10="","",5)</f>
        <v/>
      </c>
      <c r="B10" s="2" t="str">
        <f>IF($I10="","",INDEX(CHOOSE($J$3,'فحص-حاسب-بكالوريوس'!$A$5:$A$208,'فحص-بيانات-بكالوريوس'!$A$5:$A$208,'فحص-بيانات-ماجستير'!$A$5:$A$230),$I10)&amp;"")</f>
        <v/>
      </c>
      <c r="C10" s="2" t="str">
        <f>IF($I10="","",INDEX(CHOOSE($J$3,'فحص-حاسب-بكالوريوس'!$F$5:$F$208,'فحص-بيانات-بكالوريوس'!$F$5:$F$208,'فحص-بيانات-ماجستير'!$F$5:$F$230),$I10)&amp;"")</f>
        <v/>
      </c>
      <c r="D10" s="2" t="str">
        <f>IF($I10="","",INDEX(CHOOSE($J$3,'فحص-حاسب-بكالوريوس'!$H$5:$H$208,'فحص-بيانات-بكالوريوس'!$H$5:$H$208,'فحص-بيانات-ماجستير'!$H$5:$H$230),$I10)&amp;"")</f>
        <v/>
      </c>
      <c r="E10" s="2" t="str">
        <f>IF($I10="","",INDEX(CHOOSE($J$3,'فحص-حاسب-بكالوريوس'!$J$5:$J$208,'فحص-بيانات-بكالوريوس'!$J$5:$J$208,'فحص-بيانات-ماجستير'!$J$5:$J$230),$I10)&amp;"")</f>
        <v/>
      </c>
      <c r="F10" s="2" t="str">
        <f>IF($I10="","",INDEX(CHOOSE($J$3,'فحص-حاسب-بكالوريوس'!$L$5:$L$208,'فحص-بيانات-بكالوريوس'!$L$5:$L$208,'فحص-بيانات-ماجستير'!$L$5:$L$230),$I10)&amp;"")</f>
        <v/>
      </c>
      <c r="G10" s="2" t="str">
        <f>IF($I10="","",INDEX(CHOOSE($J$3,'فحص-حاسب-بكالوريوس'!$M$5:$M$208,'فحص-بيانات-بكالوريوس'!$M$5:$M$208,'فحص-بيانات-ماجستير'!$M$5:$M$230),$I10)&amp;"")</f>
        <v/>
      </c>
      <c r="I10" s="2" t="str">
        <f>IFERROR(MATCH($E$3&amp;"#"&amp;5,CHOOSE($J$3,'فحص-حاسب-بكالوريوس'!$R$5:$R$208,'فحص-بيانات-بكالوريوس'!$R$5:$R$208,'فحص-بيانات-ماجستير'!$R$5:$R$230),0),"")</f>
        <v/>
      </c>
    </row>
    <row r="11" spans="1:10" x14ac:dyDescent="0.2">
      <c r="A11" s="1" t="str">
        <f>IF($I11="","",6)</f>
        <v/>
      </c>
      <c r="B11" s="2" t="str">
        <f>IF($I11="","",INDEX(CHOOSE($J$3,'فحص-حاسب-بكالوريوس'!$A$5:$A$208,'فحص-بيانات-بكالوريوس'!$A$5:$A$208,'فحص-بيانات-ماجستير'!$A$5:$A$230),$I11)&amp;"")</f>
        <v/>
      </c>
      <c r="C11" s="2" t="str">
        <f>IF($I11="","",INDEX(CHOOSE($J$3,'فحص-حاسب-بكالوريوس'!$F$5:$F$208,'فحص-بيانات-بكالوريوس'!$F$5:$F$208,'فحص-بيانات-ماجستير'!$F$5:$F$230),$I11)&amp;"")</f>
        <v/>
      </c>
      <c r="D11" s="2" t="str">
        <f>IF($I11="","",INDEX(CHOOSE($J$3,'فحص-حاسب-بكالوريوس'!$H$5:$H$208,'فحص-بيانات-بكالوريوس'!$H$5:$H$208,'فحص-بيانات-ماجستير'!$H$5:$H$230),$I11)&amp;"")</f>
        <v/>
      </c>
      <c r="E11" s="2" t="str">
        <f>IF($I11="","",INDEX(CHOOSE($J$3,'فحص-حاسب-بكالوريوس'!$J$5:$J$208,'فحص-بيانات-بكالوريوس'!$J$5:$J$208,'فحص-بيانات-ماجستير'!$J$5:$J$230),$I11)&amp;"")</f>
        <v/>
      </c>
      <c r="F11" s="2" t="str">
        <f>IF($I11="","",INDEX(CHOOSE($J$3,'فحص-حاسب-بكالوريوس'!$L$5:$L$208,'فحص-بيانات-بكالوريوس'!$L$5:$L$208,'فحص-بيانات-ماجستير'!$L$5:$L$230),$I11)&amp;"")</f>
        <v/>
      </c>
      <c r="G11" s="2" t="str">
        <f>IF($I11="","",INDEX(CHOOSE($J$3,'فحص-حاسب-بكالوريوس'!$M$5:$M$208,'فحص-بيانات-بكالوريوس'!$M$5:$M$208,'فحص-بيانات-ماجستير'!$M$5:$M$230),$I11)&amp;"")</f>
        <v/>
      </c>
      <c r="I11" s="2" t="str">
        <f>IFERROR(MATCH($E$3&amp;"#"&amp;6,CHOOSE($J$3,'فحص-حاسب-بكالوريوس'!$R$5:$R$208,'فحص-بيانات-بكالوريوس'!$R$5:$R$208,'فحص-بيانات-ماجستير'!$R$5:$R$230),0),"")</f>
        <v/>
      </c>
    </row>
    <row r="12" spans="1:10" x14ac:dyDescent="0.2">
      <c r="A12" s="1" t="str">
        <f>IF($I12="","",7)</f>
        <v/>
      </c>
      <c r="B12" s="2" t="str">
        <f>IF($I12="","",INDEX(CHOOSE($J$3,'فحص-حاسب-بكالوريوس'!$A$5:$A$208,'فحص-بيانات-بكالوريوس'!$A$5:$A$208,'فحص-بيانات-ماجستير'!$A$5:$A$230),$I12)&amp;"")</f>
        <v/>
      </c>
      <c r="C12" s="2" t="str">
        <f>IF($I12="","",INDEX(CHOOSE($J$3,'فحص-حاسب-بكالوريوس'!$F$5:$F$208,'فحص-بيانات-بكالوريوس'!$F$5:$F$208,'فحص-بيانات-ماجستير'!$F$5:$F$230),$I12)&amp;"")</f>
        <v/>
      </c>
      <c r="D12" s="2" t="str">
        <f>IF($I12="","",INDEX(CHOOSE($J$3,'فحص-حاسب-بكالوريوس'!$H$5:$H$208,'فحص-بيانات-بكالوريوس'!$H$5:$H$208,'فحص-بيانات-ماجستير'!$H$5:$H$230),$I12)&amp;"")</f>
        <v/>
      </c>
      <c r="E12" s="2" t="str">
        <f>IF($I12="","",INDEX(CHOOSE($J$3,'فحص-حاسب-بكالوريوس'!$J$5:$J$208,'فحص-بيانات-بكالوريوس'!$J$5:$J$208,'فحص-بيانات-ماجستير'!$J$5:$J$230),$I12)&amp;"")</f>
        <v/>
      </c>
      <c r="F12" s="2" t="str">
        <f>IF($I12="","",INDEX(CHOOSE($J$3,'فحص-حاسب-بكالوريوس'!$L$5:$L$208,'فحص-بيانات-بكالوريوس'!$L$5:$L$208,'فحص-بيانات-ماجستير'!$L$5:$L$230),$I12)&amp;"")</f>
        <v/>
      </c>
      <c r="G12" s="2" t="str">
        <f>IF($I12="","",INDEX(CHOOSE($J$3,'فحص-حاسب-بكالوريوس'!$M$5:$M$208,'فحص-بيانات-بكالوريوس'!$M$5:$M$208,'فحص-بيانات-ماجستير'!$M$5:$M$230),$I12)&amp;"")</f>
        <v/>
      </c>
      <c r="I12" s="2" t="str">
        <f>IFERROR(MATCH($E$3&amp;"#"&amp;7,CHOOSE($J$3,'فحص-حاسب-بكالوريوس'!$R$5:$R$208,'فحص-بيانات-بكالوريوس'!$R$5:$R$208,'فحص-بيانات-ماجستير'!$R$5:$R$230),0),"")</f>
        <v/>
      </c>
    </row>
    <row r="13" spans="1:10" x14ac:dyDescent="0.2">
      <c r="A13" s="1" t="str">
        <f>IF($I13="","",8)</f>
        <v/>
      </c>
      <c r="B13" s="2" t="str">
        <f>IF($I13="","",INDEX(CHOOSE($J$3,'فحص-حاسب-بكالوريوس'!$A$5:$A$208,'فحص-بيانات-بكالوريوس'!$A$5:$A$208,'فحص-بيانات-ماجستير'!$A$5:$A$230),$I13)&amp;"")</f>
        <v/>
      </c>
      <c r="C13" s="2" t="str">
        <f>IF($I13="","",INDEX(CHOOSE($J$3,'فحص-حاسب-بكالوريوس'!$F$5:$F$208,'فحص-بيانات-بكالوريوس'!$F$5:$F$208,'فحص-بيانات-ماجستير'!$F$5:$F$230),$I13)&amp;"")</f>
        <v/>
      </c>
      <c r="D13" s="2" t="str">
        <f>IF($I13="","",INDEX(CHOOSE($J$3,'فحص-حاسب-بكالوريوس'!$H$5:$H$208,'فحص-بيانات-بكالوريوس'!$H$5:$H$208,'فحص-بيانات-ماجستير'!$H$5:$H$230),$I13)&amp;"")</f>
        <v/>
      </c>
      <c r="E13" s="2" t="str">
        <f>IF($I13="","",INDEX(CHOOSE($J$3,'فحص-حاسب-بكالوريوس'!$J$5:$J$208,'فحص-بيانات-بكالوريوس'!$J$5:$J$208,'فحص-بيانات-ماجستير'!$J$5:$J$230),$I13)&amp;"")</f>
        <v/>
      </c>
      <c r="F13" s="2" t="str">
        <f>IF($I13="","",INDEX(CHOOSE($J$3,'فحص-حاسب-بكالوريوس'!$L$5:$L$208,'فحص-بيانات-بكالوريوس'!$L$5:$L$208,'فحص-بيانات-ماجستير'!$L$5:$L$230),$I13)&amp;"")</f>
        <v/>
      </c>
      <c r="G13" s="2" t="str">
        <f>IF($I13="","",INDEX(CHOOSE($J$3,'فحص-حاسب-بكالوريوس'!$M$5:$M$208,'فحص-بيانات-بكالوريوس'!$M$5:$M$208,'فحص-بيانات-ماجستير'!$M$5:$M$230),$I13)&amp;"")</f>
        <v/>
      </c>
      <c r="I13" s="2" t="str">
        <f>IFERROR(MATCH($E$3&amp;"#"&amp;8,CHOOSE($J$3,'فحص-حاسب-بكالوريوس'!$R$5:$R$208,'فحص-بيانات-بكالوريوس'!$R$5:$R$208,'فحص-بيانات-ماجستير'!$R$5:$R$230),0),"")</f>
        <v/>
      </c>
    </row>
    <row r="14" spans="1:10" x14ac:dyDescent="0.2">
      <c r="A14" s="1" t="str">
        <f>IF($I14="","",9)</f>
        <v/>
      </c>
      <c r="B14" s="2" t="str">
        <f>IF($I14="","",INDEX(CHOOSE($J$3,'فحص-حاسب-بكالوريوس'!$A$5:$A$208,'فحص-بيانات-بكالوريوس'!$A$5:$A$208,'فحص-بيانات-ماجستير'!$A$5:$A$230),$I14)&amp;"")</f>
        <v/>
      </c>
      <c r="C14" s="2" t="str">
        <f>IF($I14="","",INDEX(CHOOSE($J$3,'فحص-حاسب-بكالوريوس'!$F$5:$F$208,'فحص-بيانات-بكالوريوس'!$F$5:$F$208,'فحص-بيانات-ماجستير'!$F$5:$F$230),$I14)&amp;"")</f>
        <v/>
      </c>
      <c r="D14" s="2" t="str">
        <f>IF($I14="","",INDEX(CHOOSE($J$3,'فحص-حاسب-بكالوريوس'!$H$5:$H$208,'فحص-بيانات-بكالوريوس'!$H$5:$H$208,'فحص-بيانات-ماجستير'!$H$5:$H$230),$I14)&amp;"")</f>
        <v/>
      </c>
      <c r="E14" s="2" t="str">
        <f>IF($I14="","",INDEX(CHOOSE($J$3,'فحص-حاسب-بكالوريوس'!$J$5:$J$208,'فحص-بيانات-بكالوريوس'!$J$5:$J$208,'فحص-بيانات-ماجستير'!$J$5:$J$230),$I14)&amp;"")</f>
        <v/>
      </c>
      <c r="F14" s="2" t="str">
        <f>IF($I14="","",INDEX(CHOOSE($J$3,'فحص-حاسب-بكالوريوس'!$L$5:$L$208,'فحص-بيانات-بكالوريوس'!$L$5:$L$208,'فحص-بيانات-ماجستير'!$L$5:$L$230),$I14)&amp;"")</f>
        <v/>
      </c>
      <c r="G14" s="2" t="str">
        <f>IF($I14="","",INDEX(CHOOSE($J$3,'فحص-حاسب-بكالوريوس'!$M$5:$M$208,'فحص-بيانات-بكالوريوس'!$M$5:$M$208,'فحص-بيانات-ماجستير'!$M$5:$M$230),$I14)&amp;"")</f>
        <v/>
      </c>
      <c r="I14" s="2" t="str">
        <f>IFERROR(MATCH($E$3&amp;"#"&amp;9,CHOOSE($J$3,'فحص-حاسب-بكالوريوس'!$R$5:$R$208,'فحص-بيانات-بكالوريوس'!$R$5:$R$208,'فحص-بيانات-ماجستير'!$R$5:$R$230),0),"")</f>
        <v/>
      </c>
    </row>
    <row r="15" spans="1:10" x14ac:dyDescent="0.2">
      <c r="A15" s="1" t="str">
        <f>IF($I15="","",10)</f>
        <v/>
      </c>
      <c r="B15" s="2" t="str">
        <f>IF($I15="","",INDEX(CHOOSE($J$3,'فحص-حاسب-بكالوريوس'!$A$5:$A$208,'فحص-بيانات-بكالوريوس'!$A$5:$A$208,'فحص-بيانات-ماجستير'!$A$5:$A$230),$I15)&amp;"")</f>
        <v/>
      </c>
      <c r="C15" s="2" t="str">
        <f>IF($I15="","",INDEX(CHOOSE($J$3,'فحص-حاسب-بكالوريوس'!$F$5:$F$208,'فحص-بيانات-بكالوريوس'!$F$5:$F$208,'فحص-بيانات-ماجستير'!$F$5:$F$230),$I15)&amp;"")</f>
        <v/>
      </c>
      <c r="D15" s="2" t="str">
        <f>IF($I15="","",INDEX(CHOOSE($J$3,'فحص-حاسب-بكالوريوس'!$H$5:$H$208,'فحص-بيانات-بكالوريوس'!$H$5:$H$208,'فحص-بيانات-ماجستير'!$H$5:$H$230),$I15)&amp;"")</f>
        <v/>
      </c>
      <c r="E15" s="2" t="str">
        <f>IF($I15="","",INDEX(CHOOSE($J$3,'فحص-حاسب-بكالوريوس'!$J$5:$J$208,'فحص-بيانات-بكالوريوس'!$J$5:$J$208,'فحص-بيانات-ماجستير'!$J$5:$J$230),$I15)&amp;"")</f>
        <v/>
      </c>
      <c r="F15" s="2" t="str">
        <f>IF($I15="","",INDEX(CHOOSE($J$3,'فحص-حاسب-بكالوريوس'!$L$5:$L$208,'فحص-بيانات-بكالوريوس'!$L$5:$L$208,'فحص-بيانات-ماجستير'!$L$5:$L$230),$I15)&amp;"")</f>
        <v/>
      </c>
      <c r="G15" s="2" t="str">
        <f>IF($I15="","",INDEX(CHOOSE($J$3,'فحص-حاسب-بكالوريوس'!$M$5:$M$208,'فحص-بيانات-بكالوريوس'!$M$5:$M$208,'فحص-بيانات-ماجستير'!$M$5:$M$230),$I15)&amp;"")</f>
        <v/>
      </c>
      <c r="I15" s="2" t="str">
        <f>IFERROR(MATCH($E$3&amp;"#"&amp;10,CHOOSE($J$3,'فحص-حاسب-بكالوريوس'!$R$5:$R$208,'فحص-بيانات-بكالوريوس'!$R$5:$R$208,'فحص-بيانات-ماجستير'!$R$5:$R$230),0),"")</f>
        <v/>
      </c>
    </row>
    <row r="16" spans="1:10" x14ac:dyDescent="0.2">
      <c r="A16" s="1" t="str">
        <f>IF($I16="","",11)</f>
        <v/>
      </c>
      <c r="B16" s="2" t="str">
        <f>IF($I16="","",INDEX(CHOOSE($J$3,'فحص-حاسب-بكالوريوس'!$A$5:$A$208,'فحص-بيانات-بكالوريوس'!$A$5:$A$208,'فحص-بيانات-ماجستير'!$A$5:$A$230),$I16)&amp;"")</f>
        <v/>
      </c>
      <c r="C16" s="2" t="str">
        <f>IF($I16="","",INDEX(CHOOSE($J$3,'فحص-حاسب-بكالوريوس'!$F$5:$F$208,'فحص-بيانات-بكالوريوس'!$F$5:$F$208,'فحص-بيانات-ماجستير'!$F$5:$F$230),$I16)&amp;"")</f>
        <v/>
      </c>
      <c r="D16" s="2" t="str">
        <f>IF($I16="","",INDEX(CHOOSE($J$3,'فحص-حاسب-بكالوريوس'!$H$5:$H$208,'فحص-بيانات-بكالوريوس'!$H$5:$H$208,'فحص-بيانات-ماجستير'!$H$5:$H$230),$I16)&amp;"")</f>
        <v/>
      </c>
      <c r="E16" s="2" t="str">
        <f>IF($I16="","",INDEX(CHOOSE($J$3,'فحص-حاسب-بكالوريوس'!$J$5:$J$208,'فحص-بيانات-بكالوريوس'!$J$5:$J$208,'فحص-بيانات-ماجستير'!$J$5:$J$230),$I16)&amp;"")</f>
        <v/>
      </c>
      <c r="F16" s="2" t="str">
        <f>IF($I16="","",INDEX(CHOOSE($J$3,'فحص-حاسب-بكالوريوس'!$L$5:$L$208,'فحص-بيانات-بكالوريوس'!$L$5:$L$208,'فحص-بيانات-ماجستير'!$L$5:$L$230),$I16)&amp;"")</f>
        <v/>
      </c>
      <c r="G16" s="2" t="str">
        <f>IF($I16="","",INDEX(CHOOSE($J$3,'فحص-حاسب-بكالوريوس'!$M$5:$M$208,'فحص-بيانات-بكالوريوس'!$M$5:$M$208,'فحص-بيانات-ماجستير'!$M$5:$M$230),$I16)&amp;"")</f>
        <v/>
      </c>
      <c r="I16" s="2" t="str">
        <f>IFERROR(MATCH($E$3&amp;"#"&amp;11,CHOOSE($J$3,'فحص-حاسب-بكالوريوس'!$R$5:$R$208,'فحص-بيانات-بكالوريوس'!$R$5:$R$208,'فحص-بيانات-ماجستير'!$R$5:$R$230),0),"")</f>
        <v/>
      </c>
    </row>
    <row r="17" spans="1:9" x14ac:dyDescent="0.2">
      <c r="A17" s="1" t="str">
        <f>IF($I17="","",12)</f>
        <v/>
      </c>
      <c r="B17" s="2" t="str">
        <f>IF($I17="","",INDEX(CHOOSE($J$3,'فحص-حاسب-بكالوريوس'!$A$5:$A$208,'فحص-بيانات-بكالوريوس'!$A$5:$A$208,'فحص-بيانات-ماجستير'!$A$5:$A$230),$I17)&amp;"")</f>
        <v/>
      </c>
      <c r="C17" s="2" t="str">
        <f>IF($I17="","",INDEX(CHOOSE($J$3,'فحص-حاسب-بكالوريوس'!$F$5:$F$208,'فحص-بيانات-بكالوريوس'!$F$5:$F$208,'فحص-بيانات-ماجستير'!$F$5:$F$230),$I17)&amp;"")</f>
        <v/>
      </c>
      <c r="D17" s="2" t="str">
        <f>IF($I17="","",INDEX(CHOOSE($J$3,'فحص-حاسب-بكالوريوس'!$H$5:$H$208,'فحص-بيانات-بكالوريوس'!$H$5:$H$208,'فحص-بيانات-ماجستير'!$H$5:$H$230),$I17)&amp;"")</f>
        <v/>
      </c>
      <c r="E17" s="2" t="str">
        <f>IF($I17="","",INDEX(CHOOSE($J$3,'فحص-حاسب-بكالوريوس'!$J$5:$J$208,'فحص-بيانات-بكالوريوس'!$J$5:$J$208,'فحص-بيانات-ماجستير'!$J$5:$J$230),$I17)&amp;"")</f>
        <v/>
      </c>
      <c r="F17" s="2" t="str">
        <f>IF($I17="","",INDEX(CHOOSE($J$3,'فحص-حاسب-بكالوريوس'!$L$5:$L$208,'فحص-بيانات-بكالوريوس'!$L$5:$L$208,'فحص-بيانات-ماجستير'!$L$5:$L$230),$I17)&amp;"")</f>
        <v/>
      </c>
      <c r="G17" s="2" t="str">
        <f>IF($I17="","",INDEX(CHOOSE($J$3,'فحص-حاسب-بكالوريوس'!$M$5:$M$208,'فحص-بيانات-بكالوريوس'!$M$5:$M$208,'فحص-بيانات-ماجستير'!$M$5:$M$230),$I17)&amp;"")</f>
        <v/>
      </c>
      <c r="I17" s="2" t="str">
        <f>IFERROR(MATCH($E$3&amp;"#"&amp;12,CHOOSE($J$3,'فحص-حاسب-بكالوريوس'!$R$5:$R$208,'فحص-بيانات-بكالوريوس'!$R$5:$R$208,'فحص-بيانات-ماجستير'!$R$5:$R$230),0),"")</f>
        <v/>
      </c>
    </row>
    <row r="18" spans="1:9" x14ac:dyDescent="0.2">
      <c r="A18" s="1" t="str">
        <f>IF($I18="","",13)</f>
        <v/>
      </c>
      <c r="B18" s="2" t="str">
        <f>IF($I18="","",INDEX(CHOOSE($J$3,'فحص-حاسب-بكالوريوس'!$A$5:$A$208,'فحص-بيانات-بكالوريوس'!$A$5:$A$208,'فحص-بيانات-ماجستير'!$A$5:$A$230),$I18)&amp;"")</f>
        <v/>
      </c>
      <c r="C18" s="2" t="str">
        <f>IF($I18="","",INDEX(CHOOSE($J$3,'فحص-حاسب-بكالوريوس'!$F$5:$F$208,'فحص-بيانات-بكالوريوس'!$F$5:$F$208,'فحص-بيانات-ماجستير'!$F$5:$F$230),$I18)&amp;"")</f>
        <v/>
      </c>
      <c r="D18" s="2" t="str">
        <f>IF($I18="","",INDEX(CHOOSE($J$3,'فحص-حاسب-بكالوريوس'!$H$5:$H$208,'فحص-بيانات-بكالوريوس'!$H$5:$H$208,'فحص-بيانات-ماجستير'!$H$5:$H$230),$I18)&amp;"")</f>
        <v/>
      </c>
      <c r="E18" s="2" t="str">
        <f>IF($I18="","",INDEX(CHOOSE($J$3,'فحص-حاسب-بكالوريوس'!$J$5:$J$208,'فحص-بيانات-بكالوريوس'!$J$5:$J$208,'فحص-بيانات-ماجستير'!$J$5:$J$230),$I18)&amp;"")</f>
        <v/>
      </c>
      <c r="F18" s="2" t="str">
        <f>IF($I18="","",INDEX(CHOOSE($J$3,'فحص-حاسب-بكالوريوس'!$L$5:$L$208,'فحص-بيانات-بكالوريوس'!$L$5:$L$208,'فحص-بيانات-ماجستير'!$L$5:$L$230),$I18)&amp;"")</f>
        <v/>
      </c>
      <c r="G18" s="2" t="str">
        <f>IF($I18="","",INDEX(CHOOSE($J$3,'فحص-حاسب-بكالوريوس'!$M$5:$M$208,'فحص-بيانات-بكالوريوس'!$M$5:$M$208,'فحص-بيانات-ماجستير'!$M$5:$M$230),$I18)&amp;"")</f>
        <v/>
      </c>
      <c r="I18" s="2" t="str">
        <f>IFERROR(MATCH($E$3&amp;"#"&amp;13,CHOOSE($J$3,'فحص-حاسب-بكالوريوس'!$R$5:$R$208,'فحص-بيانات-بكالوريوس'!$R$5:$R$208,'فحص-بيانات-ماجستير'!$R$5:$R$230),0),"")</f>
        <v/>
      </c>
    </row>
    <row r="19" spans="1:9" x14ac:dyDescent="0.2">
      <c r="A19" s="1" t="str">
        <f>IF($I19="","",14)</f>
        <v/>
      </c>
      <c r="B19" s="2" t="str">
        <f>IF($I19="","",INDEX(CHOOSE($J$3,'فحص-حاسب-بكالوريوس'!$A$5:$A$208,'فحص-بيانات-بكالوريوس'!$A$5:$A$208,'فحص-بيانات-ماجستير'!$A$5:$A$230),$I19)&amp;"")</f>
        <v/>
      </c>
      <c r="C19" s="2" t="str">
        <f>IF($I19="","",INDEX(CHOOSE($J$3,'فحص-حاسب-بكالوريوس'!$F$5:$F$208,'فحص-بيانات-بكالوريوس'!$F$5:$F$208,'فحص-بيانات-ماجستير'!$F$5:$F$230),$I19)&amp;"")</f>
        <v/>
      </c>
      <c r="D19" s="2" t="str">
        <f>IF($I19="","",INDEX(CHOOSE($J$3,'فحص-حاسب-بكالوريوس'!$H$5:$H$208,'فحص-بيانات-بكالوريوس'!$H$5:$H$208,'فحص-بيانات-ماجستير'!$H$5:$H$230),$I19)&amp;"")</f>
        <v/>
      </c>
      <c r="E19" s="2" t="str">
        <f>IF($I19="","",INDEX(CHOOSE($J$3,'فحص-حاسب-بكالوريوس'!$J$5:$J$208,'فحص-بيانات-بكالوريوس'!$J$5:$J$208,'فحص-بيانات-ماجستير'!$J$5:$J$230),$I19)&amp;"")</f>
        <v/>
      </c>
      <c r="F19" s="2" t="str">
        <f>IF($I19="","",INDEX(CHOOSE($J$3,'فحص-حاسب-بكالوريوس'!$L$5:$L$208,'فحص-بيانات-بكالوريوس'!$L$5:$L$208,'فحص-بيانات-ماجستير'!$L$5:$L$230),$I19)&amp;"")</f>
        <v/>
      </c>
      <c r="G19" s="2" t="str">
        <f>IF($I19="","",INDEX(CHOOSE($J$3,'فحص-حاسب-بكالوريوس'!$M$5:$M$208,'فحص-بيانات-بكالوريوس'!$M$5:$M$208,'فحص-بيانات-ماجستير'!$M$5:$M$230),$I19)&amp;"")</f>
        <v/>
      </c>
      <c r="I19" s="2" t="str">
        <f>IFERROR(MATCH($E$3&amp;"#"&amp;14,CHOOSE($J$3,'فحص-حاسب-بكالوريوس'!$R$5:$R$208,'فحص-بيانات-بكالوريوس'!$R$5:$R$208,'فحص-بيانات-ماجستير'!$R$5:$R$230),0),"")</f>
        <v/>
      </c>
    </row>
    <row r="20" spans="1:9" x14ac:dyDescent="0.2">
      <c r="A20" s="1" t="str">
        <f>IF($I20="","",15)</f>
        <v/>
      </c>
      <c r="B20" s="2" t="str">
        <f>IF($I20="","",INDEX(CHOOSE($J$3,'فحص-حاسب-بكالوريوس'!$A$5:$A$208,'فحص-بيانات-بكالوريوس'!$A$5:$A$208,'فحص-بيانات-ماجستير'!$A$5:$A$230),$I20)&amp;"")</f>
        <v/>
      </c>
      <c r="C20" s="2" t="str">
        <f>IF($I20="","",INDEX(CHOOSE($J$3,'فحص-حاسب-بكالوريوس'!$F$5:$F$208,'فحص-بيانات-بكالوريوس'!$F$5:$F$208,'فحص-بيانات-ماجستير'!$F$5:$F$230),$I20)&amp;"")</f>
        <v/>
      </c>
      <c r="D20" s="2" t="str">
        <f>IF($I20="","",INDEX(CHOOSE($J$3,'فحص-حاسب-بكالوريوس'!$H$5:$H$208,'فحص-بيانات-بكالوريوس'!$H$5:$H$208,'فحص-بيانات-ماجستير'!$H$5:$H$230),$I20)&amp;"")</f>
        <v/>
      </c>
      <c r="E20" s="2" t="str">
        <f>IF($I20="","",INDEX(CHOOSE($J$3,'فحص-حاسب-بكالوريوس'!$J$5:$J$208,'فحص-بيانات-بكالوريوس'!$J$5:$J$208,'فحص-بيانات-ماجستير'!$J$5:$J$230),$I20)&amp;"")</f>
        <v/>
      </c>
      <c r="F20" s="2" t="str">
        <f>IF($I20="","",INDEX(CHOOSE($J$3,'فحص-حاسب-بكالوريوس'!$L$5:$L$208,'فحص-بيانات-بكالوريوس'!$L$5:$L$208,'فحص-بيانات-ماجستير'!$L$5:$L$230),$I20)&amp;"")</f>
        <v/>
      </c>
      <c r="G20" s="2" t="str">
        <f>IF($I20="","",INDEX(CHOOSE($J$3,'فحص-حاسب-بكالوريوس'!$M$5:$M$208,'فحص-بيانات-بكالوريوس'!$M$5:$M$208,'فحص-بيانات-ماجستير'!$M$5:$M$230),$I20)&amp;"")</f>
        <v/>
      </c>
      <c r="I20" s="2" t="str">
        <f>IFERROR(MATCH($E$3&amp;"#"&amp;15,CHOOSE($J$3,'فحص-حاسب-بكالوريوس'!$R$5:$R$208,'فحص-بيانات-بكالوريوس'!$R$5:$R$208,'فحص-بيانات-ماجستير'!$R$5:$R$230),0),"")</f>
        <v/>
      </c>
    </row>
    <row r="21" spans="1:9" x14ac:dyDescent="0.2">
      <c r="A21" s="1" t="str">
        <f>IF($I21="","",16)</f>
        <v/>
      </c>
      <c r="B21" s="2" t="str">
        <f>IF($I21="","",INDEX(CHOOSE($J$3,'فحص-حاسب-بكالوريوس'!$A$5:$A$208,'فحص-بيانات-بكالوريوس'!$A$5:$A$208,'فحص-بيانات-ماجستير'!$A$5:$A$230),$I21)&amp;"")</f>
        <v/>
      </c>
      <c r="C21" s="2" t="str">
        <f>IF($I21="","",INDEX(CHOOSE($J$3,'فحص-حاسب-بكالوريوس'!$F$5:$F$208,'فحص-بيانات-بكالوريوس'!$F$5:$F$208,'فحص-بيانات-ماجستير'!$F$5:$F$230),$I21)&amp;"")</f>
        <v/>
      </c>
      <c r="D21" s="2" t="str">
        <f>IF($I21="","",INDEX(CHOOSE($J$3,'فحص-حاسب-بكالوريوس'!$H$5:$H$208,'فحص-بيانات-بكالوريوس'!$H$5:$H$208,'فحص-بيانات-ماجستير'!$H$5:$H$230),$I21)&amp;"")</f>
        <v/>
      </c>
      <c r="E21" s="2" t="str">
        <f>IF($I21="","",INDEX(CHOOSE($J$3,'فحص-حاسب-بكالوريوس'!$J$5:$J$208,'فحص-بيانات-بكالوريوس'!$J$5:$J$208,'فحص-بيانات-ماجستير'!$J$5:$J$230),$I21)&amp;"")</f>
        <v/>
      </c>
      <c r="F21" s="2" t="str">
        <f>IF($I21="","",INDEX(CHOOSE($J$3,'فحص-حاسب-بكالوريوس'!$L$5:$L$208,'فحص-بيانات-بكالوريوس'!$L$5:$L$208,'فحص-بيانات-ماجستير'!$L$5:$L$230),$I21)&amp;"")</f>
        <v/>
      </c>
      <c r="G21" s="2" t="str">
        <f>IF($I21="","",INDEX(CHOOSE($J$3,'فحص-حاسب-بكالوريوس'!$M$5:$M$208,'فحص-بيانات-بكالوريوس'!$M$5:$M$208,'فحص-بيانات-ماجستير'!$M$5:$M$230),$I21)&amp;"")</f>
        <v/>
      </c>
      <c r="I21" s="2" t="str">
        <f>IFERROR(MATCH($E$3&amp;"#"&amp;16,CHOOSE($J$3,'فحص-حاسب-بكالوريوس'!$R$5:$R$208,'فحص-بيانات-بكالوريوس'!$R$5:$R$208,'فحص-بيانات-ماجستير'!$R$5:$R$230),0),"")</f>
        <v/>
      </c>
    </row>
    <row r="22" spans="1:9" x14ac:dyDescent="0.2">
      <c r="A22" s="1" t="str">
        <f>IF($I22="","",17)</f>
        <v/>
      </c>
      <c r="B22" s="2" t="str">
        <f>IF($I22="","",INDEX(CHOOSE($J$3,'فحص-حاسب-بكالوريوس'!$A$5:$A$208,'فحص-بيانات-بكالوريوس'!$A$5:$A$208,'فحص-بيانات-ماجستير'!$A$5:$A$230),$I22)&amp;"")</f>
        <v/>
      </c>
      <c r="C22" s="2" t="str">
        <f>IF($I22="","",INDEX(CHOOSE($J$3,'فحص-حاسب-بكالوريوس'!$F$5:$F$208,'فحص-بيانات-بكالوريوس'!$F$5:$F$208,'فحص-بيانات-ماجستير'!$F$5:$F$230),$I22)&amp;"")</f>
        <v/>
      </c>
      <c r="D22" s="2" t="str">
        <f>IF($I22="","",INDEX(CHOOSE($J$3,'فحص-حاسب-بكالوريوس'!$H$5:$H$208,'فحص-بيانات-بكالوريوس'!$H$5:$H$208,'فحص-بيانات-ماجستير'!$H$5:$H$230),$I22)&amp;"")</f>
        <v/>
      </c>
      <c r="E22" s="2" t="str">
        <f>IF($I22="","",INDEX(CHOOSE($J$3,'فحص-حاسب-بكالوريوس'!$J$5:$J$208,'فحص-بيانات-بكالوريوس'!$J$5:$J$208,'فحص-بيانات-ماجستير'!$J$5:$J$230),$I22)&amp;"")</f>
        <v/>
      </c>
      <c r="F22" s="2" t="str">
        <f>IF($I22="","",INDEX(CHOOSE($J$3,'فحص-حاسب-بكالوريوس'!$L$5:$L$208,'فحص-بيانات-بكالوريوس'!$L$5:$L$208,'فحص-بيانات-ماجستير'!$L$5:$L$230),$I22)&amp;"")</f>
        <v/>
      </c>
      <c r="G22" s="2" t="str">
        <f>IF($I22="","",INDEX(CHOOSE($J$3,'فحص-حاسب-بكالوريوس'!$M$5:$M$208,'فحص-بيانات-بكالوريوس'!$M$5:$M$208,'فحص-بيانات-ماجستير'!$M$5:$M$230),$I22)&amp;"")</f>
        <v/>
      </c>
      <c r="I22" s="2" t="str">
        <f>IFERROR(MATCH($E$3&amp;"#"&amp;17,CHOOSE($J$3,'فحص-حاسب-بكالوريوس'!$R$5:$R$208,'فحص-بيانات-بكالوريوس'!$R$5:$R$208,'فحص-بيانات-ماجستير'!$R$5:$R$230),0),"")</f>
        <v/>
      </c>
    </row>
    <row r="23" spans="1:9" x14ac:dyDescent="0.2">
      <c r="A23" s="1" t="str">
        <f>IF($I23="","",18)</f>
        <v/>
      </c>
      <c r="B23" s="2" t="str">
        <f>IF($I23="","",INDEX(CHOOSE($J$3,'فحص-حاسب-بكالوريوس'!$A$5:$A$208,'فحص-بيانات-بكالوريوس'!$A$5:$A$208,'فحص-بيانات-ماجستير'!$A$5:$A$230),$I23)&amp;"")</f>
        <v/>
      </c>
      <c r="C23" s="2" t="str">
        <f>IF($I23="","",INDEX(CHOOSE($J$3,'فحص-حاسب-بكالوريوس'!$F$5:$F$208,'فحص-بيانات-بكالوريوس'!$F$5:$F$208,'فحص-بيانات-ماجستير'!$F$5:$F$230),$I23)&amp;"")</f>
        <v/>
      </c>
      <c r="D23" s="2" t="str">
        <f>IF($I23="","",INDEX(CHOOSE($J$3,'فحص-حاسب-بكالوريوس'!$H$5:$H$208,'فحص-بيانات-بكالوريوس'!$H$5:$H$208,'فحص-بيانات-ماجستير'!$H$5:$H$230),$I23)&amp;"")</f>
        <v/>
      </c>
      <c r="E23" s="2" t="str">
        <f>IF($I23="","",INDEX(CHOOSE($J$3,'فحص-حاسب-بكالوريوس'!$J$5:$J$208,'فحص-بيانات-بكالوريوس'!$J$5:$J$208,'فحص-بيانات-ماجستير'!$J$5:$J$230),$I23)&amp;"")</f>
        <v/>
      </c>
      <c r="F23" s="2" t="str">
        <f>IF($I23="","",INDEX(CHOOSE($J$3,'فحص-حاسب-بكالوريوس'!$L$5:$L$208,'فحص-بيانات-بكالوريوس'!$L$5:$L$208,'فحص-بيانات-ماجستير'!$L$5:$L$230),$I23)&amp;"")</f>
        <v/>
      </c>
      <c r="G23" s="2" t="str">
        <f>IF($I23="","",INDEX(CHOOSE($J$3,'فحص-حاسب-بكالوريوس'!$M$5:$M$208,'فحص-بيانات-بكالوريوس'!$M$5:$M$208,'فحص-بيانات-ماجستير'!$M$5:$M$230),$I23)&amp;"")</f>
        <v/>
      </c>
      <c r="I23" s="2" t="str">
        <f>IFERROR(MATCH($E$3&amp;"#"&amp;18,CHOOSE($J$3,'فحص-حاسب-بكالوريوس'!$R$5:$R$208,'فحص-بيانات-بكالوريوس'!$R$5:$R$208,'فحص-بيانات-ماجستير'!$R$5:$R$230),0),"")</f>
        <v/>
      </c>
    </row>
    <row r="24" spans="1:9" x14ac:dyDescent="0.2">
      <c r="A24" s="1" t="str">
        <f>IF($I24="","",19)</f>
        <v/>
      </c>
      <c r="B24" s="2" t="str">
        <f>IF($I24="","",INDEX(CHOOSE($J$3,'فحص-حاسب-بكالوريوس'!$A$5:$A$208,'فحص-بيانات-بكالوريوس'!$A$5:$A$208,'فحص-بيانات-ماجستير'!$A$5:$A$230),$I24)&amp;"")</f>
        <v/>
      </c>
      <c r="C24" s="2" t="str">
        <f>IF($I24="","",INDEX(CHOOSE($J$3,'فحص-حاسب-بكالوريوس'!$F$5:$F$208,'فحص-بيانات-بكالوريوس'!$F$5:$F$208,'فحص-بيانات-ماجستير'!$F$5:$F$230),$I24)&amp;"")</f>
        <v/>
      </c>
      <c r="D24" s="2" t="str">
        <f>IF($I24="","",INDEX(CHOOSE($J$3,'فحص-حاسب-بكالوريوس'!$H$5:$H$208,'فحص-بيانات-بكالوريوس'!$H$5:$H$208,'فحص-بيانات-ماجستير'!$H$5:$H$230),$I24)&amp;"")</f>
        <v/>
      </c>
      <c r="E24" s="2" t="str">
        <f>IF($I24="","",INDEX(CHOOSE($J$3,'فحص-حاسب-بكالوريوس'!$J$5:$J$208,'فحص-بيانات-بكالوريوس'!$J$5:$J$208,'فحص-بيانات-ماجستير'!$J$5:$J$230),$I24)&amp;"")</f>
        <v/>
      </c>
      <c r="F24" s="2" t="str">
        <f>IF($I24="","",INDEX(CHOOSE($J$3,'فحص-حاسب-بكالوريوس'!$L$5:$L$208,'فحص-بيانات-بكالوريوس'!$L$5:$L$208,'فحص-بيانات-ماجستير'!$L$5:$L$230),$I24)&amp;"")</f>
        <v/>
      </c>
      <c r="G24" s="2" t="str">
        <f>IF($I24="","",INDEX(CHOOSE($J$3,'فحص-حاسب-بكالوريوس'!$M$5:$M$208,'فحص-بيانات-بكالوريوس'!$M$5:$M$208,'فحص-بيانات-ماجستير'!$M$5:$M$230),$I24)&amp;"")</f>
        <v/>
      </c>
      <c r="I24" s="2" t="str">
        <f>IFERROR(MATCH($E$3&amp;"#"&amp;19,CHOOSE($J$3,'فحص-حاسب-بكالوريوس'!$R$5:$R$208,'فحص-بيانات-بكالوريوس'!$R$5:$R$208,'فحص-بيانات-ماجستير'!$R$5:$R$230),0),"")</f>
        <v/>
      </c>
    </row>
    <row r="25" spans="1:9" x14ac:dyDescent="0.2">
      <c r="A25" s="1" t="str">
        <f>IF($I25="","",20)</f>
        <v/>
      </c>
      <c r="B25" s="2" t="str">
        <f>IF($I25="","",INDEX(CHOOSE($J$3,'فحص-حاسب-بكالوريوس'!$A$5:$A$208,'فحص-بيانات-بكالوريوس'!$A$5:$A$208,'فحص-بيانات-ماجستير'!$A$5:$A$230),$I25)&amp;"")</f>
        <v/>
      </c>
      <c r="C25" s="2" t="str">
        <f>IF($I25="","",INDEX(CHOOSE($J$3,'فحص-حاسب-بكالوريوس'!$F$5:$F$208,'فحص-بيانات-بكالوريوس'!$F$5:$F$208,'فحص-بيانات-ماجستير'!$F$5:$F$230),$I25)&amp;"")</f>
        <v/>
      </c>
      <c r="D25" s="2" t="str">
        <f>IF($I25="","",INDEX(CHOOSE($J$3,'فحص-حاسب-بكالوريوس'!$H$5:$H$208,'فحص-بيانات-بكالوريوس'!$H$5:$H$208,'فحص-بيانات-ماجستير'!$H$5:$H$230),$I25)&amp;"")</f>
        <v/>
      </c>
      <c r="E25" s="2" t="str">
        <f>IF($I25="","",INDEX(CHOOSE($J$3,'فحص-حاسب-بكالوريوس'!$J$5:$J$208,'فحص-بيانات-بكالوريوس'!$J$5:$J$208,'فحص-بيانات-ماجستير'!$J$5:$J$230),$I25)&amp;"")</f>
        <v/>
      </c>
      <c r="F25" s="2" t="str">
        <f>IF($I25="","",INDEX(CHOOSE($J$3,'فحص-حاسب-بكالوريوس'!$L$5:$L$208,'فحص-بيانات-بكالوريوس'!$L$5:$L$208,'فحص-بيانات-ماجستير'!$L$5:$L$230),$I25)&amp;"")</f>
        <v/>
      </c>
      <c r="G25" s="2" t="str">
        <f>IF($I25="","",INDEX(CHOOSE($J$3,'فحص-حاسب-بكالوريوس'!$M$5:$M$208,'فحص-بيانات-بكالوريوس'!$M$5:$M$208,'فحص-بيانات-ماجستير'!$M$5:$M$230),$I25)&amp;"")</f>
        <v/>
      </c>
      <c r="I25" s="2" t="str">
        <f>IFERROR(MATCH($E$3&amp;"#"&amp;20,CHOOSE($J$3,'فحص-حاسب-بكالوريوس'!$R$5:$R$208,'فحص-بيانات-بكالوريوس'!$R$5:$R$208,'فحص-بيانات-ماجستير'!$R$5:$R$230),0),"")</f>
        <v/>
      </c>
    </row>
    <row r="26" spans="1:9" x14ac:dyDescent="0.2">
      <c r="A26" s="1" t="str">
        <f>IF($I26="","",21)</f>
        <v/>
      </c>
      <c r="B26" s="2" t="str">
        <f>IF($I26="","",INDEX(CHOOSE($J$3,'فحص-حاسب-بكالوريوس'!$A$5:$A$208,'فحص-بيانات-بكالوريوس'!$A$5:$A$208,'فحص-بيانات-ماجستير'!$A$5:$A$230),$I26)&amp;"")</f>
        <v/>
      </c>
      <c r="C26" s="2" t="str">
        <f>IF($I26="","",INDEX(CHOOSE($J$3,'فحص-حاسب-بكالوريوس'!$F$5:$F$208,'فحص-بيانات-بكالوريوس'!$F$5:$F$208,'فحص-بيانات-ماجستير'!$F$5:$F$230),$I26)&amp;"")</f>
        <v/>
      </c>
      <c r="D26" s="2" t="str">
        <f>IF($I26="","",INDEX(CHOOSE($J$3,'فحص-حاسب-بكالوريوس'!$H$5:$H$208,'فحص-بيانات-بكالوريوس'!$H$5:$H$208,'فحص-بيانات-ماجستير'!$H$5:$H$230),$I26)&amp;"")</f>
        <v/>
      </c>
      <c r="E26" s="2" t="str">
        <f>IF($I26="","",INDEX(CHOOSE($J$3,'فحص-حاسب-بكالوريوس'!$J$5:$J$208,'فحص-بيانات-بكالوريوس'!$J$5:$J$208,'فحص-بيانات-ماجستير'!$J$5:$J$230),$I26)&amp;"")</f>
        <v/>
      </c>
      <c r="F26" s="2" t="str">
        <f>IF($I26="","",INDEX(CHOOSE($J$3,'فحص-حاسب-بكالوريوس'!$L$5:$L$208,'فحص-بيانات-بكالوريوس'!$L$5:$L$208,'فحص-بيانات-ماجستير'!$L$5:$L$230),$I26)&amp;"")</f>
        <v/>
      </c>
      <c r="G26" s="2" t="str">
        <f>IF($I26="","",INDEX(CHOOSE($J$3,'فحص-حاسب-بكالوريوس'!$M$5:$M$208,'فحص-بيانات-بكالوريوس'!$M$5:$M$208,'فحص-بيانات-ماجستير'!$M$5:$M$230),$I26)&amp;"")</f>
        <v/>
      </c>
      <c r="I26" s="2" t="str">
        <f>IFERROR(MATCH($E$3&amp;"#"&amp;21,CHOOSE($J$3,'فحص-حاسب-بكالوريوس'!$R$5:$R$208,'فحص-بيانات-بكالوريوس'!$R$5:$R$208,'فحص-بيانات-ماجستير'!$R$5:$R$230),0),"")</f>
        <v/>
      </c>
    </row>
    <row r="27" spans="1:9" x14ac:dyDescent="0.2">
      <c r="A27" s="1" t="str">
        <f>IF($I27="","",22)</f>
        <v/>
      </c>
      <c r="B27" s="2" t="str">
        <f>IF($I27="","",INDEX(CHOOSE($J$3,'فحص-حاسب-بكالوريوس'!$A$5:$A$208,'فحص-بيانات-بكالوريوس'!$A$5:$A$208,'فحص-بيانات-ماجستير'!$A$5:$A$230),$I27)&amp;"")</f>
        <v/>
      </c>
      <c r="C27" s="2" t="str">
        <f>IF($I27="","",INDEX(CHOOSE($J$3,'فحص-حاسب-بكالوريوس'!$F$5:$F$208,'فحص-بيانات-بكالوريوس'!$F$5:$F$208,'فحص-بيانات-ماجستير'!$F$5:$F$230),$I27)&amp;"")</f>
        <v/>
      </c>
      <c r="D27" s="2" t="str">
        <f>IF($I27="","",INDEX(CHOOSE($J$3,'فحص-حاسب-بكالوريوس'!$H$5:$H$208,'فحص-بيانات-بكالوريوس'!$H$5:$H$208,'فحص-بيانات-ماجستير'!$H$5:$H$230),$I27)&amp;"")</f>
        <v/>
      </c>
      <c r="E27" s="2" t="str">
        <f>IF($I27="","",INDEX(CHOOSE($J$3,'فحص-حاسب-بكالوريوس'!$J$5:$J$208,'فحص-بيانات-بكالوريوس'!$J$5:$J$208,'فحص-بيانات-ماجستير'!$J$5:$J$230),$I27)&amp;"")</f>
        <v/>
      </c>
      <c r="F27" s="2" t="str">
        <f>IF($I27="","",INDEX(CHOOSE($J$3,'فحص-حاسب-بكالوريوس'!$L$5:$L$208,'فحص-بيانات-بكالوريوس'!$L$5:$L$208,'فحص-بيانات-ماجستير'!$L$5:$L$230),$I27)&amp;"")</f>
        <v/>
      </c>
      <c r="G27" s="2" t="str">
        <f>IF($I27="","",INDEX(CHOOSE($J$3,'فحص-حاسب-بكالوريوس'!$M$5:$M$208,'فحص-بيانات-بكالوريوس'!$M$5:$M$208,'فحص-بيانات-ماجستير'!$M$5:$M$230),$I27)&amp;"")</f>
        <v/>
      </c>
      <c r="I27" s="2" t="str">
        <f>IFERROR(MATCH($E$3&amp;"#"&amp;22,CHOOSE($J$3,'فحص-حاسب-بكالوريوس'!$R$5:$R$208,'فحص-بيانات-بكالوريوس'!$R$5:$R$208,'فحص-بيانات-ماجستير'!$R$5:$R$230),0),"")</f>
        <v/>
      </c>
    </row>
    <row r="28" spans="1:9" x14ac:dyDescent="0.2">
      <c r="A28" s="1" t="str">
        <f>IF($I28="","",23)</f>
        <v/>
      </c>
      <c r="B28" s="2" t="str">
        <f>IF($I28="","",INDEX(CHOOSE($J$3,'فحص-حاسب-بكالوريوس'!$A$5:$A$208,'فحص-بيانات-بكالوريوس'!$A$5:$A$208,'فحص-بيانات-ماجستير'!$A$5:$A$230),$I28)&amp;"")</f>
        <v/>
      </c>
      <c r="C28" s="2" t="str">
        <f>IF($I28="","",INDEX(CHOOSE($J$3,'فحص-حاسب-بكالوريوس'!$F$5:$F$208,'فحص-بيانات-بكالوريوس'!$F$5:$F$208,'فحص-بيانات-ماجستير'!$F$5:$F$230),$I28)&amp;"")</f>
        <v/>
      </c>
      <c r="D28" s="2" t="str">
        <f>IF($I28="","",INDEX(CHOOSE($J$3,'فحص-حاسب-بكالوريوس'!$H$5:$H$208,'فحص-بيانات-بكالوريوس'!$H$5:$H$208,'فحص-بيانات-ماجستير'!$H$5:$H$230),$I28)&amp;"")</f>
        <v/>
      </c>
      <c r="E28" s="2" t="str">
        <f>IF($I28="","",INDEX(CHOOSE($J$3,'فحص-حاسب-بكالوريوس'!$J$5:$J$208,'فحص-بيانات-بكالوريوس'!$J$5:$J$208,'فحص-بيانات-ماجستير'!$J$5:$J$230),$I28)&amp;"")</f>
        <v/>
      </c>
      <c r="F28" s="2" t="str">
        <f>IF($I28="","",INDEX(CHOOSE($J$3,'فحص-حاسب-بكالوريوس'!$L$5:$L$208,'فحص-بيانات-بكالوريوس'!$L$5:$L$208,'فحص-بيانات-ماجستير'!$L$5:$L$230),$I28)&amp;"")</f>
        <v/>
      </c>
      <c r="G28" s="2" t="str">
        <f>IF($I28="","",INDEX(CHOOSE($J$3,'فحص-حاسب-بكالوريوس'!$M$5:$M$208,'فحص-بيانات-بكالوريوس'!$M$5:$M$208,'فحص-بيانات-ماجستير'!$M$5:$M$230),$I28)&amp;"")</f>
        <v/>
      </c>
      <c r="I28" s="2" t="str">
        <f>IFERROR(MATCH($E$3&amp;"#"&amp;23,CHOOSE($J$3,'فحص-حاسب-بكالوريوس'!$R$5:$R$208,'فحص-بيانات-بكالوريوس'!$R$5:$R$208,'فحص-بيانات-ماجستير'!$R$5:$R$230),0),"")</f>
        <v/>
      </c>
    </row>
    <row r="29" spans="1:9" x14ac:dyDescent="0.2">
      <c r="A29" s="1" t="str">
        <f>IF($I29="","",24)</f>
        <v/>
      </c>
      <c r="B29" s="2" t="str">
        <f>IF($I29="","",INDEX(CHOOSE($J$3,'فحص-حاسب-بكالوريوس'!$A$5:$A$208,'فحص-بيانات-بكالوريوس'!$A$5:$A$208,'فحص-بيانات-ماجستير'!$A$5:$A$230),$I29)&amp;"")</f>
        <v/>
      </c>
      <c r="C29" s="2" t="str">
        <f>IF($I29="","",INDEX(CHOOSE($J$3,'فحص-حاسب-بكالوريوس'!$F$5:$F$208,'فحص-بيانات-بكالوريوس'!$F$5:$F$208,'فحص-بيانات-ماجستير'!$F$5:$F$230),$I29)&amp;"")</f>
        <v/>
      </c>
      <c r="D29" s="2" t="str">
        <f>IF($I29="","",INDEX(CHOOSE($J$3,'فحص-حاسب-بكالوريوس'!$H$5:$H$208,'فحص-بيانات-بكالوريوس'!$H$5:$H$208,'فحص-بيانات-ماجستير'!$H$5:$H$230),$I29)&amp;"")</f>
        <v/>
      </c>
      <c r="E29" s="2" t="str">
        <f>IF($I29="","",INDEX(CHOOSE($J$3,'فحص-حاسب-بكالوريوس'!$J$5:$J$208,'فحص-بيانات-بكالوريوس'!$J$5:$J$208,'فحص-بيانات-ماجستير'!$J$5:$J$230),$I29)&amp;"")</f>
        <v/>
      </c>
      <c r="F29" s="2" t="str">
        <f>IF($I29="","",INDEX(CHOOSE($J$3,'فحص-حاسب-بكالوريوس'!$L$5:$L$208,'فحص-بيانات-بكالوريوس'!$L$5:$L$208,'فحص-بيانات-ماجستير'!$L$5:$L$230),$I29)&amp;"")</f>
        <v/>
      </c>
      <c r="G29" s="2" t="str">
        <f>IF($I29="","",INDEX(CHOOSE($J$3,'فحص-حاسب-بكالوريوس'!$M$5:$M$208,'فحص-بيانات-بكالوريوس'!$M$5:$M$208,'فحص-بيانات-ماجستير'!$M$5:$M$230),$I29)&amp;"")</f>
        <v/>
      </c>
      <c r="I29" s="2" t="str">
        <f>IFERROR(MATCH($E$3&amp;"#"&amp;24,CHOOSE($J$3,'فحص-حاسب-بكالوريوس'!$R$5:$R$208,'فحص-بيانات-بكالوريوس'!$R$5:$R$208,'فحص-بيانات-ماجستير'!$R$5:$R$230),0),"")</f>
        <v/>
      </c>
    </row>
    <row r="30" spans="1:9" x14ac:dyDescent="0.2">
      <c r="A30" s="1" t="str">
        <f>IF($I30="","",25)</f>
        <v/>
      </c>
      <c r="B30" s="2" t="str">
        <f>IF($I30="","",INDEX(CHOOSE($J$3,'فحص-حاسب-بكالوريوس'!$A$5:$A$208,'فحص-بيانات-بكالوريوس'!$A$5:$A$208,'فحص-بيانات-ماجستير'!$A$5:$A$230),$I30)&amp;"")</f>
        <v/>
      </c>
      <c r="C30" s="2" t="str">
        <f>IF($I30="","",INDEX(CHOOSE($J$3,'فحص-حاسب-بكالوريوس'!$F$5:$F$208,'فحص-بيانات-بكالوريوس'!$F$5:$F$208,'فحص-بيانات-ماجستير'!$F$5:$F$230),$I30)&amp;"")</f>
        <v/>
      </c>
      <c r="D30" s="2" t="str">
        <f>IF($I30="","",INDEX(CHOOSE($J$3,'فحص-حاسب-بكالوريوس'!$H$5:$H$208,'فحص-بيانات-بكالوريوس'!$H$5:$H$208,'فحص-بيانات-ماجستير'!$H$5:$H$230),$I30)&amp;"")</f>
        <v/>
      </c>
      <c r="E30" s="2" t="str">
        <f>IF($I30="","",INDEX(CHOOSE($J$3,'فحص-حاسب-بكالوريوس'!$J$5:$J$208,'فحص-بيانات-بكالوريوس'!$J$5:$J$208,'فحص-بيانات-ماجستير'!$J$5:$J$230),$I30)&amp;"")</f>
        <v/>
      </c>
      <c r="F30" s="2" t="str">
        <f>IF($I30="","",INDEX(CHOOSE($J$3,'فحص-حاسب-بكالوريوس'!$L$5:$L$208,'فحص-بيانات-بكالوريوس'!$L$5:$L$208,'فحص-بيانات-ماجستير'!$L$5:$L$230),$I30)&amp;"")</f>
        <v/>
      </c>
      <c r="G30" s="2" t="str">
        <f>IF($I30="","",INDEX(CHOOSE($J$3,'فحص-حاسب-بكالوريوس'!$M$5:$M$208,'فحص-بيانات-بكالوريوس'!$M$5:$M$208,'فحص-بيانات-ماجستير'!$M$5:$M$230),$I30)&amp;"")</f>
        <v/>
      </c>
      <c r="I30" s="2" t="str">
        <f>IFERROR(MATCH($E$3&amp;"#"&amp;25,CHOOSE($J$3,'فحص-حاسب-بكالوريوس'!$R$5:$R$208,'فحص-بيانات-بكالوريوس'!$R$5:$R$208,'فحص-بيانات-ماجستير'!$R$5:$R$230),0),"")</f>
        <v/>
      </c>
    </row>
    <row r="31" spans="1:9" x14ac:dyDescent="0.2">
      <c r="A31" s="1" t="str">
        <f>IF($I31="","",26)</f>
        <v/>
      </c>
      <c r="B31" s="2" t="str">
        <f>IF($I31="","",INDEX(CHOOSE($J$3,'فحص-حاسب-بكالوريوس'!$A$5:$A$208,'فحص-بيانات-بكالوريوس'!$A$5:$A$208,'فحص-بيانات-ماجستير'!$A$5:$A$230),$I31)&amp;"")</f>
        <v/>
      </c>
      <c r="C31" s="2" t="str">
        <f>IF($I31="","",INDEX(CHOOSE($J$3,'فحص-حاسب-بكالوريوس'!$F$5:$F$208,'فحص-بيانات-بكالوريوس'!$F$5:$F$208,'فحص-بيانات-ماجستير'!$F$5:$F$230),$I31)&amp;"")</f>
        <v/>
      </c>
      <c r="D31" s="2" t="str">
        <f>IF($I31="","",INDEX(CHOOSE($J$3,'فحص-حاسب-بكالوريوس'!$H$5:$H$208,'فحص-بيانات-بكالوريوس'!$H$5:$H$208,'فحص-بيانات-ماجستير'!$H$5:$H$230),$I31)&amp;"")</f>
        <v/>
      </c>
      <c r="E31" s="2" t="str">
        <f>IF($I31="","",INDEX(CHOOSE($J$3,'فحص-حاسب-بكالوريوس'!$J$5:$J$208,'فحص-بيانات-بكالوريوس'!$J$5:$J$208,'فحص-بيانات-ماجستير'!$J$5:$J$230),$I31)&amp;"")</f>
        <v/>
      </c>
      <c r="F31" s="2" t="str">
        <f>IF($I31="","",INDEX(CHOOSE($J$3,'فحص-حاسب-بكالوريوس'!$L$5:$L$208,'فحص-بيانات-بكالوريوس'!$L$5:$L$208,'فحص-بيانات-ماجستير'!$L$5:$L$230),$I31)&amp;"")</f>
        <v/>
      </c>
      <c r="G31" s="2" t="str">
        <f>IF($I31="","",INDEX(CHOOSE($J$3,'فحص-حاسب-بكالوريوس'!$M$5:$M$208,'فحص-بيانات-بكالوريوس'!$M$5:$M$208,'فحص-بيانات-ماجستير'!$M$5:$M$230),$I31)&amp;"")</f>
        <v/>
      </c>
      <c r="I31" s="2" t="str">
        <f>IFERROR(MATCH($E$3&amp;"#"&amp;26,CHOOSE($J$3,'فحص-حاسب-بكالوريوس'!$R$5:$R$208,'فحص-بيانات-بكالوريوس'!$R$5:$R$208,'فحص-بيانات-ماجستير'!$R$5:$R$230),0),"")</f>
        <v/>
      </c>
    </row>
    <row r="32" spans="1:9" x14ac:dyDescent="0.2">
      <c r="A32" s="1" t="str">
        <f>IF($I32="","",27)</f>
        <v/>
      </c>
      <c r="B32" s="2" t="str">
        <f>IF($I32="","",INDEX(CHOOSE($J$3,'فحص-حاسب-بكالوريوس'!$A$5:$A$208,'فحص-بيانات-بكالوريوس'!$A$5:$A$208,'فحص-بيانات-ماجستير'!$A$5:$A$230),$I32)&amp;"")</f>
        <v/>
      </c>
      <c r="C32" s="2" t="str">
        <f>IF($I32="","",INDEX(CHOOSE($J$3,'فحص-حاسب-بكالوريوس'!$F$5:$F$208,'فحص-بيانات-بكالوريوس'!$F$5:$F$208,'فحص-بيانات-ماجستير'!$F$5:$F$230),$I32)&amp;"")</f>
        <v/>
      </c>
      <c r="D32" s="2" t="str">
        <f>IF($I32="","",INDEX(CHOOSE($J$3,'فحص-حاسب-بكالوريوس'!$H$5:$H$208,'فحص-بيانات-بكالوريوس'!$H$5:$H$208,'فحص-بيانات-ماجستير'!$H$5:$H$230),$I32)&amp;"")</f>
        <v/>
      </c>
      <c r="E32" s="2" t="str">
        <f>IF($I32="","",INDEX(CHOOSE($J$3,'فحص-حاسب-بكالوريوس'!$J$5:$J$208,'فحص-بيانات-بكالوريوس'!$J$5:$J$208,'فحص-بيانات-ماجستير'!$J$5:$J$230),$I32)&amp;"")</f>
        <v/>
      </c>
      <c r="F32" s="2" t="str">
        <f>IF($I32="","",INDEX(CHOOSE($J$3,'فحص-حاسب-بكالوريوس'!$L$5:$L$208,'فحص-بيانات-بكالوريوس'!$L$5:$L$208,'فحص-بيانات-ماجستير'!$L$5:$L$230),$I32)&amp;"")</f>
        <v/>
      </c>
      <c r="G32" s="2" t="str">
        <f>IF($I32="","",INDEX(CHOOSE($J$3,'فحص-حاسب-بكالوريوس'!$M$5:$M$208,'فحص-بيانات-بكالوريوس'!$M$5:$M$208,'فحص-بيانات-ماجستير'!$M$5:$M$230),$I32)&amp;"")</f>
        <v/>
      </c>
      <c r="I32" s="2" t="str">
        <f>IFERROR(MATCH($E$3&amp;"#"&amp;27,CHOOSE($J$3,'فحص-حاسب-بكالوريوس'!$R$5:$R$208,'فحص-بيانات-بكالوريوس'!$R$5:$R$208,'فحص-بيانات-ماجستير'!$R$5:$R$230),0),"")</f>
        <v/>
      </c>
    </row>
    <row r="33" spans="1:9" x14ac:dyDescent="0.2">
      <c r="A33" s="1" t="str">
        <f>IF($I33="","",28)</f>
        <v/>
      </c>
      <c r="B33" s="2" t="str">
        <f>IF($I33="","",INDEX(CHOOSE($J$3,'فحص-حاسب-بكالوريوس'!$A$5:$A$208,'فحص-بيانات-بكالوريوس'!$A$5:$A$208,'فحص-بيانات-ماجستير'!$A$5:$A$230),$I33)&amp;"")</f>
        <v/>
      </c>
      <c r="C33" s="2" t="str">
        <f>IF($I33="","",INDEX(CHOOSE($J$3,'فحص-حاسب-بكالوريوس'!$F$5:$F$208,'فحص-بيانات-بكالوريوس'!$F$5:$F$208,'فحص-بيانات-ماجستير'!$F$5:$F$230),$I33)&amp;"")</f>
        <v/>
      </c>
      <c r="D33" s="2" t="str">
        <f>IF($I33="","",INDEX(CHOOSE($J$3,'فحص-حاسب-بكالوريوس'!$H$5:$H$208,'فحص-بيانات-بكالوريوس'!$H$5:$H$208,'فحص-بيانات-ماجستير'!$H$5:$H$230),$I33)&amp;"")</f>
        <v/>
      </c>
      <c r="E33" s="2" t="str">
        <f>IF($I33="","",INDEX(CHOOSE($J$3,'فحص-حاسب-بكالوريوس'!$J$5:$J$208,'فحص-بيانات-بكالوريوس'!$J$5:$J$208,'فحص-بيانات-ماجستير'!$J$5:$J$230),$I33)&amp;"")</f>
        <v/>
      </c>
      <c r="F33" s="2" t="str">
        <f>IF($I33="","",INDEX(CHOOSE($J$3,'فحص-حاسب-بكالوريوس'!$L$5:$L$208,'فحص-بيانات-بكالوريوس'!$L$5:$L$208,'فحص-بيانات-ماجستير'!$L$5:$L$230),$I33)&amp;"")</f>
        <v/>
      </c>
      <c r="G33" s="2" t="str">
        <f>IF($I33="","",INDEX(CHOOSE($J$3,'فحص-حاسب-بكالوريوس'!$M$5:$M$208,'فحص-بيانات-بكالوريوس'!$M$5:$M$208,'فحص-بيانات-ماجستير'!$M$5:$M$230),$I33)&amp;"")</f>
        <v/>
      </c>
      <c r="I33" s="2" t="str">
        <f>IFERROR(MATCH($E$3&amp;"#"&amp;28,CHOOSE($J$3,'فحص-حاسب-بكالوريوس'!$R$5:$R$208,'فحص-بيانات-بكالوريوس'!$R$5:$R$208,'فحص-بيانات-ماجستير'!$R$5:$R$230),0),"")</f>
        <v/>
      </c>
    </row>
    <row r="34" spans="1:9" x14ac:dyDescent="0.2">
      <c r="A34" s="1" t="str">
        <f>IF($I34="","",29)</f>
        <v/>
      </c>
      <c r="B34" s="2" t="str">
        <f>IF($I34="","",INDEX(CHOOSE($J$3,'فحص-حاسب-بكالوريوس'!$A$5:$A$208,'فحص-بيانات-بكالوريوس'!$A$5:$A$208,'فحص-بيانات-ماجستير'!$A$5:$A$230),$I34)&amp;"")</f>
        <v/>
      </c>
      <c r="C34" s="2" t="str">
        <f>IF($I34="","",INDEX(CHOOSE($J$3,'فحص-حاسب-بكالوريوس'!$F$5:$F$208,'فحص-بيانات-بكالوريوس'!$F$5:$F$208,'فحص-بيانات-ماجستير'!$F$5:$F$230),$I34)&amp;"")</f>
        <v/>
      </c>
      <c r="D34" s="2" t="str">
        <f>IF($I34="","",INDEX(CHOOSE($J$3,'فحص-حاسب-بكالوريوس'!$H$5:$H$208,'فحص-بيانات-بكالوريوس'!$H$5:$H$208,'فحص-بيانات-ماجستير'!$H$5:$H$230),$I34)&amp;"")</f>
        <v/>
      </c>
      <c r="E34" s="2" t="str">
        <f>IF($I34="","",INDEX(CHOOSE($J$3,'فحص-حاسب-بكالوريوس'!$J$5:$J$208,'فحص-بيانات-بكالوريوس'!$J$5:$J$208,'فحص-بيانات-ماجستير'!$J$5:$J$230),$I34)&amp;"")</f>
        <v/>
      </c>
      <c r="F34" s="2" t="str">
        <f>IF($I34="","",INDEX(CHOOSE($J$3,'فحص-حاسب-بكالوريوس'!$L$5:$L$208,'فحص-بيانات-بكالوريوس'!$L$5:$L$208,'فحص-بيانات-ماجستير'!$L$5:$L$230),$I34)&amp;"")</f>
        <v/>
      </c>
      <c r="G34" s="2" t="str">
        <f>IF($I34="","",INDEX(CHOOSE($J$3,'فحص-حاسب-بكالوريوس'!$M$5:$M$208,'فحص-بيانات-بكالوريوس'!$M$5:$M$208,'فحص-بيانات-ماجستير'!$M$5:$M$230),$I34)&amp;"")</f>
        <v/>
      </c>
      <c r="I34" s="2" t="str">
        <f>IFERROR(MATCH($E$3&amp;"#"&amp;29,CHOOSE($J$3,'فحص-حاسب-بكالوريوس'!$R$5:$R$208,'فحص-بيانات-بكالوريوس'!$R$5:$R$208,'فحص-بيانات-ماجستير'!$R$5:$R$230),0),"")</f>
        <v/>
      </c>
    </row>
    <row r="35" spans="1:9" x14ac:dyDescent="0.2">
      <c r="A35" s="1" t="str">
        <f>IF($I35="","",30)</f>
        <v/>
      </c>
      <c r="B35" s="2" t="str">
        <f>IF($I35="","",INDEX(CHOOSE($J$3,'فحص-حاسب-بكالوريوس'!$A$5:$A$208,'فحص-بيانات-بكالوريوس'!$A$5:$A$208,'فحص-بيانات-ماجستير'!$A$5:$A$230),$I35)&amp;"")</f>
        <v/>
      </c>
      <c r="C35" s="2" t="str">
        <f>IF($I35="","",INDEX(CHOOSE($J$3,'فحص-حاسب-بكالوريوس'!$F$5:$F$208,'فحص-بيانات-بكالوريوس'!$F$5:$F$208,'فحص-بيانات-ماجستير'!$F$5:$F$230),$I35)&amp;"")</f>
        <v/>
      </c>
      <c r="D35" s="2" t="str">
        <f>IF($I35="","",INDEX(CHOOSE($J$3,'فحص-حاسب-بكالوريوس'!$H$5:$H$208,'فحص-بيانات-بكالوريوس'!$H$5:$H$208,'فحص-بيانات-ماجستير'!$H$5:$H$230),$I35)&amp;"")</f>
        <v/>
      </c>
      <c r="E35" s="2" t="str">
        <f>IF($I35="","",INDEX(CHOOSE($J$3,'فحص-حاسب-بكالوريوس'!$J$5:$J$208,'فحص-بيانات-بكالوريوس'!$J$5:$J$208,'فحص-بيانات-ماجستير'!$J$5:$J$230),$I35)&amp;"")</f>
        <v/>
      </c>
      <c r="F35" s="2" t="str">
        <f>IF($I35="","",INDEX(CHOOSE($J$3,'فحص-حاسب-بكالوريوس'!$L$5:$L$208,'فحص-بيانات-بكالوريوس'!$L$5:$L$208,'فحص-بيانات-ماجستير'!$L$5:$L$230),$I35)&amp;"")</f>
        <v/>
      </c>
      <c r="G35" s="2" t="str">
        <f>IF($I35="","",INDEX(CHOOSE($J$3,'فحص-حاسب-بكالوريوس'!$M$5:$M$208,'فحص-بيانات-بكالوريوس'!$M$5:$M$208,'فحص-بيانات-ماجستير'!$M$5:$M$230),$I35)&amp;"")</f>
        <v/>
      </c>
      <c r="I35" s="2" t="str">
        <f>IFERROR(MATCH($E$3&amp;"#"&amp;30,CHOOSE($J$3,'فحص-حاسب-بكالوريوس'!$R$5:$R$208,'فحص-بيانات-بكالوريوس'!$R$5:$R$208,'فحص-بيانات-ماجستير'!$R$5:$R$230),0),"")</f>
        <v/>
      </c>
    </row>
    <row r="36" spans="1:9" x14ac:dyDescent="0.2">
      <c r="A36" s="1" t="str">
        <f>IF($I36="","",31)</f>
        <v/>
      </c>
      <c r="B36" s="2" t="str">
        <f>IF($I36="","",INDEX(CHOOSE($J$3,'فحص-حاسب-بكالوريوس'!$A$5:$A$208,'فحص-بيانات-بكالوريوس'!$A$5:$A$208,'فحص-بيانات-ماجستير'!$A$5:$A$230),$I36)&amp;"")</f>
        <v/>
      </c>
      <c r="C36" s="2" t="str">
        <f>IF($I36="","",INDEX(CHOOSE($J$3,'فحص-حاسب-بكالوريوس'!$F$5:$F$208,'فحص-بيانات-بكالوريوس'!$F$5:$F$208,'فحص-بيانات-ماجستير'!$F$5:$F$230),$I36)&amp;"")</f>
        <v/>
      </c>
      <c r="D36" s="2" t="str">
        <f>IF($I36="","",INDEX(CHOOSE($J$3,'فحص-حاسب-بكالوريوس'!$H$5:$H$208,'فحص-بيانات-بكالوريوس'!$H$5:$H$208,'فحص-بيانات-ماجستير'!$H$5:$H$230),$I36)&amp;"")</f>
        <v/>
      </c>
      <c r="E36" s="2" t="str">
        <f>IF($I36="","",INDEX(CHOOSE($J$3,'فحص-حاسب-بكالوريوس'!$J$5:$J$208,'فحص-بيانات-بكالوريوس'!$J$5:$J$208,'فحص-بيانات-ماجستير'!$J$5:$J$230),$I36)&amp;"")</f>
        <v/>
      </c>
      <c r="F36" s="2" t="str">
        <f>IF($I36="","",INDEX(CHOOSE($J$3,'فحص-حاسب-بكالوريوس'!$L$5:$L$208,'فحص-بيانات-بكالوريوس'!$L$5:$L$208,'فحص-بيانات-ماجستير'!$L$5:$L$230),$I36)&amp;"")</f>
        <v/>
      </c>
      <c r="G36" s="2" t="str">
        <f>IF($I36="","",INDEX(CHOOSE($J$3,'فحص-حاسب-بكالوريوس'!$M$5:$M$208,'فحص-بيانات-بكالوريوس'!$M$5:$M$208,'فحص-بيانات-ماجستير'!$M$5:$M$230),$I36)&amp;"")</f>
        <v/>
      </c>
      <c r="I36" s="2" t="str">
        <f>IFERROR(MATCH($E$3&amp;"#"&amp;31,CHOOSE($J$3,'فحص-حاسب-بكالوريوس'!$R$5:$R$208,'فحص-بيانات-بكالوريوس'!$R$5:$R$208,'فحص-بيانات-ماجستير'!$R$5:$R$230),0),"")</f>
        <v/>
      </c>
    </row>
    <row r="37" spans="1:9" x14ac:dyDescent="0.2">
      <c r="A37" s="1" t="str">
        <f>IF($I37="","",32)</f>
        <v/>
      </c>
      <c r="B37" s="2" t="str">
        <f>IF($I37="","",INDEX(CHOOSE($J$3,'فحص-حاسب-بكالوريوس'!$A$5:$A$208,'فحص-بيانات-بكالوريوس'!$A$5:$A$208,'فحص-بيانات-ماجستير'!$A$5:$A$230),$I37)&amp;"")</f>
        <v/>
      </c>
      <c r="C37" s="2" t="str">
        <f>IF($I37="","",INDEX(CHOOSE($J$3,'فحص-حاسب-بكالوريوس'!$F$5:$F$208,'فحص-بيانات-بكالوريوس'!$F$5:$F$208,'فحص-بيانات-ماجستير'!$F$5:$F$230),$I37)&amp;"")</f>
        <v/>
      </c>
      <c r="D37" s="2" t="str">
        <f>IF($I37="","",INDEX(CHOOSE($J$3,'فحص-حاسب-بكالوريوس'!$H$5:$H$208,'فحص-بيانات-بكالوريوس'!$H$5:$H$208,'فحص-بيانات-ماجستير'!$H$5:$H$230),$I37)&amp;"")</f>
        <v/>
      </c>
      <c r="E37" s="2" t="str">
        <f>IF($I37="","",INDEX(CHOOSE($J$3,'فحص-حاسب-بكالوريوس'!$J$5:$J$208,'فحص-بيانات-بكالوريوس'!$J$5:$J$208,'فحص-بيانات-ماجستير'!$J$5:$J$230),$I37)&amp;"")</f>
        <v/>
      </c>
      <c r="F37" s="2" t="str">
        <f>IF($I37="","",INDEX(CHOOSE($J$3,'فحص-حاسب-بكالوريوس'!$L$5:$L$208,'فحص-بيانات-بكالوريوس'!$L$5:$L$208,'فحص-بيانات-ماجستير'!$L$5:$L$230),$I37)&amp;"")</f>
        <v/>
      </c>
      <c r="G37" s="2" t="str">
        <f>IF($I37="","",INDEX(CHOOSE($J$3,'فحص-حاسب-بكالوريوس'!$M$5:$M$208,'فحص-بيانات-بكالوريوس'!$M$5:$M$208,'فحص-بيانات-ماجستير'!$M$5:$M$230),$I37)&amp;"")</f>
        <v/>
      </c>
      <c r="I37" s="2" t="str">
        <f>IFERROR(MATCH($E$3&amp;"#"&amp;32,CHOOSE($J$3,'فحص-حاسب-بكالوريوس'!$R$5:$R$208,'فحص-بيانات-بكالوريوس'!$R$5:$R$208,'فحص-بيانات-ماجستير'!$R$5:$R$230),0),"")</f>
        <v/>
      </c>
    </row>
    <row r="38" spans="1:9" x14ac:dyDescent="0.2">
      <c r="A38" s="1" t="str">
        <f>IF($I38="","",33)</f>
        <v/>
      </c>
      <c r="B38" s="2" t="str">
        <f>IF($I38="","",INDEX(CHOOSE($J$3,'فحص-حاسب-بكالوريوس'!$A$5:$A$208,'فحص-بيانات-بكالوريوس'!$A$5:$A$208,'فحص-بيانات-ماجستير'!$A$5:$A$230),$I38)&amp;"")</f>
        <v/>
      </c>
      <c r="C38" s="2" t="str">
        <f>IF($I38="","",INDEX(CHOOSE($J$3,'فحص-حاسب-بكالوريوس'!$F$5:$F$208,'فحص-بيانات-بكالوريوس'!$F$5:$F$208,'فحص-بيانات-ماجستير'!$F$5:$F$230),$I38)&amp;"")</f>
        <v/>
      </c>
      <c r="D38" s="2" t="str">
        <f>IF($I38="","",INDEX(CHOOSE($J$3,'فحص-حاسب-بكالوريوس'!$H$5:$H$208,'فحص-بيانات-بكالوريوس'!$H$5:$H$208,'فحص-بيانات-ماجستير'!$H$5:$H$230),$I38)&amp;"")</f>
        <v/>
      </c>
      <c r="E38" s="2" t="str">
        <f>IF($I38="","",INDEX(CHOOSE($J$3,'فحص-حاسب-بكالوريوس'!$J$5:$J$208,'فحص-بيانات-بكالوريوس'!$J$5:$J$208,'فحص-بيانات-ماجستير'!$J$5:$J$230),$I38)&amp;"")</f>
        <v/>
      </c>
      <c r="F38" s="2" t="str">
        <f>IF($I38="","",INDEX(CHOOSE($J$3,'فحص-حاسب-بكالوريوس'!$L$5:$L$208,'فحص-بيانات-بكالوريوس'!$L$5:$L$208,'فحص-بيانات-ماجستير'!$L$5:$L$230),$I38)&amp;"")</f>
        <v/>
      </c>
      <c r="G38" s="2" t="str">
        <f>IF($I38="","",INDEX(CHOOSE($J$3,'فحص-حاسب-بكالوريوس'!$M$5:$M$208,'فحص-بيانات-بكالوريوس'!$M$5:$M$208,'فحص-بيانات-ماجستير'!$M$5:$M$230),$I38)&amp;"")</f>
        <v/>
      </c>
      <c r="I38" s="2" t="str">
        <f>IFERROR(MATCH($E$3&amp;"#"&amp;33,CHOOSE($J$3,'فحص-حاسب-بكالوريوس'!$R$5:$R$208,'فحص-بيانات-بكالوريوس'!$R$5:$R$208,'فحص-بيانات-ماجستير'!$R$5:$R$230),0),"")</f>
        <v/>
      </c>
    </row>
    <row r="39" spans="1:9" x14ac:dyDescent="0.2">
      <c r="A39" s="1" t="str">
        <f>IF($I39="","",34)</f>
        <v/>
      </c>
      <c r="B39" s="2" t="str">
        <f>IF($I39="","",INDEX(CHOOSE($J$3,'فحص-حاسب-بكالوريوس'!$A$5:$A$208,'فحص-بيانات-بكالوريوس'!$A$5:$A$208,'فحص-بيانات-ماجستير'!$A$5:$A$230),$I39)&amp;"")</f>
        <v/>
      </c>
      <c r="C39" s="2" t="str">
        <f>IF($I39="","",INDEX(CHOOSE($J$3,'فحص-حاسب-بكالوريوس'!$F$5:$F$208,'فحص-بيانات-بكالوريوس'!$F$5:$F$208,'فحص-بيانات-ماجستير'!$F$5:$F$230),$I39)&amp;"")</f>
        <v/>
      </c>
      <c r="D39" s="2" t="str">
        <f>IF($I39="","",INDEX(CHOOSE($J$3,'فحص-حاسب-بكالوريوس'!$H$5:$H$208,'فحص-بيانات-بكالوريوس'!$H$5:$H$208,'فحص-بيانات-ماجستير'!$H$5:$H$230),$I39)&amp;"")</f>
        <v/>
      </c>
      <c r="E39" s="2" t="str">
        <f>IF($I39="","",INDEX(CHOOSE($J$3,'فحص-حاسب-بكالوريوس'!$J$5:$J$208,'فحص-بيانات-بكالوريوس'!$J$5:$J$208,'فحص-بيانات-ماجستير'!$J$5:$J$230),$I39)&amp;"")</f>
        <v/>
      </c>
      <c r="F39" s="2" t="str">
        <f>IF($I39="","",INDEX(CHOOSE($J$3,'فحص-حاسب-بكالوريوس'!$L$5:$L$208,'فحص-بيانات-بكالوريوس'!$L$5:$L$208,'فحص-بيانات-ماجستير'!$L$5:$L$230),$I39)&amp;"")</f>
        <v/>
      </c>
      <c r="G39" s="2" t="str">
        <f>IF($I39="","",INDEX(CHOOSE($J$3,'فحص-حاسب-بكالوريوس'!$M$5:$M$208,'فحص-بيانات-بكالوريوس'!$M$5:$M$208,'فحص-بيانات-ماجستير'!$M$5:$M$230),$I39)&amp;"")</f>
        <v/>
      </c>
      <c r="I39" s="2" t="str">
        <f>IFERROR(MATCH($E$3&amp;"#"&amp;34,CHOOSE($J$3,'فحص-حاسب-بكالوريوس'!$R$5:$R$208,'فحص-بيانات-بكالوريوس'!$R$5:$R$208,'فحص-بيانات-ماجستير'!$R$5:$R$230),0),"")</f>
        <v/>
      </c>
    </row>
    <row r="40" spans="1:9" x14ac:dyDescent="0.2">
      <c r="A40" s="1" t="str">
        <f>IF($I40="","",35)</f>
        <v/>
      </c>
      <c r="B40" s="2" t="str">
        <f>IF($I40="","",INDEX(CHOOSE($J$3,'فحص-حاسب-بكالوريوس'!$A$5:$A$208,'فحص-بيانات-بكالوريوس'!$A$5:$A$208,'فحص-بيانات-ماجستير'!$A$5:$A$230),$I40)&amp;"")</f>
        <v/>
      </c>
      <c r="C40" s="2" t="str">
        <f>IF($I40="","",INDEX(CHOOSE($J$3,'فحص-حاسب-بكالوريوس'!$F$5:$F$208,'فحص-بيانات-بكالوريوس'!$F$5:$F$208,'فحص-بيانات-ماجستير'!$F$5:$F$230),$I40)&amp;"")</f>
        <v/>
      </c>
      <c r="D40" s="2" t="str">
        <f>IF($I40="","",INDEX(CHOOSE($J$3,'فحص-حاسب-بكالوريوس'!$H$5:$H$208,'فحص-بيانات-بكالوريوس'!$H$5:$H$208,'فحص-بيانات-ماجستير'!$H$5:$H$230),$I40)&amp;"")</f>
        <v/>
      </c>
      <c r="E40" s="2" t="str">
        <f>IF($I40="","",INDEX(CHOOSE($J$3,'فحص-حاسب-بكالوريوس'!$J$5:$J$208,'فحص-بيانات-بكالوريوس'!$J$5:$J$208,'فحص-بيانات-ماجستير'!$J$5:$J$230),$I40)&amp;"")</f>
        <v/>
      </c>
      <c r="F40" s="2" t="str">
        <f>IF($I40="","",INDEX(CHOOSE($J$3,'فحص-حاسب-بكالوريوس'!$L$5:$L$208,'فحص-بيانات-بكالوريوس'!$L$5:$L$208,'فحص-بيانات-ماجستير'!$L$5:$L$230),$I40)&amp;"")</f>
        <v/>
      </c>
      <c r="G40" s="2" t="str">
        <f>IF($I40="","",INDEX(CHOOSE($J$3,'فحص-حاسب-بكالوريوس'!$M$5:$M$208,'فحص-بيانات-بكالوريوس'!$M$5:$M$208,'فحص-بيانات-ماجستير'!$M$5:$M$230),$I40)&amp;"")</f>
        <v/>
      </c>
      <c r="I40" s="2" t="str">
        <f>IFERROR(MATCH($E$3&amp;"#"&amp;35,CHOOSE($J$3,'فحص-حاسب-بكالوريوس'!$R$5:$R$208,'فحص-بيانات-بكالوريوس'!$R$5:$R$208,'فحص-بيانات-ماجستير'!$R$5:$R$230),0),"")</f>
        <v/>
      </c>
    </row>
    <row r="41" spans="1:9" x14ac:dyDescent="0.2">
      <c r="A41" s="1" t="str">
        <f>IF($I41="","",36)</f>
        <v/>
      </c>
      <c r="B41" s="2" t="str">
        <f>IF($I41="","",INDEX(CHOOSE($J$3,'فحص-حاسب-بكالوريوس'!$A$5:$A$208,'فحص-بيانات-بكالوريوس'!$A$5:$A$208,'فحص-بيانات-ماجستير'!$A$5:$A$230),$I41)&amp;"")</f>
        <v/>
      </c>
      <c r="C41" s="2" t="str">
        <f>IF($I41="","",INDEX(CHOOSE($J$3,'فحص-حاسب-بكالوريوس'!$F$5:$F$208,'فحص-بيانات-بكالوريوس'!$F$5:$F$208,'فحص-بيانات-ماجستير'!$F$5:$F$230),$I41)&amp;"")</f>
        <v/>
      </c>
      <c r="D41" s="2" t="str">
        <f>IF($I41="","",INDEX(CHOOSE($J$3,'فحص-حاسب-بكالوريوس'!$H$5:$H$208,'فحص-بيانات-بكالوريوس'!$H$5:$H$208,'فحص-بيانات-ماجستير'!$H$5:$H$230),$I41)&amp;"")</f>
        <v/>
      </c>
      <c r="E41" s="2" t="str">
        <f>IF($I41="","",INDEX(CHOOSE($J$3,'فحص-حاسب-بكالوريوس'!$J$5:$J$208,'فحص-بيانات-بكالوريوس'!$J$5:$J$208,'فحص-بيانات-ماجستير'!$J$5:$J$230),$I41)&amp;"")</f>
        <v/>
      </c>
      <c r="F41" s="2" t="str">
        <f>IF($I41="","",INDEX(CHOOSE($J$3,'فحص-حاسب-بكالوريوس'!$L$5:$L$208,'فحص-بيانات-بكالوريوس'!$L$5:$L$208,'فحص-بيانات-ماجستير'!$L$5:$L$230),$I41)&amp;"")</f>
        <v/>
      </c>
      <c r="G41" s="2" t="str">
        <f>IF($I41="","",INDEX(CHOOSE($J$3,'فحص-حاسب-بكالوريوس'!$M$5:$M$208,'فحص-بيانات-بكالوريوس'!$M$5:$M$208,'فحص-بيانات-ماجستير'!$M$5:$M$230),$I41)&amp;"")</f>
        <v/>
      </c>
      <c r="I41" s="2" t="str">
        <f>IFERROR(MATCH($E$3&amp;"#"&amp;36,CHOOSE($J$3,'فحص-حاسب-بكالوريوس'!$R$5:$R$208,'فحص-بيانات-بكالوريوس'!$R$5:$R$208,'فحص-بيانات-ماجستير'!$R$5:$R$230),0),"")</f>
        <v/>
      </c>
    </row>
    <row r="42" spans="1:9" x14ac:dyDescent="0.2">
      <c r="A42" s="1" t="str">
        <f>IF($I42="","",37)</f>
        <v/>
      </c>
      <c r="B42" s="2" t="str">
        <f>IF($I42="","",INDEX(CHOOSE($J$3,'فحص-حاسب-بكالوريوس'!$A$5:$A$208,'فحص-بيانات-بكالوريوس'!$A$5:$A$208,'فحص-بيانات-ماجستير'!$A$5:$A$230),$I42)&amp;"")</f>
        <v/>
      </c>
      <c r="C42" s="2" t="str">
        <f>IF($I42="","",INDEX(CHOOSE($J$3,'فحص-حاسب-بكالوريوس'!$F$5:$F$208,'فحص-بيانات-بكالوريوس'!$F$5:$F$208,'فحص-بيانات-ماجستير'!$F$5:$F$230),$I42)&amp;"")</f>
        <v/>
      </c>
      <c r="D42" s="2" t="str">
        <f>IF($I42="","",INDEX(CHOOSE($J$3,'فحص-حاسب-بكالوريوس'!$H$5:$H$208,'فحص-بيانات-بكالوريوس'!$H$5:$H$208,'فحص-بيانات-ماجستير'!$H$5:$H$230),$I42)&amp;"")</f>
        <v/>
      </c>
      <c r="E42" s="2" t="str">
        <f>IF($I42="","",INDEX(CHOOSE($J$3,'فحص-حاسب-بكالوريوس'!$J$5:$J$208,'فحص-بيانات-بكالوريوس'!$J$5:$J$208,'فحص-بيانات-ماجستير'!$J$5:$J$230),$I42)&amp;"")</f>
        <v/>
      </c>
      <c r="F42" s="2" t="str">
        <f>IF($I42="","",INDEX(CHOOSE($J$3,'فحص-حاسب-بكالوريوس'!$L$5:$L$208,'فحص-بيانات-بكالوريوس'!$L$5:$L$208,'فحص-بيانات-ماجستير'!$L$5:$L$230),$I42)&amp;"")</f>
        <v/>
      </c>
      <c r="G42" s="2" t="str">
        <f>IF($I42="","",INDEX(CHOOSE($J$3,'فحص-حاسب-بكالوريوس'!$M$5:$M$208,'فحص-بيانات-بكالوريوس'!$M$5:$M$208,'فحص-بيانات-ماجستير'!$M$5:$M$230),$I42)&amp;"")</f>
        <v/>
      </c>
      <c r="I42" s="2" t="str">
        <f>IFERROR(MATCH($E$3&amp;"#"&amp;37,CHOOSE($J$3,'فحص-حاسب-بكالوريوس'!$R$5:$R$208,'فحص-بيانات-بكالوريوس'!$R$5:$R$208,'فحص-بيانات-ماجستير'!$R$5:$R$230),0),"")</f>
        <v/>
      </c>
    </row>
    <row r="43" spans="1:9" x14ac:dyDescent="0.2">
      <c r="A43" s="1" t="str">
        <f>IF($I43="","",38)</f>
        <v/>
      </c>
      <c r="B43" s="2" t="str">
        <f>IF($I43="","",INDEX(CHOOSE($J$3,'فحص-حاسب-بكالوريوس'!$A$5:$A$208,'فحص-بيانات-بكالوريوس'!$A$5:$A$208,'فحص-بيانات-ماجستير'!$A$5:$A$230),$I43)&amp;"")</f>
        <v/>
      </c>
      <c r="C43" s="2" t="str">
        <f>IF($I43="","",INDEX(CHOOSE($J$3,'فحص-حاسب-بكالوريوس'!$F$5:$F$208,'فحص-بيانات-بكالوريوس'!$F$5:$F$208,'فحص-بيانات-ماجستير'!$F$5:$F$230),$I43)&amp;"")</f>
        <v/>
      </c>
      <c r="D43" s="2" t="str">
        <f>IF($I43="","",INDEX(CHOOSE($J$3,'فحص-حاسب-بكالوريوس'!$H$5:$H$208,'فحص-بيانات-بكالوريوس'!$H$5:$H$208,'فحص-بيانات-ماجستير'!$H$5:$H$230),$I43)&amp;"")</f>
        <v/>
      </c>
      <c r="E43" s="2" t="str">
        <f>IF($I43="","",INDEX(CHOOSE($J$3,'فحص-حاسب-بكالوريوس'!$J$5:$J$208,'فحص-بيانات-بكالوريوس'!$J$5:$J$208,'فحص-بيانات-ماجستير'!$J$5:$J$230),$I43)&amp;"")</f>
        <v/>
      </c>
      <c r="F43" s="2" t="str">
        <f>IF($I43="","",INDEX(CHOOSE($J$3,'فحص-حاسب-بكالوريوس'!$L$5:$L$208,'فحص-بيانات-بكالوريوس'!$L$5:$L$208,'فحص-بيانات-ماجستير'!$L$5:$L$230),$I43)&amp;"")</f>
        <v/>
      </c>
      <c r="G43" s="2" t="str">
        <f>IF($I43="","",INDEX(CHOOSE($J$3,'فحص-حاسب-بكالوريوس'!$M$5:$M$208,'فحص-بيانات-بكالوريوس'!$M$5:$M$208,'فحص-بيانات-ماجستير'!$M$5:$M$230),$I43)&amp;"")</f>
        <v/>
      </c>
      <c r="I43" s="2" t="str">
        <f>IFERROR(MATCH($E$3&amp;"#"&amp;38,CHOOSE($J$3,'فحص-حاسب-بكالوريوس'!$R$5:$R$208,'فحص-بيانات-بكالوريوس'!$R$5:$R$208,'فحص-بيانات-ماجستير'!$R$5:$R$230),0),"")</f>
        <v/>
      </c>
    </row>
    <row r="44" spans="1:9" x14ac:dyDescent="0.2">
      <c r="A44" s="1" t="str">
        <f>IF($I44="","",39)</f>
        <v/>
      </c>
      <c r="B44" s="2" t="str">
        <f>IF($I44="","",INDEX(CHOOSE($J$3,'فحص-حاسب-بكالوريوس'!$A$5:$A$208,'فحص-بيانات-بكالوريوس'!$A$5:$A$208,'فحص-بيانات-ماجستير'!$A$5:$A$230),$I44)&amp;"")</f>
        <v/>
      </c>
      <c r="C44" s="2" t="str">
        <f>IF($I44="","",INDEX(CHOOSE($J$3,'فحص-حاسب-بكالوريوس'!$F$5:$F$208,'فحص-بيانات-بكالوريوس'!$F$5:$F$208,'فحص-بيانات-ماجستير'!$F$5:$F$230),$I44)&amp;"")</f>
        <v/>
      </c>
      <c r="D44" s="2" t="str">
        <f>IF($I44="","",INDEX(CHOOSE($J$3,'فحص-حاسب-بكالوريوس'!$H$5:$H$208,'فحص-بيانات-بكالوريوس'!$H$5:$H$208,'فحص-بيانات-ماجستير'!$H$5:$H$230),$I44)&amp;"")</f>
        <v/>
      </c>
      <c r="E44" s="2" t="str">
        <f>IF($I44="","",INDEX(CHOOSE($J$3,'فحص-حاسب-بكالوريوس'!$J$5:$J$208,'فحص-بيانات-بكالوريوس'!$J$5:$J$208,'فحص-بيانات-ماجستير'!$J$5:$J$230),$I44)&amp;"")</f>
        <v/>
      </c>
      <c r="F44" s="2" t="str">
        <f>IF($I44="","",INDEX(CHOOSE($J$3,'فحص-حاسب-بكالوريوس'!$L$5:$L$208,'فحص-بيانات-بكالوريوس'!$L$5:$L$208,'فحص-بيانات-ماجستير'!$L$5:$L$230),$I44)&amp;"")</f>
        <v/>
      </c>
      <c r="G44" s="2" t="str">
        <f>IF($I44="","",INDEX(CHOOSE($J$3,'فحص-حاسب-بكالوريوس'!$M$5:$M$208,'فحص-بيانات-بكالوريوس'!$M$5:$M$208,'فحص-بيانات-ماجستير'!$M$5:$M$230),$I44)&amp;"")</f>
        <v/>
      </c>
      <c r="I44" s="2" t="str">
        <f>IFERROR(MATCH($E$3&amp;"#"&amp;39,CHOOSE($J$3,'فحص-حاسب-بكالوريوس'!$R$5:$R$208,'فحص-بيانات-بكالوريوس'!$R$5:$R$208,'فحص-بيانات-ماجستير'!$R$5:$R$230),0),"")</f>
        <v/>
      </c>
    </row>
    <row r="45" spans="1:9" x14ac:dyDescent="0.2">
      <c r="A45" s="1" t="str">
        <f>IF($I45="","",40)</f>
        <v/>
      </c>
      <c r="B45" s="2" t="str">
        <f>IF($I45="","",INDEX(CHOOSE($J$3,'فحص-حاسب-بكالوريوس'!$A$5:$A$208,'فحص-بيانات-بكالوريوس'!$A$5:$A$208,'فحص-بيانات-ماجستير'!$A$5:$A$230),$I45)&amp;"")</f>
        <v/>
      </c>
      <c r="C45" s="2" t="str">
        <f>IF($I45="","",INDEX(CHOOSE($J$3,'فحص-حاسب-بكالوريوس'!$F$5:$F$208,'فحص-بيانات-بكالوريوس'!$F$5:$F$208,'فحص-بيانات-ماجستير'!$F$5:$F$230),$I45)&amp;"")</f>
        <v/>
      </c>
      <c r="D45" s="2" t="str">
        <f>IF($I45="","",INDEX(CHOOSE($J$3,'فحص-حاسب-بكالوريوس'!$H$5:$H$208,'فحص-بيانات-بكالوريوس'!$H$5:$H$208,'فحص-بيانات-ماجستير'!$H$5:$H$230),$I45)&amp;"")</f>
        <v/>
      </c>
      <c r="E45" s="2" t="str">
        <f>IF($I45="","",INDEX(CHOOSE($J$3,'فحص-حاسب-بكالوريوس'!$J$5:$J$208,'فحص-بيانات-بكالوريوس'!$J$5:$J$208,'فحص-بيانات-ماجستير'!$J$5:$J$230),$I45)&amp;"")</f>
        <v/>
      </c>
      <c r="F45" s="2" t="str">
        <f>IF($I45="","",INDEX(CHOOSE($J$3,'فحص-حاسب-بكالوريوس'!$L$5:$L$208,'فحص-بيانات-بكالوريوس'!$L$5:$L$208,'فحص-بيانات-ماجستير'!$L$5:$L$230),$I45)&amp;"")</f>
        <v/>
      </c>
      <c r="G45" s="2" t="str">
        <f>IF($I45="","",INDEX(CHOOSE($J$3,'فحص-حاسب-بكالوريوس'!$M$5:$M$208,'فحص-بيانات-بكالوريوس'!$M$5:$M$208,'فحص-بيانات-ماجستير'!$M$5:$M$230),$I45)&amp;"")</f>
        <v/>
      </c>
      <c r="I45" s="2" t="str">
        <f>IFERROR(MATCH($E$3&amp;"#"&amp;40,CHOOSE($J$3,'فحص-حاسب-بكالوريوس'!$R$5:$R$208,'فحص-بيانات-بكالوريوس'!$R$5:$R$208,'فحص-بيانات-ماجستير'!$R$5:$R$230),0),"")</f>
        <v/>
      </c>
    </row>
    <row r="46" spans="1:9" x14ac:dyDescent="0.2">
      <c r="A46" s="1" t="str">
        <f>IF($I46="","",41)</f>
        <v/>
      </c>
      <c r="B46" s="2" t="str">
        <f>IF($I46="","",INDEX(CHOOSE($J$3,'فحص-حاسب-بكالوريوس'!$A$5:$A$208,'فحص-بيانات-بكالوريوس'!$A$5:$A$208,'فحص-بيانات-ماجستير'!$A$5:$A$230),$I46)&amp;"")</f>
        <v/>
      </c>
      <c r="C46" s="2" t="str">
        <f>IF($I46="","",INDEX(CHOOSE($J$3,'فحص-حاسب-بكالوريوس'!$F$5:$F$208,'فحص-بيانات-بكالوريوس'!$F$5:$F$208,'فحص-بيانات-ماجستير'!$F$5:$F$230),$I46)&amp;"")</f>
        <v/>
      </c>
      <c r="D46" s="2" t="str">
        <f>IF($I46="","",INDEX(CHOOSE($J$3,'فحص-حاسب-بكالوريوس'!$H$5:$H$208,'فحص-بيانات-بكالوريوس'!$H$5:$H$208,'فحص-بيانات-ماجستير'!$H$5:$H$230),$I46)&amp;"")</f>
        <v/>
      </c>
      <c r="E46" s="2" t="str">
        <f>IF($I46="","",INDEX(CHOOSE($J$3,'فحص-حاسب-بكالوريوس'!$J$5:$J$208,'فحص-بيانات-بكالوريوس'!$J$5:$J$208,'فحص-بيانات-ماجستير'!$J$5:$J$230),$I46)&amp;"")</f>
        <v/>
      </c>
      <c r="F46" s="2" t="str">
        <f>IF($I46="","",INDEX(CHOOSE($J$3,'فحص-حاسب-بكالوريوس'!$L$5:$L$208,'فحص-بيانات-بكالوريوس'!$L$5:$L$208,'فحص-بيانات-ماجستير'!$L$5:$L$230),$I46)&amp;"")</f>
        <v/>
      </c>
      <c r="G46" s="2" t="str">
        <f>IF($I46="","",INDEX(CHOOSE($J$3,'فحص-حاسب-بكالوريوس'!$M$5:$M$208,'فحص-بيانات-بكالوريوس'!$M$5:$M$208,'فحص-بيانات-ماجستير'!$M$5:$M$230),$I46)&amp;"")</f>
        <v/>
      </c>
      <c r="I46" s="2" t="str">
        <f>IFERROR(MATCH($E$3&amp;"#"&amp;41,CHOOSE($J$3,'فحص-حاسب-بكالوريوس'!$R$5:$R$208,'فحص-بيانات-بكالوريوس'!$R$5:$R$208,'فحص-بيانات-ماجستير'!$R$5:$R$230),0),"")</f>
        <v/>
      </c>
    </row>
    <row r="47" spans="1:9" x14ac:dyDescent="0.2">
      <c r="A47" s="1" t="str">
        <f>IF($I47="","",42)</f>
        <v/>
      </c>
      <c r="B47" s="2" t="str">
        <f>IF($I47="","",INDEX(CHOOSE($J$3,'فحص-حاسب-بكالوريوس'!$A$5:$A$208,'فحص-بيانات-بكالوريوس'!$A$5:$A$208,'فحص-بيانات-ماجستير'!$A$5:$A$230),$I47)&amp;"")</f>
        <v/>
      </c>
      <c r="C47" s="2" t="str">
        <f>IF($I47="","",INDEX(CHOOSE($J$3,'فحص-حاسب-بكالوريوس'!$F$5:$F$208,'فحص-بيانات-بكالوريوس'!$F$5:$F$208,'فحص-بيانات-ماجستير'!$F$5:$F$230),$I47)&amp;"")</f>
        <v/>
      </c>
      <c r="D47" s="2" t="str">
        <f>IF($I47="","",INDEX(CHOOSE($J$3,'فحص-حاسب-بكالوريوس'!$H$5:$H$208,'فحص-بيانات-بكالوريوس'!$H$5:$H$208,'فحص-بيانات-ماجستير'!$H$5:$H$230),$I47)&amp;"")</f>
        <v/>
      </c>
      <c r="E47" s="2" t="str">
        <f>IF($I47="","",INDEX(CHOOSE($J$3,'فحص-حاسب-بكالوريوس'!$J$5:$J$208,'فحص-بيانات-بكالوريوس'!$J$5:$J$208,'فحص-بيانات-ماجستير'!$J$5:$J$230),$I47)&amp;"")</f>
        <v/>
      </c>
      <c r="F47" s="2" t="str">
        <f>IF($I47="","",INDEX(CHOOSE($J$3,'فحص-حاسب-بكالوريوس'!$L$5:$L$208,'فحص-بيانات-بكالوريوس'!$L$5:$L$208,'فحص-بيانات-ماجستير'!$L$5:$L$230),$I47)&amp;"")</f>
        <v/>
      </c>
      <c r="G47" s="2" t="str">
        <f>IF($I47="","",INDEX(CHOOSE($J$3,'فحص-حاسب-بكالوريوس'!$M$5:$M$208,'فحص-بيانات-بكالوريوس'!$M$5:$M$208,'فحص-بيانات-ماجستير'!$M$5:$M$230),$I47)&amp;"")</f>
        <v/>
      </c>
      <c r="I47" s="2" t="str">
        <f>IFERROR(MATCH($E$3&amp;"#"&amp;42,CHOOSE($J$3,'فحص-حاسب-بكالوريوس'!$R$5:$R$208,'فحص-بيانات-بكالوريوس'!$R$5:$R$208,'فحص-بيانات-ماجستير'!$R$5:$R$230),0),"")</f>
        <v/>
      </c>
    </row>
    <row r="48" spans="1:9" x14ac:dyDescent="0.2">
      <c r="A48" s="1" t="str">
        <f>IF($I48="","",43)</f>
        <v/>
      </c>
      <c r="B48" s="2" t="str">
        <f>IF($I48="","",INDEX(CHOOSE($J$3,'فحص-حاسب-بكالوريوس'!$A$5:$A$208,'فحص-بيانات-بكالوريوس'!$A$5:$A$208,'فحص-بيانات-ماجستير'!$A$5:$A$230),$I48)&amp;"")</f>
        <v/>
      </c>
      <c r="C48" s="2" t="str">
        <f>IF($I48="","",INDEX(CHOOSE($J$3,'فحص-حاسب-بكالوريوس'!$F$5:$F$208,'فحص-بيانات-بكالوريوس'!$F$5:$F$208,'فحص-بيانات-ماجستير'!$F$5:$F$230),$I48)&amp;"")</f>
        <v/>
      </c>
      <c r="D48" s="2" t="str">
        <f>IF($I48="","",INDEX(CHOOSE($J$3,'فحص-حاسب-بكالوريوس'!$H$5:$H$208,'فحص-بيانات-بكالوريوس'!$H$5:$H$208,'فحص-بيانات-ماجستير'!$H$5:$H$230),$I48)&amp;"")</f>
        <v/>
      </c>
      <c r="E48" s="2" t="str">
        <f>IF($I48="","",INDEX(CHOOSE($J$3,'فحص-حاسب-بكالوريوس'!$J$5:$J$208,'فحص-بيانات-بكالوريوس'!$J$5:$J$208,'فحص-بيانات-ماجستير'!$J$5:$J$230),$I48)&amp;"")</f>
        <v/>
      </c>
      <c r="F48" s="2" t="str">
        <f>IF($I48="","",INDEX(CHOOSE($J$3,'فحص-حاسب-بكالوريوس'!$L$5:$L$208,'فحص-بيانات-بكالوريوس'!$L$5:$L$208,'فحص-بيانات-ماجستير'!$L$5:$L$230),$I48)&amp;"")</f>
        <v/>
      </c>
      <c r="G48" s="2" t="str">
        <f>IF($I48="","",INDEX(CHOOSE($J$3,'فحص-حاسب-بكالوريوس'!$M$5:$M$208,'فحص-بيانات-بكالوريوس'!$M$5:$M$208,'فحص-بيانات-ماجستير'!$M$5:$M$230),$I48)&amp;"")</f>
        <v/>
      </c>
      <c r="I48" s="2" t="str">
        <f>IFERROR(MATCH($E$3&amp;"#"&amp;43,CHOOSE($J$3,'فحص-حاسب-بكالوريوس'!$R$5:$R$208,'فحص-بيانات-بكالوريوس'!$R$5:$R$208,'فحص-بيانات-ماجستير'!$R$5:$R$230),0),"")</f>
        <v/>
      </c>
    </row>
    <row r="49" spans="1:9" x14ac:dyDescent="0.2">
      <c r="A49" s="1" t="str">
        <f>IF($I49="","",44)</f>
        <v/>
      </c>
      <c r="B49" s="2" t="str">
        <f>IF($I49="","",INDEX(CHOOSE($J$3,'فحص-حاسب-بكالوريوس'!$A$5:$A$208,'فحص-بيانات-بكالوريوس'!$A$5:$A$208,'فحص-بيانات-ماجستير'!$A$5:$A$230),$I49)&amp;"")</f>
        <v/>
      </c>
      <c r="C49" s="2" t="str">
        <f>IF($I49="","",INDEX(CHOOSE($J$3,'فحص-حاسب-بكالوريوس'!$F$5:$F$208,'فحص-بيانات-بكالوريوس'!$F$5:$F$208,'فحص-بيانات-ماجستير'!$F$5:$F$230),$I49)&amp;"")</f>
        <v/>
      </c>
      <c r="D49" s="2" t="str">
        <f>IF($I49="","",INDEX(CHOOSE($J$3,'فحص-حاسب-بكالوريوس'!$H$5:$H$208,'فحص-بيانات-بكالوريوس'!$H$5:$H$208,'فحص-بيانات-ماجستير'!$H$5:$H$230),$I49)&amp;"")</f>
        <v/>
      </c>
      <c r="E49" s="2" t="str">
        <f>IF($I49="","",INDEX(CHOOSE($J$3,'فحص-حاسب-بكالوريوس'!$J$5:$J$208,'فحص-بيانات-بكالوريوس'!$J$5:$J$208,'فحص-بيانات-ماجستير'!$J$5:$J$230),$I49)&amp;"")</f>
        <v/>
      </c>
      <c r="F49" s="2" t="str">
        <f>IF($I49="","",INDEX(CHOOSE($J$3,'فحص-حاسب-بكالوريوس'!$L$5:$L$208,'فحص-بيانات-بكالوريوس'!$L$5:$L$208,'فحص-بيانات-ماجستير'!$L$5:$L$230),$I49)&amp;"")</f>
        <v/>
      </c>
      <c r="G49" s="2" t="str">
        <f>IF($I49="","",INDEX(CHOOSE($J$3,'فحص-حاسب-بكالوريوس'!$M$5:$M$208,'فحص-بيانات-بكالوريوس'!$M$5:$M$208,'فحص-بيانات-ماجستير'!$M$5:$M$230),$I49)&amp;"")</f>
        <v/>
      </c>
      <c r="I49" s="2" t="str">
        <f>IFERROR(MATCH($E$3&amp;"#"&amp;44,CHOOSE($J$3,'فحص-حاسب-بكالوريوس'!$R$5:$R$208,'فحص-بيانات-بكالوريوس'!$R$5:$R$208,'فحص-بيانات-ماجستير'!$R$5:$R$230),0),"")</f>
        <v/>
      </c>
    </row>
    <row r="50" spans="1:9" x14ac:dyDescent="0.2">
      <c r="A50" s="1" t="str">
        <f>IF($I50="","",45)</f>
        <v/>
      </c>
      <c r="B50" s="2" t="str">
        <f>IF($I50="","",INDEX(CHOOSE($J$3,'فحص-حاسب-بكالوريوس'!$A$5:$A$208,'فحص-بيانات-بكالوريوس'!$A$5:$A$208,'فحص-بيانات-ماجستير'!$A$5:$A$230),$I50)&amp;"")</f>
        <v/>
      </c>
      <c r="C50" s="2" t="str">
        <f>IF($I50="","",INDEX(CHOOSE($J$3,'فحص-حاسب-بكالوريوس'!$F$5:$F$208,'فحص-بيانات-بكالوريوس'!$F$5:$F$208,'فحص-بيانات-ماجستير'!$F$5:$F$230),$I50)&amp;"")</f>
        <v/>
      </c>
      <c r="D50" s="2" t="str">
        <f>IF($I50="","",INDEX(CHOOSE($J$3,'فحص-حاسب-بكالوريوس'!$H$5:$H$208,'فحص-بيانات-بكالوريوس'!$H$5:$H$208,'فحص-بيانات-ماجستير'!$H$5:$H$230),$I50)&amp;"")</f>
        <v/>
      </c>
      <c r="E50" s="2" t="str">
        <f>IF($I50="","",INDEX(CHOOSE($J$3,'فحص-حاسب-بكالوريوس'!$J$5:$J$208,'فحص-بيانات-بكالوريوس'!$J$5:$J$208,'فحص-بيانات-ماجستير'!$J$5:$J$230),$I50)&amp;"")</f>
        <v/>
      </c>
      <c r="F50" s="2" t="str">
        <f>IF($I50="","",INDEX(CHOOSE($J$3,'فحص-حاسب-بكالوريوس'!$L$5:$L$208,'فحص-بيانات-بكالوريوس'!$L$5:$L$208,'فحص-بيانات-ماجستير'!$L$5:$L$230),$I50)&amp;"")</f>
        <v/>
      </c>
      <c r="G50" s="2" t="str">
        <f>IF($I50="","",INDEX(CHOOSE($J$3,'فحص-حاسب-بكالوريوس'!$M$5:$M$208,'فحص-بيانات-بكالوريوس'!$M$5:$M$208,'فحص-بيانات-ماجستير'!$M$5:$M$230),$I50)&amp;"")</f>
        <v/>
      </c>
      <c r="I50" s="2" t="str">
        <f>IFERROR(MATCH($E$3&amp;"#"&amp;45,CHOOSE($J$3,'فحص-حاسب-بكالوريوس'!$R$5:$R$208,'فحص-بيانات-بكالوريوس'!$R$5:$R$208,'فحص-بيانات-ماجستير'!$R$5:$R$230),0),"")</f>
        <v/>
      </c>
    </row>
    <row r="51" spans="1:9" x14ac:dyDescent="0.2">
      <c r="A51" s="1" t="str">
        <f>IF($I51="","",46)</f>
        <v/>
      </c>
      <c r="B51" s="2" t="str">
        <f>IF($I51="","",INDEX(CHOOSE($J$3,'فحص-حاسب-بكالوريوس'!$A$5:$A$208,'فحص-بيانات-بكالوريوس'!$A$5:$A$208,'فحص-بيانات-ماجستير'!$A$5:$A$230),$I51)&amp;"")</f>
        <v/>
      </c>
      <c r="C51" s="2" t="str">
        <f>IF($I51="","",INDEX(CHOOSE($J$3,'فحص-حاسب-بكالوريوس'!$F$5:$F$208,'فحص-بيانات-بكالوريوس'!$F$5:$F$208,'فحص-بيانات-ماجستير'!$F$5:$F$230),$I51)&amp;"")</f>
        <v/>
      </c>
      <c r="D51" s="2" t="str">
        <f>IF($I51="","",INDEX(CHOOSE($J$3,'فحص-حاسب-بكالوريوس'!$H$5:$H$208,'فحص-بيانات-بكالوريوس'!$H$5:$H$208,'فحص-بيانات-ماجستير'!$H$5:$H$230),$I51)&amp;"")</f>
        <v/>
      </c>
      <c r="E51" s="2" t="str">
        <f>IF($I51="","",INDEX(CHOOSE($J$3,'فحص-حاسب-بكالوريوس'!$J$5:$J$208,'فحص-بيانات-بكالوريوس'!$J$5:$J$208,'فحص-بيانات-ماجستير'!$J$5:$J$230),$I51)&amp;"")</f>
        <v/>
      </c>
      <c r="F51" s="2" t="str">
        <f>IF($I51="","",INDEX(CHOOSE($J$3,'فحص-حاسب-بكالوريوس'!$L$5:$L$208,'فحص-بيانات-بكالوريوس'!$L$5:$L$208,'فحص-بيانات-ماجستير'!$L$5:$L$230),$I51)&amp;"")</f>
        <v/>
      </c>
      <c r="G51" s="2" t="str">
        <f>IF($I51="","",INDEX(CHOOSE($J$3,'فحص-حاسب-بكالوريوس'!$M$5:$M$208,'فحص-بيانات-بكالوريوس'!$M$5:$M$208,'فحص-بيانات-ماجستير'!$M$5:$M$230),$I51)&amp;"")</f>
        <v/>
      </c>
      <c r="I51" s="2" t="str">
        <f>IFERROR(MATCH($E$3&amp;"#"&amp;46,CHOOSE($J$3,'فحص-حاسب-بكالوريوس'!$R$5:$R$208,'فحص-بيانات-بكالوريوس'!$R$5:$R$208,'فحص-بيانات-ماجستير'!$R$5:$R$230),0),"")</f>
        <v/>
      </c>
    </row>
    <row r="52" spans="1:9" x14ac:dyDescent="0.2">
      <c r="A52" s="1" t="str">
        <f>IF($I52="","",47)</f>
        <v/>
      </c>
      <c r="B52" s="2" t="str">
        <f>IF($I52="","",INDEX(CHOOSE($J$3,'فحص-حاسب-بكالوريوس'!$A$5:$A$208,'فحص-بيانات-بكالوريوس'!$A$5:$A$208,'فحص-بيانات-ماجستير'!$A$5:$A$230),$I52)&amp;"")</f>
        <v/>
      </c>
      <c r="C52" s="2" t="str">
        <f>IF($I52="","",INDEX(CHOOSE($J$3,'فحص-حاسب-بكالوريوس'!$F$5:$F$208,'فحص-بيانات-بكالوريوس'!$F$5:$F$208,'فحص-بيانات-ماجستير'!$F$5:$F$230),$I52)&amp;"")</f>
        <v/>
      </c>
      <c r="D52" s="2" t="str">
        <f>IF($I52="","",INDEX(CHOOSE($J$3,'فحص-حاسب-بكالوريوس'!$H$5:$H$208,'فحص-بيانات-بكالوريوس'!$H$5:$H$208,'فحص-بيانات-ماجستير'!$H$5:$H$230),$I52)&amp;"")</f>
        <v/>
      </c>
      <c r="E52" s="2" t="str">
        <f>IF($I52="","",INDEX(CHOOSE($J$3,'فحص-حاسب-بكالوريوس'!$J$5:$J$208,'فحص-بيانات-بكالوريوس'!$J$5:$J$208,'فحص-بيانات-ماجستير'!$J$5:$J$230),$I52)&amp;"")</f>
        <v/>
      </c>
      <c r="F52" s="2" t="str">
        <f>IF($I52="","",INDEX(CHOOSE($J$3,'فحص-حاسب-بكالوريوس'!$L$5:$L$208,'فحص-بيانات-بكالوريوس'!$L$5:$L$208,'فحص-بيانات-ماجستير'!$L$5:$L$230),$I52)&amp;"")</f>
        <v/>
      </c>
      <c r="G52" s="2" t="str">
        <f>IF($I52="","",INDEX(CHOOSE($J$3,'فحص-حاسب-بكالوريوس'!$M$5:$M$208,'فحص-بيانات-بكالوريوس'!$M$5:$M$208,'فحص-بيانات-ماجستير'!$M$5:$M$230),$I52)&amp;"")</f>
        <v/>
      </c>
      <c r="I52" s="2" t="str">
        <f>IFERROR(MATCH($E$3&amp;"#"&amp;47,CHOOSE($J$3,'فحص-حاسب-بكالوريوس'!$R$5:$R$208,'فحص-بيانات-بكالوريوس'!$R$5:$R$208,'فحص-بيانات-ماجستير'!$R$5:$R$230),0),"")</f>
        <v/>
      </c>
    </row>
    <row r="53" spans="1:9" x14ac:dyDescent="0.2">
      <c r="A53" s="1" t="str">
        <f>IF($I53="","",48)</f>
        <v/>
      </c>
      <c r="B53" s="2" t="str">
        <f>IF($I53="","",INDEX(CHOOSE($J$3,'فحص-حاسب-بكالوريوس'!$A$5:$A$208,'فحص-بيانات-بكالوريوس'!$A$5:$A$208,'فحص-بيانات-ماجستير'!$A$5:$A$230),$I53)&amp;"")</f>
        <v/>
      </c>
      <c r="C53" s="2" t="str">
        <f>IF($I53="","",INDEX(CHOOSE($J$3,'فحص-حاسب-بكالوريوس'!$F$5:$F$208,'فحص-بيانات-بكالوريوس'!$F$5:$F$208,'فحص-بيانات-ماجستير'!$F$5:$F$230),$I53)&amp;"")</f>
        <v/>
      </c>
      <c r="D53" s="2" t="str">
        <f>IF($I53="","",INDEX(CHOOSE($J$3,'فحص-حاسب-بكالوريوس'!$H$5:$H$208,'فحص-بيانات-بكالوريوس'!$H$5:$H$208,'فحص-بيانات-ماجستير'!$H$5:$H$230),$I53)&amp;"")</f>
        <v/>
      </c>
      <c r="E53" s="2" t="str">
        <f>IF($I53="","",INDEX(CHOOSE($J$3,'فحص-حاسب-بكالوريوس'!$J$5:$J$208,'فحص-بيانات-بكالوريوس'!$J$5:$J$208,'فحص-بيانات-ماجستير'!$J$5:$J$230),$I53)&amp;"")</f>
        <v/>
      </c>
      <c r="F53" s="2" t="str">
        <f>IF($I53="","",INDEX(CHOOSE($J$3,'فحص-حاسب-بكالوريوس'!$L$5:$L$208,'فحص-بيانات-بكالوريوس'!$L$5:$L$208,'فحص-بيانات-ماجستير'!$L$5:$L$230),$I53)&amp;"")</f>
        <v/>
      </c>
      <c r="G53" s="2" t="str">
        <f>IF($I53="","",INDEX(CHOOSE($J$3,'فحص-حاسب-بكالوريوس'!$M$5:$M$208,'فحص-بيانات-بكالوريوس'!$M$5:$M$208,'فحص-بيانات-ماجستير'!$M$5:$M$230),$I53)&amp;"")</f>
        <v/>
      </c>
      <c r="I53" s="2" t="str">
        <f>IFERROR(MATCH($E$3&amp;"#"&amp;48,CHOOSE($J$3,'فحص-حاسب-بكالوريوس'!$R$5:$R$208,'فحص-بيانات-بكالوريوس'!$R$5:$R$208,'فحص-بيانات-ماجستير'!$R$5:$R$230),0),"")</f>
        <v/>
      </c>
    </row>
    <row r="54" spans="1:9" x14ac:dyDescent="0.2">
      <c r="A54" s="1" t="str">
        <f>IF($I54="","",49)</f>
        <v/>
      </c>
      <c r="B54" s="2" t="str">
        <f>IF($I54="","",INDEX(CHOOSE($J$3,'فحص-حاسب-بكالوريوس'!$A$5:$A$208,'فحص-بيانات-بكالوريوس'!$A$5:$A$208,'فحص-بيانات-ماجستير'!$A$5:$A$230),$I54)&amp;"")</f>
        <v/>
      </c>
      <c r="C54" s="2" t="str">
        <f>IF($I54="","",INDEX(CHOOSE($J$3,'فحص-حاسب-بكالوريوس'!$F$5:$F$208,'فحص-بيانات-بكالوريوس'!$F$5:$F$208,'فحص-بيانات-ماجستير'!$F$5:$F$230),$I54)&amp;"")</f>
        <v/>
      </c>
      <c r="D54" s="2" t="str">
        <f>IF($I54="","",INDEX(CHOOSE($J$3,'فحص-حاسب-بكالوريوس'!$H$5:$H$208,'فحص-بيانات-بكالوريوس'!$H$5:$H$208,'فحص-بيانات-ماجستير'!$H$5:$H$230),$I54)&amp;"")</f>
        <v/>
      </c>
      <c r="E54" s="2" t="str">
        <f>IF($I54="","",INDEX(CHOOSE($J$3,'فحص-حاسب-بكالوريوس'!$J$5:$J$208,'فحص-بيانات-بكالوريوس'!$J$5:$J$208,'فحص-بيانات-ماجستير'!$J$5:$J$230),$I54)&amp;"")</f>
        <v/>
      </c>
      <c r="F54" s="2" t="str">
        <f>IF($I54="","",INDEX(CHOOSE($J$3,'فحص-حاسب-بكالوريوس'!$L$5:$L$208,'فحص-بيانات-بكالوريوس'!$L$5:$L$208,'فحص-بيانات-ماجستير'!$L$5:$L$230),$I54)&amp;"")</f>
        <v/>
      </c>
      <c r="G54" s="2" t="str">
        <f>IF($I54="","",INDEX(CHOOSE($J$3,'فحص-حاسب-بكالوريوس'!$M$5:$M$208,'فحص-بيانات-بكالوريوس'!$M$5:$M$208,'فحص-بيانات-ماجستير'!$M$5:$M$230),$I54)&amp;"")</f>
        <v/>
      </c>
      <c r="I54" s="2" t="str">
        <f>IFERROR(MATCH($E$3&amp;"#"&amp;49,CHOOSE($J$3,'فحص-حاسب-بكالوريوس'!$R$5:$R$208,'فحص-بيانات-بكالوريوس'!$R$5:$R$208,'فحص-بيانات-ماجستير'!$R$5:$R$230),0),"")</f>
        <v/>
      </c>
    </row>
    <row r="55" spans="1:9" x14ac:dyDescent="0.2">
      <c r="A55" s="1" t="str">
        <f>IF($I55="","",50)</f>
        <v/>
      </c>
      <c r="B55" s="2" t="str">
        <f>IF($I55="","",INDEX(CHOOSE($J$3,'فحص-حاسب-بكالوريوس'!$A$5:$A$208,'فحص-بيانات-بكالوريوس'!$A$5:$A$208,'فحص-بيانات-ماجستير'!$A$5:$A$230),$I55)&amp;"")</f>
        <v/>
      </c>
      <c r="C55" s="2" t="str">
        <f>IF($I55="","",INDEX(CHOOSE($J$3,'فحص-حاسب-بكالوريوس'!$F$5:$F$208,'فحص-بيانات-بكالوريوس'!$F$5:$F$208,'فحص-بيانات-ماجستير'!$F$5:$F$230),$I55)&amp;"")</f>
        <v/>
      </c>
      <c r="D55" s="2" t="str">
        <f>IF($I55="","",INDEX(CHOOSE($J$3,'فحص-حاسب-بكالوريوس'!$H$5:$H$208,'فحص-بيانات-بكالوريوس'!$H$5:$H$208,'فحص-بيانات-ماجستير'!$H$5:$H$230),$I55)&amp;"")</f>
        <v/>
      </c>
      <c r="E55" s="2" t="str">
        <f>IF($I55="","",INDEX(CHOOSE($J$3,'فحص-حاسب-بكالوريوس'!$J$5:$J$208,'فحص-بيانات-بكالوريوس'!$J$5:$J$208,'فحص-بيانات-ماجستير'!$J$5:$J$230),$I55)&amp;"")</f>
        <v/>
      </c>
      <c r="F55" s="2" t="str">
        <f>IF($I55="","",INDEX(CHOOSE($J$3,'فحص-حاسب-بكالوريوس'!$L$5:$L$208,'فحص-بيانات-بكالوريوس'!$L$5:$L$208,'فحص-بيانات-ماجستير'!$L$5:$L$230),$I55)&amp;"")</f>
        <v/>
      </c>
      <c r="G55" s="2" t="str">
        <f>IF($I55="","",INDEX(CHOOSE($J$3,'فحص-حاسب-بكالوريوس'!$M$5:$M$208,'فحص-بيانات-بكالوريوس'!$M$5:$M$208,'فحص-بيانات-ماجستير'!$M$5:$M$230),$I55)&amp;"")</f>
        <v/>
      </c>
      <c r="I55" s="2" t="str">
        <f>IFERROR(MATCH($E$3&amp;"#"&amp;50,CHOOSE($J$3,'فحص-حاسب-بكالوريوس'!$R$5:$R$208,'فحص-بيانات-بكالوريوس'!$R$5:$R$208,'فحص-بيانات-ماجستير'!$R$5:$R$230),0),"")</f>
        <v/>
      </c>
    </row>
    <row r="56" spans="1:9" x14ac:dyDescent="0.2">
      <c r="A56" s="1" t="str">
        <f>IF($I56="","",51)</f>
        <v/>
      </c>
      <c r="B56" s="2" t="str">
        <f>IF($I56="","",INDEX(CHOOSE($J$3,'فحص-حاسب-بكالوريوس'!$A$5:$A$208,'فحص-بيانات-بكالوريوس'!$A$5:$A$208,'فحص-بيانات-ماجستير'!$A$5:$A$230),$I56)&amp;"")</f>
        <v/>
      </c>
      <c r="C56" s="2" t="str">
        <f>IF($I56="","",INDEX(CHOOSE($J$3,'فحص-حاسب-بكالوريوس'!$F$5:$F$208,'فحص-بيانات-بكالوريوس'!$F$5:$F$208,'فحص-بيانات-ماجستير'!$F$5:$F$230),$I56)&amp;"")</f>
        <v/>
      </c>
      <c r="D56" s="2" t="str">
        <f>IF($I56="","",INDEX(CHOOSE($J$3,'فحص-حاسب-بكالوريوس'!$H$5:$H$208,'فحص-بيانات-بكالوريوس'!$H$5:$H$208,'فحص-بيانات-ماجستير'!$H$5:$H$230),$I56)&amp;"")</f>
        <v/>
      </c>
      <c r="E56" s="2" t="str">
        <f>IF($I56="","",INDEX(CHOOSE($J$3,'فحص-حاسب-بكالوريوس'!$J$5:$J$208,'فحص-بيانات-بكالوريوس'!$J$5:$J$208,'فحص-بيانات-ماجستير'!$J$5:$J$230),$I56)&amp;"")</f>
        <v/>
      </c>
      <c r="F56" s="2" t="str">
        <f>IF($I56="","",INDEX(CHOOSE($J$3,'فحص-حاسب-بكالوريوس'!$L$5:$L$208,'فحص-بيانات-بكالوريوس'!$L$5:$L$208,'فحص-بيانات-ماجستير'!$L$5:$L$230),$I56)&amp;"")</f>
        <v/>
      </c>
      <c r="G56" s="2" t="str">
        <f>IF($I56="","",INDEX(CHOOSE($J$3,'فحص-حاسب-بكالوريوس'!$M$5:$M$208,'فحص-بيانات-بكالوريوس'!$M$5:$M$208,'فحص-بيانات-ماجستير'!$M$5:$M$230),$I56)&amp;"")</f>
        <v/>
      </c>
      <c r="I56" s="2" t="str">
        <f>IFERROR(MATCH($E$3&amp;"#"&amp;51,CHOOSE($J$3,'فحص-حاسب-بكالوريوس'!$R$5:$R$208,'فحص-بيانات-بكالوريوس'!$R$5:$R$208,'فحص-بيانات-ماجستير'!$R$5:$R$230),0),"")</f>
        <v/>
      </c>
    </row>
    <row r="57" spans="1:9" x14ac:dyDescent="0.2">
      <c r="A57" s="1" t="str">
        <f>IF($I57="","",52)</f>
        <v/>
      </c>
      <c r="B57" s="2" t="str">
        <f>IF($I57="","",INDEX(CHOOSE($J$3,'فحص-حاسب-بكالوريوس'!$A$5:$A$208,'فحص-بيانات-بكالوريوس'!$A$5:$A$208,'فحص-بيانات-ماجستير'!$A$5:$A$230),$I57)&amp;"")</f>
        <v/>
      </c>
      <c r="C57" s="2" t="str">
        <f>IF($I57="","",INDEX(CHOOSE($J$3,'فحص-حاسب-بكالوريوس'!$F$5:$F$208,'فحص-بيانات-بكالوريوس'!$F$5:$F$208,'فحص-بيانات-ماجستير'!$F$5:$F$230),$I57)&amp;"")</f>
        <v/>
      </c>
      <c r="D57" s="2" t="str">
        <f>IF($I57="","",INDEX(CHOOSE($J$3,'فحص-حاسب-بكالوريوس'!$H$5:$H$208,'فحص-بيانات-بكالوريوس'!$H$5:$H$208,'فحص-بيانات-ماجستير'!$H$5:$H$230),$I57)&amp;"")</f>
        <v/>
      </c>
      <c r="E57" s="2" t="str">
        <f>IF($I57="","",INDEX(CHOOSE($J$3,'فحص-حاسب-بكالوريوس'!$J$5:$J$208,'فحص-بيانات-بكالوريوس'!$J$5:$J$208,'فحص-بيانات-ماجستير'!$J$5:$J$230),$I57)&amp;"")</f>
        <v/>
      </c>
      <c r="F57" s="2" t="str">
        <f>IF($I57="","",INDEX(CHOOSE($J$3,'فحص-حاسب-بكالوريوس'!$L$5:$L$208,'فحص-بيانات-بكالوريوس'!$L$5:$L$208,'فحص-بيانات-ماجستير'!$L$5:$L$230),$I57)&amp;"")</f>
        <v/>
      </c>
      <c r="G57" s="2" t="str">
        <f>IF($I57="","",INDEX(CHOOSE($J$3,'فحص-حاسب-بكالوريوس'!$M$5:$M$208,'فحص-بيانات-بكالوريوس'!$M$5:$M$208,'فحص-بيانات-ماجستير'!$M$5:$M$230),$I57)&amp;"")</f>
        <v/>
      </c>
      <c r="I57" s="2" t="str">
        <f>IFERROR(MATCH($E$3&amp;"#"&amp;52,CHOOSE($J$3,'فحص-حاسب-بكالوريوس'!$R$5:$R$208,'فحص-بيانات-بكالوريوس'!$R$5:$R$208,'فحص-بيانات-ماجستير'!$R$5:$R$230),0),"")</f>
        <v/>
      </c>
    </row>
    <row r="58" spans="1:9" x14ac:dyDescent="0.2">
      <c r="A58" s="1" t="str">
        <f>IF($I58="","",53)</f>
        <v/>
      </c>
      <c r="B58" s="2" t="str">
        <f>IF($I58="","",INDEX(CHOOSE($J$3,'فحص-حاسب-بكالوريوس'!$A$5:$A$208,'فحص-بيانات-بكالوريوس'!$A$5:$A$208,'فحص-بيانات-ماجستير'!$A$5:$A$230),$I58)&amp;"")</f>
        <v/>
      </c>
      <c r="C58" s="2" t="str">
        <f>IF($I58="","",INDEX(CHOOSE($J$3,'فحص-حاسب-بكالوريوس'!$F$5:$F$208,'فحص-بيانات-بكالوريوس'!$F$5:$F$208,'فحص-بيانات-ماجستير'!$F$5:$F$230),$I58)&amp;"")</f>
        <v/>
      </c>
      <c r="D58" s="2" t="str">
        <f>IF($I58="","",INDEX(CHOOSE($J$3,'فحص-حاسب-بكالوريوس'!$H$5:$H$208,'فحص-بيانات-بكالوريوس'!$H$5:$H$208,'فحص-بيانات-ماجستير'!$H$5:$H$230),$I58)&amp;"")</f>
        <v/>
      </c>
      <c r="E58" s="2" t="str">
        <f>IF($I58="","",INDEX(CHOOSE($J$3,'فحص-حاسب-بكالوريوس'!$J$5:$J$208,'فحص-بيانات-بكالوريوس'!$J$5:$J$208,'فحص-بيانات-ماجستير'!$J$5:$J$230),$I58)&amp;"")</f>
        <v/>
      </c>
      <c r="F58" s="2" t="str">
        <f>IF($I58="","",INDEX(CHOOSE($J$3,'فحص-حاسب-بكالوريوس'!$L$5:$L$208,'فحص-بيانات-بكالوريوس'!$L$5:$L$208,'فحص-بيانات-ماجستير'!$L$5:$L$230),$I58)&amp;"")</f>
        <v/>
      </c>
      <c r="G58" s="2" t="str">
        <f>IF($I58="","",INDEX(CHOOSE($J$3,'فحص-حاسب-بكالوريوس'!$M$5:$M$208,'فحص-بيانات-بكالوريوس'!$M$5:$M$208,'فحص-بيانات-ماجستير'!$M$5:$M$230),$I58)&amp;"")</f>
        <v/>
      </c>
      <c r="I58" s="2" t="str">
        <f>IFERROR(MATCH($E$3&amp;"#"&amp;53,CHOOSE($J$3,'فحص-حاسب-بكالوريوس'!$R$5:$R$208,'فحص-بيانات-بكالوريوس'!$R$5:$R$208,'فحص-بيانات-ماجستير'!$R$5:$R$230),0),"")</f>
        <v/>
      </c>
    </row>
    <row r="59" spans="1:9" x14ac:dyDescent="0.2">
      <c r="A59" s="1" t="str">
        <f>IF($I59="","",54)</f>
        <v/>
      </c>
      <c r="B59" s="2" t="str">
        <f>IF($I59="","",INDEX(CHOOSE($J$3,'فحص-حاسب-بكالوريوس'!$A$5:$A$208,'فحص-بيانات-بكالوريوس'!$A$5:$A$208,'فحص-بيانات-ماجستير'!$A$5:$A$230),$I59)&amp;"")</f>
        <v/>
      </c>
      <c r="C59" s="2" t="str">
        <f>IF($I59="","",INDEX(CHOOSE($J$3,'فحص-حاسب-بكالوريوس'!$F$5:$F$208,'فحص-بيانات-بكالوريوس'!$F$5:$F$208,'فحص-بيانات-ماجستير'!$F$5:$F$230),$I59)&amp;"")</f>
        <v/>
      </c>
      <c r="D59" s="2" t="str">
        <f>IF($I59="","",INDEX(CHOOSE($J$3,'فحص-حاسب-بكالوريوس'!$H$5:$H$208,'فحص-بيانات-بكالوريوس'!$H$5:$H$208,'فحص-بيانات-ماجستير'!$H$5:$H$230),$I59)&amp;"")</f>
        <v/>
      </c>
      <c r="E59" s="2" t="str">
        <f>IF($I59="","",INDEX(CHOOSE($J$3,'فحص-حاسب-بكالوريوس'!$J$5:$J$208,'فحص-بيانات-بكالوريوس'!$J$5:$J$208,'فحص-بيانات-ماجستير'!$J$5:$J$230),$I59)&amp;"")</f>
        <v/>
      </c>
      <c r="F59" s="2" t="str">
        <f>IF($I59="","",INDEX(CHOOSE($J$3,'فحص-حاسب-بكالوريوس'!$L$5:$L$208,'فحص-بيانات-بكالوريوس'!$L$5:$L$208,'فحص-بيانات-ماجستير'!$L$5:$L$230),$I59)&amp;"")</f>
        <v/>
      </c>
      <c r="G59" s="2" t="str">
        <f>IF($I59="","",INDEX(CHOOSE($J$3,'فحص-حاسب-بكالوريوس'!$M$5:$M$208,'فحص-بيانات-بكالوريوس'!$M$5:$M$208,'فحص-بيانات-ماجستير'!$M$5:$M$230),$I59)&amp;"")</f>
        <v/>
      </c>
      <c r="I59" s="2" t="str">
        <f>IFERROR(MATCH($E$3&amp;"#"&amp;54,CHOOSE($J$3,'فحص-حاسب-بكالوريوس'!$R$5:$R$208,'فحص-بيانات-بكالوريوس'!$R$5:$R$208,'فحص-بيانات-ماجستير'!$R$5:$R$230),0),"")</f>
        <v/>
      </c>
    </row>
    <row r="60" spans="1:9" x14ac:dyDescent="0.2">
      <c r="A60" s="1" t="str">
        <f>IF($I60="","",55)</f>
        <v/>
      </c>
      <c r="B60" s="2" t="str">
        <f>IF($I60="","",INDEX(CHOOSE($J$3,'فحص-حاسب-بكالوريوس'!$A$5:$A$208,'فحص-بيانات-بكالوريوس'!$A$5:$A$208,'فحص-بيانات-ماجستير'!$A$5:$A$230),$I60)&amp;"")</f>
        <v/>
      </c>
      <c r="C60" s="2" t="str">
        <f>IF($I60="","",INDEX(CHOOSE($J$3,'فحص-حاسب-بكالوريوس'!$F$5:$F$208,'فحص-بيانات-بكالوريوس'!$F$5:$F$208,'فحص-بيانات-ماجستير'!$F$5:$F$230),$I60)&amp;"")</f>
        <v/>
      </c>
      <c r="D60" s="2" t="str">
        <f>IF($I60="","",INDEX(CHOOSE($J$3,'فحص-حاسب-بكالوريوس'!$H$5:$H$208,'فحص-بيانات-بكالوريوس'!$H$5:$H$208,'فحص-بيانات-ماجستير'!$H$5:$H$230),$I60)&amp;"")</f>
        <v/>
      </c>
      <c r="E60" s="2" t="str">
        <f>IF($I60="","",INDEX(CHOOSE($J$3,'فحص-حاسب-بكالوريوس'!$J$5:$J$208,'فحص-بيانات-بكالوريوس'!$J$5:$J$208,'فحص-بيانات-ماجستير'!$J$5:$J$230),$I60)&amp;"")</f>
        <v/>
      </c>
      <c r="F60" s="2" t="str">
        <f>IF($I60="","",INDEX(CHOOSE($J$3,'فحص-حاسب-بكالوريوس'!$L$5:$L$208,'فحص-بيانات-بكالوريوس'!$L$5:$L$208,'فحص-بيانات-ماجستير'!$L$5:$L$230),$I60)&amp;"")</f>
        <v/>
      </c>
      <c r="G60" s="2" t="str">
        <f>IF($I60="","",INDEX(CHOOSE($J$3,'فحص-حاسب-بكالوريوس'!$M$5:$M$208,'فحص-بيانات-بكالوريوس'!$M$5:$M$208,'فحص-بيانات-ماجستير'!$M$5:$M$230),$I60)&amp;"")</f>
        <v/>
      </c>
      <c r="I60" s="2" t="str">
        <f>IFERROR(MATCH($E$3&amp;"#"&amp;55,CHOOSE($J$3,'فحص-حاسب-بكالوريوس'!$R$5:$R$208,'فحص-بيانات-بكالوريوس'!$R$5:$R$208,'فحص-بيانات-ماجستير'!$R$5:$R$230),0),"")</f>
        <v/>
      </c>
    </row>
    <row r="61" spans="1:9" x14ac:dyDescent="0.2">
      <c r="A61" s="1" t="str">
        <f>IF($I61="","",56)</f>
        <v/>
      </c>
      <c r="B61" s="2" t="str">
        <f>IF($I61="","",INDEX(CHOOSE($J$3,'فحص-حاسب-بكالوريوس'!$A$5:$A$208,'فحص-بيانات-بكالوريوس'!$A$5:$A$208,'فحص-بيانات-ماجستير'!$A$5:$A$230),$I61)&amp;"")</f>
        <v/>
      </c>
      <c r="C61" s="2" t="str">
        <f>IF($I61="","",INDEX(CHOOSE($J$3,'فحص-حاسب-بكالوريوس'!$F$5:$F$208,'فحص-بيانات-بكالوريوس'!$F$5:$F$208,'فحص-بيانات-ماجستير'!$F$5:$F$230),$I61)&amp;"")</f>
        <v/>
      </c>
      <c r="D61" s="2" t="str">
        <f>IF($I61="","",INDEX(CHOOSE($J$3,'فحص-حاسب-بكالوريوس'!$H$5:$H$208,'فحص-بيانات-بكالوريوس'!$H$5:$H$208,'فحص-بيانات-ماجستير'!$H$5:$H$230),$I61)&amp;"")</f>
        <v/>
      </c>
      <c r="E61" s="2" t="str">
        <f>IF($I61="","",INDEX(CHOOSE($J$3,'فحص-حاسب-بكالوريوس'!$J$5:$J$208,'فحص-بيانات-بكالوريوس'!$J$5:$J$208,'فحص-بيانات-ماجستير'!$J$5:$J$230),$I61)&amp;"")</f>
        <v/>
      </c>
      <c r="F61" s="2" t="str">
        <f>IF($I61="","",INDEX(CHOOSE($J$3,'فحص-حاسب-بكالوريوس'!$L$5:$L$208,'فحص-بيانات-بكالوريوس'!$L$5:$L$208,'فحص-بيانات-ماجستير'!$L$5:$L$230),$I61)&amp;"")</f>
        <v/>
      </c>
      <c r="G61" s="2" t="str">
        <f>IF($I61="","",INDEX(CHOOSE($J$3,'فحص-حاسب-بكالوريوس'!$M$5:$M$208,'فحص-بيانات-بكالوريوس'!$M$5:$M$208,'فحص-بيانات-ماجستير'!$M$5:$M$230),$I61)&amp;"")</f>
        <v/>
      </c>
      <c r="I61" s="2" t="str">
        <f>IFERROR(MATCH($E$3&amp;"#"&amp;56,CHOOSE($J$3,'فحص-حاسب-بكالوريوس'!$R$5:$R$208,'فحص-بيانات-بكالوريوس'!$R$5:$R$208,'فحص-بيانات-ماجستير'!$R$5:$R$230),0),"")</f>
        <v/>
      </c>
    </row>
    <row r="62" spans="1:9" x14ac:dyDescent="0.2">
      <c r="A62" s="1" t="str">
        <f>IF($I62="","",57)</f>
        <v/>
      </c>
      <c r="B62" s="2" t="str">
        <f>IF($I62="","",INDEX(CHOOSE($J$3,'فحص-حاسب-بكالوريوس'!$A$5:$A$208,'فحص-بيانات-بكالوريوس'!$A$5:$A$208,'فحص-بيانات-ماجستير'!$A$5:$A$230),$I62)&amp;"")</f>
        <v/>
      </c>
      <c r="C62" s="2" t="str">
        <f>IF($I62="","",INDEX(CHOOSE($J$3,'فحص-حاسب-بكالوريوس'!$F$5:$F$208,'فحص-بيانات-بكالوريوس'!$F$5:$F$208,'فحص-بيانات-ماجستير'!$F$5:$F$230),$I62)&amp;"")</f>
        <v/>
      </c>
      <c r="D62" s="2" t="str">
        <f>IF($I62="","",INDEX(CHOOSE($J$3,'فحص-حاسب-بكالوريوس'!$H$5:$H$208,'فحص-بيانات-بكالوريوس'!$H$5:$H$208,'فحص-بيانات-ماجستير'!$H$5:$H$230),$I62)&amp;"")</f>
        <v/>
      </c>
      <c r="E62" s="2" t="str">
        <f>IF($I62="","",INDEX(CHOOSE($J$3,'فحص-حاسب-بكالوريوس'!$J$5:$J$208,'فحص-بيانات-بكالوريوس'!$J$5:$J$208,'فحص-بيانات-ماجستير'!$J$5:$J$230),$I62)&amp;"")</f>
        <v/>
      </c>
      <c r="F62" s="2" t="str">
        <f>IF($I62="","",INDEX(CHOOSE($J$3,'فحص-حاسب-بكالوريوس'!$L$5:$L$208,'فحص-بيانات-بكالوريوس'!$L$5:$L$208,'فحص-بيانات-ماجستير'!$L$5:$L$230),$I62)&amp;"")</f>
        <v/>
      </c>
      <c r="G62" s="2" t="str">
        <f>IF($I62="","",INDEX(CHOOSE($J$3,'فحص-حاسب-بكالوريوس'!$M$5:$M$208,'فحص-بيانات-بكالوريوس'!$M$5:$M$208,'فحص-بيانات-ماجستير'!$M$5:$M$230),$I62)&amp;"")</f>
        <v/>
      </c>
      <c r="I62" s="2" t="str">
        <f>IFERROR(MATCH($E$3&amp;"#"&amp;57,CHOOSE($J$3,'فحص-حاسب-بكالوريوس'!$R$5:$R$208,'فحص-بيانات-بكالوريوس'!$R$5:$R$208,'فحص-بيانات-ماجستير'!$R$5:$R$230),0),"")</f>
        <v/>
      </c>
    </row>
    <row r="63" spans="1:9" x14ac:dyDescent="0.2">
      <c r="A63" s="1" t="str">
        <f>IF($I63="","",58)</f>
        <v/>
      </c>
      <c r="B63" s="2" t="str">
        <f>IF($I63="","",INDEX(CHOOSE($J$3,'فحص-حاسب-بكالوريوس'!$A$5:$A$208,'فحص-بيانات-بكالوريوس'!$A$5:$A$208,'فحص-بيانات-ماجستير'!$A$5:$A$230),$I63)&amp;"")</f>
        <v/>
      </c>
      <c r="C63" s="2" t="str">
        <f>IF($I63="","",INDEX(CHOOSE($J$3,'فحص-حاسب-بكالوريوس'!$F$5:$F$208,'فحص-بيانات-بكالوريوس'!$F$5:$F$208,'فحص-بيانات-ماجستير'!$F$5:$F$230),$I63)&amp;"")</f>
        <v/>
      </c>
      <c r="D63" s="2" t="str">
        <f>IF($I63="","",INDEX(CHOOSE($J$3,'فحص-حاسب-بكالوريوس'!$H$5:$H$208,'فحص-بيانات-بكالوريوس'!$H$5:$H$208,'فحص-بيانات-ماجستير'!$H$5:$H$230),$I63)&amp;"")</f>
        <v/>
      </c>
      <c r="E63" s="2" t="str">
        <f>IF($I63="","",INDEX(CHOOSE($J$3,'فحص-حاسب-بكالوريوس'!$J$5:$J$208,'فحص-بيانات-بكالوريوس'!$J$5:$J$208,'فحص-بيانات-ماجستير'!$J$5:$J$230),$I63)&amp;"")</f>
        <v/>
      </c>
      <c r="F63" s="2" t="str">
        <f>IF($I63="","",INDEX(CHOOSE($J$3,'فحص-حاسب-بكالوريوس'!$L$5:$L$208,'فحص-بيانات-بكالوريوس'!$L$5:$L$208,'فحص-بيانات-ماجستير'!$L$5:$L$230),$I63)&amp;"")</f>
        <v/>
      </c>
      <c r="G63" s="2" t="str">
        <f>IF($I63="","",INDEX(CHOOSE($J$3,'فحص-حاسب-بكالوريوس'!$M$5:$M$208,'فحص-بيانات-بكالوريوس'!$M$5:$M$208,'فحص-بيانات-ماجستير'!$M$5:$M$230),$I63)&amp;"")</f>
        <v/>
      </c>
      <c r="I63" s="2" t="str">
        <f>IFERROR(MATCH($E$3&amp;"#"&amp;58,CHOOSE($J$3,'فحص-حاسب-بكالوريوس'!$R$5:$R$208,'فحص-بيانات-بكالوريوس'!$R$5:$R$208,'فحص-بيانات-ماجستير'!$R$5:$R$230),0),"")</f>
        <v/>
      </c>
    </row>
    <row r="64" spans="1:9" x14ac:dyDescent="0.2">
      <c r="A64" s="1" t="str">
        <f>IF($I64="","",59)</f>
        <v/>
      </c>
      <c r="B64" s="2" t="str">
        <f>IF($I64="","",INDEX(CHOOSE($J$3,'فحص-حاسب-بكالوريوس'!$A$5:$A$208,'فحص-بيانات-بكالوريوس'!$A$5:$A$208,'فحص-بيانات-ماجستير'!$A$5:$A$230),$I64)&amp;"")</f>
        <v/>
      </c>
      <c r="C64" s="2" t="str">
        <f>IF($I64="","",INDEX(CHOOSE($J$3,'فحص-حاسب-بكالوريوس'!$F$5:$F$208,'فحص-بيانات-بكالوريوس'!$F$5:$F$208,'فحص-بيانات-ماجستير'!$F$5:$F$230),$I64)&amp;"")</f>
        <v/>
      </c>
      <c r="D64" s="2" t="str">
        <f>IF($I64="","",INDEX(CHOOSE($J$3,'فحص-حاسب-بكالوريوس'!$H$5:$H$208,'فحص-بيانات-بكالوريوس'!$H$5:$H$208,'فحص-بيانات-ماجستير'!$H$5:$H$230),$I64)&amp;"")</f>
        <v/>
      </c>
      <c r="E64" s="2" t="str">
        <f>IF($I64="","",INDEX(CHOOSE($J$3,'فحص-حاسب-بكالوريوس'!$J$5:$J$208,'فحص-بيانات-بكالوريوس'!$J$5:$J$208,'فحص-بيانات-ماجستير'!$J$5:$J$230),$I64)&amp;"")</f>
        <v/>
      </c>
      <c r="F64" s="2" t="str">
        <f>IF($I64="","",INDEX(CHOOSE($J$3,'فحص-حاسب-بكالوريوس'!$L$5:$L$208,'فحص-بيانات-بكالوريوس'!$L$5:$L$208,'فحص-بيانات-ماجستير'!$L$5:$L$230),$I64)&amp;"")</f>
        <v/>
      </c>
      <c r="G64" s="2" t="str">
        <f>IF($I64="","",INDEX(CHOOSE($J$3,'فحص-حاسب-بكالوريوس'!$M$5:$M$208,'فحص-بيانات-بكالوريوس'!$M$5:$M$208,'فحص-بيانات-ماجستير'!$M$5:$M$230),$I64)&amp;"")</f>
        <v/>
      </c>
      <c r="I64" s="2" t="str">
        <f>IFERROR(MATCH($E$3&amp;"#"&amp;59,CHOOSE($J$3,'فحص-حاسب-بكالوريوس'!$R$5:$R$208,'فحص-بيانات-بكالوريوس'!$R$5:$R$208,'فحص-بيانات-ماجستير'!$R$5:$R$230),0),"")</f>
        <v/>
      </c>
    </row>
    <row r="65" spans="1:9" x14ac:dyDescent="0.2">
      <c r="A65" s="1" t="str">
        <f>IF($I65="","",60)</f>
        <v/>
      </c>
      <c r="B65" s="2" t="str">
        <f>IF($I65="","",INDEX(CHOOSE($J$3,'فحص-حاسب-بكالوريوس'!$A$5:$A$208,'فحص-بيانات-بكالوريوس'!$A$5:$A$208,'فحص-بيانات-ماجستير'!$A$5:$A$230),$I65)&amp;"")</f>
        <v/>
      </c>
      <c r="C65" s="2" t="str">
        <f>IF($I65="","",INDEX(CHOOSE($J$3,'فحص-حاسب-بكالوريوس'!$F$5:$F$208,'فحص-بيانات-بكالوريوس'!$F$5:$F$208,'فحص-بيانات-ماجستير'!$F$5:$F$230),$I65)&amp;"")</f>
        <v/>
      </c>
      <c r="D65" s="2" t="str">
        <f>IF($I65="","",INDEX(CHOOSE($J$3,'فحص-حاسب-بكالوريوس'!$H$5:$H$208,'فحص-بيانات-بكالوريوس'!$H$5:$H$208,'فحص-بيانات-ماجستير'!$H$5:$H$230),$I65)&amp;"")</f>
        <v/>
      </c>
      <c r="E65" s="2" t="str">
        <f>IF($I65="","",INDEX(CHOOSE($J$3,'فحص-حاسب-بكالوريوس'!$J$5:$J$208,'فحص-بيانات-بكالوريوس'!$J$5:$J$208,'فحص-بيانات-ماجستير'!$J$5:$J$230),$I65)&amp;"")</f>
        <v/>
      </c>
      <c r="F65" s="2" t="str">
        <f>IF($I65="","",INDEX(CHOOSE($J$3,'فحص-حاسب-بكالوريوس'!$L$5:$L$208,'فحص-بيانات-بكالوريوس'!$L$5:$L$208,'فحص-بيانات-ماجستير'!$L$5:$L$230),$I65)&amp;"")</f>
        <v/>
      </c>
      <c r="G65" s="2" t="str">
        <f>IF($I65="","",INDEX(CHOOSE($J$3,'فحص-حاسب-بكالوريوس'!$M$5:$M$208,'فحص-بيانات-بكالوريوس'!$M$5:$M$208,'فحص-بيانات-ماجستير'!$M$5:$M$230),$I65)&amp;"")</f>
        <v/>
      </c>
      <c r="I65" s="2" t="str">
        <f>IFERROR(MATCH($E$3&amp;"#"&amp;60,CHOOSE($J$3,'فحص-حاسب-بكالوريوس'!$R$5:$R$208,'فحص-بيانات-بكالوريوس'!$R$5:$R$208,'فحص-بيانات-ماجستير'!$R$5:$R$230),0),"")</f>
        <v/>
      </c>
    </row>
    <row r="66" spans="1:9" x14ac:dyDescent="0.2">
      <c r="A66" s="1" t="str">
        <f>IF($I66="","",61)</f>
        <v/>
      </c>
      <c r="B66" s="2" t="str">
        <f>IF($I66="","",INDEX(CHOOSE($J$3,'فحص-حاسب-بكالوريوس'!$A$5:$A$208,'فحص-بيانات-بكالوريوس'!$A$5:$A$208,'فحص-بيانات-ماجستير'!$A$5:$A$230),$I66)&amp;"")</f>
        <v/>
      </c>
      <c r="C66" s="2" t="str">
        <f>IF($I66="","",INDEX(CHOOSE($J$3,'فحص-حاسب-بكالوريوس'!$F$5:$F$208,'فحص-بيانات-بكالوريوس'!$F$5:$F$208,'فحص-بيانات-ماجستير'!$F$5:$F$230),$I66)&amp;"")</f>
        <v/>
      </c>
      <c r="D66" s="2" t="str">
        <f>IF($I66="","",INDEX(CHOOSE($J$3,'فحص-حاسب-بكالوريوس'!$H$5:$H$208,'فحص-بيانات-بكالوريوس'!$H$5:$H$208,'فحص-بيانات-ماجستير'!$H$5:$H$230),$I66)&amp;"")</f>
        <v/>
      </c>
      <c r="E66" s="2" t="str">
        <f>IF($I66="","",INDEX(CHOOSE($J$3,'فحص-حاسب-بكالوريوس'!$J$5:$J$208,'فحص-بيانات-بكالوريوس'!$J$5:$J$208,'فحص-بيانات-ماجستير'!$J$5:$J$230),$I66)&amp;"")</f>
        <v/>
      </c>
      <c r="F66" s="2" t="str">
        <f>IF($I66="","",INDEX(CHOOSE($J$3,'فحص-حاسب-بكالوريوس'!$L$5:$L$208,'فحص-بيانات-بكالوريوس'!$L$5:$L$208,'فحص-بيانات-ماجستير'!$L$5:$L$230),$I66)&amp;"")</f>
        <v/>
      </c>
      <c r="G66" s="2" t="str">
        <f>IF($I66="","",INDEX(CHOOSE($J$3,'فحص-حاسب-بكالوريوس'!$M$5:$M$208,'فحص-بيانات-بكالوريوس'!$M$5:$M$208,'فحص-بيانات-ماجستير'!$M$5:$M$230),$I66)&amp;"")</f>
        <v/>
      </c>
      <c r="I66" s="2" t="str">
        <f>IFERROR(MATCH($E$3&amp;"#"&amp;61,CHOOSE($J$3,'فحص-حاسب-بكالوريوس'!$R$5:$R$208,'فحص-بيانات-بكالوريوس'!$R$5:$R$208,'فحص-بيانات-ماجستير'!$R$5:$R$230),0),"")</f>
        <v/>
      </c>
    </row>
    <row r="67" spans="1:9" x14ac:dyDescent="0.2">
      <c r="A67" s="1" t="str">
        <f>IF($I67="","",62)</f>
        <v/>
      </c>
      <c r="B67" s="2" t="str">
        <f>IF($I67="","",INDEX(CHOOSE($J$3,'فحص-حاسب-بكالوريوس'!$A$5:$A$208,'فحص-بيانات-بكالوريوس'!$A$5:$A$208,'فحص-بيانات-ماجستير'!$A$5:$A$230),$I67)&amp;"")</f>
        <v/>
      </c>
      <c r="C67" s="2" t="str">
        <f>IF($I67="","",INDEX(CHOOSE($J$3,'فحص-حاسب-بكالوريوس'!$F$5:$F$208,'فحص-بيانات-بكالوريوس'!$F$5:$F$208,'فحص-بيانات-ماجستير'!$F$5:$F$230),$I67)&amp;"")</f>
        <v/>
      </c>
      <c r="D67" s="2" t="str">
        <f>IF($I67="","",INDEX(CHOOSE($J$3,'فحص-حاسب-بكالوريوس'!$H$5:$H$208,'فحص-بيانات-بكالوريوس'!$H$5:$H$208,'فحص-بيانات-ماجستير'!$H$5:$H$230),$I67)&amp;"")</f>
        <v/>
      </c>
      <c r="E67" s="2" t="str">
        <f>IF($I67="","",INDEX(CHOOSE($J$3,'فحص-حاسب-بكالوريوس'!$J$5:$J$208,'فحص-بيانات-بكالوريوس'!$J$5:$J$208,'فحص-بيانات-ماجستير'!$J$5:$J$230),$I67)&amp;"")</f>
        <v/>
      </c>
      <c r="F67" s="2" t="str">
        <f>IF($I67="","",INDEX(CHOOSE($J$3,'فحص-حاسب-بكالوريوس'!$L$5:$L$208,'فحص-بيانات-بكالوريوس'!$L$5:$L$208,'فحص-بيانات-ماجستير'!$L$5:$L$230),$I67)&amp;"")</f>
        <v/>
      </c>
      <c r="G67" s="2" t="str">
        <f>IF($I67="","",INDEX(CHOOSE($J$3,'فحص-حاسب-بكالوريوس'!$M$5:$M$208,'فحص-بيانات-بكالوريوس'!$M$5:$M$208,'فحص-بيانات-ماجستير'!$M$5:$M$230),$I67)&amp;"")</f>
        <v/>
      </c>
      <c r="I67" s="2" t="str">
        <f>IFERROR(MATCH($E$3&amp;"#"&amp;62,CHOOSE($J$3,'فحص-حاسب-بكالوريوس'!$R$5:$R$208,'فحص-بيانات-بكالوريوس'!$R$5:$R$208,'فحص-بيانات-ماجستير'!$R$5:$R$230),0),"")</f>
        <v/>
      </c>
    </row>
    <row r="68" spans="1:9" x14ac:dyDescent="0.2">
      <c r="A68" s="1" t="str">
        <f>IF($I68="","",63)</f>
        <v/>
      </c>
      <c r="B68" s="2" t="str">
        <f>IF($I68="","",INDEX(CHOOSE($J$3,'فحص-حاسب-بكالوريوس'!$A$5:$A$208,'فحص-بيانات-بكالوريوس'!$A$5:$A$208,'فحص-بيانات-ماجستير'!$A$5:$A$230),$I68)&amp;"")</f>
        <v/>
      </c>
      <c r="C68" s="2" t="str">
        <f>IF($I68="","",INDEX(CHOOSE($J$3,'فحص-حاسب-بكالوريوس'!$F$5:$F$208,'فحص-بيانات-بكالوريوس'!$F$5:$F$208,'فحص-بيانات-ماجستير'!$F$5:$F$230),$I68)&amp;"")</f>
        <v/>
      </c>
      <c r="D68" s="2" t="str">
        <f>IF($I68="","",INDEX(CHOOSE($J$3,'فحص-حاسب-بكالوريوس'!$H$5:$H$208,'فحص-بيانات-بكالوريوس'!$H$5:$H$208,'فحص-بيانات-ماجستير'!$H$5:$H$230),$I68)&amp;"")</f>
        <v/>
      </c>
      <c r="E68" s="2" t="str">
        <f>IF($I68="","",INDEX(CHOOSE($J$3,'فحص-حاسب-بكالوريوس'!$J$5:$J$208,'فحص-بيانات-بكالوريوس'!$J$5:$J$208,'فحص-بيانات-ماجستير'!$J$5:$J$230),$I68)&amp;"")</f>
        <v/>
      </c>
      <c r="F68" s="2" t="str">
        <f>IF($I68="","",INDEX(CHOOSE($J$3,'فحص-حاسب-بكالوريوس'!$L$5:$L$208,'فحص-بيانات-بكالوريوس'!$L$5:$L$208,'فحص-بيانات-ماجستير'!$L$5:$L$230),$I68)&amp;"")</f>
        <v/>
      </c>
      <c r="G68" s="2" t="str">
        <f>IF($I68="","",INDEX(CHOOSE($J$3,'فحص-حاسب-بكالوريوس'!$M$5:$M$208,'فحص-بيانات-بكالوريوس'!$M$5:$M$208,'فحص-بيانات-ماجستير'!$M$5:$M$230),$I68)&amp;"")</f>
        <v/>
      </c>
      <c r="I68" s="2" t="str">
        <f>IFERROR(MATCH($E$3&amp;"#"&amp;63,CHOOSE($J$3,'فحص-حاسب-بكالوريوس'!$R$5:$R$208,'فحص-بيانات-بكالوريوس'!$R$5:$R$208,'فحص-بيانات-ماجستير'!$R$5:$R$230),0),"")</f>
        <v/>
      </c>
    </row>
    <row r="69" spans="1:9" x14ac:dyDescent="0.2">
      <c r="A69" s="1" t="str">
        <f>IF($I69="","",64)</f>
        <v/>
      </c>
      <c r="B69" s="2" t="str">
        <f>IF($I69="","",INDEX(CHOOSE($J$3,'فحص-حاسب-بكالوريوس'!$A$5:$A$208,'فحص-بيانات-بكالوريوس'!$A$5:$A$208,'فحص-بيانات-ماجستير'!$A$5:$A$230),$I69)&amp;"")</f>
        <v/>
      </c>
      <c r="C69" s="2" t="str">
        <f>IF($I69="","",INDEX(CHOOSE($J$3,'فحص-حاسب-بكالوريوس'!$F$5:$F$208,'فحص-بيانات-بكالوريوس'!$F$5:$F$208,'فحص-بيانات-ماجستير'!$F$5:$F$230),$I69)&amp;"")</f>
        <v/>
      </c>
      <c r="D69" s="2" t="str">
        <f>IF($I69="","",INDEX(CHOOSE($J$3,'فحص-حاسب-بكالوريوس'!$H$5:$H$208,'فحص-بيانات-بكالوريوس'!$H$5:$H$208,'فحص-بيانات-ماجستير'!$H$5:$H$230),$I69)&amp;"")</f>
        <v/>
      </c>
      <c r="E69" s="2" t="str">
        <f>IF($I69="","",INDEX(CHOOSE($J$3,'فحص-حاسب-بكالوريوس'!$J$5:$J$208,'فحص-بيانات-بكالوريوس'!$J$5:$J$208,'فحص-بيانات-ماجستير'!$J$5:$J$230),$I69)&amp;"")</f>
        <v/>
      </c>
      <c r="F69" s="2" t="str">
        <f>IF($I69="","",INDEX(CHOOSE($J$3,'فحص-حاسب-بكالوريوس'!$L$5:$L$208,'فحص-بيانات-بكالوريوس'!$L$5:$L$208,'فحص-بيانات-ماجستير'!$L$5:$L$230),$I69)&amp;"")</f>
        <v/>
      </c>
      <c r="G69" s="2" t="str">
        <f>IF($I69="","",INDEX(CHOOSE($J$3,'فحص-حاسب-بكالوريوس'!$M$5:$M$208,'فحص-بيانات-بكالوريوس'!$M$5:$M$208,'فحص-بيانات-ماجستير'!$M$5:$M$230),$I69)&amp;"")</f>
        <v/>
      </c>
      <c r="I69" s="2" t="str">
        <f>IFERROR(MATCH($E$3&amp;"#"&amp;64,CHOOSE($J$3,'فحص-حاسب-بكالوريوس'!$R$5:$R$208,'فحص-بيانات-بكالوريوس'!$R$5:$R$208,'فحص-بيانات-ماجستير'!$R$5:$R$230),0),"")</f>
        <v/>
      </c>
    </row>
    <row r="70" spans="1:9" x14ac:dyDescent="0.2">
      <c r="A70" s="1" t="str">
        <f>IF($I70="","",65)</f>
        <v/>
      </c>
      <c r="B70" s="2" t="str">
        <f>IF($I70="","",INDEX(CHOOSE($J$3,'فحص-حاسب-بكالوريوس'!$A$5:$A$208,'فحص-بيانات-بكالوريوس'!$A$5:$A$208,'فحص-بيانات-ماجستير'!$A$5:$A$230),$I70)&amp;"")</f>
        <v/>
      </c>
      <c r="C70" s="2" t="str">
        <f>IF($I70="","",INDEX(CHOOSE($J$3,'فحص-حاسب-بكالوريوس'!$F$5:$F$208,'فحص-بيانات-بكالوريوس'!$F$5:$F$208,'فحص-بيانات-ماجستير'!$F$5:$F$230),$I70)&amp;"")</f>
        <v/>
      </c>
      <c r="D70" s="2" t="str">
        <f>IF($I70="","",INDEX(CHOOSE($J$3,'فحص-حاسب-بكالوريوس'!$H$5:$H$208,'فحص-بيانات-بكالوريوس'!$H$5:$H$208,'فحص-بيانات-ماجستير'!$H$5:$H$230),$I70)&amp;"")</f>
        <v/>
      </c>
      <c r="E70" s="2" t="str">
        <f>IF($I70="","",INDEX(CHOOSE($J$3,'فحص-حاسب-بكالوريوس'!$J$5:$J$208,'فحص-بيانات-بكالوريوس'!$J$5:$J$208,'فحص-بيانات-ماجستير'!$J$5:$J$230),$I70)&amp;"")</f>
        <v/>
      </c>
      <c r="F70" s="2" t="str">
        <f>IF($I70="","",INDEX(CHOOSE($J$3,'فحص-حاسب-بكالوريوس'!$L$5:$L$208,'فحص-بيانات-بكالوريوس'!$L$5:$L$208,'فحص-بيانات-ماجستير'!$L$5:$L$230),$I70)&amp;"")</f>
        <v/>
      </c>
      <c r="G70" s="2" t="str">
        <f>IF($I70="","",INDEX(CHOOSE($J$3,'فحص-حاسب-بكالوريوس'!$M$5:$M$208,'فحص-بيانات-بكالوريوس'!$M$5:$M$208,'فحص-بيانات-ماجستير'!$M$5:$M$230),$I70)&amp;"")</f>
        <v/>
      </c>
      <c r="I70" s="2" t="str">
        <f>IFERROR(MATCH($E$3&amp;"#"&amp;65,CHOOSE($J$3,'فحص-حاسب-بكالوريوس'!$R$5:$R$208,'فحص-بيانات-بكالوريوس'!$R$5:$R$208,'فحص-بيانات-ماجستير'!$R$5:$R$230),0),"")</f>
        <v/>
      </c>
    </row>
    <row r="71" spans="1:9" x14ac:dyDescent="0.2">
      <c r="A71" s="1" t="str">
        <f>IF($I71="","",66)</f>
        <v/>
      </c>
      <c r="B71" s="2" t="str">
        <f>IF($I71="","",INDEX(CHOOSE($J$3,'فحص-حاسب-بكالوريوس'!$A$5:$A$208,'فحص-بيانات-بكالوريوس'!$A$5:$A$208,'فحص-بيانات-ماجستير'!$A$5:$A$230),$I71)&amp;"")</f>
        <v/>
      </c>
      <c r="C71" s="2" t="str">
        <f>IF($I71="","",INDEX(CHOOSE($J$3,'فحص-حاسب-بكالوريوس'!$F$5:$F$208,'فحص-بيانات-بكالوريوس'!$F$5:$F$208,'فحص-بيانات-ماجستير'!$F$5:$F$230),$I71)&amp;"")</f>
        <v/>
      </c>
      <c r="D71" s="2" t="str">
        <f>IF($I71="","",INDEX(CHOOSE($J$3,'فحص-حاسب-بكالوريوس'!$H$5:$H$208,'فحص-بيانات-بكالوريوس'!$H$5:$H$208,'فحص-بيانات-ماجستير'!$H$5:$H$230),$I71)&amp;"")</f>
        <v/>
      </c>
      <c r="E71" s="2" t="str">
        <f>IF($I71="","",INDEX(CHOOSE($J$3,'فحص-حاسب-بكالوريوس'!$J$5:$J$208,'فحص-بيانات-بكالوريوس'!$J$5:$J$208,'فحص-بيانات-ماجستير'!$J$5:$J$230),$I71)&amp;"")</f>
        <v/>
      </c>
      <c r="F71" s="2" t="str">
        <f>IF($I71="","",INDEX(CHOOSE($J$3,'فحص-حاسب-بكالوريوس'!$L$5:$L$208,'فحص-بيانات-بكالوريوس'!$L$5:$L$208,'فحص-بيانات-ماجستير'!$L$5:$L$230),$I71)&amp;"")</f>
        <v/>
      </c>
      <c r="G71" s="2" t="str">
        <f>IF($I71="","",INDEX(CHOOSE($J$3,'فحص-حاسب-بكالوريوس'!$M$5:$M$208,'فحص-بيانات-بكالوريوس'!$M$5:$M$208,'فحص-بيانات-ماجستير'!$M$5:$M$230),$I71)&amp;"")</f>
        <v/>
      </c>
      <c r="I71" s="2" t="str">
        <f>IFERROR(MATCH($E$3&amp;"#"&amp;66,CHOOSE($J$3,'فحص-حاسب-بكالوريوس'!$R$5:$R$208,'فحص-بيانات-بكالوريوس'!$R$5:$R$208,'فحص-بيانات-ماجستير'!$R$5:$R$230),0),"")</f>
        <v/>
      </c>
    </row>
    <row r="72" spans="1:9" x14ac:dyDescent="0.2">
      <c r="A72" s="1" t="str">
        <f>IF($I72="","",67)</f>
        <v/>
      </c>
      <c r="B72" s="2" t="str">
        <f>IF($I72="","",INDEX(CHOOSE($J$3,'فحص-حاسب-بكالوريوس'!$A$5:$A$208,'فحص-بيانات-بكالوريوس'!$A$5:$A$208,'فحص-بيانات-ماجستير'!$A$5:$A$230),$I72)&amp;"")</f>
        <v/>
      </c>
      <c r="C72" s="2" t="str">
        <f>IF($I72="","",INDEX(CHOOSE($J$3,'فحص-حاسب-بكالوريوس'!$F$5:$F$208,'فحص-بيانات-بكالوريوس'!$F$5:$F$208,'فحص-بيانات-ماجستير'!$F$5:$F$230),$I72)&amp;"")</f>
        <v/>
      </c>
      <c r="D72" s="2" t="str">
        <f>IF($I72="","",INDEX(CHOOSE($J$3,'فحص-حاسب-بكالوريوس'!$H$5:$H$208,'فحص-بيانات-بكالوريوس'!$H$5:$H$208,'فحص-بيانات-ماجستير'!$H$5:$H$230),$I72)&amp;"")</f>
        <v/>
      </c>
      <c r="E72" s="2" t="str">
        <f>IF($I72="","",INDEX(CHOOSE($J$3,'فحص-حاسب-بكالوريوس'!$J$5:$J$208,'فحص-بيانات-بكالوريوس'!$J$5:$J$208,'فحص-بيانات-ماجستير'!$J$5:$J$230),$I72)&amp;"")</f>
        <v/>
      </c>
      <c r="F72" s="2" t="str">
        <f>IF($I72="","",INDEX(CHOOSE($J$3,'فحص-حاسب-بكالوريوس'!$L$5:$L$208,'فحص-بيانات-بكالوريوس'!$L$5:$L$208,'فحص-بيانات-ماجستير'!$L$5:$L$230),$I72)&amp;"")</f>
        <v/>
      </c>
      <c r="G72" s="2" t="str">
        <f>IF($I72="","",INDEX(CHOOSE($J$3,'فحص-حاسب-بكالوريوس'!$M$5:$M$208,'فحص-بيانات-بكالوريوس'!$M$5:$M$208,'فحص-بيانات-ماجستير'!$M$5:$M$230),$I72)&amp;"")</f>
        <v/>
      </c>
      <c r="I72" s="2" t="str">
        <f>IFERROR(MATCH($E$3&amp;"#"&amp;67,CHOOSE($J$3,'فحص-حاسب-بكالوريوس'!$R$5:$R$208,'فحص-بيانات-بكالوريوس'!$R$5:$R$208,'فحص-بيانات-ماجستير'!$R$5:$R$230),0),"")</f>
        <v/>
      </c>
    </row>
    <row r="73" spans="1:9" x14ac:dyDescent="0.2">
      <c r="A73" s="1" t="str">
        <f>IF($I73="","",68)</f>
        <v/>
      </c>
      <c r="B73" s="2" t="str">
        <f>IF($I73="","",INDEX(CHOOSE($J$3,'فحص-حاسب-بكالوريوس'!$A$5:$A$208,'فحص-بيانات-بكالوريوس'!$A$5:$A$208,'فحص-بيانات-ماجستير'!$A$5:$A$230),$I73)&amp;"")</f>
        <v/>
      </c>
      <c r="C73" s="2" t="str">
        <f>IF($I73="","",INDEX(CHOOSE($J$3,'فحص-حاسب-بكالوريوس'!$F$5:$F$208,'فحص-بيانات-بكالوريوس'!$F$5:$F$208,'فحص-بيانات-ماجستير'!$F$5:$F$230),$I73)&amp;"")</f>
        <v/>
      </c>
      <c r="D73" s="2" t="str">
        <f>IF($I73="","",INDEX(CHOOSE($J$3,'فحص-حاسب-بكالوريوس'!$H$5:$H$208,'فحص-بيانات-بكالوريوس'!$H$5:$H$208,'فحص-بيانات-ماجستير'!$H$5:$H$230),$I73)&amp;"")</f>
        <v/>
      </c>
      <c r="E73" s="2" t="str">
        <f>IF($I73="","",INDEX(CHOOSE($J$3,'فحص-حاسب-بكالوريوس'!$J$5:$J$208,'فحص-بيانات-بكالوريوس'!$J$5:$J$208,'فحص-بيانات-ماجستير'!$J$5:$J$230),$I73)&amp;"")</f>
        <v/>
      </c>
      <c r="F73" s="2" t="str">
        <f>IF($I73="","",INDEX(CHOOSE($J$3,'فحص-حاسب-بكالوريوس'!$L$5:$L$208,'فحص-بيانات-بكالوريوس'!$L$5:$L$208,'فحص-بيانات-ماجستير'!$L$5:$L$230),$I73)&amp;"")</f>
        <v/>
      </c>
      <c r="G73" s="2" t="str">
        <f>IF($I73="","",INDEX(CHOOSE($J$3,'فحص-حاسب-بكالوريوس'!$M$5:$M$208,'فحص-بيانات-بكالوريوس'!$M$5:$M$208,'فحص-بيانات-ماجستير'!$M$5:$M$230),$I73)&amp;"")</f>
        <v/>
      </c>
      <c r="I73" s="2" t="str">
        <f>IFERROR(MATCH($E$3&amp;"#"&amp;68,CHOOSE($J$3,'فحص-حاسب-بكالوريوس'!$R$5:$R$208,'فحص-بيانات-بكالوريوس'!$R$5:$R$208,'فحص-بيانات-ماجستير'!$R$5:$R$230),0),"")</f>
        <v/>
      </c>
    </row>
    <row r="74" spans="1:9" x14ac:dyDescent="0.2">
      <c r="A74" s="1" t="str">
        <f>IF($I74="","",69)</f>
        <v/>
      </c>
      <c r="B74" s="2" t="str">
        <f>IF($I74="","",INDEX(CHOOSE($J$3,'فحص-حاسب-بكالوريوس'!$A$5:$A$208,'فحص-بيانات-بكالوريوس'!$A$5:$A$208,'فحص-بيانات-ماجستير'!$A$5:$A$230),$I74)&amp;"")</f>
        <v/>
      </c>
      <c r="C74" s="2" t="str">
        <f>IF($I74="","",INDEX(CHOOSE($J$3,'فحص-حاسب-بكالوريوس'!$F$5:$F$208,'فحص-بيانات-بكالوريوس'!$F$5:$F$208,'فحص-بيانات-ماجستير'!$F$5:$F$230),$I74)&amp;"")</f>
        <v/>
      </c>
      <c r="D74" s="2" t="str">
        <f>IF($I74="","",INDEX(CHOOSE($J$3,'فحص-حاسب-بكالوريوس'!$H$5:$H$208,'فحص-بيانات-بكالوريوس'!$H$5:$H$208,'فحص-بيانات-ماجستير'!$H$5:$H$230),$I74)&amp;"")</f>
        <v/>
      </c>
      <c r="E74" s="2" t="str">
        <f>IF($I74="","",INDEX(CHOOSE($J$3,'فحص-حاسب-بكالوريوس'!$J$5:$J$208,'فحص-بيانات-بكالوريوس'!$J$5:$J$208,'فحص-بيانات-ماجستير'!$J$5:$J$230),$I74)&amp;"")</f>
        <v/>
      </c>
      <c r="F74" s="2" t="str">
        <f>IF($I74="","",INDEX(CHOOSE($J$3,'فحص-حاسب-بكالوريوس'!$L$5:$L$208,'فحص-بيانات-بكالوريوس'!$L$5:$L$208,'فحص-بيانات-ماجستير'!$L$5:$L$230),$I74)&amp;"")</f>
        <v/>
      </c>
      <c r="G74" s="2" t="str">
        <f>IF($I74="","",INDEX(CHOOSE($J$3,'فحص-حاسب-بكالوريوس'!$M$5:$M$208,'فحص-بيانات-بكالوريوس'!$M$5:$M$208,'فحص-بيانات-ماجستير'!$M$5:$M$230),$I74)&amp;"")</f>
        <v/>
      </c>
      <c r="I74" s="2" t="str">
        <f>IFERROR(MATCH($E$3&amp;"#"&amp;69,CHOOSE($J$3,'فحص-حاسب-بكالوريوس'!$R$5:$R$208,'فحص-بيانات-بكالوريوس'!$R$5:$R$208,'فحص-بيانات-ماجستير'!$R$5:$R$230),0),"")</f>
        <v/>
      </c>
    </row>
    <row r="75" spans="1:9" x14ac:dyDescent="0.2">
      <c r="A75" s="1" t="str">
        <f>IF($I75="","",70)</f>
        <v/>
      </c>
      <c r="B75" s="2" t="str">
        <f>IF($I75="","",INDEX(CHOOSE($J$3,'فحص-حاسب-بكالوريوس'!$A$5:$A$208,'فحص-بيانات-بكالوريوس'!$A$5:$A$208,'فحص-بيانات-ماجستير'!$A$5:$A$230),$I75)&amp;"")</f>
        <v/>
      </c>
      <c r="C75" s="2" t="str">
        <f>IF($I75="","",INDEX(CHOOSE($J$3,'فحص-حاسب-بكالوريوس'!$F$5:$F$208,'فحص-بيانات-بكالوريوس'!$F$5:$F$208,'فحص-بيانات-ماجستير'!$F$5:$F$230),$I75)&amp;"")</f>
        <v/>
      </c>
      <c r="D75" s="2" t="str">
        <f>IF($I75="","",INDEX(CHOOSE($J$3,'فحص-حاسب-بكالوريوس'!$H$5:$H$208,'فحص-بيانات-بكالوريوس'!$H$5:$H$208,'فحص-بيانات-ماجستير'!$H$5:$H$230),$I75)&amp;"")</f>
        <v/>
      </c>
      <c r="E75" s="2" t="str">
        <f>IF($I75="","",INDEX(CHOOSE($J$3,'فحص-حاسب-بكالوريوس'!$J$5:$J$208,'فحص-بيانات-بكالوريوس'!$J$5:$J$208,'فحص-بيانات-ماجستير'!$J$5:$J$230),$I75)&amp;"")</f>
        <v/>
      </c>
      <c r="F75" s="2" t="str">
        <f>IF($I75="","",INDEX(CHOOSE($J$3,'فحص-حاسب-بكالوريوس'!$L$5:$L$208,'فحص-بيانات-بكالوريوس'!$L$5:$L$208,'فحص-بيانات-ماجستير'!$L$5:$L$230),$I75)&amp;"")</f>
        <v/>
      </c>
      <c r="G75" s="2" t="str">
        <f>IF($I75="","",INDEX(CHOOSE($J$3,'فحص-حاسب-بكالوريوس'!$M$5:$M$208,'فحص-بيانات-بكالوريوس'!$M$5:$M$208,'فحص-بيانات-ماجستير'!$M$5:$M$230),$I75)&amp;"")</f>
        <v/>
      </c>
      <c r="I75" s="2" t="str">
        <f>IFERROR(MATCH($E$3&amp;"#"&amp;70,CHOOSE($J$3,'فحص-حاسب-بكالوريوس'!$R$5:$R$208,'فحص-بيانات-بكالوريوس'!$R$5:$R$208,'فحص-بيانات-ماجستير'!$R$5:$R$230),0),"")</f>
        <v/>
      </c>
    </row>
    <row r="76" spans="1:9" x14ac:dyDescent="0.2">
      <c r="A76" s="1" t="str">
        <f>IF($I76="","",71)</f>
        <v/>
      </c>
      <c r="B76" s="2" t="str">
        <f>IF($I76="","",INDEX(CHOOSE($J$3,'فحص-حاسب-بكالوريوس'!$A$5:$A$208,'فحص-بيانات-بكالوريوس'!$A$5:$A$208,'فحص-بيانات-ماجستير'!$A$5:$A$230),$I76)&amp;"")</f>
        <v/>
      </c>
      <c r="C76" s="2" t="str">
        <f>IF($I76="","",INDEX(CHOOSE($J$3,'فحص-حاسب-بكالوريوس'!$F$5:$F$208,'فحص-بيانات-بكالوريوس'!$F$5:$F$208,'فحص-بيانات-ماجستير'!$F$5:$F$230),$I76)&amp;"")</f>
        <v/>
      </c>
      <c r="D76" s="2" t="str">
        <f>IF($I76="","",INDEX(CHOOSE($J$3,'فحص-حاسب-بكالوريوس'!$H$5:$H$208,'فحص-بيانات-بكالوريوس'!$H$5:$H$208,'فحص-بيانات-ماجستير'!$H$5:$H$230),$I76)&amp;"")</f>
        <v/>
      </c>
      <c r="E76" s="2" t="str">
        <f>IF($I76="","",INDEX(CHOOSE($J$3,'فحص-حاسب-بكالوريوس'!$J$5:$J$208,'فحص-بيانات-بكالوريوس'!$J$5:$J$208,'فحص-بيانات-ماجستير'!$J$5:$J$230),$I76)&amp;"")</f>
        <v/>
      </c>
      <c r="F76" s="2" t="str">
        <f>IF($I76="","",INDEX(CHOOSE($J$3,'فحص-حاسب-بكالوريوس'!$L$5:$L$208,'فحص-بيانات-بكالوريوس'!$L$5:$L$208,'فحص-بيانات-ماجستير'!$L$5:$L$230),$I76)&amp;"")</f>
        <v/>
      </c>
      <c r="G76" s="2" t="str">
        <f>IF($I76="","",INDEX(CHOOSE($J$3,'فحص-حاسب-بكالوريوس'!$M$5:$M$208,'فحص-بيانات-بكالوريوس'!$M$5:$M$208,'فحص-بيانات-ماجستير'!$M$5:$M$230),$I76)&amp;"")</f>
        <v/>
      </c>
      <c r="I76" s="2" t="str">
        <f>IFERROR(MATCH($E$3&amp;"#"&amp;71,CHOOSE($J$3,'فحص-حاسب-بكالوريوس'!$R$5:$R$208,'فحص-بيانات-بكالوريوس'!$R$5:$R$208,'فحص-بيانات-ماجستير'!$R$5:$R$230),0),"")</f>
        <v/>
      </c>
    </row>
    <row r="77" spans="1:9" x14ac:dyDescent="0.2">
      <c r="A77" s="1" t="str">
        <f>IF($I77="","",72)</f>
        <v/>
      </c>
      <c r="B77" s="2" t="str">
        <f>IF($I77="","",INDEX(CHOOSE($J$3,'فحص-حاسب-بكالوريوس'!$A$5:$A$208,'فحص-بيانات-بكالوريوس'!$A$5:$A$208,'فحص-بيانات-ماجستير'!$A$5:$A$230),$I77)&amp;"")</f>
        <v/>
      </c>
      <c r="C77" s="2" t="str">
        <f>IF($I77="","",INDEX(CHOOSE($J$3,'فحص-حاسب-بكالوريوس'!$F$5:$F$208,'فحص-بيانات-بكالوريوس'!$F$5:$F$208,'فحص-بيانات-ماجستير'!$F$5:$F$230),$I77)&amp;"")</f>
        <v/>
      </c>
      <c r="D77" s="2" t="str">
        <f>IF($I77="","",INDEX(CHOOSE($J$3,'فحص-حاسب-بكالوريوس'!$H$5:$H$208,'فحص-بيانات-بكالوريوس'!$H$5:$H$208,'فحص-بيانات-ماجستير'!$H$5:$H$230),$I77)&amp;"")</f>
        <v/>
      </c>
      <c r="E77" s="2" t="str">
        <f>IF($I77="","",INDEX(CHOOSE($J$3,'فحص-حاسب-بكالوريوس'!$J$5:$J$208,'فحص-بيانات-بكالوريوس'!$J$5:$J$208,'فحص-بيانات-ماجستير'!$J$5:$J$230),$I77)&amp;"")</f>
        <v/>
      </c>
      <c r="F77" s="2" t="str">
        <f>IF($I77="","",INDEX(CHOOSE($J$3,'فحص-حاسب-بكالوريوس'!$L$5:$L$208,'فحص-بيانات-بكالوريوس'!$L$5:$L$208,'فحص-بيانات-ماجستير'!$L$5:$L$230),$I77)&amp;"")</f>
        <v/>
      </c>
      <c r="G77" s="2" t="str">
        <f>IF($I77="","",INDEX(CHOOSE($J$3,'فحص-حاسب-بكالوريوس'!$M$5:$M$208,'فحص-بيانات-بكالوريوس'!$M$5:$M$208,'فحص-بيانات-ماجستير'!$M$5:$M$230),$I77)&amp;"")</f>
        <v/>
      </c>
      <c r="I77" s="2" t="str">
        <f>IFERROR(MATCH($E$3&amp;"#"&amp;72,CHOOSE($J$3,'فحص-حاسب-بكالوريوس'!$R$5:$R$208,'فحص-بيانات-بكالوريوس'!$R$5:$R$208,'فحص-بيانات-ماجستير'!$R$5:$R$230),0),"")</f>
        <v/>
      </c>
    </row>
    <row r="78" spans="1:9" x14ac:dyDescent="0.2">
      <c r="A78" s="1" t="str">
        <f>IF($I78="","",73)</f>
        <v/>
      </c>
      <c r="B78" s="2" t="str">
        <f>IF($I78="","",INDEX(CHOOSE($J$3,'فحص-حاسب-بكالوريوس'!$A$5:$A$208,'فحص-بيانات-بكالوريوس'!$A$5:$A$208,'فحص-بيانات-ماجستير'!$A$5:$A$230),$I78)&amp;"")</f>
        <v/>
      </c>
      <c r="C78" s="2" t="str">
        <f>IF($I78="","",INDEX(CHOOSE($J$3,'فحص-حاسب-بكالوريوس'!$F$5:$F$208,'فحص-بيانات-بكالوريوس'!$F$5:$F$208,'فحص-بيانات-ماجستير'!$F$5:$F$230),$I78)&amp;"")</f>
        <v/>
      </c>
      <c r="D78" s="2" t="str">
        <f>IF($I78="","",INDEX(CHOOSE($J$3,'فحص-حاسب-بكالوريوس'!$H$5:$H$208,'فحص-بيانات-بكالوريوس'!$H$5:$H$208,'فحص-بيانات-ماجستير'!$H$5:$H$230),$I78)&amp;"")</f>
        <v/>
      </c>
      <c r="E78" s="2" t="str">
        <f>IF($I78="","",INDEX(CHOOSE($J$3,'فحص-حاسب-بكالوريوس'!$J$5:$J$208,'فحص-بيانات-بكالوريوس'!$J$5:$J$208,'فحص-بيانات-ماجستير'!$J$5:$J$230),$I78)&amp;"")</f>
        <v/>
      </c>
      <c r="F78" s="2" t="str">
        <f>IF($I78="","",INDEX(CHOOSE($J$3,'فحص-حاسب-بكالوريوس'!$L$5:$L$208,'فحص-بيانات-بكالوريوس'!$L$5:$L$208,'فحص-بيانات-ماجستير'!$L$5:$L$230),$I78)&amp;"")</f>
        <v/>
      </c>
      <c r="G78" s="2" t="str">
        <f>IF($I78="","",INDEX(CHOOSE($J$3,'فحص-حاسب-بكالوريوس'!$M$5:$M$208,'فحص-بيانات-بكالوريوس'!$M$5:$M$208,'فحص-بيانات-ماجستير'!$M$5:$M$230),$I78)&amp;"")</f>
        <v/>
      </c>
      <c r="I78" s="2" t="str">
        <f>IFERROR(MATCH($E$3&amp;"#"&amp;73,CHOOSE($J$3,'فحص-حاسب-بكالوريوس'!$R$5:$R$208,'فحص-بيانات-بكالوريوس'!$R$5:$R$208,'فحص-بيانات-ماجستير'!$R$5:$R$230),0),"")</f>
        <v/>
      </c>
    </row>
    <row r="79" spans="1:9" x14ac:dyDescent="0.2">
      <c r="A79" s="1" t="str">
        <f>IF($I79="","",74)</f>
        <v/>
      </c>
      <c r="B79" s="2" t="str">
        <f>IF($I79="","",INDEX(CHOOSE($J$3,'فحص-حاسب-بكالوريوس'!$A$5:$A$208,'فحص-بيانات-بكالوريوس'!$A$5:$A$208,'فحص-بيانات-ماجستير'!$A$5:$A$230),$I79)&amp;"")</f>
        <v/>
      </c>
      <c r="C79" s="2" t="str">
        <f>IF($I79="","",INDEX(CHOOSE($J$3,'فحص-حاسب-بكالوريوس'!$F$5:$F$208,'فحص-بيانات-بكالوريوس'!$F$5:$F$208,'فحص-بيانات-ماجستير'!$F$5:$F$230),$I79)&amp;"")</f>
        <v/>
      </c>
      <c r="D79" s="2" t="str">
        <f>IF($I79="","",INDEX(CHOOSE($J$3,'فحص-حاسب-بكالوريوس'!$H$5:$H$208,'فحص-بيانات-بكالوريوس'!$H$5:$H$208,'فحص-بيانات-ماجستير'!$H$5:$H$230),$I79)&amp;"")</f>
        <v/>
      </c>
      <c r="E79" s="2" t="str">
        <f>IF($I79="","",INDEX(CHOOSE($J$3,'فحص-حاسب-بكالوريوس'!$J$5:$J$208,'فحص-بيانات-بكالوريوس'!$J$5:$J$208,'فحص-بيانات-ماجستير'!$J$5:$J$230),$I79)&amp;"")</f>
        <v/>
      </c>
      <c r="F79" s="2" t="str">
        <f>IF($I79="","",INDEX(CHOOSE($J$3,'فحص-حاسب-بكالوريوس'!$L$5:$L$208,'فحص-بيانات-بكالوريوس'!$L$5:$L$208,'فحص-بيانات-ماجستير'!$L$5:$L$230),$I79)&amp;"")</f>
        <v/>
      </c>
      <c r="G79" s="2" t="str">
        <f>IF($I79="","",INDEX(CHOOSE($J$3,'فحص-حاسب-بكالوريوس'!$M$5:$M$208,'فحص-بيانات-بكالوريوس'!$M$5:$M$208,'فحص-بيانات-ماجستير'!$M$5:$M$230),$I79)&amp;"")</f>
        <v/>
      </c>
      <c r="I79" s="2" t="str">
        <f>IFERROR(MATCH($E$3&amp;"#"&amp;74,CHOOSE($J$3,'فحص-حاسب-بكالوريوس'!$R$5:$R$208,'فحص-بيانات-بكالوريوس'!$R$5:$R$208,'فحص-بيانات-ماجستير'!$R$5:$R$230),0),"")</f>
        <v/>
      </c>
    </row>
    <row r="80" spans="1:9" x14ac:dyDescent="0.2">
      <c r="A80" s="1" t="str">
        <f>IF($I80="","",75)</f>
        <v/>
      </c>
      <c r="B80" s="2" t="str">
        <f>IF($I80="","",INDEX(CHOOSE($J$3,'فحص-حاسب-بكالوريوس'!$A$5:$A$208,'فحص-بيانات-بكالوريوس'!$A$5:$A$208,'فحص-بيانات-ماجستير'!$A$5:$A$230),$I80)&amp;"")</f>
        <v/>
      </c>
      <c r="C80" s="2" t="str">
        <f>IF($I80="","",INDEX(CHOOSE($J$3,'فحص-حاسب-بكالوريوس'!$F$5:$F$208,'فحص-بيانات-بكالوريوس'!$F$5:$F$208,'فحص-بيانات-ماجستير'!$F$5:$F$230),$I80)&amp;"")</f>
        <v/>
      </c>
      <c r="D80" s="2" t="str">
        <f>IF($I80="","",INDEX(CHOOSE($J$3,'فحص-حاسب-بكالوريوس'!$H$5:$H$208,'فحص-بيانات-بكالوريوس'!$H$5:$H$208,'فحص-بيانات-ماجستير'!$H$5:$H$230),$I80)&amp;"")</f>
        <v/>
      </c>
      <c r="E80" s="2" t="str">
        <f>IF($I80="","",INDEX(CHOOSE($J$3,'فحص-حاسب-بكالوريوس'!$J$5:$J$208,'فحص-بيانات-بكالوريوس'!$J$5:$J$208,'فحص-بيانات-ماجستير'!$J$5:$J$230),$I80)&amp;"")</f>
        <v/>
      </c>
      <c r="F80" s="2" t="str">
        <f>IF($I80="","",INDEX(CHOOSE($J$3,'فحص-حاسب-بكالوريوس'!$L$5:$L$208,'فحص-بيانات-بكالوريوس'!$L$5:$L$208,'فحص-بيانات-ماجستير'!$L$5:$L$230),$I80)&amp;"")</f>
        <v/>
      </c>
      <c r="G80" s="2" t="str">
        <f>IF($I80="","",INDEX(CHOOSE($J$3,'فحص-حاسب-بكالوريوس'!$M$5:$M$208,'فحص-بيانات-بكالوريوس'!$M$5:$M$208,'فحص-بيانات-ماجستير'!$M$5:$M$230),$I80)&amp;"")</f>
        <v/>
      </c>
      <c r="I80" s="2" t="str">
        <f>IFERROR(MATCH($E$3&amp;"#"&amp;75,CHOOSE($J$3,'فحص-حاسب-بكالوريوس'!$R$5:$R$208,'فحص-بيانات-بكالوريوس'!$R$5:$R$208,'فحص-بيانات-ماجستير'!$R$5:$R$230),0),"")</f>
        <v/>
      </c>
    </row>
    <row r="81" spans="1:9" x14ac:dyDescent="0.2">
      <c r="A81" s="1" t="str">
        <f>IF($I81="","",76)</f>
        <v/>
      </c>
      <c r="B81" s="2" t="str">
        <f>IF($I81="","",INDEX(CHOOSE($J$3,'فحص-حاسب-بكالوريوس'!$A$5:$A$208,'فحص-بيانات-بكالوريوس'!$A$5:$A$208,'فحص-بيانات-ماجستير'!$A$5:$A$230),$I81)&amp;"")</f>
        <v/>
      </c>
      <c r="C81" s="2" t="str">
        <f>IF($I81="","",INDEX(CHOOSE($J$3,'فحص-حاسب-بكالوريوس'!$F$5:$F$208,'فحص-بيانات-بكالوريوس'!$F$5:$F$208,'فحص-بيانات-ماجستير'!$F$5:$F$230),$I81)&amp;"")</f>
        <v/>
      </c>
      <c r="D81" s="2" t="str">
        <f>IF($I81="","",INDEX(CHOOSE($J$3,'فحص-حاسب-بكالوريوس'!$H$5:$H$208,'فحص-بيانات-بكالوريوس'!$H$5:$H$208,'فحص-بيانات-ماجستير'!$H$5:$H$230),$I81)&amp;"")</f>
        <v/>
      </c>
      <c r="E81" s="2" t="str">
        <f>IF($I81="","",INDEX(CHOOSE($J$3,'فحص-حاسب-بكالوريوس'!$J$5:$J$208,'فحص-بيانات-بكالوريوس'!$J$5:$J$208,'فحص-بيانات-ماجستير'!$J$5:$J$230),$I81)&amp;"")</f>
        <v/>
      </c>
      <c r="F81" s="2" t="str">
        <f>IF($I81="","",INDEX(CHOOSE($J$3,'فحص-حاسب-بكالوريوس'!$L$5:$L$208,'فحص-بيانات-بكالوريوس'!$L$5:$L$208,'فحص-بيانات-ماجستير'!$L$5:$L$230),$I81)&amp;"")</f>
        <v/>
      </c>
      <c r="G81" s="2" t="str">
        <f>IF($I81="","",INDEX(CHOOSE($J$3,'فحص-حاسب-بكالوريوس'!$M$5:$M$208,'فحص-بيانات-بكالوريوس'!$M$5:$M$208,'فحص-بيانات-ماجستير'!$M$5:$M$230),$I81)&amp;"")</f>
        <v/>
      </c>
      <c r="I81" s="2" t="str">
        <f>IFERROR(MATCH($E$3&amp;"#"&amp;76,CHOOSE($J$3,'فحص-حاسب-بكالوريوس'!$R$5:$R$208,'فحص-بيانات-بكالوريوس'!$R$5:$R$208,'فحص-بيانات-ماجستير'!$R$5:$R$230),0),"")</f>
        <v/>
      </c>
    </row>
    <row r="82" spans="1:9" x14ac:dyDescent="0.2">
      <c r="A82" s="1" t="str">
        <f>IF($I82="","",77)</f>
        <v/>
      </c>
      <c r="B82" s="2" t="str">
        <f>IF($I82="","",INDEX(CHOOSE($J$3,'فحص-حاسب-بكالوريوس'!$A$5:$A$208,'فحص-بيانات-بكالوريوس'!$A$5:$A$208,'فحص-بيانات-ماجستير'!$A$5:$A$230),$I82)&amp;"")</f>
        <v/>
      </c>
      <c r="C82" s="2" t="str">
        <f>IF($I82="","",INDEX(CHOOSE($J$3,'فحص-حاسب-بكالوريوس'!$F$5:$F$208,'فحص-بيانات-بكالوريوس'!$F$5:$F$208,'فحص-بيانات-ماجستير'!$F$5:$F$230),$I82)&amp;"")</f>
        <v/>
      </c>
      <c r="D82" s="2" t="str">
        <f>IF($I82="","",INDEX(CHOOSE($J$3,'فحص-حاسب-بكالوريوس'!$H$5:$H$208,'فحص-بيانات-بكالوريوس'!$H$5:$H$208,'فحص-بيانات-ماجستير'!$H$5:$H$230),$I82)&amp;"")</f>
        <v/>
      </c>
      <c r="E82" s="2" t="str">
        <f>IF($I82="","",INDEX(CHOOSE($J$3,'فحص-حاسب-بكالوريوس'!$J$5:$J$208,'فحص-بيانات-بكالوريوس'!$J$5:$J$208,'فحص-بيانات-ماجستير'!$J$5:$J$230),$I82)&amp;"")</f>
        <v/>
      </c>
      <c r="F82" s="2" t="str">
        <f>IF($I82="","",INDEX(CHOOSE($J$3,'فحص-حاسب-بكالوريوس'!$L$5:$L$208,'فحص-بيانات-بكالوريوس'!$L$5:$L$208,'فحص-بيانات-ماجستير'!$L$5:$L$230),$I82)&amp;"")</f>
        <v/>
      </c>
      <c r="G82" s="2" t="str">
        <f>IF($I82="","",INDEX(CHOOSE($J$3,'فحص-حاسب-بكالوريوس'!$M$5:$M$208,'فحص-بيانات-بكالوريوس'!$M$5:$M$208,'فحص-بيانات-ماجستير'!$M$5:$M$230),$I82)&amp;"")</f>
        <v/>
      </c>
      <c r="I82" s="2" t="str">
        <f>IFERROR(MATCH($E$3&amp;"#"&amp;77,CHOOSE($J$3,'فحص-حاسب-بكالوريوس'!$R$5:$R$208,'فحص-بيانات-بكالوريوس'!$R$5:$R$208,'فحص-بيانات-ماجستير'!$R$5:$R$230),0),"")</f>
        <v/>
      </c>
    </row>
    <row r="83" spans="1:9" x14ac:dyDescent="0.2">
      <c r="A83" s="1" t="str">
        <f>IF($I83="","",78)</f>
        <v/>
      </c>
      <c r="B83" s="2" t="str">
        <f>IF($I83="","",INDEX(CHOOSE($J$3,'فحص-حاسب-بكالوريوس'!$A$5:$A$208,'فحص-بيانات-بكالوريوس'!$A$5:$A$208,'فحص-بيانات-ماجستير'!$A$5:$A$230),$I83)&amp;"")</f>
        <v/>
      </c>
      <c r="C83" s="2" t="str">
        <f>IF($I83="","",INDEX(CHOOSE($J$3,'فحص-حاسب-بكالوريوس'!$F$5:$F$208,'فحص-بيانات-بكالوريوس'!$F$5:$F$208,'فحص-بيانات-ماجستير'!$F$5:$F$230),$I83)&amp;"")</f>
        <v/>
      </c>
      <c r="D83" s="2" t="str">
        <f>IF($I83="","",INDEX(CHOOSE($J$3,'فحص-حاسب-بكالوريوس'!$H$5:$H$208,'فحص-بيانات-بكالوريوس'!$H$5:$H$208,'فحص-بيانات-ماجستير'!$H$5:$H$230),$I83)&amp;"")</f>
        <v/>
      </c>
      <c r="E83" s="2" t="str">
        <f>IF($I83="","",INDEX(CHOOSE($J$3,'فحص-حاسب-بكالوريوس'!$J$5:$J$208,'فحص-بيانات-بكالوريوس'!$J$5:$J$208,'فحص-بيانات-ماجستير'!$J$5:$J$230),$I83)&amp;"")</f>
        <v/>
      </c>
      <c r="F83" s="2" t="str">
        <f>IF($I83="","",INDEX(CHOOSE($J$3,'فحص-حاسب-بكالوريوس'!$L$5:$L$208,'فحص-بيانات-بكالوريوس'!$L$5:$L$208,'فحص-بيانات-ماجستير'!$L$5:$L$230),$I83)&amp;"")</f>
        <v/>
      </c>
      <c r="G83" s="2" t="str">
        <f>IF($I83="","",INDEX(CHOOSE($J$3,'فحص-حاسب-بكالوريوس'!$M$5:$M$208,'فحص-بيانات-بكالوريوس'!$M$5:$M$208,'فحص-بيانات-ماجستير'!$M$5:$M$230),$I83)&amp;"")</f>
        <v/>
      </c>
      <c r="I83" s="2" t="str">
        <f>IFERROR(MATCH($E$3&amp;"#"&amp;78,CHOOSE($J$3,'فحص-حاسب-بكالوريوس'!$R$5:$R$208,'فحص-بيانات-بكالوريوس'!$R$5:$R$208,'فحص-بيانات-ماجستير'!$R$5:$R$230),0),"")</f>
        <v/>
      </c>
    </row>
    <row r="84" spans="1:9" x14ac:dyDescent="0.2">
      <c r="A84" s="1" t="str">
        <f>IF($I84="","",79)</f>
        <v/>
      </c>
      <c r="B84" s="2" t="str">
        <f>IF($I84="","",INDEX(CHOOSE($J$3,'فحص-حاسب-بكالوريوس'!$A$5:$A$208,'فحص-بيانات-بكالوريوس'!$A$5:$A$208,'فحص-بيانات-ماجستير'!$A$5:$A$230),$I84)&amp;"")</f>
        <v/>
      </c>
      <c r="C84" s="2" t="str">
        <f>IF($I84="","",INDEX(CHOOSE($J$3,'فحص-حاسب-بكالوريوس'!$F$5:$F$208,'فحص-بيانات-بكالوريوس'!$F$5:$F$208,'فحص-بيانات-ماجستير'!$F$5:$F$230),$I84)&amp;"")</f>
        <v/>
      </c>
      <c r="D84" s="2" t="str">
        <f>IF($I84="","",INDEX(CHOOSE($J$3,'فحص-حاسب-بكالوريوس'!$H$5:$H$208,'فحص-بيانات-بكالوريوس'!$H$5:$H$208,'فحص-بيانات-ماجستير'!$H$5:$H$230),$I84)&amp;"")</f>
        <v/>
      </c>
      <c r="E84" s="2" t="str">
        <f>IF($I84="","",INDEX(CHOOSE($J$3,'فحص-حاسب-بكالوريوس'!$J$5:$J$208,'فحص-بيانات-بكالوريوس'!$J$5:$J$208,'فحص-بيانات-ماجستير'!$J$5:$J$230),$I84)&amp;"")</f>
        <v/>
      </c>
      <c r="F84" s="2" t="str">
        <f>IF($I84="","",INDEX(CHOOSE($J$3,'فحص-حاسب-بكالوريوس'!$L$5:$L$208,'فحص-بيانات-بكالوريوس'!$L$5:$L$208,'فحص-بيانات-ماجستير'!$L$5:$L$230),$I84)&amp;"")</f>
        <v/>
      </c>
      <c r="G84" s="2" t="str">
        <f>IF($I84="","",INDEX(CHOOSE($J$3,'فحص-حاسب-بكالوريوس'!$M$5:$M$208,'فحص-بيانات-بكالوريوس'!$M$5:$M$208,'فحص-بيانات-ماجستير'!$M$5:$M$230),$I84)&amp;"")</f>
        <v/>
      </c>
      <c r="I84" s="2" t="str">
        <f>IFERROR(MATCH($E$3&amp;"#"&amp;79,CHOOSE($J$3,'فحص-حاسب-بكالوريوس'!$R$5:$R$208,'فحص-بيانات-بكالوريوس'!$R$5:$R$208,'فحص-بيانات-ماجستير'!$R$5:$R$230),0),"")</f>
        <v/>
      </c>
    </row>
    <row r="85" spans="1:9" x14ac:dyDescent="0.2">
      <c r="A85" s="1" t="str">
        <f>IF($I85="","",80)</f>
        <v/>
      </c>
      <c r="B85" s="2" t="str">
        <f>IF($I85="","",INDEX(CHOOSE($J$3,'فحص-حاسب-بكالوريوس'!$A$5:$A$208,'فحص-بيانات-بكالوريوس'!$A$5:$A$208,'فحص-بيانات-ماجستير'!$A$5:$A$230),$I85)&amp;"")</f>
        <v/>
      </c>
      <c r="C85" s="2" t="str">
        <f>IF($I85="","",INDEX(CHOOSE($J$3,'فحص-حاسب-بكالوريوس'!$F$5:$F$208,'فحص-بيانات-بكالوريوس'!$F$5:$F$208,'فحص-بيانات-ماجستير'!$F$5:$F$230),$I85)&amp;"")</f>
        <v/>
      </c>
      <c r="D85" s="2" t="str">
        <f>IF($I85="","",INDEX(CHOOSE($J$3,'فحص-حاسب-بكالوريوس'!$H$5:$H$208,'فحص-بيانات-بكالوريوس'!$H$5:$H$208,'فحص-بيانات-ماجستير'!$H$5:$H$230),$I85)&amp;"")</f>
        <v/>
      </c>
      <c r="E85" s="2" t="str">
        <f>IF($I85="","",INDEX(CHOOSE($J$3,'فحص-حاسب-بكالوريوس'!$J$5:$J$208,'فحص-بيانات-بكالوريوس'!$J$5:$J$208,'فحص-بيانات-ماجستير'!$J$5:$J$230),$I85)&amp;"")</f>
        <v/>
      </c>
      <c r="F85" s="2" t="str">
        <f>IF($I85="","",INDEX(CHOOSE($J$3,'فحص-حاسب-بكالوريوس'!$L$5:$L$208,'فحص-بيانات-بكالوريوس'!$L$5:$L$208,'فحص-بيانات-ماجستير'!$L$5:$L$230),$I85)&amp;"")</f>
        <v/>
      </c>
      <c r="G85" s="2" t="str">
        <f>IF($I85="","",INDEX(CHOOSE($J$3,'فحص-حاسب-بكالوريوس'!$M$5:$M$208,'فحص-بيانات-بكالوريوس'!$M$5:$M$208,'فحص-بيانات-ماجستير'!$M$5:$M$230),$I85)&amp;"")</f>
        <v/>
      </c>
      <c r="I85" s="2" t="str">
        <f>IFERROR(MATCH($E$3&amp;"#"&amp;80,CHOOSE($J$3,'فحص-حاسب-بكالوريوس'!$R$5:$R$208,'فحص-بيانات-بكالوريوس'!$R$5:$R$208,'فحص-بيانات-ماجستير'!$R$5:$R$230),0),"")</f>
        <v/>
      </c>
    </row>
    <row r="86" spans="1:9" x14ac:dyDescent="0.2">
      <c r="A86" s="1" t="str">
        <f>IF($I86="","",81)</f>
        <v/>
      </c>
      <c r="B86" s="2" t="str">
        <f>IF($I86="","",INDEX(CHOOSE($J$3,'فحص-حاسب-بكالوريوس'!$A$5:$A$208,'فحص-بيانات-بكالوريوس'!$A$5:$A$208,'فحص-بيانات-ماجستير'!$A$5:$A$230),$I86)&amp;"")</f>
        <v/>
      </c>
      <c r="C86" s="2" t="str">
        <f>IF($I86="","",INDEX(CHOOSE($J$3,'فحص-حاسب-بكالوريوس'!$F$5:$F$208,'فحص-بيانات-بكالوريوس'!$F$5:$F$208,'فحص-بيانات-ماجستير'!$F$5:$F$230),$I86)&amp;"")</f>
        <v/>
      </c>
      <c r="D86" s="2" t="str">
        <f>IF($I86="","",INDEX(CHOOSE($J$3,'فحص-حاسب-بكالوريوس'!$H$5:$H$208,'فحص-بيانات-بكالوريوس'!$H$5:$H$208,'فحص-بيانات-ماجستير'!$H$5:$H$230),$I86)&amp;"")</f>
        <v/>
      </c>
      <c r="E86" s="2" t="str">
        <f>IF($I86="","",INDEX(CHOOSE($J$3,'فحص-حاسب-بكالوريوس'!$J$5:$J$208,'فحص-بيانات-بكالوريوس'!$J$5:$J$208,'فحص-بيانات-ماجستير'!$J$5:$J$230),$I86)&amp;"")</f>
        <v/>
      </c>
      <c r="F86" s="2" t="str">
        <f>IF($I86="","",INDEX(CHOOSE($J$3,'فحص-حاسب-بكالوريوس'!$L$5:$L$208,'فحص-بيانات-بكالوريوس'!$L$5:$L$208,'فحص-بيانات-ماجستير'!$L$5:$L$230),$I86)&amp;"")</f>
        <v/>
      </c>
      <c r="G86" s="2" t="str">
        <f>IF($I86="","",INDEX(CHOOSE($J$3,'فحص-حاسب-بكالوريوس'!$M$5:$M$208,'فحص-بيانات-بكالوريوس'!$M$5:$M$208,'فحص-بيانات-ماجستير'!$M$5:$M$230),$I86)&amp;"")</f>
        <v/>
      </c>
      <c r="I86" s="2" t="str">
        <f>IFERROR(MATCH($E$3&amp;"#"&amp;81,CHOOSE($J$3,'فحص-حاسب-بكالوريوس'!$R$5:$R$208,'فحص-بيانات-بكالوريوس'!$R$5:$R$208,'فحص-بيانات-ماجستير'!$R$5:$R$230),0),"")</f>
        <v/>
      </c>
    </row>
    <row r="87" spans="1:9" x14ac:dyDescent="0.2">
      <c r="A87" s="1" t="str">
        <f>IF($I87="","",82)</f>
        <v/>
      </c>
      <c r="B87" s="2" t="str">
        <f>IF($I87="","",INDEX(CHOOSE($J$3,'فحص-حاسب-بكالوريوس'!$A$5:$A$208,'فحص-بيانات-بكالوريوس'!$A$5:$A$208,'فحص-بيانات-ماجستير'!$A$5:$A$230),$I87)&amp;"")</f>
        <v/>
      </c>
      <c r="C87" s="2" t="str">
        <f>IF($I87="","",INDEX(CHOOSE($J$3,'فحص-حاسب-بكالوريوس'!$F$5:$F$208,'فحص-بيانات-بكالوريوس'!$F$5:$F$208,'فحص-بيانات-ماجستير'!$F$5:$F$230),$I87)&amp;"")</f>
        <v/>
      </c>
      <c r="D87" s="2" t="str">
        <f>IF($I87="","",INDEX(CHOOSE($J$3,'فحص-حاسب-بكالوريوس'!$H$5:$H$208,'فحص-بيانات-بكالوريوس'!$H$5:$H$208,'فحص-بيانات-ماجستير'!$H$5:$H$230),$I87)&amp;"")</f>
        <v/>
      </c>
      <c r="E87" s="2" t="str">
        <f>IF($I87="","",INDEX(CHOOSE($J$3,'فحص-حاسب-بكالوريوس'!$J$5:$J$208,'فحص-بيانات-بكالوريوس'!$J$5:$J$208,'فحص-بيانات-ماجستير'!$J$5:$J$230),$I87)&amp;"")</f>
        <v/>
      </c>
      <c r="F87" s="2" t="str">
        <f>IF($I87="","",INDEX(CHOOSE($J$3,'فحص-حاسب-بكالوريوس'!$L$5:$L$208,'فحص-بيانات-بكالوريوس'!$L$5:$L$208,'فحص-بيانات-ماجستير'!$L$5:$L$230),$I87)&amp;"")</f>
        <v/>
      </c>
      <c r="G87" s="2" t="str">
        <f>IF($I87="","",INDEX(CHOOSE($J$3,'فحص-حاسب-بكالوريوس'!$M$5:$M$208,'فحص-بيانات-بكالوريوس'!$M$5:$M$208,'فحص-بيانات-ماجستير'!$M$5:$M$230),$I87)&amp;"")</f>
        <v/>
      </c>
      <c r="I87" s="2" t="str">
        <f>IFERROR(MATCH($E$3&amp;"#"&amp;82,CHOOSE($J$3,'فحص-حاسب-بكالوريوس'!$R$5:$R$208,'فحص-بيانات-بكالوريوس'!$R$5:$R$208,'فحص-بيانات-ماجستير'!$R$5:$R$230),0),"")</f>
        <v/>
      </c>
    </row>
    <row r="88" spans="1:9" x14ac:dyDescent="0.2">
      <c r="A88" s="1" t="str">
        <f>IF($I88="","",83)</f>
        <v/>
      </c>
      <c r="B88" s="2" t="str">
        <f>IF($I88="","",INDEX(CHOOSE($J$3,'فحص-حاسب-بكالوريوس'!$A$5:$A$208,'فحص-بيانات-بكالوريوس'!$A$5:$A$208,'فحص-بيانات-ماجستير'!$A$5:$A$230),$I88)&amp;"")</f>
        <v/>
      </c>
      <c r="C88" s="2" t="str">
        <f>IF($I88="","",INDEX(CHOOSE($J$3,'فحص-حاسب-بكالوريوس'!$F$5:$F$208,'فحص-بيانات-بكالوريوس'!$F$5:$F$208,'فحص-بيانات-ماجستير'!$F$5:$F$230),$I88)&amp;"")</f>
        <v/>
      </c>
      <c r="D88" s="2" t="str">
        <f>IF($I88="","",INDEX(CHOOSE($J$3,'فحص-حاسب-بكالوريوس'!$H$5:$H$208,'فحص-بيانات-بكالوريوس'!$H$5:$H$208,'فحص-بيانات-ماجستير'!$H$5:$H$230),$I88)&amp;"")</f>
        <v/>
      </c>
      <c r="E88" s="2" t="str">
        <f>IF($I88="","",INDEX(CHOOSE($J$3,'فحص-حاسب-بكالوريوس'!$J$5:$J$208,'فحص-بيانات-بكالوريوس'!$J$5:$J$208,'فحص-بيانات-ماجستير'!$J$5:$J$230),$I88)&amp;"")</f>
        <v/>
      </c>
      <c r="F88" s="2" t="str">
        <f>IF($I88="","",INDEX(CHOOSE($J$3,'فحص-حاسب-بكالوريوس'!$L$5:$L$208,'فحص-بيانات-بكالوريوس'!$L$5:$L$208,'فحص-بيانات-ماجستير'!$L$5:$L$230),$I88)&amp;"")</f>
        <v/>
      </c>
      <c r="G88" s="2" t="str">
        <f>IF($I88="","",INDEX(CHOOSE($J$3,'فحص-حاسب-بكالوريوس'!$M$5:$M$208,'فحص-بيانات-بكالوريوس'!$M$5:$M$208,'فحص-بيانات-ماجستير'!$M$5:$M$230),$I88)&amp;"")</f>
        <v/>
      </c>
      <c r="I88" s="2" t="str">
        <f>IFERROR(MATCH($E$3&amp;"#"&amp;83,CHOOSE($J$3,'فحص-حاسب-بكالوريوس'!$R$5:$R$208,'فحص-بيانات-بكالوريوس'!$R$5:$R$208,'فحص-بيانات-ماجستير'!$R$5:$R$230),0),"")</f>
        <v/>
      </c>
    </row>
    <row r="89" spans="1:9" x14ac:dyDescent="0.2">
      <c r="A89" s="1" t="str">
        <f>IF($I89="","",84)</f>
        <v/>
      </c>
      <c r="B89" s="2" t="str">
        <f>IF($I89="","",INDEX(CHOOSE($J$3,'فحص-حاسب-بكالوريوس'!$A$5:$A$208,'فحص-بيانات-بكالوريوس'!$A$5:$A$208,'فحص-بيانات-ماجستير'!$A$5:$A$230),$I89)&amp;"")</f>
        <v/>
      </c>
      <c r="C89" s="2" t="str">
        <f>IF($I89="","",INDEX(CHOOSE($J$3,'فحص-حاسب-بكالوريوس'!$F$5:$F$208,'فحص-بيانات-بكالوريوس'!$F$5:$F$208,'فحص-بيانات-ماجستير'!$F$5:$F$230),$I89)&amp;"")</f>
        <v/>
      </c>
      <c r="D89" s="2" t="str">
        <f>IF($I89="","",INDEX(CHOOSE($J$3,'فحص-حاسب-بكالوريوس'!$H$5:$H$208,'فحص-بيانات-بكالوريوس'!$H$5:$H$208,'فحص-بيانات-ماجستير'!$H$5:$H$230),$I89)&amp;"")</f>
        <v/>
      </c>
      <c r="E89" s="2" t="str">
        <f>IF($I89="","",INDEX(CHOOSE($J$3,'فحص-حاسب-بكالوريوس'!$J$5:$J$208,'فحص-بيانات-بكالوريوس'!$J$5:$J$208,'فحص-بيانات-ماجستير'!$J$5:$J$230),$I89)&amp;"")</f>
        <v/>
      </c>
      <c r="F89" s="2" t="str">
        <f>IF($I89="","",INDEX(CHOOSE($J$3,'فحص-حاسب-بكالوريوس'!$L$5:$L$208,'فحص-بيانات-بكالوريوس'!$L$5:$L$208,'فحص-بيانات-ماجستير'!$L$5:$L$230),$I89)&amp;"")</f>
        <v/>
      </c>
      <c r="G89" s="2" t="str">
        <f>IF($I89="","",INDEX(CHOOSE($J$3,'فحص-حاسب-بكالوريوس'!$M$5:$M$208,'فحص-بيانات-بكالوريوس'!$M$5:$M$208,'فحص-بيانات-ماجستير'!$M$5:$M$230),$I89)&amp;"")</f>
        <v/>
      </c>
      <c r="I89" s="2" t="str">
        <f>IFERROR(MATCH($E$3&amp;"#"&amp;84,CHOOSE($J$3,'فحص-حاسب-بكالوريوس'!$R$5:$R$208,'فحص-بيانات-بكالوريوس'!$R$5:$R$208,'فحص-بيانات-ماجستير'!$R$5:$R$230),0),"")</f>
        <v/>
      </c>
    </row>
    <row r="90" spans="1:9" x14ac:dyDescent="0.2">
      <c r="A90" s="1" t="str">
        <f>IF($I90="","",85)</f>
        <v/>
      </c>
      <c r="B90" s="2" t="str">
        <f>IF($I90="","",INDEX(CHOOSE($J$3,'فحص-حاسب-بكالوريوس'!$A$5:$A$208,'فحص-بيانات-بكالوريوس'!$A$5:$A$208,'فحص-بيانات-ماجستير'!$A$5:$A$230),$I90)&amp;"")</f>
        <v/>
      </c>
      <c r="C90" s="2" t="str">
        <f>IF($I90="","",INDEX(CHOOSE($J$3,'فحص-حاسب-بكالوريوس'!$F$5:$F$208,'فحص-بيانات-بكالوريوس'!$F$5:$F$208,'فحص-بيانات-ماجستير'!$F$5:$F$230),$I90)&amp;"")</f>
        <v/>
      </c>
      <c r="D90" s="2" t="str">
        <f>IF($I90="","",INDEX(CHOOSE($J$3,'فحص-حاسب-بكالوريوس'!$H$5:$H$208,'فحص-بيانات-بكالوريوس'!$H$5:$H$208,'فحص-بيانات-ماجستير'!$H$5:$H$230),$I90)&amp;"")</f>
        <v/>
      </c>
      <c r="E90" s="2" t="str">
        <f>IF($I90="","",INDEX(CHOOSE($J$3,'فحص-حاسب-بكالوريوس'!$J$5:$J$208,'فحص-بيانات-بكالوريوس'!$J$5:$J$208,'فحص-بيانات-ماجستير'!$J$5:$J$230),$I90)&amp;"")</f>
        <v/>
      </c>
      <c r="F90" s="2" t="str">
        <f>IF($I90="","",INDEX(CHOOSE($J$3,'فحص-حاسب-بكالوريوس'!$L$5:$L$208,'فحص-بيانات-بكالوريوس'!$L$5:$L$208,'فحص-بيانات-ماجستير'!$L$5:$L$230),$I90)&amp;"")</f>
        <v/>
      </c>
      <c r="G90" s="2" t="str">
        <f>IF($I90="","",INDEX(CHOOSE($J$3,'فحص-حاسب-بكالوريوس'!$M$5:$M$208,'فحص-بيانات-بكالوريوس'!$M$5:$M$208,'فحص-بيانات-ماجستير'!$M$5:$M$230),$I90)&amp;"")</f>
        <v/>
      </c>
      <c r="I90" s="2" t="str">
        <f>IFERROR(MATCH($E$3&amp;"#"&amp;85,CHOOSE($J$3,'فحص-حاسب-بكالوريوس'!$R$5:$R$208,'فحص-بيانات-بكالوريوس'!$R$5:$R$208,'فحص-بيانات-ماجستير'!$R$5:$R$230),0),"")</f>
        <v/>
      </c>
    </row>
    <row r="91" spans="1:9" x14ac:dyDescent="0.2">
      <c r="A91" s="1" t="str">
        <f>IF($I91="","",86)</f>
        <v/>
      </c>
      <c r="B91" s="2" t="str">
        <f>IF($I91="","",INDEX(CHOOSE($J$3,'فحص-حاسب-بكالوريوس'!$A$5:$A$208,'فحص-بيانات-بكالوريوس'!$A$5:$A$208,'فحص-بيانات-ماجستير'!$A$5:$A$230),$I91)&amp;"")</f>
        <v/>
      </c>
      <c r="C91" s="2" t="str">
        <f>IF($I91="","",INDEX(CHOOSE($J$3,'فحص-حاسب-بكالوريوس'!$F$5:$F$208,'فحص-بيانات-بكالوريوس'!$F$5:$F$208,'فحص-بيانات-ماجستير'!$F$5:$F$230),$I91)&amp;"")</f>
        <v/>
      </c>
      <c r="D91" s="2" t="str">
        <f>IF($I91="","",INDEX(CHOOSE($J$3,'فحص-حاسب-بكالوريوس'!$H$5:$H$208,'فحص-بيانات-بكالوريوس'!$H$5:$H$208,'فحص-بيانات-ماجستير'!$H$5:$H$230),$I91)&amp;"")</f>
        <v/>
      </c>
      <c r="E91" s="2" t="str">
        <f>IF($I91="","",INDEX(CHOOSE($J$3,'فحص-حاسب-بكالوريوس'!$J$5:$J$208,'فحص-بيانات-بكالوريوس'!$J$5:$J$208,'فحص-بيانات-ماجستير'!$J$5:$J$230),$I91)&amp;"")</f>
        <v/>
      </c>
      <c r="F91" s="2" t="str">
        <f>IF($I91="","",INDEX(CHOOSE($J$3,'فحص-حاسب-بكالوريوس'!$L$5:$L$208,'فحص-بيانات-بكالوريوس'!$L$5:$L$208,'فحص-بيانات-ماجستير'!$L$5:$L$230),$I91)&amp;"")</f>
        <v/>
      </c>
      <c r="G91" s="2" t="str">
        <f>IF($I91="","",INDEX(CHOOSE($J$3,'فحص-حاسب-بكالوريوس'!$M$5:$M$208,'فحص-بيانات-بكالوريوس'!$M$5:$M$208,'فحص-بيانات-ماجستير'!$M$5:$M$230),$I91)&amp;"")</f>
        <v/>
      </c>
      <c r="I91" s="2" t="str">
        <f>IFERROR(MATCH($E$3&amp;"#"&amp;86,CHOOSE($J$3,'فحص-حاسب-بكالوريوس'!$R$5:$R$208,'فحص-بيانات-بكالوريوس'!$R$5:$R$208,'فحص-بيانات-ماجستير'!$R$5:$R$230),0),"")</f>
        <v/>
      </c>
    </row>
    <row r="92" spans="1:9" x14ac:dyDescent="0.2">
      <c r="A92" s="1" t="str">
        <f>IF($I92="","",87)</f>
        <v/>
      </c>
      <c r="B92" s="2" t="str">
        <f>IF($I92="","",INDEX(CHOOSE($J$3,'فحص-حاسب-بكالوريوس'!$A$5:$A$208,'فحص-بيانات-بكالوريوس'!$A$5:$A$208,'فحص-بيانات-ماجستير'!$A$5:$A$230),$I92)&amp;"")</f>
        <v/>
      </c>
      <c r="C92" s="2" t="str">
        <f>IF($I92="","",INDEX(CHOOSE($J$3,'فحص-حاسب-بكالوريوس'!$F$5:$F$208,'فحص-بيانات-بكالوريوس'!$F$5:$F$208,'فحص-بيانات-ماجستير'!$F$5:$F$230),$I92)&amp;"")</f>
        <v/>
      </c>
      <c r="D92" s="2" t="str">
        <f>IF($I92="","",INDEX(CHOOSE($J$3,'فحص-حاسب-بكالوريوس'!$H$5:$H$208,'فحص-بيانات-بكالوريوس'!$H$5:$H$208,'فحص-بيانات-ماجستير'!$H$5:$H$230),$I92)&amp;"")</f>
        <v/>
      </c>
      <c r="E92" s="2" t="str">
        <f>IF($I92="","",INDEX(CHOOSE($J$3,'فحص-حاسب-بكالوريوس'!$J$5:$J$208,'فحص-بيانات-بكالوريوس'!$J$5:$J$208,'فحص-بيانات-ماجستير'!$J$5:$J$230),$I92)&amp;"")</f>
        <v/>
      </c>
      <c r="F92" s="2" t="str">
        <f>IF($I92="","",INDEX(CHOOSE($J$3,'فحص-حاسب-بكالوريوس'!$L$5:$L$208,'فحص-بيانات-بكالوريوس'!$L$5:$L$208,'فحص-بيانات-ماجستير'!$L$5:$L$230),$I92)&amp;"")</f>
        <v/>
      </c>
      <c r="G92" s="2" t="str">
        <f>IF($I92="","",INDEX(CHOOSE($J$3,'فحص-حاسب-بكالوريوس'!$M$5:$M$208,'فحص-بيانات-بكالوريوس'!$M$5:$M$208,'فحص-بيانات-ماجستير'!$M$5:$M$230),$I92)&amp;"")</f>
        <v/>
      </c>
      <c r="I92" s="2" t="str">
        <f>IFERROR(MATCH($E$3&amp;"#"&amp;87,CHOOSE($J$3,'فحص-حاسب-بكالوريوس'!$R$5:$R$208,'فحص-بيانات-بكالوريوس'!$R$5:$R$208,'فحص-بيانات-ماجستير'!$R$5:$R$230),0),"")</f>
        <v/>
      </c>
    </row>
    <row r="93" spans="1:9" x14ac:dyDescent="0.2">
      <c r="A93" s="1" t="str">
        <f>IF($I93="","",88)</f>
        <v/>
      </c>
      <c r="B93" s="2" t="str">
        <f>IF($I93="","",INDEX(CHOOSE($J$3,'فحص-حاسب-بكالوريوس'!$A$5:$A$208,'فحص-بيانات-بكالوريوس'!$A$5:$A$208,'فحص-بيانات-ماجستير'!$A$5:$A$230),$I93)&amp;"")</f>
        <v/>
      </c>
      <c r="C93" s="2" t="str">
        <f>IF($I93="","",INDEX(CHOOSE($J$3,'فحص-حاسب-بكالوريوس'!$F$5:$F$208,'فحص-بيانات-بكالوريوس'!$F$5:$F$208,'فحص-بيانات-ماجستير'!$F$5:$F$230),$I93)&amp;"")</f>
        <v/>
      </c>
      <c r="D93" s="2" t="str">
        <f>IF($I93="","",INDEX(CHOOSE($J$3,'فحص-حاسب-بكالوريوس'!$H$5:$H$208,'فحص-بيانات-بكالوريوس'!$H$5:$H$208,'فحص-بيانات-ماجستير'!$H$5:$H$230),$I93)&amp;"")</f>
        <v/>
      </c>
      <c r="E93" s="2" t="str">
        <f>IF($I93="","",INDEX(CHOOSE($J$3,'فحص-حاسب-بكالوريوس'!$J$5:$J$208,'فحص-بيانات-بكالوريوس'!$J$5:$J$208,'فحص-بيانات-ماجستير'!$J$5:$J$230),$I93)&amp;"")</f>
        <v/>
      </c>
      <c r="F93" s="2" t="str">
        <f>IF($I93="","",INDEX(CHOOSE($J$3,'فحص-حاسب-بكالوريوس'!$L$5:$L$208,'فحص-بيانات-بكالوريوس'!$L$5:$L$208,'فحص-بيانات-ماجستير'!$L$5:$L$230),$I93)&amp;"")</f>
        <v/>
      </c>
      <c r="G93" s="2" t="str">
        <f>IF($I93="","",INDEX(CHOOSE($J$3,'فحص-حاسب-بكالوريوس'!$M$5:$M$208,'فحص-بيانات-بكالوريوس'!$M$5:$M$208,'فحص-بيانات-ماجستير'!$M$5:$M$230),$I93)&amp;"")</f>
        <v/>
      </c>
      <c r="I93" s="2" t="str">
        <f>IFERROR(MATCH($E$3&amp;"#"&amp;88,CHOOSE($J$3,'فحص-حاسب-بكالوريوس'!$R$5:$R$208,'فحص-بيانات-بكالوريوس'!$R$5:$R$208,'فحص-بيانات-ماجستير'!$R$5:$R$230),0),"")</f>
        <v/>
      </c>
    </row>
    <row r="94" spans="1:9" x14ac:dyDescent="0.2">
      <c r="A94" s="1" t="str">
        <f>IF($I94="","",89)</f>
        <v/>
      </c>
      <c r="B94" s="2" t="str">
        <f>IF($I94="","",INDEX(CHOOSE($J$3,'فحص-حاسب-بكالوريوس'!$A$5:$A$208,'فحص-بيانات-بكالوريوس'!$A$5:$A$208,'فحص-بيانات-ماجستير'!$A$5:$A$230),$I94)&amp;"")</f>
        <v/>
      </c>
      <c r="C94" s="2" t="str">
        <f>IF($I94="","",INDEX(CHOOSE($J$3,'فحص-حاسب-بكالوريوس'!$F$5:$F$208,'فحص-بيانات-بكالوريوس'!$F$5:$F$208,'فحص-بيانات-ماجستير'!$F$5:$F$230),$I94)&amp;"")</f>
        <v/>
      </c>
      <c r="D94" s="2" t="str">
        <f>IF($I94="","",INDEX(CHOOSE($J$3,'فحص-حاسب-بكالوريوس'!$H$5:$H$208,'فحص-بيانات-بكالوريوس'!$H$5:$H$208,'فحص-بيانات-ماجستير'!$H$5:$H$230),$I94)&amp;"")</f>
        <v/>
      </c>
      <c r="E94" s="2" t="str">
        <f>IF($I94="","",INDEX(CHOOSE($J$3,'فحص-حاسب-بكالوريوس'!$J$5:$J$208,'فحص-بيانات-بكالوريوس'!$J$5:$J$208,'فحص-بيانات-ماجستير'!$J$5:$J$230),$I94)&amp;"")</f>
        <v/>
      </c>
      <c r="F94" s="2" t="str">
        <f>IF($I94="","",INDEX(CHOOSE($J$3,'فحص-حاسب-بكالوريوس'!$L$5:$L$208,'فحص-بيانات-بكالوريوس'!$L$5:$L$208,'فحص-بيانات-ماجستير'!$L$5:$L$230),$I94)&amp;"")</f>
        <v/>
      </c>
      <c r="G94" s="2" t="str">
        <f>IF($I94="","",INDEX(CHOOSE($J$3,'فحص-حاسب-بكالوريوس'!$M$5:$M$208,'فحص-بيانات-بكالوريوس'!$M$5:$M$208,'فحص-بيانات-ماجستير'!$M$5:$M$230),$I94)&amp;"")</f>
        <v/>
      </c>
      <c r="I94" s="2" t="str">
        <f>IFERROR(MATCH($E$3&amp;"#"&amp;89,CHOOSE($J$3,'فحص-حاسب-بكالوريوس'!$R$5:$R$208,'فحص-بيانات-بكالوريوس'!$R$5:$R$208,'فحص-بيانات-ماجستير'!$R$5:$R$230),0),"")</f>
        <v/>
      </c>
    </row>
    <row r="95" spans="1:9" x14ac:dyDescent="0.2">
      <c r="A95" s="1" t="str">
        <f>IF($I95="","",90)</f>
        <v/>
      </c>
      <c r="B95" s="2" t="str">
        <f>IF($I95="","",INDEX(CHOOSE($J$3,'فحص-حاسب-بكالوريوس'!$A$5:$A$208,'فحص-بيانات-بكالوريوس'!$A$5:$A$208,'فحص-بيانات-ماجستير'!$A$5:$A$230),$I95)&amp;"")</f>
        <v/>
      </c>
      <c r="C95" s="2" t="str">
        <f>IF($I95="","",INDEX(CHOOSE($J$3,'فحص-حاسب-بكالوريوس'!$F$5:$F$208,'فحص-بيانات-بكالوريوس'!$F$5:$F$208,'فحص-بيانات-ماجستير'!$F$5:$F$230),$I95)&amp;"")</f>
        <v/>
      </c>
      <c r="D95" s="2" t="str">
        <f>IF($I95="","",INDEX(CHOOSE($J$3,'فحص-حاسب-بكالوريوس'!$H$5:$H$208,'فحص-بيانات-بكالوريوس'!$H$5:$H$208,'فحص-بيانات-ماجستير'!$H$5:$H$230),$I95)&amp;"")</f>
        <v/>
      </c>
      <c r="E95" s="2" t="str">
        <f>IF($I95="","",INDEX(CHOOSE($J$3,'فحص-حاسب-بكالوريوس'!$J$5:$J$208,'فحص-بيانات-بكالوريوس'!$J$5:$J$208,'فحص-بيانات-ماجستير'!$J$5:$J$230),$I95)&amp;"")</f>
        <v/>
      </c>
      <c r="F95" s="2" t="str">
        <f>IF($I95="","",INDEX(CHOOSE($J$3,'فحص-حاسب-بكالوريوس'!$L$5:$L$208,'فحص-بيانات-بكالوريوس'!$L$5:$L$208,'فحص-بيانات-ماجستير'!$L$5:$L$230),$I95)&amp;"")</f>
        <v/>
      </c>
      <c r="G95" s="2" t="str">
        <f>IF($I95="","",INDEX(CHOOSE($J$3,'فحص-حاسب-بكالوريوس'!$M$5:$M$208,'فحص-بيانات-بكالوريوس'!$M$5:$M$208,'فحص-بيانات-ماجستير'!$M$5:$M$230),$I95)&amp;"")</f>
        <v/>
      </c>
      <c r="I95" s="2" t="str">
        <f>IFERROR(MATCH($E$3&amp;"#"&amp;90,CHOOSE($J$3,'فحص-حاسب-بكالوريوس'!$R$5:$R$208,'فحص-بيانات-بكالوريوس'!$R$5:$R$208,'فحص-بيانات-ماجستير'!$R$5:$R$230),0),"")</f>
        <v/>
      </c>
    </row>
    <row r="96" spans="1:9" x14ac:dyDescent="0.2">
      <c r="A96" s="1" t="str">
        <f>IF($I96="","",91)</f>
        <v/>
      </c>
      <c r="B96" s="2" t="str">
        <f>IF($I96="","",INDEX(CHOOSE($J$3,'فحص-حاسب-بكالوريوس'!$A$5:$A$208,'فحص-بيانات-بكالوريوس'!$A$5:$A$208,'فحص-بيانات-ماجستير'!$A$5:$A$230),$I96)&amp;"")</f>
        <v/>
      </c>
      <c r="C96" s="2" t="str">
        <f>IF($I96="","",INDEX(CHOOSE($J$3,'فحص-حاسب-بكالوريوس'!$F$5:$F$208,'فحص-بيانات-بكالوريوس'!$F$5:$F$208,'فحص-بيانات-ماجستير'!$F$5:$F$230),$I96)&amp;"")</f>
        <v/>
      </c>
      <c r="D96" s="2" t="str">
        <f>IF($I96="","",INDEX(CHOOSE($J$3,'فحص-حاسب-بكالوريوس'!$H$5:$H$208,'فحص-بيانات-بكالوريوس'!$H$5:$H$208,'فحص-بيانات-ماجستير'!$H$5:$H$230),$I96)&amp;"")</f>
        <v/>
      </c>
      <c r="E96" s="2" t="str">
        <f>IF($I96="","",INDEX(CHOOSE($J$3,'فحص-حاسب-بكالوريوس'!$J$5:$J$208,'فحص-بيانات-بكالوريوس'!$J$5:$J$208,'فحص-بيانات-ماجستير'!$J$5:$J$230),$I96)&amp;"")</f>
        <v/>
      </c>
      <c r="F96" s="2" t="str">
        <f>IF($I96="","",INDEX(CHOOSE($J$3,'فحص-حاسب-بكالوريوس'!$L$5:$L$208,'فحص-بيانات-بكالوريوس'!$L$5:$L$208,'فحص-بيانات-ماجستير'!$L$5:$L$230),$I96)&amp;"")</f>
        <v/>
      </c>
      <c r="G96" s="2" t="str">
        <f>IF($I96="","",INDEX(CHOOSE($J$3,'فحص-حاسب-بكالوريوس'!$M$5:$M$208,'فحص-بيانات-بكالوريوس'!$M$5:$M$208,'فحص-بيانات-ماجستير'!$M$5:$M$230),$I96)&amp;"")</f>
        <v/>
      </c>
      <c r="I96" s="2" t="str">
        <f>IFERROR(MATCH($E$3&amp;"#"&amp;91,CHOOSE($J$3,'فحص-حاسب-بكالوريوس'!$R$5:$R$208,'فحص-بيانات-بكالوريوس'!$R$5:$R$208,'فحص-بيانات-ماجستير'!$R$5:$R$230),0),"")</f>
        <v/>
      </c>
    </row>
    <row r="97" spans="1:9" x14ac:dyDescent="0.2">
      <c r="A97" s="1" t="str">
        <f>IF($I97="","",92)</f>
        <v/>
      </c>
      <c r="B97" s="2" t="str">
        <f>IF($I97="","",INDEX(CHOOSE($J$3,'فحص-حاسب-بكالوريوس'!$A$5:$A$208,'فحص-بيانات-بكالوريوس'!$A$5:$A$208,'فحص-بيانات-ماجستير'!$A$5:$A$230),$I97)&amp;"")</f>
        <v/>
      </c>
      <c r="C97" s="2" t="str">
        <f>IF($I97="","",INDEX(CHOOSE($J$3,'فحص-حاسب-بكالوريوس'!$F$5:$F$208,'فحص-بيانات-بكالوريوس'!$F$5:$F$208,'فحص-بيانات-ماجستير'!$F$5:$F$230),$I97)&amp;"")</f>
        <v/>
      </c>
      <c r="D97" s="2" t="str">
        <f>IF($I97="","",INDEX(CHOOSE($J$3,'فحص-حاسب-بكالوريوس'!$H$5:$H$208,'فحص-بيانات-بكالوريوس'!$H$5:$H$208,'فحص-بيانات-ماجستير'!$H$5:$H$230),$I97)&amp;"")</f>
        <v/>
      </c>
      <c r="E97" s="2" t="str">
        <f>IF($I97="","",INDEX(CHOOSE($J$3,'فحص-حاسب-بكالوريوس'!$J$5:$J$208,'فحص-بيانات-بكالوريوس'!$J$5:$J$208,'فحص-بيانات-ماجستير'!$J$5:$J$230),$I97)&amp;"")</f>
        <v/>
      </c>
      <c r="F97" s="2" t="str">
        <f>IF($I97="","",INDEX(CHOOSE($J$3,'فحص-حاسب-بكالوريوس'!$L$5:$L$208,'فحص-بيانات-بكالوريوس'!$L$5:$L$208,'فحص-بيانات-ماجستير'!$L$5:$L$230),$I97)&amp;"")</f>
        <v/>
      </c>
      <c r="G97" s="2" t="str">
        <f>IF($I97="","",INDEX(CHOOSE($J$3,'فحص-حاسب-بكالوريوس'!$M$5:$M$208,'فحص-بيانات-بكالوريوس'!$M$5:$M$208,'فحص-بيانات-ماجستير'!$M$5:$M$230),$I97)&amp;"")</f>
        <v/>
      </c>
      <c r="I97" s="2" t="str">
        <f>IFERROR(MATCH($E$3&amp;"#"&amp;92,CHOOSE($J$3,'فحص-حاسب-بكالوريوس'!$R$5:$R$208,'فحص-بيانات-بكالوريوس'!$R$5:$R$208,'فحص-بيانات-ماجستير'!$R$5:$R$230),0),"")</f>
        <v/>
      </c>
    </row>
    <row r="98" spans="1:9" x14ac:dyDescent="0.2">
      <c r="A98" s="1" t="str">
        <f>IF($I98="","",93)</f>
        <v/>
      </c>
      <c r="B98" s="2" t="str">
        <f>IF($I98="","",INDEX(CHOOSE($J$3,'فحص-حاسب-بكالوريوس'!$A$5:$A$208,'فحص-بيانات-بكالوريوس'!$A$5:$A$208,'فحص-بيانات-ماجستير'!$A$5:$A$230),$I98)&amp;"")</f>
        <v/>
      </c>
      <c r="C98" s="2" t="str">
        <f>IF($I98="","",INDEX(CHOOSE($J$3,'فحص-حاسب-بكالوريوس'!$F$5:$F$208,'فحص-بيانات-بكالوريوس'!$F$5:$F$208,'فحص-بيانات-ماجستير'!$F$5:$F$230),$I98)&amp;"")</f>
        <v/>
      </c>
      <c r="D98" s="2" t="str">
        <f>IF($I98="","",INDEX(CHOOSE($J$3,'فحص-حاسب-بكالوريوس'!$H$5:$H$208,'فحص-بيانات-بكالوريوس'!$H$5:$H$208,'فحص-بيانات-ماجستير'!$H$5:$H$230),$I98)&amp;"")</f>
        <v/>
      </c>
      <c r="E98" s="2" t="str">
        <f>IF($I98="","",INDEX(CHOOSE($J$3,'فحص-حاسب-بكالوريوس'!$J$5:$J$208,'فحص-بيانات-بكالوريوس'!$J$5:$J$208,'فحص-بيانات-ماجستير'!$J$5:$J$230),$I98)&amp;"")</f>
        <v/>
      </c>
      <c r="F98" s="2" t="str">
        <f>IF($I98="","",INDEX(CHOOSE($J$3,'فحص-حاسب-بكالوريوس'!$L$5:$L$208,'فحص-بيانات-بكالوريوس'!$L$5:$L$208,'فحص-بيانات-ماجستير'!$L$5:$L$230),$I98)&amp;"")</f>
        <v/>
      </c>
      <c r="G98" s="2" t="str">
        <f>IF($I98="","",INDEX(CHOOSE($J$3,'فحص-حاسب-بكالوريوس'!$M$5:$M$208,'فحص-بيانات-بكالوريوس'!$M$5:$M$208,'فحص-بيانات-ماجستير'!$M$5:$M$230),$I98)&amp;"")</f>
        <v/>
      </c>
      <c r="I98" s="2" t="str">
        <f>IFERROR(MATCH($E$3&amp;"#"&amp;93,CHOOSE($J$3,'فحص-حاسب-بكالوريوس'!$R$5:$R$208,'فحص-بيانات-بكالوريوس'!$R$5:$R$208,'فحص-بيانات-ماجستير'!$R$5:$R$230),0),"")</f>
        <v/>
      </c>
    </row>
    <row r="99" spans="1:9" x14ac:dyDescent="0.2">
      <c r="A99" s="1" t="str">
        <f>IF($I99="","",94)</f>
        <v/>
      </c>
      <c r="B99" s="2" t="str">
        <f>IF($I99="","",INDEX(CHOOSE($J$3,'فحص-حاسب-بكالوريوس'!$A$5:$A$208,'فحص-بيانات-بكالوريوس'!$A$5:$A$208,'فحص-بيانات-ماجستير'!$A$5:$A$230),$I99)&amp;"")</f>
        <v/>
      </c>
      <c r="C99" s="2" t="str">
        <f>IF($I99="","",INDEX(CHOOSE($J$3,'فحص-حاسب-بكالوريوس'!$F$5:$F$208,'فحص-بيانات-بكالوريوس'!$F$5:$F$208,'فحص-بيانات-ماجستير'!$F$5:$F$230),$I99)&amp;"")</f>
        <v/>
      </c>
      <c r="D99" s="2" t="str">
        <f>IF($I99="","",INDEX(CHOOSE($J$3,'فحص-حاسب-بكالوريوس'!$H$5:$H$208,'فحص-بيانات-بكالوريوس'!$H$5:$H$208,'فحص-بيانات-ماجستير'!$H$5:$H$230),$I99)&amp;"")</f>
        <v/>
      </c>
      <c r="E99" s="2" t="str">
        <f>IF($I99="","",INDEX(CHOOSE($J$3,'فحص-حاسب-بكالوريوس'!$J$5:$J$208,'فحص-بيانات-بكالوريوس'!$J$5:$J$208,'فحص-بيانات-ماجستير'!$J$5:$J$230),$I99)&amp;"")</f>
        <v/>
      </c>
      <c r="F99" s="2" t="str">
        <f>IF($I99="","",INDEX(CHOOSE($J$3,'فحص-حاسب-بكالوريوس'!$L$5:$L$208,'فحص-بيانات-بكالوريوس'!$L$5:$L$208,'فحص-بيانات-ماجستير'!$L$5:$L$230),$I99)&amp;"")</f>
        <v/>
      </c>
      <c r="G99" s="2" t="str">
        <f>IF($I99="","",INDEX(CHOOSE($J$3,'فحص-حاسب-بكالوريوس'!$M$5:$M$208,'فحص-بيانات-بكالوريوس'!$M$5:$M$208,'فحص-بيانات-ماجستير'!$M$5:$M$230),$I99)&amp;"")</f>
        <v/>
      </c>
      <c r="I99" s="2" t="str">
        <f>IFERROR(MATCH($E$3&amp;"#"&amp;94,CHOOSE($J$3,'فحص-حاسب-بكالوريوس'!$R$5:$R$208,'فحص-بيانات-بكالوريوس'!$R$5:$R$208,'فحص-بيانات-ماجستير'!$R$5:$R$230),0),"")</f>
        <v/>
      </c>
    </row>
    <row r="100" spans="1:9" x14ac:dyDescent="0.2">
      <c r="A100" s="1" t="str">
        <f>IF($I100="","",95)</f>
        <v/>
      </c>
      <c r="B100" s="2" t="str">
        <f>IF($I100="","",INDEX(CHOOSE($J$3,'فحص-حاسب-بكالوريوس'!$A$5:$A$208,'فحص-بيانات-بكالوريوس'!$A$5:$A$208,'فحص-بيانات-ماجستير'!$A$5:$A$230),$I100)&amp;"")</f>
        <v/>
      </c>
      <c r="C100" s="2" t="str">
        <f>IF($I100="","",INDEX(CHOOSE($J$3,'فحص-حاسب-بكالوريوس'!$F$5:$F$208,'فحص-بيانات-بكالوريوس'!$F$5:$F$208,'فحص-بيانات-ماجستير'!$F$5:$F$230),$I100)&amp;"")</f>
        <v/>
      </c>
      <c r="D100" s="2" t="str">
        <f>IF($I100="","",INDEX(CHOOSE($J$3,'فحص-حاسب-بكالوريوس'!$H$5:$H$208,'فحص-بيانات-بكالوريوس'!$H$5:$H$208,'فحص-بيانات-ماجستير'!$H$5:$H$230),$I100)&amp;"")</f>
        <v/>
      </c>
      <c r="E100" s="2" t="str">
        <f>IF($I100="","",INDEX(CHOOSE($J$3,'فحص-حاسب-بكالوريوس'!$J$5:$J$208,'فحص-بيانات-بكالوريوس'!$J$5:$J$208,'فحص-بيانات-ماجستير'!$J$5:$J$230),$I100)&amp;"")</f>
        <v/>
      </c>
      <c r="F100" s="2" t="str">
        <f>IF($I100="","",INDEX(CHOOSE($J$3,'فحص-حاسب-بكالوريوس'!$L$5:$L$208,'فحص-بيانات-بكالوريوس'!$L$5:$L$208,'فحص-بيانات-ماجستير'!$L$5:$L$230),$I100)&amp;"")</f>
        <v/>
      </c>
      <c r="G100" s="2" t="str">
        <f>IF($I100="","",INDEX(CHOOSE($J$3,'فحص-حاسب-بكالوريوس'!$M$5:$M$208,'فحص-بيانات-بكالوريوس'!$M$5:$M$208,'فحص-بيانات-ماجستير'!$M$5:$M$230),$I100)&amp;"")</f>
        <v/>
      </c>
      <c r="I100" s="2" t="str">
        <f>IFERROR(MATCH($E$3&amp;"#"&amp;95,CHOOSE($J$3,'فحص-حاسب-بكالوريوس'!$R$5:$R$208,'فحص-بيانات-بكالوريوس'!$R$5:$R$208,'فحص-بيانات-ماجستير'!$R$5:$R$230),0),"")</f>
        <v/>
      </c>
    </row>
    <row r="101" spans="1:9" x14ac:dyDescent="0.2">
      <c r="A101" s="1" t="str">
        <f>IF($I101="","",96)</f>
        <v/>
      </c>
      <c r="B101" s="2" t="str">
        <f>IF($I101="","",INDEX(CHOOSE($J$3,'فحص-حاسب-بكالوريوس'!$A$5:$A$208,'فحص-بيانات-بكالوريوس'!$A$5:$A$208,'فحص-بيانات-ماجستير'!$A$5:$A$230),$I101)&amp;"")</f>
        <v/>
      </c>
      <c r="C101" s="2" t="str">
        <f>IF($I101="","",INDEX(CHOOSE($J$3,'فحص-حاسب-بكالوريوس'!$F$5:$F$208,'فحص-بيانات-بكالوريوس'!$F$5:$F$208,'فحص-بيانات-ماجستير'!$F$5:$F$230),$I101)&amp;"")</f>
        <v/>
      </c>
      <c r="D101" s="2" t="str">
        <f>IF($I101="","",INDEX(CHOOSE($J$3,'فحص-حاسب-بكالوريوس'!$H$5:$H$208,'فحص-بيانات-بكالوريوس'!$H$5:$H$208,'فحص-بيانات-ماجستير'!$H$5:$H$230),$I101)&amp;"")</f>
        <v/>
      </c>
      <c r="E101" s="2" t="str">
        <f>IF($I101="","",INDEX(CHOOSE($J$3,'فحص-حاسب-بكالوريوس'!$J$5:$J$208,'فحص-بيانات-بكالوريوس'!$J$5:$J$208,'فحص-بيانات-ماجستير'!$J$5:$J$230),$I101)&amp;"")</f>
        <v/>
      </c>
      <c r="F101" s="2" t="str">
        <f>IF($I101="","",INDEX(CHOOSE($J$3,'فحص-حاسب-بكالوريوس'!$L$5:$L$208,'فحص-بيانات-بكالوريوس'!$L$5:$L$208,'فحص-بيانات-ماجستير'!$L$5:$L$230),$I101)&amp;"")</f>
        <v/>
      </c>
      <c r="G101" s="2" t="str">
        <f>IF($I101="","",INDEX(CHOOSE($J$3,'فحص-حاسب-بكالوريوس'!$M$5:$M$208,'فحص-بيانات-بكالوريوس'!$M$5:$M$208,'فحص-بيانات-ماجستير'!$M$5:$M$230),$I101)&amp;"")</f>
        <v/>
      </c>
      <c r="I101" s="2" t="str">
        <f>IFERROR(MATCH($E$3&amp;"#"&amp;96,CHOOSE($J$3,'فحص-حاسب-بكالوريوس'!$R$5:$R$208,'فحص-بيانات-بكالوريوس'!$R$5:$R$208,'فحص-بيانات-ماجستير'!$R$5:$R$230),0),"")</f>
        <v/>
      </c>
    </row>
    <row r="102" spans="1:9" x14ac:dyDescent="0.2">
      <c r="A102" s="1" t="str">
        <f>IF($I102="","",97)</f>
        <v/>
      </c>
      <c r="B102" s="2" t="str">
        <f>IF($I102="","",INDEX(CHOOSE($J$3,'فحص-حاسب-بكالوريوس'!$A$5:$A$208,'فحص-بيانات-بكالوريوس'!$A$5:$A$208,'فحص-بيانات-ماجستير'!$A$5:$A$230),$I102)&amp;"")</f>
        <v/>
      </c>
      <c r="C102" s="2" t="str">
        <f>IF($I102="","",INDEX(CHOOSE($J$3,'فحص-حاسب-بكالوريوس'!$F$5:$F$208,'فحص-بيانات-بكالوريوس'!$F$5:$F$208,'فحص-بيانات-ماجستير'!$F$5:$F$230),$I102)&amp;"")</f>
        <v/>
      </c>
      <c r="D102" s="2" t="str">
        <f>IF($I102="","",INDEX(CHOOSE($J$3,'فحص-حاسب-بكالوريوس'!$H$5:$H$208,'فحص-بيانات-بكالوريوس'!$H$5:$H$208,'فحص-بيانات-ماجستير'!$H$5:$H$230),$I102)&amp;"")</f>
        <v/>
      </c>
      <c r="E102" s="2" t="str">
        <f>IF($I102="","",INDEX(CHOOSE($J$3,'فحص-حاسب-بكالوريوس'!$J$5:$J$208,'فحص-بيانات-بكالوريوس'!$J$5:$J$208,'فحص-بيانات-ماجستير'!$J$5:$J$230),$I102)&amp;"")</f>
        <v/>
      </c>
      <c r="F102" s="2" t="str">
        <f>IF($I102="","",INDEX(CHOOSE($J$3,'فحص-حاسب-بكالوريوس'!$L$5:$L$208,'فحص-بيانات-بكالوريوس'!$L$5:$L$208,'فحص-بيانات-ماجستير'!$L$5:$L$230),$I102)&amp;"")</f>
        <v/>
      </c>
      <c r="G102" s="2" t="str">
        <f>IF($I102="","",INDEX(CHOOSE($J$3,'فحص-حاسب-بكالوريوس'!$M$5:$M$208,'فحص-بيانات-بكالوريوس'!$M$5:$M$208,'فحص-بيانات-ماجستير'!$M$5:$M$230),$I102)&amp;"")</f>
        <v/>
      </c>
      <c r="I102" s="2" t="str">
        <f>IFERROR(MATCH($E$3&amp;"#"&amp;97,CHOOSE($J$3,'فحص-حاسب-بكالوريوس'!$R$5:$R$208,'فحص-بيانات-بكالوريوس'!$R$5:$R$208,'فحص-بيانات-ماجستير'!$R$5:$R$230),0),"")</f>
        <v/>
      </c>
    </row>
    <row r="103" spans="1:9" x14ac:dyDescent="0.2">
      <c r="A103" s="1" t="str">
        <f>IF($I103="","",98)</f>
        <v/>
      </c>
      <c r="B103" s="2" t="str">
        <f>IF($I103="","",INDEX(CHOOSE($J$3,'فحص-حاسب-بكالوريوس'!$A$5:$A$208,'فحص-بيانات-بكالوريوس'!$A$5:$A$208,'فحص-بيانات-ماجستير'!$A$5:$A$230),$I103)&amp;"")</f>
        <v/>
      </c>
      <c r="C103" s="2" t="str">
        <f>IF($I103="","",INDEX(CHOOSE($J$3,'فحص-حاسب-بكالوريوس'!$F$5:$F$208,'فحص-بيانات-بكالوريوس'!$F$5:$F$208,'فحص-بيانات-ماجستير'!$F$5:$F$230),$I103)&amp;"")</f>
        <v/>
      </c>
      <c r="D103" s="2" t="str">
        <f>IF($I103="","",INDEX(CHOOSE($J$3,'فحص-حاسب-بكالوريوس'!$H$5:$H$208,'فحص-بيانات-بكالوريوس'!$H$5:$H$208,'فحص-بيانات-ماجستير'!$H$5:$H$230),$I103)&amp;"")</f>
        <v/>
      </c>
      <c r="E103" s="2" t="str">
        <f>IF($I103="","",INDEX(CHOOSE($J$3,'فحص-حاسب-بكالوريوس'!$J$5:$J$208,'فحص-بيانات-بكالوريوس'!$J$5:$J$208,'فحص-بيانات-ماجستير'!$J$5:$J$230),$I103)&amp;"")</f>
        <v/>
      </c>
      <c r="F103" s="2" t="str">
        <f>IF($I103="","",INDEX(CHOOSE($J$3,'فحص-حاسب-بكالوريوس'!$L$5:$L$208,'فحص-بيانات-بكالوريوس'!$L$5:$L$208,'فحص-بيانات-ماجستير'!$L$5:$L$230),$I103)&amp;"")</f>
        <v/>
      </c>
      <c r="G103" s="2" t="str">
        <f>IF($I103="","",INDEX(CHOOSE($J$3,'فحص-حاسب-بكالوريوس'!$M$5:$M$208,'فحص-بيانات-بكالوريوس'!$M$5:$M$208,'فحص-بيانات-ماجستير'!$M$5:$M$230),$I103)&amp;"")</f>
        <v/>
      </c>
      <c r="I103" s="2" t="str">
        <f>IFERROR(MATCH($E$3&amp;"#"&amp;98,CHOOSE($J$3,'فحص-حاسب-بكالوريوس'!$R$5:$R$208,'فحص-بيانات-بكالوريوس'!$R$5:$R$208,'فحص-بيانات-ماجستير'!$R$5:$R$230),0),"")</f>
        <v/>
      </c>
    </row>
    <row r="104" spans="1:9" x14ac:dyDescent="0.2">
      <c r="A104" s="1" t="str">
        <f>IF($I104="","",99)</f>
        <v/>
      </c>
      <c r="B104" s="2" t="str">
        <f>IF($I104="","",INDEX(CHOOSE($J$3,'فحص-حاسب-بكالوريوس'!$A$5:$A$208,'فحص-بيانات-بكالوريوس'!$A$5:$A$208,'فحص-بيانات-ماجستير'!$A$5:$A$230),$I104)&amp;"")</f>
        <v/>
      </c>
      <c r="C104" s="2" t="str">
        <f>IF($I104="","",INDEX(CHOOSE($J$3,'فحص-حاسب-بكالوريوس'!$F$5:$F$208,'فحص-بيانات-بكالوريوس'!$F$5:$F$208,'فحص-بيانات-ماجستير'!$F$5:$F$230),$I104)&amp;"")</f>
        <v/>
      </c>
      <c r="D104" s="2" t="str">
        <f>IF($I104="","",INDEX(CHOOSE($J$3,'فحص-حاسب-بكالوريوس'!$H$5:$H$208,'فحص-بيانات-بكالوريوس'!$H$5:$H$208,'فحص-بيانات-ماجستير'!$H$5:$H$230),$I104)&amp;"")</f>
        <v/>
      </c>
      <c r="E104" s="2" t="str">
        <f>IF($I104="","",INDEX(CHOOSE($J$3,'فحص-حاسب-بكالوريوس'!$J$5:$J$208,'فحص-بيانات-بكالوريوس'!$J$5:$J$208,'فحص-بيانات-ماجستير'!$J$5:$J$230),$I104)&amp;"")</f>
        <v/>
      </c>
      <c r="F104" s="2" t="str">
        <f>IF($I104="","",INDEX(CHOOSE($J$3,'فحص-حاسب-بكالوريوس'!$L$5:$L$208,'فحص-بيانات-بكالوريوس'!$L$5:$L$208,'فحص-بيانات-ماجستير'!$L$5:$L$230),$I104)&amp;"")</f>
        <v/>
      </c>
      <c r="G104" s="2" t="str">
        <f>IF($I104="","",INDEX(CHOOSE($J$3,'فحص-حاسب-بكالوريوس'!$M$5:$M$208,'فحص-بيانات-بكالوريوس'!$M$5:$M$208,'فحص-بيانات-ماجستير'!$M$5:$M$230),$I104)&amp;"")</f>
        <v/>
      </c>
      <c r="I104" s="2" t="str">
        <f>IFERROR(MATCH($E$3&amp;"#"&amp;99,CHOOSE($J$3,'فحص-حاسب-بكالوريوس'!$R$5:$R$208,'فحص-بيانات-بكالوريوس'!$R$5:$R$208,'فحص-بيانات-ماجستير'!$R$5:$R$230),0),"")</f>
        <v/>
      </c>
    </row>
    <row r="105" spans="1:9" x14ac:dyDescent="0.2">
      <c r="A105" s="1" t="str">
        <f>IF($I105="","",100)</f>
        <v/>
      </c>
      <c r="B105" s="2" t="str">
        <f>IF($I105="","",INDEX(CHOOSE($J$3,'فحص-حاسب-بكالوريوس'!$A$5:$A$208,'فحص-بيانات-بكالوريوس'!$A$5:$A$208,'فحص-بيانات-ماجستير'!$A$5:$A$230),$I105)&amp;"")</f>
        <v/>
      </c>
      <c r="C105" s="2" t="str">
        <f>IF($I105="","",INDEX(CHOOSE($J$3,'فحص-حاسب-بكالوريوس'!$F$5:$F$208,'فحص-بيانات-بكالوريوس'!$F$5:$F$208,'فحص-بيانات-ماجستير'!$F$5:$F$230),$I105)&amp;"")</f>
        <v/>
      </c>
      <c r="D105" s="2" t="str">
        <f>IF($I105="","",INDEX(CHOOSE($J$3,'فحص-حاسب-بكالوريوس'!$H$5:$H$208,'فحص-بيانات-بكالوريوس'!$H$5:$H$208,'فحص-بيانات-ماجستير'!$H$5:$H$230),$I105)&amp;"")</f>
        <v/>
      </c>
      <c r="E105" s="2" t="str">
        <f>IF($I105="","",INDEX(CHOOSE($J$3,'فحص-حاسب-بكالوريوس'!$J$5:$J$208,'فحص-بيانات-بكالوريوس'!$J$5:$J$208,'فحص-بيانات-ماجستير'!$J$5:$J$230),$I105)&amp;"")</f>
        <v/>
      </c>
      <c r="F105" s="2" t="str">
        <f>IF($I105="","",INDEX(CHOOSE($J$3,'فحص-حاسب-بكالوريوس'!$L$5:$L$208,'فحص-بيانات-بكالوريوس'!$L$5:$L$208,'فحص-بيانات-ماجستير'!$L$5:$L$230),$I105)&amp;"")</f>
        <v/>
      </c>
      <c r="G105" s="2" t="str">
        <f>IF($I105="","",INDEX(CHOOSE($J$3,'فحص-حاسب-بكالوريوس'!$M$5:$M$208,'فحص-بيانات-بكالوريوس'!$M$5:$M$208,'فحص-بيانات-ماجستير'!$M$5:$M$230),$I105)&amp;"")</f>
        <v/>
      </c>
      <c r="I105" s="2" t="str">
        <f>IFERROR(MATCH($E$3&amp;"#"&amp;100,CHOOSE($J$3,'فحص-حاسب-بكالوريوس'!$R$5:$R$208,'فحص-بيانات-بكالوريوس'!$R$5:$R$208,'فحص-بيانات-ماجستير'!$R$5:$R$230),0),"")</f>
        <v/>
      </c>
    </row>
    <row r="106" spans="1:9" x14ac:dyDescent="0.2">
      <c r="A106" s="1" t="str">
        <f>IF($I106="","",101)</f>
        <v/>
      </c>
      <c r="B106" s="2" t="str">
        <f>IF($I106="","",INDEX(CHOOSE($J$3,'فحص-حاسب-بكالوريوس'!$A$5:$A$208,'فحص-بيانات-بكالوريوس'!$A$5:$A$208,'فحص-بيانات-ماجستير'!$A$5:$A$230),$I106)&amp;"")</f>
        <v/>
      </c>
      <c r="C106" s="2" t="str">
        <f>IF($I106="","",INDEX(CHOOSE($J$3,'فحص-حاسب-بكالوريوس'!$F$5:$F$208,'فحص-بيانات-بكالوريوس'!$F$5:$F$208,'فحص-بيانات-ماجستير'!$F$5:$F$230),$I106)&amp;"")</f>
        <v/>
      </c>
      <c r="D106" s="2" t="str">
        <f>IF($I106="","",INDEX(CHOOSE($J$3,'فحص-حاسب-بكالوريوس'!$H$5:$H$208,'فحص-بيانات-بكالوريوس'!$H$5:$H$208,'فحص-بيانات-ماجستير'!$H$5:$H$230),$I106)&amp;"")</f>
        <v/>
      </c>
      <c r="E106" s="2" t="str">
        <f>IF($I106="","",INDEX(CHOOSE($J$3,'فحص-حاسب-بكالوريوس'!$J$5:$J$208,'فحص-بيانات-بكالوريوس'!$J$5:$J$208,'فحص-بيانات-ماجستير'!$J$5:$J$230),$I106)&amp;"")</f>
        <v/>
      </c>
      <c r="F106" s="2" t="str">
        <f>IF($I106="","",INDEX(CHOOSE($J$3,'فحص-حاسب-بكالوريوس'!$L$5:$L$208,'فحص-بيانات-بكالوريوس'!$L$5:$L$208,'فحص-بيانات-ماجستير'!$L$5:$L$230),$I106)&amp;"")</f>
        <v/>
      </c>
      <c r="G106" s="2" t="str">
        <f>IF($I106="","",INDEX(CHOOSE($J$3,'فحص-حاسب-بكالوريوس'!$M$5:$M$208,'فحص-بيانات-بكالوريوس'!$M$5:$M$208,'فحص-بيانات-ماجستير'!$M$5:$M$230),$I106)&amp;"")</f>
        <v/>
      </c>
      <c r="I106" s="2" t="str">
        <f>IFERROR(MATCH($E$3&amp;"#"&amp;101,CHOOSE($J$3,'فحص-حاسب-بكالوريوس'!$R$5:$R$208,'فحص-بيانات-بكالوريوس'!$R$5:$R$208,'فحص-بيانات-ماجستير'!$R$5:$R$230),0),"")</f>
        <v/>
      </c>
    </row>
    <row r="107" spans="1:9" x14ac:dyDescent="0.2">
      <c r="A107" s="1" t="str">
        <f>IF($I107="","",102)</f>
        <v/>
      </c>
      <c r="B107" s="2" t="str">
        <f>IF($I107="","",INDEX(CHOOSE($J$3,'فحص-حاسب-بكالوريوس'!$A$5:$A$208,'فحص-بيانات-بكالوريوس'!$A$5:$A$208,'فحص-بيانات-ماجستير'!$A$5:$A$230),$I107)&amp;"")</f>
        <v/>
      </c>
      <c r="C107" s="2" t="str">
        <f>IF($I107="","",INDEX(CHOOSE($J$3,'فحص-حاسب-بكالوريوس'!$F$5:$F$208,'فحص-بيانات-بكالوريوس'!$F$5:$F$208,'فحص-بيانات-ماجستير'!$F$5:$F$230),$I107)&amp;"")</f>
        <v/>
      </c>
      <c r="D107" s="2" t="str">
        <f>IF($I107="","",INDEX(CHOOSE($J$3,'فحص-حاسب-بكالوريوس'!$H$5:$H$208,'فحص-بيانات-بكالوريوس'!$H$5:$H$208,'فحص-بيانات-ماجستير'!$H$5:$H$230),$I107)&amp;"")</f>
        <v/>
      </c>
      <c r="E107" s="2" t="str">
        <f>IF($I107="","",INDEX(CHOOSE($J$3,'فحص-حاسب-بكالوريوس'!$J$5:$J$208,'فحص-بيانات-بكالوريوس'!$J$5:$J$208,'فحص-بيانات-ماجستير'!$J$5:$J$230),$I107)&amp;"")</f>
        <v/>
      </c>
      <c r="F107" s="2" t="str">
        <f>IF($I107="","",INDEX(CHOOSE($J$3,'فحص-حاسب-بكالوريوس'!$L$5:$L$208,'فحص-بيانات-بكالوريوس'!$L$5:$L$208,'فحص-بيانات-ماجستير'!$L$5:$L$230),$I107)&amp;"")</f>
        <v/>
      </c>
      <c r="G107" s="2" t="str">
        <f>IF($I107="","",INDEX(CHOOSE($J$3,'فحص-حاسب-بكالوريوس'!$M$5:$M$208,'فحص-بيانات-بكالوريوس'!$M$5:$M$208,'فحص-بيانات-ماجستير'!$M$5:$M$230),$I107)&amp;"")</f>
        <v/>
      </c>
      <c r="I107" s="2" t="str">
        <f>IFERROR(MATCH($E$3&amp;"#"&amp;102,CHOOSE($J$3,'فحص-حاسب-بكالوريوس'!$R$5:$R$208,'فحص-بيانات-بكالوريوس'!$R$5:$R$208,'فحص-بيانات-ماجستير'!$R$5:$R$230),0),"")</f>
        <v/>
      </c>
    </row>
    <row r="108" spans="1:9" x14ac:dyDescent="0.2">
      <c r="A108" s="1" t="str">
        <f>IF($I108="","",103)</f>
        <v/>
      </c>
      <c r="B108" s="2" t="str">
        <f>IF($I108="","",INDEX(CHOOSE($J$3,'فحص-حاسب-بكالوريوس'!$A$5:$A$208,'فحص-بيانات-بكالوريوس'!$A$5:$A$208,'فحص-بيانات-ماجستير'!$A$5:$A$230),$I108)&amp;"")</f>
        <v/>
      </c>
      <c r="C108" s="2" t="str">
        <f>IF($I108="","",INDEX(CHOOSE($J$3,'فحص-حاسب-بكالوريوس'!$F$5:$F$208,'فحص-بيانات-بكالوريوس'!$F$5:$F$208,'فحص-بيانات-ماجستير'!$F$5:$F$230),$I108)&amp;"")</f>
        <v/>
      </c>
      <c r="D108" s="2" t="str">
        <f>IF($I108="","",INDEX(CHOOSE($J$3,'فحص-حاسب-بكالوريوس'!$H$5:$H$208,'فحص-بيانات-بكالوريوس'!$H$5:$H$208,'فحص-بيانات-ماجستير'!$H$5:$H$230),$I108)&amp;"")</f>
        <v/>
      </c>
      <c r="E108" s="2" t="str">
        <f>IF($I108="","",INDEX(CHOOSE($J$3,'فحص-حاسب-بكالوريوس'!$J$5:$J$208,'فحص-بيانات-بكالوريوس'!$J$5:$J$208,'فحص-بيانات-ماجستير'!$J$5:$J$230),$I108)&amp;"")</f>
        <v/>
      </c>
      <c r="F108" s="2" t="str">
        <f>IF($I108="","",INDEX(CHOOSE($J$3,'فحص-حاسب-بكالوريوس'!$L$5:$L$208,'فحص-بيانات-بكالوريوس'!$L$5:$L$208,'فحص-بيانات-ماجستير'!$L$5:$L$230),$I108)&amp;"")</f>
        <v/>
      </c>
      <c r="G108" s="2" t="str">
        <f>IF($I108="","",INDEX(CHOOSE($J$3,'فحص-حاسب-بكالوريوس'!$M$5:$M$208,'فحص-بيانات-بكالوريوس'!$M$5:$M$208,'فحص-بيانات-ماجستير'!$M$5:$M$230),$I108)&amp;"")</f>
        <v/>
      </c>
      <c r="I108" s="2" t="str">
        <f>IFERROR(MATCH($E$3&amp;"#"&amp;103,CHOOSE($J$3,'فحص-حاسب-بكالوريوس'!$R$5:$R$208,'فحص-بيانات-بكالوريوس'!$R$5:$R$208,'فحص-بيانات-ماجستير'!$R$5:$R$230),0),"")</f>
        <v/>
      </c>
    </row>
    <row r="109" spans="1:9" x14ac:dyDescent="0.2">
      <c r="A109" s="1" t="str">
        <f>IF($I109="","",104)</f>
        <v/>
      </c>
      <c r="B109" s="2" t="str">
        <f>IF($I109="","",INDEX(CHOOSE($J$3,'فحص-حاسب-بكالوريوس'!$A$5:$A$208,'فحص-بيانات-بكالوريوس'!$A$5:$A$208,'فحص-بيانات-ماجستير'!$A$5:$A$230),$I109)&amp;"")</f>
        <v/>
      </c>
      <c r="C109" s="2" t="str">
        <f>IF($I109="","",INDEX(CHOOSE($J$3,'فحص-حاسب-بكالوريوس'!$F$5:$F$208,'فحص-بيانات-بكالوريوس'!$F$5:$F$208,'فحص-بيانات-ماجستير'!$F$5:$F$230),$I109)&amp;"")</f>
        <v/>
      </c>
      <c r="D109" s="2" t="str">
        <f>IF($I109="","",INDEX(CHOOSE($J$3,'فحص-حاسب-بكالوريوس'!$H$5:$H$208,'فحص-بيانات-بكالوريوس'!$H$5:$H$208,'فحص-بيانات-ماجستير'!$H$5:$H$230),$I109)&amp;"")</f>
        <v/>
      </c>
      <c r="E109" s="2" t="str">
        <f>IF($I109="","",INDEX(CHOOSE($J$3,'فحص-حاسب-بكالوريوس'!$J$5:$J$208,'فحص-بيانات-بكالوريوس'!$J$5:$J$208,'فحص-بيانات-ماجستير'!$J$5:$J$230),$I109)&amp;"")</f>
        <v/>
      </c>
      <c r="F109" s="2" t="str">
        <f>IF($I109="","",INDEX(CHOOSE($J$3,'فحص-حاسب-بكالوريوس'!$L$5:$L$208,'فحص-بيانات-بكالوريوس'!$L$5:$L$208,'فحص-بيانات-ماجستير'!$L$5:$L$230),$I109)&amp;"")</f>
        <v/>
      </c>
      <c r="G109" s="2" t="str">
        <f>IF($I109="","",INDEX(CHOOSE($J$3,'فحص-حاسب-بكالوريوس'!$M$5:$M$208,'فحص-بيانات-بكالوريوس'!$M$5:$M$208,'فحص-بيانات-ماجستير'!$M$5:$M$230),$I109)&amp;"")</f>
        <v/>
      </c>
      <c r="I109" s="2" t="str">
        <f>IFERROR(MATCH($E$3&amp;"#"&amp;104,CHOOSE($J$3,'فحص-حاسب-بكالوريوس'!$R$5:$R$208,'فحص-بيانات-بكالوريوس'!$R$5:$R$208,'فحص-بيانات-ماجستير'!$R$5:$R$230),0),"")</f>
        <v/>
      </c>
    </row>
    <row r="110" spans="1:9" x14ac:dyDescent="0.2">
      <c r="A110" s="1" t="str">
        <f>IF($I110="","",105)</f>
        <v/>
      </c>
      <c r="B110" s="2" t="str">
        <f>IF($I110="","",INDEX(CHOOSE($J$3,'فحص-حاسب-بكالوريوس'!$A$5:$A$208,'فحص-بيانات-بكالوريوس'!$A$5:$A$208,'فحص-بيانات-ماجستير'!$A$5:$A$230),$I110)&amp;"")</f>
        <v/>
      </c>
      <c r="C110" s="2" t="str">
        <f>IF($I110="","",INDEX(CHOOSE($J$3,'فحص-حاسب-بكالوريوس'!$F$5:$F$208,'فحص-بيانات-بكالوريوس'!$F$5:$F$208,'فحص-بيانات-ماجستير'!$F$5:$F$230),$I110)&amp;"")</f>
        <v/>
      </c>
      <c r="D110" s="2" t="str">
        <f>IF($I110="","",INDEX(CHOOSE($J$3,'فحص-حاسب-بكالوريوس'!$H$5:$H$208,'فحص-بيانات-بكالوريوس'!$H$5:$H$208,'فحص-بيانات-ماجستير'!$H$5:$H$230),$I110)&amp;"")</f>
        <v/>
      </c>
      <c r="E110" s="2" t="str">
        <f>IF($I110="","",INDEX(CHOOSE($J$3,'فحص-حاسب-بكالوريوس'!$J$5:$J$208,'فحص-بيانات-بكالوريوس'!$J$5:$J$208,'فحص-بيانات-ماجستير'!$J$5:$J$230),$I110)&amp;"")</f>
        <v/>
      </c>
      <c r="F110" s="2" t="str">
        <f>IF($I110="","",INDEX(CHOOSE($J$3,'فحص-حاسب-بكالوريوس'!$L$5:$L$208,'فحص-بيانات-بكالوريوس'!$L$5:$L$208,'فحص-بيانات-ماجستير'!$L$5:$L$230),$I110)&amp;"")</f>
        <v/>
      </c>
      <c r="G110" s="2" t="str">
        <f>IF($I110="","",INDEX(CHOOSE($J$3,'فحص-حاسب-بكالوريوس'!$M$5:$M$208,'فحص-بيانات-بكالوريوس'!$M$5:$M$208,'فحص-بيانات-ماجستير'!$M$5:$M$230),$I110)&amp;"")</f>
        <v/>
      </c>
      <c r="I110" s="2" t="str">
        <f>IFERROR(MATCH($E$3&amp;"#"&amp;105,CHOOSE($J$3,'فحص-حاسب-بكالوريوس'!$R$5:$R$208,'فحص-بيانات-بكالوريوس'!$R$5:$R$208,'فحص-بيانات-ماجستير'!$R$5:$R$230),0),"")</f>
        <v/>
      </c>
    </row>
    <row r="111" spans="1:9" x14ac:dyDescent="0.2">
      <c r="A111" s="1" t="str">
        <f>IF($I111="","",106)</f>
        <v/>
      </c>
      <c r="B111" s="2" t="str">
        <f>IF($I111="","",INDEX(CHOOSE($J$3,'فحص-حاسب-بكالوريوس'!$A$5:$A$208,'فحص-بيانات-بكالوريوس'!$A$5:$A$208,'فحص-بيانات-ماجستير'!$A$5:$A$230),$I111)&amp;"")</f>
        <v/>
      </c>
      <c r="C111" s="2" t="str">
        <f>IF($I111="","",INDEX(CHOOSE($J$3,'فحص-حاسب-بكالوريوس'!$F$5:$F$208,'فحص-بيانات-بكالوريوس'!$F$5:$F$208,'فحص-بيانات-ماجستير'!$F$5:$F$230),$I111)&amp;"")</f>
        <v/>
      </c>
      <c r="D111" s="2" t="str">
        <f>IF($I111="","",INDEX(CHOOSE($J$3,'فحص-حاسب-بكالوريوس'!$H$5:$H$208,'فحص-بيانات-بكالوريوس'!$H$5:$H$208,'فحص-بيانات-ماجستير'!$H$5:$H$230),$I111)&amp;"")</f>
        <v/>
      </c>
      <c r="E111" s="2" t="str">
        <f>IF($I111="","",INDEX(CHOOSE($J$3,'فحص-حاسب-بكالوريوس'!$J$5:$J$208,'فحص-بيانات-بكالوريوس'!$J$5:$J$208,'فحص-بيانات-ماجستير'!$J$5:$J$230),$I111)&amp;"")</f>
        <v/>
      </c>
      <c r="F111" s="2" t="str">
        <f>IF($I111="","",INDEX(CHOOSE($J$3,'فحص-حاسب-بكالوريوس'!$L$5:$L$208,'فحص-بيانات-بكالوريوس'!$L$5:$L$208,'فحص-بيانات-ماجستير'!$L$5:$L$230),$I111)&amp;"")</f>
        <v/>
      </c>
      <c r="G111" s="2" t="str">
        <f>IF($I111="","",INDEX(CHOOSE($J$3,'فحص-حاسب-بكالوريوس'!$M$5:$M$208,'فحص-بيانات-بكالوريوس'!$M$5:$M$208,'فحص-بيانات-ماجستير'!$M$5:$M$230),$I111)&amp;"")</f>
        <v/>
      </c>
      <c r="I111" s="2" t="str">
        <f>IFERROR(MATCH($E$3&amp;"#"&amp;106,CHOOSE($J$3,'فحص-حاسب-بكالوريوس'!$R$5:$R$208,'فحص-بيانات-بكالوريوس'!$R$5:$R$208,'فحص-بيانات-ماجستير'!$R$5:$R$230),0),"")</f>
        <v/>
      </c>
    </row>
    <row r="112" spans="1:9" x14ac:dyDescent="0.2">
      <c r="A112" s="1" t="str">
        <f>IF($I112="","",107)</f>
        <v/>
      </c>
      <c r="B112" s="2" t="str">
        <f>IF($I112="","",INDEX(CHOOSE($J$3,'فحص-حاسب-بكالوريوس'!$A$5:$A$208,'فحص-بيانات-بكالوريوس'!$A$5:$A$208,'فحص-بيانات-ماجستير'!$A$5:$A$230),$I112)&amp;"")</f>
        <v/>
      </c>
      <c r="C112" s="2" t="str">
        <f>IF($I112="","",INDEX(CHOOSE($J$3,'فحص-حاسب-بكالوريوس'!$F$5:$F$208,'فحص-بيانات-بكالوريوس'!$F$5:$F$208,'فحص-بيانات-ماجستير'!$F$5:$F$230),$I112)&amp;"")</f>
        <v/>
      </c>
      <c r="D112" s="2" t="str">
        <f>IF($I112="","",INDEX(CHOOSE($J$3,'فحص-حاسب-بكالوريوس'!$H$5:$H$208,'فحص-بيانات-بكالوريوس'!$H$5:$H$208,'فحص-بيانات-ماجستير'!$H$5:$H$230),$I112)&amp;"")</f>
        <v/>
      </c>
      <c r="E112" s="2" t="str">
        <f>IF($I112="","",INDEX(CHOOSE($J$3,'فحص-حاسب-بكالوريوس'!$J$5:$J$208,'فحص-بيانات-بكالوريوس'!$J$5:$J$208,'فحص-بيانات-ماجستير'!$J$5:$J$230),$I112)&amp;"")</f>
        <v/>
      </c>
      <c r="F112" s="2" t="str">
        <f>IF($I112="","",INDEX(CHOOSE($J$3,'فحص-حاسب-بكالوريوس'!$L$5:$L$208,'فحص-بيانات-بكالوريوس'!$L$5:$L$208,'فحص-بيانات-ماجستير'!$L$5:$L$230),$I112)&amp;"")</f>
        <v/>
      </c>
      <c r="G112" s="2" t="str">
        <f>IF($I112="","",INDEX(CHOOSE($J$3,'فحص-حاسب-بكالوريوس'!$M$5:$M$208,'فحص-بيانات-بكالوريوس'!$M$5:$M$208,'فحص-بيانات-ماجستير'!$M$5:$M$230),$I112)&amp;"")</f>
        <v/>
      </c>
      <c r="I112" s="2" t="str">
        <f>IFERROR(MATCH($E$3&amp;"#"&amp;107,CHOOSE($J$3,'فحص-حاسب-بكالوريوس'!$R$5:$R$208,'فحص-بيانات-بكالوريوس'!$R$5:$R$208,'فحص-بيانات-ماجستير'!$R$5:$R$230),0),"")</f>
        <v/>
      </c>
    </row>
    <row r="113" spans="1:9" x14ac:dyDescent="0.2">
      <c r="A113" s="1" t="str">
        <f>IF($I113="","",108)</f>
        <v/>
      </c>
      <c r="B113" s="2" t="str">
        <f>IF($I113="","",INDEX(CHOOSE($J$3,'فحص-حاسب-بكالوريوس'!$A$5:$A$208,'فحص-بيانات-بكالوريوس'!$A$5:$A$208,'فحص-بيانات-ماجستير'!$A$5:$A$230),$I113)&amp;"")</f>
        <v/>
      </c>
      <c r="C113" s="2" t="str">
        <f>IF($I113="","",INDEX(CHOOSE($J$3,'فحص-حاسب-بكالوريوس'!$F$5:$F$208,'فحص-بيانات-بكالوريوس'!$F$5:$F$208,'فحص-بيانات-ماجستير'!$F$5:$F$230),$I113)&amp;"")</f>
        <v/>
      </c>
      <c r="D113" s="2" t="str">
        <f>IF($I113="","",INDEX(CHOOSE($J$3,'فحص-حاسب-بكالوريوس'!$H$5:$H$208,'فحص-بيانات-بكالوريوس'!$H$5:$H$208,'فحص-بيانات-ماجستير'!$H$5:$H$230),$I113)&amp;"")</f>
        <v/>
      </c>
      <c r="E113" s="2" t="str">
        <f>IF($I113="","",INDEX(CHOOSE($J$3,'فحص-حاسب-بكالوريوس'!$J$5:$J$208,'فحص-بيانات-بكالوريوس'!$J$5:$J$208,'فحص-بيانات-ماجستير'!$J$5:$J$230),$I113)&amp;"")</f>
        <v/>
      </c>
      <c r="F113" s="2" t="str">
        <f>IF($I113="","",INDEX(CHOOSE($J$3,'فحص-حاسب-بكالوريوس'!$L$5:$L$208,'فحص-بيانات-بكالوريوس'!$L$5:$L$208,'فحص-بيانات-ماجستير'!$L$5:$L$230),$I113)&amp;"")</f>
        <v/>
      </c>
      <c r="G113" s="2" t="str">
        <f>IF($I113="","",INDEX(CHOOSE($J$3,'فحص-حاسب-بكالوريوس'!$M$5:$M$208,'فحص-بيانات-بكالوريوس'!$M$5:$M$208,'فحص-بيانات-ماجستير'!$M$5:$M$230),$I113)&amp;"")</f>
        <v/>
      </c>
      <c r="I113" s="2" t="str">
        <f>IFERROR(MATCH($E$3&amp;"#"&amp;108,CHOOSE($J$3,'فحص-حاسب-بكالوريوس'!$R$5:$R$208,'فحص-بيانات-بكالوريوس'!$R$5:$R$208,'فحص-بيانات-ماجستير'!$R$5:$R$230),0),"")</f>
        <v/>
      </c>
    </row>
    <row r="114" spans="1:9" x14ac:dyDescent="0.2">
      <c r="A114" s="1" t="str">
        <f>IF($I114="","",109)</f>
        <v/>
      </c>
      <c r="B114" s="2" t="str">
        <f>IF($I114="","",INDEX(CHOOSE($J$3,'فحص-حاسب-بكالوريوس'!$A$5:$A$208,'فحص-بيانات-بكالوريوس'!$A$5:$A$208,'فحص-بيانات-ماجستير'!$A$5:$A$230),$I114)&amp;"")</f>
        <v/>
      </c>
      <c r="C114" s="2" t="str">
        <f>IF($I114="","",INDEX(CHOOSE($J$3,'فحص-حاسب-بكالوريوس'!$F$5:$F$208,'فحص-بيانات-بكالوريوس'!$F$5:$F$208,'فحص-بيانات-ماجستير'!$F$5:$F$230),$I114)&amp;"")</f>
        <v/>
      </c>
      <c r="D114" s="2" t="str">
        <f>IF($I114="","",INDEX(CHOOSE($J$3,'فحص-حاسب-بكالوريوس'!$H$5:$H$208,'فحص-بيانات-بكالوريوس'!$H$5:$H$208,'فحص-بيانات-ماجستير'!$H$5:$H$230),$I114)&amp;"")</f>
        <v/>
      </c>
      <c r="E114" s="2" t="str">
        <f>IF($I114="","",INDEX(CHOOSE($J$3,'فحص-حاسب-بكالوريوس'!$J$5:$J$208,'فحص-بيانات-بكالوريوس'!$J$5:$J$208,'فحص-بيانات-ماجستير'!$J$5:$J$230),$I114)&amp;"")</f>
        <v/>
      </c>
      <c r="F114" s="2" t="str">
        <f>IF($I114="","",INDEX(CHOOSE($J$3,'فحص-حاسب-بكالوريوس'!$L$5:$L$208,'فحص-بيانات-بكالوريوس'!$L$5:$L$208,'فحص-بيانات-ماجستير'!$L$5:$L$230),$I114)&amp;"")</f>
        <v/>
      </c>
      <c r="G114" s="2" t="str">
        <f>IF($I114="","",INDEX(CHOOSE($J$3,'فحص-حاسب-بكالوريوس'!$M$5:$M$208,'فحص-بيانات-بكالوريوس'!$M$5:$M$208,'فحص-بيانات-ماجستير'!$M$5:$M$230),$I114)&amp;"")</f>
        <v/>
      </c>
      <c r="I114" s="2" t="str">
        <f>IFERROR(MATCH($E$3&amp;"#"&amp;109,CHOOSE($J$3,'فحص-حاسب-بكالوريوس'!$R$5:$R$208,'فحص-بيانات-بكالوريوس'!$R$5:$R$208,'فحص-بيانات-ماجستير'!$R$5:$R$230),0),"")</f>
        <v/>
      </c>
    </row>
    <row r="115" spans="1:9" x14ac:dyDescent="0.2">
      <c r="A115" s="1" t="str">
        <f>IF($I115="","",110)</f>
        <v/>
      </c>
      <c r="B115" s="2" t="str">
        <f>IF($I115="","",INDEX(CHOOSE($J$3,'فحص-حاسب-بكالوريوس'!$A$5:$A$208,'فحص-بيانات-بكالوريوس'!$A$5:$A$208,'فحص-بيانات-ماجستير'!$A$5:$A$230),$I115)&amp;"")</f>
        <v/>
      </c>
      <c r="C115" s="2" t="str">
        <f>IF($I115="","",INDEX(CHOOSE($J$3,'فحص-حاسب-بكالوريوس'!$F$5:$F$208,'فحص-بيانات-بكالوريوس'!$F$5:$F$208,'فحص-بيانات-ماجستير'!$F$5:$F$230),$I115)&amp;"")</f>
        <v/>
      </c>
      <c r="D115" s="2" t="str">
        <f>IF($I115="","",INDEX(CHOOSE($J$3,'فحص-حاسب-بكالوريوس'!$H$5:$H$208,'فحص-بيانات-بكالوريوس'!$H$5:$H$208,'فحص-بيانات-ماجستير'!$H$5:$H$230),$I115)&amp;"")</f>
        <v/>
      </c>
      <c r="E115" s="2" t="str">
        <f>IF($I115="","",INDEX(CHOOSE($J$3,'فحص-حاسب-بكالوريوس'!$J$5:$J$208,'فحص-بيانات-بكالوريوس'!$J$5:$J$208,'فحص-بيانات-ماجستير'!$J$5:$J$230),$I115)&amp;"")</f>
        <v/>
      </c>
      <c r="F115" s="2" t="str">
        <f>IF($I115="","",INDEX(CHOOSE($J$3,'فحص-حاسب-بكالوريوس'!$L$5:$L$208,'فحص-بيانات-بكالوريوس'!$L$5:$L$208,'فحص-بيانات-ماجستير'!$L$5:$L$230),$I115)&amp;"")</f>
        <v/>
      </c>
      <c r="G115" s="2" t="str">
        <f>IF($I115="","",INDEX(CHOOSE($J$3,'فحص-حاسب-بكالوريوس'!$M$5:$M$208,'فحص-بيانات-بكالوريوس'!$M$5:$M$208,'فحص-بيانات-ماجستير'!$M$5:$M$230),$I115)&amp;"")</f>
        <v/>
      </c>
      <c r="I115" s="2" t="str">
        <f>IFERROR(MATCH($E$3&amp;"#"&amp;110,CHOOSE($J$3,'فحص-حاسب-بكالوريوس'!$R$5:$R$208,'فحص-بيانات-بكالوريوس'!$R$5:$R$208,'فحص-بيانات-ماجستير'!$R$5:$R$230),0),"")</f>
        <v/>
      </c>
    </row>
    <row r="116" spans="1:9" x14ac:dyDescent="0.2">
      <c r="A116" s="1" t="str">
        <f>IF($I116="","",111)</f>
        <v/>
      </c>
      <c r="B116" s="2" t="str">
        <f>IF($I116="","",INDEX(CHOOSE($J$3,'فحص-حاسب-بكالوريوس'!$A$5:$A$208,'فحص-بيانات-بكالوريوس'!$A$5:$A$208,'فحص-بيانات-ماجستير'!$A$5:$A$230),$I116)&amp;"")</f>
        <v/>
      </c>
      <c r="C116" s="2" t="str">
        <f>IF($I116="","",INDEX(CHOOSE($J$3,'فحص-حاسب-بكالوريوس'!$F$5:$F$208,'فحص-بيانات-بكالوريوس'!$F$5:$F$208,'فحص-بيانات-ماجستير'!$F$5:$F$230),$I116)&amp;"")</f>
        <v/>
      </c>
      <c r="D116" s="2" t="str">
        <f>IF($I116="","",INDEX(CHOOSE($J$3,'فحص-حاسب-بكالوريوس'!$H$5:$H$208,'فحص-بيانات-بكالوريوس'!$H$5:$H$208,'فحص-بيانات-ماجستير'!$H$5:$H$230),$I116)&amp;"")</f>
        <v/>
      </c>
      <c r="E116" s="2" t="str">
        <f>IF($I116="","",INDEX(CHOOSE($J$3,'فحص-حاسب-بكالوريوس'!$J$5:$J$208,'فحص-بيانات-بكالوريوس'!$J$5:$J$208,'فحص-بيانات-ماجستير'!$J$5:$J$230),$I116)&amp;"")</f>
        <v/>
      </c>
      <c r="F116" s="2" t="str">
        <f>IF($I116="","",INDEX(CHOOSE($J$3,'فحص-حاسب-بكالوريوس'!$L$5:$L$208,'فحص-بيانات-بكالوريوس'!$L$5:$L$208,'فحص-بيانات-ماجستير'!$L$5:$L$230),$I116)&amp;"")</f>
        <v/>
      </c>
      <c r="G116" s="2" t="str">
        <f>IF($I116="","",INDEX(CHOOSE($J$3,'فحص-حاسب-بكالوريوس'!$M$5:$M$208,'فحص-بيانات-بكالوريوس'!$M$5:$M$208,'فحص-بيانات-ماجستير'!$M$5:$M$230),$I116)&amp;"")</f>
        <v/>
      </c>
      <c r="I116" s="2" t="str">
        <f>IFERROR(MATCH($E$3&amp;"#"&amp;111,CHOOSE($J$3,'فحص-حاسب-بكالوريوس'!$R$5:$R$208,'فحص-بيانات-بكالوريوس'!$R$5:$R$208,'فحص-بيانات-ماجستير'!$R$5:$R$230),0),"")</f>
        <v/>
      </c>
    </row>
    <row r="117" spans="1:9" x14ac:dyDescent="0.2">
      <c r="A117" s="1" t="str">
        <f>IF($I117="","",112)</f>
        <v/>
      </c>
      <c r="B117" s="2" t="str">
        <f>IF($I117="","",INDEX(CHOOSE($J$3,'فحص-حاسب-بكالوريوس'!$A$5:$A$208,'فحص-بيانات-بكالوريوس'!$A$5:$A$208,'فحص-بيانات-ماجستير'!$A$5:$A$230),$I117)&amp;"")</f>
        <v/>
      </c>
      <c r="C117" s="2" t="str">
        <f>IF($I117="","",INDEX(CHOOSE($J$3,'فحص-حاسب-بكالوريوس'!$F$5:$F$208,'فحص-بيانات-بكالوريوس'!$F$5:$F$208,'فحص-بيانات-ماجستير'!$F$5:$F$230),$I117)&amp;"")</f>
        <v/>
      </c>
      <c r="D117" s="2" t="str">
        <f>IF($I117="","",INDEX(CHOOSE($J$3,'فحص-حاسب-بكالوريوس'!$H$5:$H$208,'فحص-بيانات-بكالوريوس'!$H$5:$H$208,'فحص-بيانات-ماجستير'!$H$5:$H$230),$I117)&amp;"")</f>
        <v/>
      </c>
      <c r="E117" s="2" t="str">
        <f>IF($I117="","",INDEX(CHOOSE($J$3,'فحص-حاسب-بكالوريوس'!$J$5:$J$208,'فحص-بيانات-بكالوريوس'!$J$5:$J$208,'فحص-بيانات-ماجستير'!$J$5:$J$230),$I117)&amp;"")</f>
        <v/>
      </c>
      <c r="F117" s="2" t="str">
        <f>IF($I117="","",INDEX(CHOOSE($J$3,'فحص-حاسب-بكالوريوس'!$L$5:$L$208,'فحص-بيانات-بكالوريوس'!$L$5:$L$208,'فحص-بيانات-ماجستير'!$L$5:$L$230),$I117)&amp;"")</f>
        <v/>
      </c>
      <c r="G117" s="2" t="str">
        <f>IF($I117="","",INDEX(CHOOSE($J$3,'فحص-حاسب-بكالوريوس'!$M$5:$M$208,'فحص-بيانات-بكالوريوس'!$M$5:$M$208,'فحص-بيانات-ماجستير'!$M$5:$M$230),$I117)&amp;"")</f>
        <v/>
      </c>
      <c r="I117" s="2" t="str">
        <f>IFERROR(MATCH($E$3&amp;"#"&amp;112,CHOOSE($J$3,'فحص-حاسب-بكالوريوس'!$R$5:$R$208,'فحص-بيانات-بكالوريوس'!$R$5:$R$208,'فحص-بيانات-ماجستير'!$R$5:$R$230),0),"")</f>
        <v/>
      </c>
    </row>
    <row r="118" spans="1:9" x14ac:dyDescent="0.2">
      <c r="A118" s="1" t="str">
        <f>IF($I118="","",113)</f>
        <v/>
      </c>
      <c r="B118" s="2" t="str">
        <f>IF($I118="","",INDEX(CHOOSE($J$3,'فحص-حاسب-بكالوريوس'!$A$5:$A$208,'فحص-بيانات-بكالوريوس'!$A$5:$A$208,'فحص-بيانات-ماجستير'!$A$5:$A$230),$I118)&amp;"")</f>
        <v/>
      </c>
      <c r="C118" s="2" t="str">
        <f>IF($I118="","",INDEX(CHOOSE($J$3,'فحص-حاسب-بكالوريوس'!$F$5:$F$208,'فحص-بيانات-بكالوريوس'!$F$5:$F$208,'فحص-بيانات-ماجستير'!$F$5:$F$230),$I118)&amp;"")</f>
        <v/>
      </c>
      <c r="D118" s="2" t="str">
        <f>IF($I118="","",INDEX(CHOOSE($J$3,'فحص-حاسب-بكالوريوس'!$H$5:$H$208,'فحص-بيانات-بكالوريوس'!$H$5:$H$208,'فحص-بيانات-ماجستير'!$H$5:$H$230),$I118)&amp;"")</f>
        <v/>
      </c>
      <c r="E118" s="2" t="str">
        <f>IF($I118="","",INDEX(CHOOSE($J$3,'فحص-حاسب-بكالوريوس'!$J$5:$J$208,'فحص-بيانات-بكالوريوس'!$J$5:$J$208,'فحص-بيانات-ماجستير'!$J$5:$J$230),$I118)&amp;"")</f>
        <v/>
      </c>
      <c r="F118" s="2" t="str">
        <f>IF($I118="","",INDEX(CHOOSE($J$3,'فحص-حاسب-بكالوريوس'!$L$5:$L$208,'فحص-بيانات-بكالوريوس'!$L$5:$L$208,'فحص-بيانات-ماجستير'!$L$5:$L$230),$I118)&amp;"")</f>
        <v/>
      </c>
      <c r="G118" s="2" t="str">
        <f>IF($I118="","",INDEX(CHOOSE($J$3,'فحص-حاسب-بكالوريوس'!$M$5:$M$208,'فحص-بيانات-بكالوريوس'!$M$5:$M$208,'فحص-بيانات-ماجستير'!$M$5:$M$230),$I118)&amp;"")</f>
        <v/>
      </c>
      <c r="I118" s="2" t="str">
        <f>IFERROR(MATCH($E$3&amp;"#"&amp;113,CHOOSE($J$3,'فحص-حاسب-بكالوريوس'!$R$5:$R$208,'فحص-بيانات-بكالوريوس'!$R$5:$R$208,'فحص-بيانات-ماجستير'!$R$5:$R$230),0),"")</f>
        <v/>
      </c>
    </row>
    <row r="119" spans="1:9" x14ac:dyDescent="0.2">
      <c r="A119" s="1" t="str">
        <f>IF($I119="","",114)</f>
        <v/>
      </c>
      <c r="B119" s="2" t="str">
        <f>IF($I119="","",INDEX(CHOOSE($J$3,'فحص-حاسب-بكالوريوس'!$A$5:$A$208,'فحص-بيانات-بكالوريوس'!$A$5:$A$208,'فحص-بيانات-ماجستير'!$A$5:$A$230),$I119)&amp;"")</f>
        <v/>
      </c>
      <c r="C119" s="2" t="str">
        <f>IF($I119="","",INDEX(CHOOSE($J$3,'فحص-حاسب-بكالوريوس'!$F$5:$F$208,'فحص-بيانات-بكالوريوس'!$F$5:$F$208,'فحص-بيانات-ماجستير'!$F$5:$F$230),$I119)&amp;"")</f>
        <v/>
      </c>
      <c r="D119" s="2" t="str">
        <f>IF($I119="","",INDEX(CHOOSE($J$3,'فحص-حاسب-بكالوريوس'!$H$5:$H$208,'فحص-بيانات-بكالوريوس'!$H$5:$H$208,'فحص-بيانات-ماجستير'!$H$5:$H$230),$I119)&amp;"")</f>
        <v/>
      </c>
      <c r="E119" s="2" t="str">
        <f>IF($I119="","",INDEX(CHOOSE($J$3,'فحص-حاسب-بكالوريوس'!$J$5:$J$208,'فحص-بيانات-بكالوريوس'!$J$5:$J$208,'فحص-بيانات-ماجستير'!$J$5:$J$230),$I119)&amp;"")</f>
        <v/>
      </c>
      <c r="F119" s="2" t="str">
        <f>IF($I119="","",INDEX(CHOOSE($J$3,'فحص-حاسب-بكالوريوس'!$L$5:$L$208,'فحص-بيانات-بكالوريوس'!$L$5:$L$208,'فحص-بيانات-ماجستير'!$L$5:$L$230),$I119)&amp;"")</f>
        <v/>
      </c>
      <c r="G119" s="2" t="str">
        <f>IF($I119="","",INDEX(CHOOSE($J$3,'فحص-حاسب-بكالوريوس'!$M$5:$M$208,'فحص-بيانات-بكالوريوس'!$M$5:$M$208,'فحص-بيانات-ماجستير'!$M$5:$M$230),$I119)&amp;"")</f>
        <v/>
      </c>
      <c r="I119" s="2" t="str">
        <f>IFERROR(MATCH($E$3&amp;"#"&amp;114,CHOOSE($J$3,'فحص-حاسب-بكالوريوس'!$R$5:$R$208,'فحص-بيانات-بكالوريوس'!$R$5:$R$208,'فحص-بيانات-ماجستير'!$R$5:$R$230),0),"")</f>
        <v/>
      </c>
    </row>
    <row r="120" spans="1:9" x14ac:dyDescent="0.2">
      <c r="A120" s="1" t="str">
        <f>IF($I120="","",115)</f>
        <v/>
      </c>
      <c r="B120" s="2" t="str">
        <f>IF($I120="","",INDEX(CHOOSE($J$3,'فحص-حاسب-بكالوريوس'!$A$5:$A$208,'فحص-بيانات-بكالوريوس'!$A$5:$A$208,'فحص-بيانات-ماجستير'!$A$5:$A$230),$I120)&amp;"")</f>
        <v/>
      </c>
      <c r="C120" s="2" t="str">
        <f>IF($I120="","",INDEX(CHOOSE($J$3,'فحص-حاسب-بكالوريوس'!$F$5:$F$208,'فحص-بيانات-بكالوريوس'!$F$5:$F$208,'فحص-بيانات-ماجستير'!$F$5:$F$230),$I120)&amp;"")</f>
        <v/>
      </c>
      <c r="D120" s="2" t="str">
        <f>IF($I120="","",INDEX(CHOOSE($J$3,'فحص-حاسب-بكالوريوس'!$H$5:$H$208,'فحص-بيانات-بكالوريوس'!$H$5:$H$208,'فحص-بيانات-ماجستير'!$H$5:$H$230),$I120)&amp;"")</f>
        <v/>
      </c>
      <c r="E120" s="2" t="str">
        <f>IF($I120="","",INDEX(CHOOSE($J$3,'فحص-حاسب-بكالوريوس'!$J$5:$J$208,'فحص-بيانات-بكالوريوس'!$J$5:$J$208,'فحص-بيانات-ماجستير'!$J$5:$J$230),$I120)&amp;"")</f>
        <v/>
      </c>
      <c r="F120" s="2" t="str">
        <f>IF($I120="","",INDEX(CHOOSE($J$3,'فحص-حاسب-بكالوريوس'!$L$5:$L$208,'فحص-بيانات-بكالوريوس'!$L$5:$L$208,'فحص-بيانات-ماجستير'!$L$5:$L$230),$I120)&amp;"")</f>
        <v/>
      </c>
      <c r="G120" s="2" t="str">
        <f>IF($I120="","",INDEX(CHOOSE($J$3,'فحص-حاسب-بكالوريوس'!$M$5:$M$208,'فحص-بيانات-بكالوريوس'!$M$5:$M$208,'فحص-بيانات-ماجستير'!$M$5:$M$230),$I120)&amp;"")</f>
        <v/>
      </c>
      <c r="I120" s="2" t="str">
        <f>IFERROR(MATCH($E$3&amp;"#"&amp;115,CHOOSE($J$3,'فحص-حاسب-بكالوريوس'!$R$5:$R$208,'فحص-بيانات-بكالوريوس'!$R$5:$R$208,'فحص-بيانات-ماجستير'!$R$5:$R$230),0),"")</f>
        <v/>
      </c>
    </row>
    <row r="121" spans="1:9" x14ac:dyDescent="0.2">
      <c r="A121" s="1" t="str">
        <f>IF($I121="","",116)</f>
        <v/>
      </c>
      <c r="B121" s="2" t="str">
        <f>IF($I121="","",INDEX(CHOOSE($J$3,'فحص-حاسب-بكالوريوس'!$A$5:$A$208,'فحص-بيانات-بكالوريوس'!$A$5:$A$208,'فحص-بيانات-ماجستير'!$A$5:$A$230),$I121)&amp;"")</f>
        <v/>
      </c>
      <c r="C121" s="2" t="str">
        <f>IF($I121="","",INDEX(CHOOSE($J$3,'فحص-حاسب-بكالوريوس'!$F$5:$F$208,'فحص-بيانات-بكالوريوس'!$F$5:$F$208,'فحص-بيانات-ماجستير'!$F$5:$F$230),$I121)&amp;"")</f>
        <v/>
      </c>
      <c r="D121" s="2" t="str">
        <f>IF($I121="","",INDEX(CHOOSE($J$3,'فحص-حاسب-بكالوريوس'!$H$5:$H$208,'فحص-بيانات-بكالوريوس'!$H$5:$H$208,'فحص-بيانات-ماجستير'!$H$5:$H$230),$I121)&amp;"")</f>
        <v/>
      </c>
      <c r="E121" s="2" t="str">
        <f>IF($I121="","",INDEX(CHOOSE($J$3,'فحص-حاسب-بكالوريوس'!$J$5:$J$208,'فحص-بيانات-بكالوريوس'!$J$5:$J$208,'فحص-بيانات-ماجستير'!$J$5:$J$230),$I121)&amp;"")</f>
        <v/>
      </c>
      <c r="F121" s="2" t="str">
        <f>IF($I121="","",INDEX(CHOOSE($J$3,'فحص-حاسب-بكالوريوس'!$L$5:$L$208,'فحص-بيانات-بكالوريوس'!$L$5:$L$208,'فحص-بيانات-ماجستير'!$L$5:$L$230),$I121)&amp;"")</f>
        <v/>
      </c>
      <c r="G121" s="2" t="str">
        <f>IF($I121="","",INDEX(CHOOSE($J$3,'فحص-حاسب-بكالوريوس'!$M$5:$M$208,'فحص-بيانات-بكالوريوس'!$M$5:$M$208,'فحص-بيانات-ماجستير'!$M$5:$M$230),$I121)&amp;"")</f>
        <v/>
      </c>
      <c r="I121" s="2" t="str">
        <f>IFERROR(MATCH($E$3&amp;"#"&amp;116,CHOOSE($J$3,'فحص-حاسب-بكالوريوس'!$R$5:$R$208,'فحص-بيانات-بكالوريوس'!$R$5:$R$208,'فحص-بيانات-ماجستير'!$R$5:$R$230),0),"")</f>
        <v/>
      </c>
    </row>
    <row r="122" spans="1:9" x14ac:dyDescent="0.2">
      <c r="A122" s="1" t="str">
        <f>IF($I122="","",117)</f>
        <v/>
      </c>
      <c r="B122" s="2" t="str">
        <f>IF($I122="","",INDEX(CHOOSE($J$3,'فحص-حاسب-بكالوريوس'!$A$5:$A$208,'فحص-بيانات-بكالوريوس'!$A$5:$A$208,'فحص-بيانات-ماجستير'!$A$5:$A$230),$I122)&amp;"")</f>
        <v/>
      </c>
      <c r="C122" s="2" t="str">
        <f>IF($I122="","",INDEX(CHOOSE($J$3,'فحص-حاسب-بكالوريوس'!$F$5:$F$208,'فحص-بيانات-بكالوريوس'!$F$5:$F$208,'فحص-بيانات-ماجستير'!$F$5:$F$230),$I122)&amp;"")</f>
        <v/>
      </c>
      <c r="D122" s="2" t="str">
        <f>IF($I122="","",INDEX(CHOOSE($J$3,'فحص-حاسب-بكالوريوس'!$H$5:$H$208,'فحص-بيانات-بكالوريوس'!$H$5:$H$208,'فحص-بيانات-ماجستير'!$H$5:$H$230),$I122)&amp;"")</f>
        <v/>
      </c>
      <c r="E122" s="2" t="str">
        <f>IF($I122="","",INDEX(CHOOSE($J$3,'فحص-حاسب-بكالوريوس'!$J$5:$J$208,'فحص-بيانات-بكالوريوس'!$J$5:$J$208,'فحص-بيانات-ماجستير'!$J$5:$J$230),$I122)&amp;"")</f>
        <v/>
      </c>
      <c r="F122" s="2" t="str">
        <f>IF($I122="","",INDEX(CHOOSE($J$3,'فحص-حاسب-بكالوريوس'!$L$5:$L$208,'فحص-بيانات-بكالوريوس'!$L$5:$L$208,'فحص-بيانات-ماجستير'!$L$5:$L$230),$I122)&amp;"")</f>
        <v/>
      </c>
      <c r="G122" s="2" t="str">
        <f>IF($I122="","",INDEX(CHOOSE($J$3,'فحص-حاسب-بكالوريوس'!$M$5:$M$208,'فحص-بيانات-بكالوريوس'!$M$5:$M$208,'فحص-بيانات-ماجستير'!$M$5:$M$230),$I122)&amp;"")</f>
        <v/>
      </c>
      <c r="I122" s="2" t="str">
        <f>IFERROR(MATCH($E$3&amp;"#"&amp;117,CHOOSE($J$3,'فحص-حاسب-بكالوريوس'!$R$5:$R$208,'فحص-بيانات-بكالوريوس'!$R$5:$R$208,'فحص-بيانات-ماجستير'!$R$5:$R$230),0),"")</f>
        <v/>
      </c>
    </row>
    <row r="123" spans="1:9" x14ac:dyDescent="0.2">
      <c r="A123" s="1" t="str">
        <f>IF($I123="","",118)</f>
        <v/>
      </c>
      <c r="B123" s="2" t="str">
        <f>IF($I123="","",INDEX(CHOOSE($J$3,'فحص-حاسب-بكالوريوس'!$A$5:$A$208,'فحص-بيانات-بكالوريوس'!$A$5:$A$208,'فحص-بيانات-ماجستير'!$A$5:$A$230),$I123)&amp;"")</f>
        <v/>
      </c>
      <c r="C123" s="2" t="str">
        <f>IF($I123="","",INDEX(CHOOSE($J$3,'فحص-حاسب-بكالوريوس'!$F$5:$F$208,'فحص-بيانات-بكالوريوس'!$F$5:$F$208,'فحص-بيانات-ماجستير'!$F$5:$F$230),$I123)&amp;"")</f>
        <v/>
      </c>
      <c r="D123" s="2" t="str">
        <f>IF($I123="","",INDEX(CHOOSE($J$3,'فحص-حاسب-بكالوريوس'!$H$5:$H$208,'فحص-بيانات-بكالوريوس'!$H$5:$H$208,'فحص-بيانات-ماجستير'!$H$5:$H$230),$I123)&amp;"")</f>
        <v/>
      </c>
      <c r="E123" s="2" t="str">
        <f>IF($I123="","",INDEX(CHOOSE($J$3,'فحص-حاسب-بكالوريوس'!$J$5:$J$208,'فحص-بيانات-بكالوريوس'!$J$5:$J$208,'فحص-بيانات-ماجستير'!$J$5:$J$230),$I123)&amp;"")</f>
        <v/>
      </c>
      <c r="F123" s="2" t="str">
        <f>IF($I123="","",INDEX(CHOOSE($J$3,'فحص-حاسب-بكالوريوس'!$L$5:$L$208,'فحص-بيانات-بكالوريوس'!$L$5:$L$208,'فحص-بيانات-ماجستير'!$L$5:$L$230),$I123)&amp;"")</f>
        <v/>
      </c>
      <c r="G123" s="2" t="str">
        <f>IF($I123="","",INDEX(CHOOSE($J$3,'فحص-حاسب-بكالوريوس'!$M$5:$M$208,'فحص-بيانات-بكالوريوس'!$M$5:$M$208,'فحص-بيانات-ماجستير'!$M$5:$M$230),$I123)&amp;"")</f>
        <v/>
      </c>
      <c r="I123" s="2" t="str">
        <f>IFERROR(MATCH($E$3&amp;"#"&amp;118,CHOOSE($J$3,'فحص-حاسب-بكالوريوس'!$R$5:$R$208,'فحص-بيانات-بكالوريوس'!$R$5:$R$208,'فحص-بيانات-ماجستير'!$R$5:$R$230),0),"")</f>
        <v/>
      </c>
    </row>
    <row r="124" spans="1:9" x14ac:dyDescent="0.2">
      <c r="A124" s="1" t="str">
        <f>IF($I124="","",119)</f>
        <v/>
      </c>
      <c r="B124" s="2" t="str">
        <f>IF($I124="","",INDEX(CHOOSE($J$3,'فحص-حاسب-بكالوريوس'!$A$5:$A$208,'فحص-بيانات-بكالوريوس'!$A$5:$A$208,'فحص-بيانات-ماجستير'!$A$5:$A$230),$I124)&amp;"")</f>
        <v/>
      </c>
      <c r="C124" s="2" t="str">
        <f>IF($I124="","",INDEX(CHOOSE($J$3,'فحص-حاسب-بكالوريوس'!$F$5:$F$208,'فحص-بيانات-بكالوريوس'!$F$5:$F$208,'فحص-بيانات-ماجستير'!$F$5:$F$230),$I124)&amp;"")</f>
        <v/>
      </c>
      <c r="D124" s="2" t="str">
        <f>IF($I124="","",INDEX(CHOOSE($J$3,'فحص-حاسب-بكالوريوس'!$H$5:$H$208,'فحص-بيانات-بكالوريوس'!$H$5:$H$208,'فحص-بيانات-ماجستير'!$H$5:$H$230),$I124)&amp;"")</f>
        <v/>
      </c>
      <c r="E124" s="2" t="str">
        <f>IF($I124="","",INDEX(CHOOSE($J$3,'فحص-حاسب-بكالوريوس'!$J$5:$J$208,'فحص-بيانات-بكالوريوس'!$J$5:$J$208,'فحص-بيانات-ماجستير'!$J$5:$J$230),$I124)&amp;"")</f>
        <v/>
      </c>
      <c r="F124" s="2" t="str">
        <f>IF($I124="","",INDEX(CHOOSE($J$3,'فحص-حاسب-بكالوريوس'!$L$5:$L$208,'فحص-بيانات-بكالوريوس'!$L$5:$L$208,'فحص-بيانات-ماجستير'!$L$5:$L$230),$I124)&amp;"")</f>
        <v/>
      </c>
      <c r="G124" s="2" t="str">
        <f>IF($I124="","",INDEX(CHOOSE($J$3,'فحص-حاسب-بكالوريوس'!$M$5:$M$208,'فحص-بيانات-بكالوريوس'!$M$5:$M$208,'فحص-بيانات-ماجستير'!$M$5:$M$230),$I124)&amp;"")</f>
        <v/>
      </c>
      <c r="I124" s="2" t="str">
        <f>IFERROR(MATCH($E$3&amp;"#"&amp;119,CHOOSE($J$3,'فحص-حاسب-بكالوريوس'!$R$5:$R$208,'فحص-بيانات-بكالوريوس'!$R$5:$R$208,'فحص-بيانات-ماجستير'!$R$5:$R$230),0),"")</f>
        <v/>
      </c>
    </row>
    <row r="125" spans="1:9" x14ac:dyDescent="0.2">
      <c r="A125" s="1" t="str">
        <f>IF($I125="","",120)</f>
        <v/>
      </c>
      <c r="B125" s="2" t="str">
        <f>IF($I125="","",INDEX(CHOOSE($J$3,'فحص-حاسب-بكالوريوس'!$A$5:$A$208,'فحص-بيانات-بكالوريوس'!$A$5:$A$208,'فحص-بيانات-ماجستير'!$A$5:$A$230),$I125)&amp;"")</f>
        <v/>
      </c>
      <c r="C125" s="2" t="str">
        <f>IF($I125="","",INDEX(CHOOSE($J$3,'فحص-حاسب-بكالوريوس'!$F$5:$F$208,'فحص-بيانات-بكالوريوس'!$F$5:$F$208,'فحص-بيانات-ماجستير'!$F$5:$F$230),$I125)&amp;"")</f>
        <v/>
      </c>
      <c r="D125" s="2" t="str">
        <f>IF($I125="","",INDEX(CHOOSE($J$3,'فحص-حاسب-بكالوريوس'!$H$5:$H$208,'فحص-بيانات-بكالوريوس'!$H$5:$H$208,'فحص-بيانات-ماجستير'!$H$5:$H$230),$I125)&amp;"")</f>
        <v/>
      </c>
      <c r="E125" s="2" t="str">
        <f>IF($I125="","",INDEX(CHOOSE($J$3,'فحص-حاسب-بكالوريوس'!$J$5:$J$208,'فحص-بيانات-بكالوريوس'!$J$5:$J$208,'فحص-بيانات-ماجستير'!$J$5:$J$230),$I125)&amp;"")</f>
        <v/>
      </c>
      <c r="F125" s="2" t="str">
        <f>IF($I125="","",INDEX(CHOOSE($J$3,'فحص-حاسب-بكالوريوس'!$L$5:$L$208,'فحص-بيانات-بكالوريوس'!$L$5:$L$208,'فحص-بيانات-ماجستير'!$L$5:$L$230),$I125)&amp;"")</f>
        <v/>
      </c>
      <c r="G125" s="2" t="str">
        <f>IF($I125="","",INDEX(CHOOSE($J$3,'فحص-حاسب-بكالوريوس'!$M$5:$M$208,'فحص-بيانات-بكالوريوس'!$M$5:$M$208,'فحص-بيانات-ماجستير'!$M$5:$M$230),$I125)&amp;"")</f>
        <v/>
      </c>
      <c r="I125" s="2" t="str">
        <f>IFERROR(MATCH($E$3&amp;"#"&amp;120,CHOOSE($J$3,'فحص-حاسب-بكالوريوس'!$R$5:$R$208,'فحص-بيانات-بكالوريوس'!$R$5:$R$208,'فحص-بيانات-ماجستير'!$R$5:$R$230),0),"")</f>
        <v/>
      </c>
    </row>
    <row r="126" spans="1:9" x14ac:dyDescent="0.2">
      <c r="A126" s="1" t="str">
        <f>IF($I126="","",121)</f>
        <v/>
      </c>
      <c r="B126" s="2" t="str">
        <f>IF($I126="","",INDEX(CHOOSE($J$3,'فحص-حاسب-بكالوريوس'!$A$5:$A$208,'فحص-بيانات-بكالوريوس'!$A$5:$A$208,'فحص-بيانات-ماجستير'!$A$5:$A$230),$I126)&amp;"")</f>
        <v/>
      </c>
      <c r="C126" s="2" t="str">
        <f>IF($I126="","",INDEX(CHOOSE($J$3,'فحص-حاسب-بكالوريوس'!$F$5:$F$208,'فحص-بيانات-بكالوريوس'!$F$5:$F$208,'فحص-بيانات-ماجستير'!$F$5:$F$230),$I126)&amp;"")</f>
        <v/>
      </c>
      <c r="D126" s="2" t="str">
        <f>IF($I126="","",INDEX(CHOOSE($J$3,'فحص-حاسب-بكالوريوس'!$H$5:$H$208,'فحص-بيانات-بكالوريوس'!$H$5:$H$208,'فحص-بيانات-ماجستير'!$H$5:$H$230),$I126)&amp;"")</f>
        <v/>
      </c>
      <c r="E126" s="2" t="str">
        <f>IF($I126="","",INDEX(CHOOSE($J$3,'فحص-حاسب-بكالوريوس'!$J$5:$J$208,'فحص-بيانات-بكالوريوس'!$J$5:$J$208,'فحص-بيانات-ماجستير'!$J$5:$J$230),$I126)&amp;"")</f>
        <v/>
      </c>
      <c r="F126" s="2" t="str">
        <f>IF($I126="","",INDEX(CHOOSE($J$3,'فحص-حاسب-بكالوريوس'!$L$5:$L$208,'فحص-بيانات-بكالوريوس'!$L$5:$L$208,'فحص-بيانات-ماجستير'!$L$5:$L$230),$I126)&amp;"")</f>
        <v/>
      </c>
      <c r="G126" s="2" t="str">
        <f>IF($I126="","",INDEX(CHOOSE($J$3,'فحص-حاسب-بكالوريوس'!$M$5:$M$208,'فحص-بيانات-بكالوريوس'!$M$5:$M$208,'فحص-بيانات-ماجستير'!$M$5:$M$230),$I126)&amp;"")</f>
        <v/>
      </c>
      <c r="I126" s="2" t="str">
        <f>IFERROR(MATCH($E$3&amp;"#"&amp;121,CHOOSE($J$3,'فحص-حاسب-بكالوريوس'!$R$5:$R$208,'فحص-بيانات-بكالوريوس'!$R$5:$R$208,'فحص-بيانات-ماجستير'!$R$5:$R$230),0),"")</f>
        <v/>
      </c>
    </row>
    <row r="127" spans="1:9" x14ac:dyDescent="0.2">
      <c r="A127" s="1" t="str">
        <f>IF($I127="","",122)</f>
        <v/>
      </c>
      <c r="B127" s="2" t="str">
        <f>IF($I127="","",INDEX(CHOOSE($J$3,'فحص-حاسب-بكالوريوس'!$A$5:$A$208,'فحص-بيانات-بكالوريوس'!$A$5:$A$208,'فحص-بيانات-ماجستير'!$A$5:$A$230),$I127)&amp;"")</f>
        <v/>
      </c>
      <c r="C127" s="2" t="str">
        <f>IF($I127="","",INDEX(CHOOSE($J$3,'فحص-حاسب-بكالوريوس'!$F$5:$F$208,'فحص-بيانات-بكالوريوس'!$F$5:$F$208,'فحص-بيانات-ماجستير'!$F$5:$F$230),$I127)&amp;"")</f>
        <v/>
      </c>
      <c r="D127" s="2" t="str">
        <f>IF($I127="","",INDEX(CHOOSE($J$3,'فحص-حاسب-بكالوريوس'!$H$5:$H$208,'فحص-بيانات-بكالوريوس'!$H$5:$H$208,'فحص-بيانات-ماجستير'!$H$5:$H$230),$I127)&amp;"")</f>
        <v/>
      </c>
      <c r="E127" s="2" t="str">
        <f>IF($I127="","",INDEX(CHOOSE($J$3,'فحص-حاسب-بكالوريوس'!$J$5:$J$208,'فحص-بيانات-بكالوريوس'!$J$5:$J$208,'فحص-بيانات-ماجستير'!$J$5:$J$230),$I127)&amp;"")</f>
        <v/>
      </c>
      <c r="F127" s="2" t="str">
        <f>IF($I127="","",INDEX(CHOOSE($J$3,'فحص-حاسب-بكالوريوس'!$L$5:$L$208,'فحص-بيانات-بكالوريوس'!$L$5:$L$208,'فحص-بيانات-ماجستير'!$L$5:$L$230),$I127)&amp;"")</f>
        <v/>
      </c>
      <c r="G127" s="2" t="str">
        <f>IF($I127="","",INDEX(CHOOSE($J$3,'فحص-حاسب-بكالوريوس'!$M$5:$M$208,'فحص-بيانات-بكالوريوس'!$M$5:$M$208,'فحص-بيانات-ماجستير'!$M$5:$M$230),$I127)&amp;"")</f>
        <v/>
      </c>
      <c r="I127" s="2" t="str">
        <f>IFERROR(MATCH($E$3&amp;"#"&amp;122,CHOOSE($J$3,'فحص-حاسب-بكالوريوس'!$R$5:$R$208,'فحص-بيانات-بكالوريوس'!$R$5:$R$208,'فحص-بيانات-ماجستير'!$R$5:$R$230),0),"")</f>
        <v/>
      </c>
    </row>
    <row r="128" spans="1:9" x14ac:dyDescent="0.2">
      <c r="A128" s="1" t="str">
        <f>IF($I128="","",123)</f>
        <v/>
      </c>
      <c r="B128" s="2" t="str">
        <f>IF($I128="","",INDEX(CHOOSE($J$3,'فحص-حاسب-بكالوريوس'!$A$5:$A$208,'فحص-بيانات-بكالوريوس'!$A$5:$A$208,'فحص-بيانات-ماجستير'!$A$5:$A$230),$I128)&amp;"")</f>
        <v/>
      </c>
      <c r="C128" s="2" t="str">
        <f>IF($I128="","",INDEX(CHOOSE($J$3,'فحص-حاسب-بكالوريوس'!$F$5:$F$208,'فحص-بيانات-بكالوريوس'!$F$5:$F$208,'فحص-بيانات-ماجستير'!$F$5:$F$230),$I128)&amp;"")</f>
        <v/>
      </c>
      <c r="D128" s="2" t="str">
        <f>IF($I128="","",INDEX(CHOOSE($J$3,'فحص-حاسب-بكالوريوس'!$H$5:$H$208,'فحص-بيانات-بكالوريوس'!$H$5:$H$208,'فحص-بيانات-ماجستير'!$H$5:$H$230),$I128)&amp;"")</f>
        <v/>
      </c>
      <c r="E128" s="2" t="str">
        <f>IF($I128="","",INDEX(CHOOSE($J$3,'فحص-حاسب-بكالوريوس'!$J$5:$J$208,'فحص-بيانات-بكالوريوس'!$J$5:$J$208,'فحص-بيانات-ماجستير'!$J$5:$J$230),$I128)&amp;"")</f>
        <v/>
      </c>
      <c r="F128" s="2" t="str">
        <f>IF($I128="","",INDEX(CHOOSE($J$3,'فحص-حاسب-بكالوريوس'!$L$5:$L$208,'فحص-بيانات-بكالوريوس'!$L$5:$L$208,'فحص-بيانات-ماجستير'!$L$5:$L$230),$I128)&amp;"")</f>
        <v/>
      </c>
      <c r="G128" s="2" t="str">
        <f>IF($I128="","",INDEX(CHOOSE($J$3,'فحص-حاسب-بكالوريوس'!$M$5:$M$208,'فحص-بيانات-بكالوريوس'!$M$5:$M$208,'فحص-بيانات-ماجستير'!$M$5:$M$230),$I128)&amp;"")</f>
        <v/>
      </c>
      <c r="I128" s="2" t="str">
        <f>IFERROR(MATCH($E$3&amp;"#"&amp;123,CHOOSE($J$3,'فحص-حاسب-بكالوريوس'!$R$5:$R$208,'فحص-بيانات-بكالوريوس'!$R$5:$R$208,'فحص-بيانات-ماجستير'!$R$5:$R$230),0),"")</f>
        <v/>
      </c>
    </row>
    <row r="129" spans="1:9" x14ac:dyDescent="0.2">
      <c r="A129" s="1" t="str">
        <f>IF($I129="","",124)</f>
        <v/>
      </c>
      <c r="B129" s="2" t="str">
        <f>IF($I129="","",INDEX(CHOOSE($J$3,'فحص-حاسب-بكالوريوس'!$A$5:$A$208,'فحص-بيانات-بكالوريوس'!$A$5:$A$208,'فحص-بيانات-ماجستير'!$A$5:$A$230),$I129)&amp;"")</f>
        <v/>
      </c>
      <c r="C129" s="2" t="str">
        <f>IF($I129="","",INDEX(CHOOSE($J$3,'فحص-حاسب-بكالوريوس'!$F$5:$F$208,'فحص-بيانات-بكالوريوس'!$F$5:$F$208,'فحص-بيانات-ماجستير'!$F$5:$F$230),$I129)&amp;"")</f>
        <v/>
      </c>
      <c r="D129" s="2" t="str">
        <f>IF($I129="","",INDEX(CHOOSE($J$3,'فحص-حاسب-بكالوريوس'!$H$5:$H$208,'فحص-بيانات-بكالوريوس'!$H$5:$H$208,'فحص-بيانات-ماجستير'!$H$5:$H$230),$I129)&amp;"")</f>
        <v/>
      </c>
      <c r="E129" s="2" t="str">
        <f>IF($I129="","",INDEX(CHOOSE($J$3,'فحص-حاسب-بكالوريوس'!$J$5:$J$208,'فحص-بيانات-بكالوريوس'!$J$5:$J$208,'فحص-بيانات-ماجستير'!$J$5:$J$230),$I129)&amp;"")</f>
        <v/>
      </c>
      <c r="F129" s="2" t="str">
        <f>IF($I129="","",INDEX(CHOOSE($J$3,'فحص-حاسب-بكالوريوس'!$L$5:$L$208,'فحص-بيانات-بكالوريوس'!$L$5:$L$208,'فحص-بيانات-ماجستير'!$L$5:$L$230),$I129)&amp;"")</f>
        <v/>
      </c>
      <c r="G129" s="2" t="str">
        <f>IF($I129="","",INDEX(CHOOSE($J$3,'فحص-حاسب-بكالوريوس'!$M$5:$M$208,'فحص-بيانات-بكالوريوس'!$M$5:$M$208,'فحص-بيانات-ماجستير'!$M$5:$M$230),$I129)&amp;"")</f>
        <v/>
      </c>
      <c r="I129" s="2" t="str">
        <f>IFERROR(MATCH($E$3&amp;"#"&amp;124,CHOOSE($J$3,'فحص-حاسب-بكالوريوس'!$R$5:$R$208,'فحص-بيانات-بكالوريوس'!$R$5:$R$208,'فحص-بيانات-ماجستير'!$R$5:$R$230),0),"")</f>
        <v/>
      </c>
    </row>
    <row r="130" spans="1:9" x14ac:dyDescent="0.2">
      <c r="A130" s="1" t="str">
        <f>IF($I130="","",125)</f>
        <v/>
      </c>
      <c r="B130" s="2" t="str">
        <f>IF($I130="","",INDEX(CHOOSE($J$3,'فحص-حاسب-بكالوريوس'!$A$5:$A$208,'فحص-بيانات-بكالوريوس'!$A$5:$A$208,'فحص-بيانات-ماجستير'!$A$5:$A$230),$I130)&amp;"")</f>
        <v/>
      </c>
      <c r="C130" s="2" t="str">
        <f>IF($I130="","",INDEX(CHOOSE($J$3,'فحص-حاسب-بكالوريوس'!$F$5:$F$208,'فحص-بيانات-بكالوريوس'!$F$5:$F$208,'فحص-بيانات-ماجستير'!$F$5:$F$230),$I130)&amp;"")</f>
        <v/>
      </c>
      <c r="D130" s="2" t="str">
        <f>IF($I130="","",INDEX(CHOOSE($J$3,'فحص-حاسب-بكالوريوس'!$H$5:$H$208,'فحص-بيانات-بكالوريوس'!$H$5:$H$208,'فحص-بيانات-ماجستير'!$H$5:$H$230),$I130)&amp;"")</f>
        <v/>
      </c>
      <c r="E130" s="2" t="str">
        <f>IF($I130="","",INDEX(CHOOSE($J$3,'فحص-حاسب-بكالوريوس'!$J$5:$J$208,'فحص-بيانات-بكالوريوس'!$J$5:$J$208,'فحص-بيانات-ماجستير'!$J$5:$J$230),$I130)&amp;"")</f>
        <v/>
      </c>
      <c r="F130" s="2" t="str">
        <f>IF($I130="","",INDEX(CHOOSE($J$3,'فحص-حاسب-بكالوريوس'!$L$5:$L$208,'فحص-بيانات-بكالوريوس'!$L$5:$L$208,'فحص-بيانات-ماجستير'!$L$5:$L$230),$I130)&amp;"")</f>
        <v/>
      </c>
      <c r="G130" s="2" t="str">
        <f>IF($I130="","",INDEX(CHOOSE($J$3,'فحص-حاسب-بكالوريوس'!$M$5:$M$208,'فحص-بيانات-بكالوريوس'!$M$5:$M$208,'فحص-بيانات-ماجستير'!$M$5:$M$230),$I130)&amp;"")</f>
        <v/>
      </c>
      <c r="I130" s="2" t="str">
        <f>IFERROR(MATCH($E$3&amp;"#"&amp;125,CHOOSE($J$3,'فحص-حاسب-بكالوريوس'!$R$5:$R$208,'فحص-بيانات-بكالوريوس'!$R$5:$R$208,'فحص-بيانات-ماجستير'!$R$5:$R$230),0),"")</f>
        <v/>
      </c>
    </row>
    <row r="131" spans="1:9" x14ac:dyDescent="0.2">
      <c r="A131" s="1" t="str">
        <f>IF($I131="","",126)</f>
        <v/>
      </c>
      <c r="B131" s="2" t="str">
        <f>IF($I131="","",INDEX(CHOOSE($J$3,'فحص-حاسب-بكالوريوس'!$A$5:$A$208,'فحص-بيانات-بكالوريوس'!$A$5:$A$208,'فحص-بيانات-ماجستير'!$A$5:$A$230),$I131)&amp;"")</f>
        <v/>
      </c>
      <c r="C131" s="2" t="str">
        <f>IF($I131="","",INDEX(CHOOSE($J$3,'فحص-حاسب-بكالوريوس'!$F$5:$F$208,'فحص-بيانات-بكالوريوس'!$F$5:$F$208,'فحص-بيانات-ماجستير'!$F$5:$F$230),$I131)&amp;"")</f>
        <v/>
      </c>
      <c r="D131" s="2" t="str">
        <f>IF($I131="","",INDEX(CHOOSE($J$3,'فحص-حاسب-بكالوريوس'!$H$5:$H$208,'فحص-بيانات-بكالوريوس'!$H$5:$H$208,'فحص-بيانات-ماجستير'!$H$5:$H$230),$I131)&amp;"")</f>
        <v/>
      </c>
      <c r="E131" s="2" t="str">
        <f>IF($I131="","",INDEX(CHOOSE($J$3,'فحص-حاسب-بكالوريوس'!$J$5:$J$208,'فحص-بيانات-بكالوريوس'!$J$5:$J$208,'فحص-بيانات-ماجستير'!$J$5:$J$230),$I131)&amp;"")</f>
        <v/>
      </c>
      <c r="F131" s="2" t="str">
        <f>IF($I131="","",INDEX(CHOOSE($J$3,'فحص-حاسب-بكالوريوس'!$L$5:$L$208,'فحص-بيانات-بكالوريوس'!$L$5:$L$208,'فحص-بيانات-ماجستير'!$L$5:$L$230),$I131)&amp;"")</f>
        <v/>
      </c>
      <c r="G131" s="2" t="str">
        <f>IF($I131="","",INDEX(CHOOSE($J$3,'فحص-حاسب-بكالوريوس'!$M$5:$M$208,'فحص-بيانات-بكالوريوس'!$M$5:$M$208,'فحص-بيانات-ماجستير'!$M$5:$M$230),$I131)&amp;"")</f>
        <v/>
      </c>
      <c r="I131" s="2" t="str">
        <f>IFERROR(MATCH($E$3&amp;"#"&amp;126,CHOOSE($J$3,'فحص-حاسب-بكالوريوس'!$R$5:$R$208,'فحص-بيانات-بكالوريوس'!$R$5:$R$208,'فحص-بيانات-ماجستير'!$R$5:$R$230),0),"")</f>
        <v/>
      </c>
    </row>
    <row r="132" spans="1:9" x14ac:dyDescent="0.2">
      <c r="A132" s="1" t="str">
        <f>IF($I132="","",127)</f>
        <v/>
      </c>
      <c r="B132" s="2" t="str">
        <f>IF($I132="","",INDEX(CHOOSE($J$3,'فحص-حاسب-بكالوريوس'!$A$5:$A$208,'فحص-بيانات-بكالوريوس'!$A$5:$A$208,'فحص-بيانات-ماجستير'!$A$5:$A$230),$I132)&amp;"")</f>
        <v/>
      </c>
      <c r="C132" s="2" t="str">
        <f>IF($I132="","",INDEX(CHOOSE($J$3,'فحص-حاسب-بكالوريوس'!$F$5:$F$208,'فحص-بيانات-بكالوريوس'!$F$5:$F$208,'فحص-بيانات-ماجستير'!$F$5:$F$230),$I132)&amp;"")</f>
        <v/>
      </c>
      <c r="D132" s="2" t="str">
        <f>IF($I132="","",INDEX(CHOOSE($J$3,'فحص-حاسب-بكالوريوس'!$H$5:$H$208,'فحص-بيانات-بكالوريوس'!$H$5:$H$208,'فحص-بيانات-ماجستير'!$H$5:$H$230),$I132)&amp;"")</f>
        <v/>
      </c>
      <c r="E132" s="2" t="str">
        <f>IF($I132="","",INDEX(CHOOSE($J$3,'فحص-حاسب-بكالوريوس'!$J$5:$J$208,'فحص-بيانات-بكالوريوس'!$J$5:$J$208,'فحص-بيانات-ماجستير'!$J$5:$J$230),$I132)&amp;"")</f>
        <v/>
      </c>
      <c r="F132" s="2" t="str">
        <f>IF($I132="","",INDEX(CHOOSE($J$3,'فحص-حاسب-بكالوريوس'!$L$5:$L$208,'فحص-بيانات-بكالوريوس'!$L$5:$L$208,'فحص-بيانات-ماجستير'!$L$5:$L$230),$I132)&amp;"")</f>
        <v/>
      </c>
      <c r="G132" s="2" t="str">
        <f>IF($I132="","",INDEX(CHOOSE($J$3,'فحص-حاسب-بكالوريوس'!$M$5:$M$208,'فحص-بيانات-بكالوريوس'!$M$5:$M$208,'فحص-بيانات-ماجستير'!$M$5:$M$230),$I132)&amp;"")</f>
        <v/>
      </c>
      <c r="I132" s="2" t="str">
        <f>IFERROR(MATCH($E$3&amp;"#"&amp;127,CHOOSE($J$3,'فحص-حاسب-بكالوريوس'!$R$5:$R$208,'فحص-بيانات-بكالوريوس'!$R$5:$R$208,'فحص-بيانات-ماجستير'!$R$5:$R$230),0),"")</f>
        <v/>
      </c>
    </row>
    <row r="133" spans="1:9" x14ac:dyDescent="0.2">
      <c r="A133" s="1" t="str">
        <f>IF($I133="","",128)</f>
        <v/>
      </c>
      <c r="B133" s="2" t="str">
        <f>IF($I133="","",INDEX(CHOOSE($J$3,'فحص-حاسب-بكالوريوس'!$A$5:$A$208,'فحص-بيانات-بكالوريوس'!$A$5:$A$208,'فحص-بيانات-ماجستير'!$A$5:$A$230),$I133)&amp;"")</f>
        <v/>
      </c>
      <c r="C133" s="2" t="str">
        <f>IF($I133="","",INDEX(CHOOSE($J$3,'فحص-حاسب-بكالوريوس'!$F$5:$F$208,'فحص-بيانات-بكالوريوس'!$F$5:$F$208,'فحص-بيانات-ماجستير'!$F$5:$F$230),$I133)&amp;"")</f>
        <v/>
      </c>
      <c r="D133" s="2" t="str">
        <f>IF($I133="","",INDEX(CHOOSE($J$3,'فحص-حاسب-بكالوريوس'!$H$5:$H$208,'فحص-بيانات-بكالوريوس'!$H$5:$H$208,'فحص-بيانات-ماجستير'!$H$5:$H$230),$I133)&amp;"")</f>
        <v/>
      </c>
      <c r="E133" s="2" t="str">
        <f>IF($I133="","",INDEX(CHOOSE($J$3,'فحص-حاسب-بكالوريوس'!$J$5:$J$208,'فحص-بيانات-بكالوريوس'!$J$5:$J$208,'فحص-بيانات-ماجستير'!$J$5:$J$230),$I133)&amp;"")</f>
        <v/>
      </c>
      <c r="F133" s="2" t="str">
        <f>IF($I133="","",INDEX(CHOOSE($J$3,'فحص-حاسب-بكالوريوس'!$L$5:$L$208,'فحص-بيانات-بكالوريوس'!$L$5:$L$208,'فحص-بيانات-ماجستير'!$L$5:$L$230),$I133)&amp;"")</f>
        <v/>
      </c>
      <c r="G133" s="2" t="str">
        <f>IF($I133="","",INDEX(CHOOSE($J$3,'فحص-حاسب-بكالوريوس'!$M$5:$M$208,'فحص-بيانات-بكالوريوس'!$M$5:$M$208,'فحص-بيانات-ماجستير'!$M$5:$M$230),$I133)&amp;"")</f>
        <v/>
      </c>
      <c r="I133" s="2" t="str">
        <f>IFERROR(MATCH($E$3&amp;"#"&amp;128,CHOOSE($J$3,'فحص-حاسب-بكالوريوس'!$R$5:$R$208,'فحص-بيانات-بكالوريوس'!$R$5:$R$208,'فحص-بيانات-ماجستير'!$R$5:$R$230),0),"")</f>
        <v/>
      </c>
    </row>
    <row r="134" spans="1:9" x14ac:dyDescent="0.2">
      <c r="A134" s="1" t="str">
        <f>IF($I134="","",129)</f>
        <v/>
      </c>
      <c r="B134" s="2" t="str">
        <f>IF($I134="","",INDEX(CHOOSE($J$3,'فحص-حاسب-بكالوريوس'!$A$5:$A$208,'فحص-بيانات-بكالوريوس'!$A$5:$A$208,'فحص-بيانات-ماجستير'!$A$5:$A$230),$I134)&amp;"")</f>
        <v/>
      </c>
      <c r="C134" s="2" t="str">
        <f>IF($I134="","",INDEX(CHOOSE($J$3,'فحص-حاسب-بكالوريوس'!$F$5:$F$208,'فحص-بيانات-بكالوريوس'!$F$5:$F$208,'فحص-بيانات-ماجستير'!$F$5:$F$230),$I134)&amp;"")</f>
        <v/>
      </c>
      <c r="D134" s="2" t="str">
        <f>IF($I134="","",INDEX(CHOOSE($J$3,'فحص-حاسب-بكالوريوس'!$H$5:$H$208,'فحص-بيانات-بكالوريوس'!$H$5:$H$208,'فحص-بيانات-ماجستير'!$H$5:$H$230),$I134)&amp;"")</f>
        <v/>
      </c>
      <c r="E134" s="2" t="str">
        <f>IF($I134="","",INDEX(CHOOSE($J$3,'فحص-حاسب-بكالوريوس'!$J$5:$J$208,'فحص-بيانات-بكالوريوس'!$J$5:$J$208,'فحص-بيانات-ماجستير'!$J$5:$J$230),$I134)&amp;"")</f>
        <v/>
      </c>
      <c r="F134" s="2" t="str">
        <f>IF($I134="","",INDEX(CHOOSE($J$3,'فحص-حاسب-بكالوريوس'!$L$5:$L$208,'فحص-بيانات-بكالوريوس'!$L$5:$L$208,'فحص-بيانات-ماجستير'!$L$5:$L$230),$I134)&amp;"")</f>
        <v/>
      </c>
      <c r="G134" s="2" t="str">
        <f>IF($I134="","",INDEX(CHOOSE($J$3,'فحص-حاسب-بكالوريوس'!$M$5:$M$208,'فحص-بيانات-بكالوريوس'!$M$5:$M$208,'فحص-بيانات-ماجستير'!$M$5:$M$230),$I134)&amp;"")</f>
        <v/>
      </c>
      <c r="I134" s="2" t="str">
        <f>IFERROR(MATCH($E$3&amp;"#"&amp;129,CHOOSE($J$3,'فحص-حاسب-بكالوريوس'!$R$5:$R$208,'فحص-بيانات-بكالوريوس'!$R$5:$R$208,'فحص-بيانات-ماجستير'!$R$5:$R$230),0),"")</f>
        <v/>
      </c>
    </row>
    <row r="135" spans="1:9" x14ac:dyDescent="0.2">
      <c r="A135" s="1" t="str">
        <f>IF($I135="","",130)</f>
        <v/>
      </c>
      <c r="B135" s="2" t="str">
        <f>IF($I135="","",INDEX(CHOOSE($J$3,'فحص-حاسب-بكالوريوس'!$A$5:$A$208,'فحص-بيانات-بكالوريوس'!$A$5:$A$208,'فحص-بيانات-ماجستير'!$A$5:$A$230),$I135)&amp;"")</f>
        <v/>
      </c>
      <c r="C135" s="2" t="str">
        <f>IF($I135="","",INDEX(CHOOSE($J$3,'فحص-حاسب-بكالوريوس'!$F$5:$F$208,'فحص-بيانات-بكالوريوس'!$F$5:$F$208,'فحص-بيانات-ماجستير'!$F$5:$F$230),$I135)&amp;"")</f>
        <v/>
      </c>
      <c r="D135" s="2" t="str">
        <f>IF($I135="","",INDEX(CHOOSE($J$3,'فحص-حاسب-بكالوريوس'!$H$5:$H$208,'فحص-بيانات-بكالوريوس'!$H$5:$H$208,'فحص-بيانات-ماجستير'!$H$5:$H$230),$I135)&amp;"")</f>
        <v/>
      </c>
      <c r="E135" s="2" t="str">
        <f>IF($I135="","",INDEX(CHOOSE($J$3,'فحص-حاسب-بكالوريوس'!$J$5:$J$208,'فحص-بيانات-بكالوريوس'!$J$5:$J$208,'فحص-بيانات-ماجستير'!$J$5:$J$230),$I135)&amp;"")</f>
        <v/>
      </c>
      <c r="F135" s="2" t="str">
        <f>IF($I135="","",INDEX(CHOOSE($J$3,'فحص-حاسب-بكالوريوس'!$L$5:$L$208,'فحص-بيانات-بكالوريوس'!$L$5:$L$208,'فحص-بيانات-ماجستير'!$L$5:$L$230),$I135)&amp;"")</f>
        <v/>
      </c>
      <c r="G135" s="2" t="str">
        <f>IF($I135="","",INDEX(CHOOSE($J$3,'فحص-حاسب-بكالوريوس'!$M$5:$M$208,'فحص-بيانات-بكالوريوس'!$M$5:$M$208,'فحص-بيانات-ماجستير'!$M$5:$M$230),$I135)&amp;"")</f>
        <v/>
      </c>
      <c r="I135" s="2" t="str">
        <f>IFERROR(MATCH($E$3&amp;"#"&amp;130,CHOOSE($J$3,'فحص-حاسب-بكالوريوس'!$R$5:$R$208,'فحص-بيانات-بكالوريوس'!$R$5:$R$208,'فحص-بيانات-ماجستير'!$R$5:$R$230),0),"")</f>
        <v/>
      </c>
    </row>
    <row r="136" spans="1:9" x14ac:dyDescent="0.2">
      <c r="A136" s="1" t="str">
        <f>IF($I136="","",131)</f>
        <v/>
      </c>
      <c r="B136" s="2" t="str">
        <f>IF($I136="","",INDEX(CHOOSE($J$3,'فحص-حاسب-بكالوريوس'!$A$5:$A$208,'فحص-بيانات-بكالوريوس'!$A$5:$A$208,'فحص-بيانات-ماجستير'!$A$5:$A$230),$I136)&amp;"")</f>
        <v/>
      </c>
      <c r="C136" s="2" t="str">
        <f>IF($I136="","",INDEX(CHOOSE($J$3,'فحص-حاسب-بكالوريوس'!$F$5:$F$208,'فحص-بيانات-بكالوريوس'!$F$5:$F$208,'فحص-بيانات-ماجستير'!$F$5:$F$230),$I136)&amp;"")</f>
        <v/>
      </c>
      <c r="D136" s="2" t="str">
        <f>IF($I136="","",INDEX(CHOOSE($J$3,'فحص-حاسب-بكالوريوس'!$H$5:$H$208,'فحص-بيانات-بكالوريوس'!$H$5:$H$208,'فحص-بيانات-ماجستير'!$H$5:$H$230),$I136)&amp;"")</f>
        <v/>
      </c>
      <c r="E136" s="2" t="str">
        <f>IF($I136="","",INDEX(CHOOSE($J$3,'فحص-حاسب-بكالوريوس'!$J$5:$J$208,'فحص-بيانات-بكالوريوس'!$J$5:$J$208,'فحص-بيانات-ماجستير'!$J$5:$J$230),$I136)&amp;"")</f>
        <v/>
      </c>
      <c r="F136" s="2" t="str">
        <f>IF($I136="","",INDEX(CHOOSE($J$3,'فحص-حاسب-بكالوريوس'!$L$5:$L$208,'فحص-بيانات-بكالوريوس'!$L$5:$L$208,'فحص-بيانات-ماجستير'!$L$5:$L$230),$I136)&amp;"")</f>
        <v/>
      </c>
      <c r="G136" s="2" t="str">
        <f>IF($I136="","",INDEX(CHOOSE($J$3,'فحص-حاسب-بكالوريوس'!$M$5:$M$208,'فحص-بيانات-بكالوريوس'!$M$5:$M$208,'فحص-بيانات-ماجستير'!$M$5:$M$230),$I136)&amp;"")</f>
        <v/>
      </c>
      <c r="I136" s="2" t="str">
        <f>IFERROR(MATCH($E$3&amp;"#"&amp;131,CHOOSE($J$3,'فحص-حاسب-بكالوريوس'!$R$5:$R$208,'فحص-بيانات-بكالوريوس'!$R$5:$R$208,'فحص-بيانات-ماجستير'!$R$5:$R$230),0),"")</f>
        <v/>
      </c>
    </row>
    <row r="137" spans="1:9" x14ac:dyDescent="0.2">
      <c r="A137" s="1" t="str">
        <f>IF($I137="","",132)</f>
        <v/>
      </c>
      <c r="B137" s="2" t="str">
        <f>IF($I137="","",INDEX(CHOOSE($J$3,'فحص-حاسب-بكالوريوس'!$A$5:$A$208,'فحص-بيانات-بكالوريوس'!$A$5:$A$208,'فحص-بيانات-ماجستير'!$A$5:$A$230),$I137)&amp;"")</f>
        <v/>
      </c>
      <c r="C137" s="2" t="str">
        <f>IF($I137="","",INDEX(CHOOSE($J$3,'فحص-حاسب-بكالوريوس'!$F$5:$F$208,'فحص-بيانات-بكالوريوس'!$F$5:$F$208,'فحص-بيانات-ماجستير'!$F$5:$F$230),$I137)&amp;"")</f>
        <v/>
      </c>
      <c r="D137" s="2" t="str">
        <f>IF($I137="","",INDEX(CHOOSE($J$3,'فحص-حاسب-بكالوريوس'!$H$5:$H$208,'فحص-بيانات-بكالوريوس'!$H$5:$H$208,'فحص-بيانات-ماجستير'!$H$5:$H$230),$I137)&amp;"")</f>
        <v/>
      </c>
      <c r="E137" s="2" t="str">
        <f>IF($I137="","",INDEX(CHOOSE($J$3,'فحص-حاسب-بكالوريوس'!$J$5:$J$208,'فحص-بيانات-بكالوريوس'!$J$5:$J$208,'فحص-بيانات-ماجستير'!$J$5:$J$230),$I137)&amp;"")</f>
        <v/>
      </c>
      <c r="F137" s="2" t="str">
        <f>IF($I137="","",INDEX(CHOOSE($J$3,'فحص-حاسب-بكالوريوس'!$L$5:$L$208,'فحص-بيانات-بكالوريوس'!$L$5:$L$208,'فحص-بيانات-ماجستير'!$L$5:$L$230),$I137)&amp;"")</f>
        <v/>
      </c>
      <c r="G137" s="2" t="str">
        <f>IF($I137="","",INDEX(CHOOSE($J$3,'فحص-حاسب-بكالوريوس'!$M$5:$M$208,'فحص-بيانات-بكالوريوس'!$M$5:$M$208,'فحص-بيانات-ماجستير'!$M$5:$M$230),$I137)&amp;"")</f>
        <v/>
      </c>
      <c r="I137" s="2" t="str">
        <f>IFERROR(MATCH($E$3&amp;"#"&amp;132,CHOOSE($J$3,'فحص-حاسب-بكالوريوس'!$R$5:$R$208,'فحص-بيانات-بكالوريوس'!$R$5:$R$208,'فحص-بيانات-ماجستير'!$R$5:$R$230),0),"")</f>
        <v/>
      </c>
    </row>
    <row r="138" spans="1:9" x14ac:dyDescent="0.2">
      <c r="A138" s="1" t="str">
        <f>IF($I138="","",133)</f>
        <v/>
      </c>
      <c r="B138" s="2" t="str">
        <f>IF($I138="","",INDEX(CHOOSE($J$3,'فحص-حاسب-بكالوريوس'!$A$5:$A$208,'فحص-بيانات-بكالوريوس'!$A$5:$A$208,'فحص-بيانات-ماجستير'!$A$5:$A$230),$I138)&amp;"")</f>
        <v/>
      </c>
      <c r="C138" s="2" t="str">
        <f>IF($I138="","",INDEX(CHOOSE($J$3,'فحص-حاسب-بكالوريوس'!$F$5:$F$208,'فحص-بيانات-بكالوريوس'!$F$5:$F$208,'فحص-بيانات-ماجستير'!$F$5:$F$230),$I138)&amp;"")</f>
        <v/>
      </c>
      <c r="D138" s="2" t="str">
        <f>IF($I138="","",INDEX(CHOOSE($J$3,'فحص-حاسب-بكالوريوس'!$H$5:$H$208,'فحص-بيانات-بكالوريوس'!$H$5:$H$208,'فحص-بيانات-ماجستير'!$H$5:$H$230),$I138)&amp;"")</f>
        <v/>
      </c>
      <c r="E138" s="2" t="str">
        <f>IF($I138="","",INDEX(CHOOSE($J$3,'فحص-حاسب-بكالوريوس'!$J$5:$J$208,'فحص-بيانات-بكالوريوس'!$J$5:$J$208,'فحص-بيانات-ماجستير'!$J$5:$J$230),$I138)&amp;"")</f>
        <v/>
      </c>
      <c r="F138" s="2" t="str">
        <f>IF($I138="","",INDEX(CHOOSE($J$3,'فحص-حاسب-بكالوريوس'!$L$5:$L$208,'فحص-بيانات-بكالوريوس'!$L$5:$L$208,'فحص-بيانات-ماجستير'!$L$5:$L$230),$I138)&amp;"")</f>
        <v/>
      </c>
      <c r="G138" s="2" t="str">
        <f>IF($I138="","",INDEX(CHOOSE($J$3,'فحص-حاسب-بكالوريوس'!$M$5:$M$208,'فحص-بيانات-بكالوريوس'!$M$5:$M$208,'فحص-بيانات-ماجستير'!$M$5:$M$230),$I138)&amp;"")</f>
        <v/>
      </c>
      <c r="I138" s="2" t="str">
        <f>IFERROR(MATCH($E$3&amp;"#"&amp;133,CHOOSE($J$3,'فحص-حاسب-بكالوريوس'!$R$5:$R$208,'فحص-بيانات-بكالوريوس'!$R$5:$R$208,'فحص-بيانات-ماجستير'!$R$5:$R$230),0),"")</f>
        <v/>
      </c>
    </row>
    <row r="139" spans="1:9" x14ac:dyDescent="0.2">
      <c r="A139" s="1" t="str">
        <f>IF($I139="","",134)</f>
        <v/>
      </c>
      <c r="B139" s="2" t="str">
        <f>IF($I139="","",INDEX(CHOOSE($J$3,'فحص-حاسب-بكالوريوس'!$A$5:$A$208,'فحص-بيانات-بكالوريوس'!$A$5:$A$208,'فحص-بيانات-ماجستير'!$A$5:$A$230),$I139)&amp;"")</f>
        <v/>
      </c>
      <c r="C139" s="2" t="str">
        <f>IF($I139="","",INDEX(CHOOSE($J$3,'فحص-حاسب-بكالوريوس'!$F$5:$F$208,'فحص-بيانات-بكالوريوس'!$F$5:$F$208,'فحص-بيانات-ماجستير'!$F$5:$F$230),$I139)&amp;"")</f>
        <v/>
      </c>
      <c r="D139" s="2" t="str">
        <f>IF($I139="","",INDEX(CHOOSE($J$3,'فحص-حاسب-بكالوريوس'!$H$5:$H$208,'فحص-بيانات-بكالوريوس'!$H$5:$H$208,'فحص-بيانات-ماجستير'!$H$5:$H$230),$I139)&amp;"")</f>
        <v/>
      </c>
      <c r="E139" s="2" t="str">
        <f>IF($I139="","",INDEX(CHOOSE($J$3,'فحص-حاسب-بكالوريوس'!$J$5:$J$208,'فحص-بيانات-بكالوريوس'!$J$5:$J$208,'فحص-بيانات-ماجستير'!$J$5:$J$230),$I139)&amp;"")</f>
        <v/>
      </c>
      <c r="F139" s="2" t="str">
        <f>IF($I139="","",INDEX(CHOOSE($J$3,'فحص-حاسب-بكالوريوس'!$L$5:$L$208,'فحص-بيانات-بكالوريوس'!$L$5:$L$208,'فحص-بيانات-ماجستير'!$L$5:$L$230),$I139)&amp;"")</f>
        <v/>
      </c>
      <c r="G139" s="2" t="str">
        <f>IF($I139="","",INDEX(CHOOSE($J$3,'فحص-حاسب-بكالوريوس'!$M$5:$M$208,'فحص-بيانات-بكالوريوس'!$M$5:$M$208,'فحص-بيانات-ماجستير'!$M$5:$M$230),$I139)&amp;"")</f>
        <v/>
      </c>
      <c r="I139" s="2" t="str">
        <f>IFERROR(MATCH($E$3&amp;"#"&amp;134,CHOOSE($J$3,'فحص-حاسب-بكالوريوس'!$R$5:$R$208,'فحص-بيانات-بكالوريوس'!$R$5:$R$208,'فحص-بيانات-ماجستير'!$R$5:$R$230),0),"")</f>
        <v/>
      </c>
    </row>
    <row r="140" spans="1:9" x14ac:dyDescent="0.2">
      <c r="A140" s="1" t="str">
        <f>IF($I140="","",135)</f>
        <v/>
      </c>
      <c r="B140" s="2" t="str">
        <f>IF($I140="","",INDEX(CHOOSE($J$3,'فحص-حاسب-بكالوريوس'!$A$5:$A$208,'فحص-بيانات-بكالوريوس'!$A$5:$A$208,'فحص-بيانات-ماجستير'!$A$5:$A$230),$I140)&amp;"")</f>
        <v/>
      </c>
      <c r="C140" s="2" t="str">
        <f>IF($I140="","",INDEX(CHOOSE($J$3,'فحص-حاسب-بكالوريوس'!$F$5:$F$208,'فحص-بيانات-بكالوريوس'!$F$5:$F$208,'فحص-بيانات-ماجستير'!$F$5:$F$230),$I140)&amp;"")</f>
        <v/>
      </c>
      <c r="D140" s="2" t="str">
        <f>IF($I140="","",INDEX(CHOOSE($J$3,'فحص-حاسب-بكالوريوس'!$H$5:$H$208,'فحص-بيانات-بكالوريوس'!$H$5:$H$208,'فحص-بيانات-ماجستير'!$H$5:$H$230),$I140)&amp;"")</f>
        <v/>
      </c>
      <c r="E140" s="2" t="str">
        <f>IF($I140="","",INDEX(CHOOSE($J$3,'فحص-حاسب-بكالوريوس'!$J$5:$J$208,'فحص-بيانات-بكالوريوس'!$J$5:$J$208,'فحص-بيانات-ماجستير'!$J$5:$J$230),$I140)&amp;"")</f>
        <v/>
      </c>
      <c r="F140" s="2" t="str">
        <f>IF($I140="","",INDEX(CHOOSE($J$3,'فحص-حاسب-بكالوريوس'!$L$5:$L$208,'فحص-بيانات-بكالوريوس'!$L$5:$L$208,'فحص-بيانات-ماجستير'!$L$5:$L$230),$I140)&amp;"")</f>
        <v/>
      </c>
      <c r="G140" s="2" t="str">
        <f>IF($I140="","",INDEX(CHOOSE($J$3,'فحص-حاسب-بكالوريوس'!$M$5:$M$208,'فحص-بيانات-بكالوريوس'!$M$5:$M$208,'فحص-بيانات-ماجستير'!$M$5:$M$230),$I140)&amp;"")</f>
        <v/>
      </c>
      <c r="I140" s="2" t="str">
        <f>IFERROR(MATCH($E$3&amp;"#"&amp;135,CHOOSE($J$3,'فحص-حاسب-بكالوريوس'!$R$5:$R$208,'فحص-بيانات-بكالوريوس'!$R$5:$R$208,'فحص-بيانات-ماجستير'!$R$5:$R$230),0),"")</f>
        <v/>
      </c>
    </row>
    <row r="141" spans="1:9" x14ac:dyDescent="0.2">
      <c r="A141" s="1" t="str">
        <f>IF($I141="","",136)</f>
        <v/>
      </c>
      <c r="B141" s="2" t="str">
        <f>IF($I141="","",INDEX(CHOOSE($J$3,'فحص-حاسب-بكالوريوس'!$A$5:$A$208,'فحص-بيانات-بكالوريوس'!$A$5:$A$208,'فحص-بيانات-ماجستير'!$A$5:$A$230),$I141)&amp;"")</f>
        <v/>
      </c>
      <c r="C141" s="2" t="str">
        <f>IF($I141="","",INDEX(CHOOSE($J$3,'فحص-حاسب-بكالوريوس'!$F$5:$F$208,'فحص-بيانات-بكالوريوس'!$F$5:$F$208,'فحص-بيانات-ماجستير'!$F$5:$F$230),$I141)&amp;"")</f>
        <v/>
      </c>
      <c r="D141" s="2" t="str">
        <f>IF($I141="","",INDEX(CHOOSE($J$3,'فحص-حاسب-بكالوريوس'!$H$5:$H$208,'فحص-بيانات-بكالوريوس'!$H$5:$H$208,'فحص-بيانات-ماجستير'!$H$5:$H$230),$I141)&amp;"")</f>
        <v/>
      </c>
      <c r="E141" s="2" t="str">
        <f>IF($I141="","",INDEX(CHOOSE($J$3,'فحص-حاسب-بكالوريوس'!$J$5:$J$208,'فحص-بيانات-بكالوريوس'!$J$5:$J$208,'فحص-بيانات-ماجستير'!$J$5:$J$230),$I141)&amp;"")</f>
        <v/>
      </c>
      <c r="F141" s="2" t="str">
        <f>IF($I141="","",INDEX(CHOOSE($J$3,'فحص-حاسب-بكالوريوس'!$L$5:$L$208,'فحص-بيانات-بكالوريوس'!$L$5:$L$208,'فحص-بيانات-ماجستير'!$L$5:$L$230),$I141)&amp;"")</f>
        <v/>
      </c>
      <c r="G141" s="2" t="str">
        <f>IF($I141="","",INDEX(CHOOSE($J$3,'فحص-حاسب-بكالوريوس'!$M$5:$M$208,'فحص-بيانات-بكالوريوس'!$M$5:$M$208,'فحص-بيانات-ماجستير'!$M$5:$M$230),$I141)&amp;"")</f>
        <v/>
      </c>
      <c r="I141" s="2" t="str">
        <f>IFERROR(MATCH($E$3&amp;"#"&amp;136,CHOOSE($J$3,'فحص-حاسب-بكالوريوس'!$R$5:$R$208,'فحص-بيانات-بكالوريوس'!$R$5:$R$208,'فحص-بيانات-ماجستير'!$R$5:$R$230),0),"")</f>
        <v/>
      </c>
    </row>
    <row r="142" spans="1:9" x14ac:dyDescent="0.2">
      <c r="A142" s="1" t="str">
        <f>IF($I142="","",137)</f>
        <v/>
      </c>
      <c r="B142" s="2" t="str">
        <f>IF($I142="","",INDEX(CHOOSE($J$3,'فحص-حاسب-بكالوريوس'!$A$5:$A$208,'فحص-بيانات-بكالوريوس'!$A$5:$A$208,'فحص-بيانات-ماجستير'!$A$5:$A$230),$I142)&amp;"")</f>
        <v/>
      </c>
      <c r="C142" s="2" t="str">
        <f>IF($I142="","",INDEX(CHOOSE($J$3,'فحص-حاسب-بكالوريوس'!$F$5:$F$208,'فحص-بيانات-بكالوريوس'!$F$5:$F$208,'فحص-بيانات-ماجستير'!$F$5:$F$230),$I142)&amp;"")</f>
        <v/>
      </c>
      <c r="D142" s="2" t="str">
        <f>IF($I142="","",INDEX(CHOOSE($J$3,'فحص-حاسب-بكالوريوس'!$H$5:$H$208,'فحص-بيانات-بكالوريوس'!$H$5:$H$208,'فحص-بيانات-ماجستير'!$H$5:$H$230),$I142)&amp;"")</f>
        <v/>
      </c>
      <c r="E142" s="2" t="str">
        <f>IF($I142="","",INDEX(CHOOSE($J$3,'فحص-حاسب-بكالوريوس'!$J$5:$J$208,'فحص-بيانات-بكالوريوس'!$J$5:$J$208,'فحص-بيانات-ماجستير'!$J$5:$J$230),$I142)&amp;"")</f>
        <v/>
      </c>
      <c r="F142" s="2" t="str">
        <f>IF($I142="","",INDEX(CHOOSE($J$3,'فحص-حاسب-بكالوريوس'!$L$5:$L$208,'فحص-بيانات-بكالوريوس'!$L$5:$L$208,'فحص-بيانات-ماجستير'!$L$5:$L$230),$I142)&amp;"")</f>
        <v/>
      </c>
      <c r="G142" s="2" t="str">
        <f>IF($I142="","",INDEX(CHOOSE($J$3,'فحص-حاسب-بكالوريوس'!$M$5:$M$208,'فحص-بيانات-بكالوريوس'!$M$5:$M$208,'فحص-بيانات-ماجستير'!$M$5:$M$230),$I142)&amp;"")</f>
        <v/>
      </c>
      <c r="I142" s="2" t="str">
        <f>IFERROR(MATCH($E$3&amp;"#"&amp;137,CHOOSE($J$3,'فحص-حاسب-بكالوريوس'!$R$5:$R$208,'فحص-بيانات-بكالوريوس'!$R$5:$R$208,'فحص-بيانات-ماجستير'!$R$5:$R$230),0),"")</f>
        <v/>
      </c>
    </row>
    <row r="143" spans="1:9" x14ac:dyDescent="0.2">
      <c r="A143" s="1" t="str">
        <f>IF($I143="","",138)</f>
        <v/>
      </c>
      <c r="B143" s="2" t="str">
        <f>IF($I143="","",INDEX(CHOOSE($J$3,'فحص-حاسب-بكالوريوس'!$A$5:$A$208,'فحص-بيانات-بكالوريوس'!$A$5:$A$208,'فحص-بيانات-ماجستير'!$A$5:$A$230),$I143)&amp;"")</f>
        <v/>
      </c>
      <c r="C143" s="2" t="str">
        <f>IF($I143="","",INDEX(CHOOSE($J$3,'فحص-حاسب-بكالوريوس'!$F$5:$F$208,'فحص-بيانات-بكالوريوس'!$F$5:$F$208,'فحص-بيانات-ماجستير'!$F$5:$F$230),$I143)&amp;"")</f>
        <v/>
      </c>
      <c r="D143" s="2" t="str">
        <f>IF($I143="","",INDEX(CHOOSE($J$3,'فحص-حاسب-بكالوريوس'!$H$5:$H$208,'فحص-بيانات-بكالوريوس'!$H$5:$H$208,'فحص-بيانات-ماجستير'!$H$5:$H$230),$I143)&amp;"")</f>
        <v/>
      </c>
      <c r="E143" s="2" t="str">
        <f>IF($I143="","",INDEX(CHOOSE($J$3,'فحص-حاسب-بكالوريوس'!$J$5:$J$208,'فحص-بيانات-بكالوريوس'!$J$5:$J$208,'فحص-بيانات-ماجستير'!$J$5:$J$230),$I143)&amp;"")</f>
        <v/>
      </c>
      <c r="F143" s="2" t="str">
        <f>IF($I143="","",INDEX(CHOOSE($J$3,'فحص-حاسب-بكالوريوس'!$L$5:$L$208,'فحص-بيانات-بكالوريوس'!$L$5:$L$208,'فحص-بيانات-ماجستير'!$L$5:$L$230),$I143)&amp;"")</f>
        <v/>
      </c>
      <c r="G143" s="2" t="str">
        <f>IF($I143="","",INDEX(CHOOSE($J$3,'فحص-حاسب-بكالوريوس'!$M$5:$M$208,'فحص-بيانات-بكالوريوس'!$M$5:$M$208,'فحص-بيانات-ماجستير'!$M$5:$M$230),$I143)&amp;"")</f>
        <v/>
      </c>
      <c r="I143" s="2" t="str">
        <f>IFERROR(MATCH($E$3&amp;"#"&amp;138,CHOOSE($J$3,'فحص-حاسب-بكالوريوس'!$R$5:$R$208,'فحص-بيانات-بكالوريوس'!$R$5:$R$208,'فحص-بيانات-ماجستير'!$R$5:$R$230),0),"")</f>
        <v/>
      </c>
    </row>
    <row r="144" spans="1:9" x14ac:dyDescent="0.2">
      <c r="A144" s="1" t="str">
        <f>IF($I144="","",139)</f>
        <v/>
      </c>
      <c r="B144" s="2" t="str">
        <f>IF($I144="","",INDEX(CHOOSE($J$3,'فحص-حاسب-بكالوريوس'!$A$5:$A$208,'فحص-بيانات-بكالوريوس'!$A$5:$A$208,'فحص-بيانات-ماجستير'!$A$5:$A$230),$I144)&amp;"")</f>
        <v/>
      </c>
      <c r="C144" s="2" t="str">
        <f>IF($I144="","",INDEX(CHOOSE($J$3,'فحص-حاسب-بكالوريوس'!$F$5:$F$208,'فحص-بيانات-بكالوريوس'!$F$5:$F$208,'فحص-بيانات-ماجستير'!$F$5:$F$230),$I144)&amp;"")</f>
        <v/>
      </c>
      <c r="D144" s="2" t="str">
        <f>IF($I144="","",INDEX(CHOOSE($J$3,'فحص-حاسب-بكالوريوس'!$H$5:$H$208,'فحص-بيانات-بكالوريوس'!$H$5:$H$208,'فحص-بيانات-ماجستير'!$H$5:$H$230),$I144)&amp;"")</f>
        <v/>
      </c>
      <c r="E144" s="2" t="str">
        <f>IF($I144="","",INDEX(CHOOSE($J$3,'فحص-حاسب-بكالوريوس'!$J$5:$J$208,'فحص-بيانات-بكالوريوس'!$J$5:$J$208,'فحص-بيانات-ماجستير'!$J$5:$J$230),$I144)&amp;"")</f>
        <v/>
      </c>
      <c r="F144" s="2" t="str">
        <f>IF($I144="","",INDEX(CHOOSE($J$3,'فحص-حاسب-بكالوريوس'!$L$5:$L$208,'فحص-بيانات-بكالوريوس'!$L$5:$L$208,'فحص-بيانات-ماجستير'!$L$5:$L$230),$I144)&amp;"")</f>
        <v/>
      </c>
      <c r="G144" s="2" t="str">
        <f>IF($I144="","",INDEX(CHOOSE($J$3,'فحص-حاسب-بكالوريوس'!$M$5:$M$208,'فحص-بيانات-بكالوريوس'!$M$5:$M$208,'فحص-بيانات-ماجستير'!$M$5:$M$230),$I144)&amp;"")</f>
        <v/>
      </c>
      <c r="I144" s="2" t="str">
        <f>IFERROR(MATCH($E$3&amp;"#"&amp;139,CHOOSE($J$3,'فحص-حاسب-بكالوريوس'!$R$5:$R$208,'فحص-بيانات-بكالوريوس'!$R$5:$R$208,'فحص-بيانات-ماجستير'!$R$5:$R$230),0),"")</f>
        <v/>
      </c>
    </row>
    <row r="145" spans="1:9" x14ac:dyDescent="0.2">
      <c r="A145" s="1" t="str">
        <f>IF($I145="","",140)</f>
        <v/>
      </c>
      <c r="B145" s="2" t="str">
        <f>IF($I145="","",INDEX(CHOOSE($J$3,'فحص-حاسب-بكالوريوس'!$A$5:$A$208,'فحص-بيانات-بكالوريوس'!$A$5:$A$208,'فحص-بيانات-ماجستير'!$A$5:$A$230),$I145)&amp;"")</f>
        <v/>
      </c>
      <c r="C145" s="2" t="str">
        <f>IF($I145="","",INDEX(CHOOSE($J$3,'فحص-حاسب-بكالوريوس'!$F$5:$F$208,'فحص-بيانات-بكالوريوس'!$F$5:$F$208,'فحص-بيانات-ماجستير'!$F$5:$F$230),$I145)&amp;"")</f>
        <v/>
      </c>
      <c r="D145" s="2" t="str">
        <f>IF($I145="","",INDEX(CHOOSE($J$3,'فحص-حاسب-بكالوريوس'!$H$5:$H$208,'فحص-بيانات-بكالوريوس'!$H$5:$H$208,'فحص-بيانات-ماجستير'!$H$5:$H$230),$I145)&amp;"")</f>
        <v/>
      </c>
      <c r="E145" s="2" t="str">
        <f>IF($I145="","",INDEX(CHOOSE($J$3,'فحص-حاسب-بكالوريوس'!$J$5:$J$208,'فحص-بيانات-بكالوريوس'!$J$5:$J$208,'فحص-بيانات-ماجستير'!$J$5:$J$230),$I145)&amp;"")</f>
        <v/>
      </c>
      <c r="F145" s="2" t="str">
        <f>IF($I145="","",INDEX(CHOOSE($J$3,'فحص-حاسب-بكالوريوس'!$L$5:$L$208,'فحص-بيانات-بكالوريوس'!$L$5:$L$208,'فحص-بيانات-ماجستير'!$L$5:$L$230),$I145)&amp;"")</f>
        <v/>
      </c>
      <c r="G145" s="2" t="str">
        <f>IF($I145="","",INDEX(CHOOSE($J$3,'فحص-حاسب-بكالوريوس'!$M$5:$M$208,'فحص-بيانات-بكالوريوس'!$M$5:$M$208,'فحص-بيانات-ماجستير'!$M$5:$M$230),$I145)&amp;"")</f>
        <v/>
      </c>
      <c r="I145" s="2" t="str">
        <f>IFERROR(MATCH($E$3&amp;"#"&amp;140,CHOOSE($J$3,'فحص-حاسب-بكالوريوس'!$R$5:$R$208,'فحص-بيانات-بكالوريوس'!$R$5:$R$208,'فحص-بيانات-ماجستير'!$R$5:$R$230),0),"")</f>
        <v/>
      </c>
    </row>
    <row r="146" spans="1:9" x14ac:dyDescent="0.2">
      <c r="A146" s="1" t="str">
        <f>IF($I146="","",141)</f>
        <v/>
      </c>
      <c r="B146" s="2" t="str">
        <f>IF($I146="","",INDEX(CHOOSE($J$3,'فحص-حاسب-بكالوريوس'!$A$5:$A$208,'فحص-بيانات-بكالوريوس'!$A$5:$A$208,'فحص-بيانات-ماجستير'!$A$5:$A$230),$I146)&amp;"")</f>
        <v/>
      </c>
      <c r="C146" s="2" t="str">
        <f>IF($I146="","",INDEX(CHOOSE($J$3,'فحص-حاسب-بكالوريوس'!$F$5:$F$208,'فحص-بيانات-بكالوريوس'!$F$5:$F$208,'فحص-بيانات-ماجستير'!$F$5:$F$230),$I146)&amp;"")</f>
        <v/>
      </c>
      <c r="D146" s="2" t="str">
        <f>IF($I146="","",INDEX(CHOOSE($J$3,'فحص-حاسب-بكالوريوس'!$H$5:$H$208,'فحص-بيانات-بكالوريوس'!$H$5:$H$208,'فحص-بيانات-ماجستير'!$H$5:$H$230),$I146)&amp;"")</f>
        <v/>
      </c>
      <c r="E146" s="2" t="str">
        <f>IF($I146="","",INDEX(CHOOSE($J$3,'فحص-حاسب-بكالوريوس'!$J$5:$J$208,'فحص-بيانات-بكالوريوس'!$J$5:$J$208,'فحص-بيانات-ماجستير'!$J$5:$J$230),$I146)&amp;"")</f>
        <v/>
      </c>
      <c r="F146" s="2" t="str">
        <f>IF($I146="","",INDEX(CHOOSE($J$3,'فحص-حاسب-بكالوريوس'!$L$5:$L$208,'فحص-بيانات-بكالوريوس'!$L$5:$L$208,'فحص-بيانات-ماجستير'!$L$5:$L$230),$I146)&amp;"")</f>
        <v/>
      </c>
      <c r="G146" s="2" t="str">
        <f>IF($I146="","",INDEX(CHOOSE($J$3,'فحص-حاسب-بكالوريوس'!$M$5:$M$208,'فحص-بيانات-بكالوريوس'!$M$5:$M$208,'فحص-بيانات-ماجستير'!$M$5:$M$230),$I146)&amp;"")</f>
        <v/>
      </c>
      <c r="I146" s="2" t="str">
        <f>IFERROR(MATCH($E$3&amp;"#"&amp;141,CHOOSE($J$3,'فحص-حاسب-بكالوريوس'!$R$5:$R$208,'فحص-بيانات-بكالوريوس'!$R$5:$R$208,'فحص-بيانات-ماجستير'!$R$5:$R$230),0),"")</f>
        <v/>
      </c>
    </row>
    <row r="147" spans="1:9" x14ac:dyDescent="0.2">
      <c r="A147" s="1" t="str">
        <f>IF($I147="","",142)</f>
        <v/>
      </c>
      <c r="B147" s="2" t="str">
        <f>IF($I147="","",INDEX(CHOOSE($J$3,'فحص-حاسب-بكالوريوس'!$A$5:$A$208,'فحص-بيانات-بكالوريوس'!$A$5:$A$208,'فحص-بيانات-ماجستير'!$A$5:$A$230),$I147)&amp;"")</f>
        <v/>
      </c>
      <c r="C147" s="2" t="str">
        <f>IF($I147="","",INDEX(CHOOSE($J$3,'فحص-حاسب-بكالوريوس'!$F$5:$F$208,'فحص-بيانات-بكالوريوس'!$F$5:$F$208,'فحص-بيانات-ماجستير'!$F$5:$F$230),$I147)&amp;"")</f>
        <v/>
      </c>
      <c r="D147" s="2" t="str">
        <f>IF($I147="","",INDEX(CHOOSE($J$3,'فحص-حاسب-بكالوريوس'!$H$5:$H$208,'فحص-بيانات-بكالوريوس'!$H$5:$H$208,'فحص-بيانات-ماجستير'!$H$5:$H$230),$I147)&amp;"")</f>
        <v/>
      </c>
      <c r="E147" s="2" t="str">
        <f>IF($I147="","",INDEX(CHOOSE($J$3,'فحص-حاسب-بكالوريوس'!$J$5:$J$208,'فحص-بيانات-بكالوريوس'!$J$5:$J$208,'فحص-بيانات-ماجستير'!$J$5:$J$230),$I147)&amp;"")</f>
        <v/>
      </c>
      <c r="F147" s="2" t="str">
        <f>IF($I147="","",INDEX(CHOOSE($J$3,'فحص-حاسب-بكالوريوس'!$L$5:$L$208,'فحص-بيانات-بكالوريوس'!$L$5:$L$208,'فحص-بيانات-ماجستير'!$L$5:$L$230),$I147)&amp;"")</f>
        <v/>
      </c>
      <c r="G147" s="2" t="str">
        <f>IF($I147="","",INDEX(CHOOSE($J$3,'فحص-حاسب-بكالوريوس'!$M$5:$M$208,'فحص-بيانات-بكالوريوس'!$M$5:$M$208,'فحص-بيانات-ماجستير'!$M$5:$M$230),$I147)&amp;"")</f>
        <v/>
      </c>
      <c r="I147" s="2" t="str">
        <f>IFERROR(MATCH($E$3&amp;"#"&amp;142,CHOOSE($J$3,'فحص-حاسب-بكالوريوس'!$R$5:$R$208,'فحص-بيانات-بكالوريوس'!$R$5:$R$208,'فحص-بيانات-ماجستير'!$R$5:$R$230),0),"")</f>
        <v/>
      </c>
    </row>
    <row r="148" spans="1:9" x14ac:dyDescent="0.2">
      <c r="A148" s="1" t="str">
        <f>IF($I148="","",143)</f>
        <v/>
      </c>
      <c r="B148" s="2" t="str">
        <f>IF($I148="","",INDEX(CHOOSE($J$3,'فحص-حاسب-بكالوريوس'!$A$5:$A$208,'فحص-بيانات-بكالوريوس'!$A$5:$A$208,'فحص-بيانات-ماجستير'!$A$5:$A$230),$I148)&amp;"")</f>
        <v/>
      </c>
      <c r="C148" s="2" t="str">
        <f>IF($I148="","",INDEX(CHOOSE($J$3,'فحص-حاسب-بكالوريوس'!$F$5:$F$208,'فحص-بيانات-بكالوريوس'!$F$5:$F$208,'فحص-بيانات-ماجستير'!$F$5:$F$230),$I148)&amp;"")</f>
        <v/>
      </c>
      <c r="D148" s="2" t="str">
        <f>IF($I148="","",INDEX(CHOOSE($J$3,'فحص-حاسب-بكالوريوس'!$H$5:$H$208,'فحص-بيانات-بكالوريوس'!$H$5:$H$208,'فحص-بيانات-ماجستير'!$H$5:$H$230),$I148)&amp;"")</f>
        <v/>
      </c>
      <c r="E148" s="2" t="str">
        <f>IF($I148="","",INDEX(CHOOSE($J$3,'فحص-حاسب-بكالوريوس'!$J$5:$J$208,'فحص-بيانات-بكالوريوس'!$J$5:$J$208,'فحص-بيانات-ماجستير'!$J$5:$J$230),$I148)&amp;"")</f>
        <v/>
      </c>
      <c r="F148" s="2" t="str">
        <f>IF($I148="","",INDEX(CHOOSE($J$3,'فحص-حاسب-بكالوريوس'!$L$5:$L$208,'فحص-بيانات-بكالوريوس'!$L$5:$L$208,'فحص-بيانات-ماجستير'!$L$5:$L$230),$I148)&amp;"")</f>
        <v/>
      </c>
      <c r="G148" s="2" t="str">
        <f>IF($I148="","",INDEX(CHOOSE($J$3,'فحص-حاسب-بكالوريوس'!$M$5:$M$208,'فحص-بيانات-بكالوريوس'!$M$5:$M$208,'فحص-بيانات-ماجستير'!$M$5:$M$230),$I148)&amp;"")</f>
        <v/>
      </c>
      <c r="I148" s="2" t="str">
        <f>IFERROR(MATCH($E$3&amp;"#"&amp;143,CHOOSE($J$3,'فحص-حاسب-بكالوريوس'!$R$5:$R$208,'فحص-بيانات-بكالوريوس'!$R$5:$R$208,'فحص-بيانات-ماجستير'!$R$5:$R$230),0),"")</f>
        <v/>
      </c>
    </row>
    <row r="149" spans="1:9" x14ac:dyDescent="0.2">
      <c r="A149" s="1" t="str">
        <f>IF($I149="","",144)</f>
        <v/>
      </c>
      <c r="B149" s="2" t="str">
        <f>IF($I149="","",INDEX(CHOOSE($J$3,'فحص-حاسب-بكالوريوس'!$A$5:$A$208,'فحص-بيانات-بكالوريوس'!$A$5:$A$208,'فحص-بيانات-ماجستير'!$A$5:$A$230),$I149)&amp;"")</f>
        <v/>
      </c>
      <c r="C149" s="2" t="str">
        <f>IF($I149="","",INDEX(CHOOSE($J$3,'فحص-حاسب-بكالوريوس'!$F$5:$F$208,'فحص-بيانات-بكالوريوس'!$F$5:$F$208,'فحص-بيانات-ماجستير'!$F$5:$F$230),$I149)&amp;"")</f>
        <v/>
      </c>
      <c r="D149" s="2" t="str">
        <f>IF($I149="","",INDEX(CHOOSE($J$3,'فحص-حاسب-بكالوريوس'!$H$5:$H$208,'فحص-بيانات-بكالوريوس'!$H$5:$H$208,'فحص-بيانات-ماجستير'!$H$5:$H$230),$I149)&amp;"")</f>
        <v/>
      </c>
      <c r="E149" s="2" t="str">
        <f>IF($I149="","",INDEX(CHOOSE($J$3,'فحص-حاسب-بكالوريوس'!$J$5:$J$208,'فحص-بيانات-بكالوريوس'!$J$5:$J$208,'فحص-بيانات-ماجستير'!$J$5:$J$230),$I149)&amp;"")</f>
        <v/>
      </c>
      <c r="F149" s="2" t="str">
        <f>IF($I149="","",INDEX(CHOOSE($J$3,'فحص-حاسب-بكالوريوس'!$L$5:$L$208,'فحص-بيانات-بكالوريوس'!$L$5:$L$208,'فحص-بيانات-ماجستير'!$L$5:$L$230),$I149)&amp;"")</f>
        <v/>
      </c>
      <c r="G149" s="2" t="str">
        <f>IF($I149="","",INDEX(CHOOSE($J$3,'فحص-حاسب-بكالوريوس'!$M$5:$M$208,'فحص-بيانات-بكالوريوس'!$M$5:$M$208,'فحص-بيانات-ماجستير'!$M$5:$M$230),$I149)&amp;"")</f>
        <v/>
      </c>
      <c r="I149" s="2" t="str">
        <f>IFERROR(MATCH($E$3&amp;"#"&amp;144,CHOOSE($J$3,'فحص-حاسب-بكالوريوس'!$R$5:$R$208,'فحص-بيانات-بكالوريوس'!$R$5:$R$208,'فحص-بيانات-ماجستير'!$R$5:$R$230),0),"")</f>
        <v/>
      </c>
    </row>
    <row r="150" spans="1:9" x14ac:dyDescent="0.2">
      <c r="A150" s="1" t="str">
        <f>IF($I150="","",145)</f>
        <v/>
      </c>
      <c r="B150" s="2" t="str">
        <f>IF($I150="","",INDEX(CHOOSE($J$3,'فحص-حاسب-بكالوريوس'!$A$5:$A$208,'فحص-بيانات-بكالوريوس'!$A$5:$A$208,'فحص-بيانات-ماجستير'!$A$5:$A$230),$I150)&amp;"")</f>
        <v/>
      </c>
      <c r="C150" s="2" t="str">
        <f>IF($I150="","",INDEX(CHOOSE($J$3,'فحص-حاسب-بكالوريوس'!$F$5:$F$208,'فحص-بيانات-بكالوريوس'!$F$5:$F$208,'فحص-بيانات-ماجستير'!$F$5:$F$230),$I150)&amp;"")</f>
        <v/>
      </c>
      <c r="D150" s="2" t="str">
        <f>IF($I150="","",INDEX(CHOOSE($J$3,'فحص-حاسب-بكالوريوس'!$H$5:$H$208,'فحص-بيانات-بكالوريوس'!$H$5:$H$208,'فحص-بيانات-ماجستير'!$H$5:$H$230),$I150)&amp;"")</f>
        <v/>
      </c>
      <c r="E150" s="2" t="str">
        <f>IF($I150="","",INDEX(CHOOSE($J$3,'فحص-حاسب-بكالوريوس'!$J$5:$J$208,'فحص-بيانات-بكالوريوس'!$J$5:$J$208,'فحص-بيانات-ماجستير'!$J$5:$J$230),$I150)&amp;"")</f>
        <v/>
      </c>
      <c r="F150" s="2" t="str">
        <f>IF($I150="","",INDEX(CHOOSE($J$3,'فحص-حاسب-بكالوريوس'!$L$5:$L$208,'فحص-بيانات-بكالوريوس'!$L$5:$L$208,'فحص-بيانات-ماجستير'!$L$5:$L$230),$I150)&amp;"")</f>
        <v/>
      </c>
      <c r="G150" s="2" t="str">
        <f>IF($I150="","",INDEX(CHOOSE($J$3,'فحص-حاسب-بكالوريوس'!$M$5:$M$208,'فحص-بيانات-بكالوريوس'!$M$5:$M$208,'فحص-بيانات-ماجستير'!$M$5:$M$230),$I150)&amp;"")</f>
        <v/>
      </c>
      <c r="I150" s="2" t="str">
        <f>IFERROR(MATCH($E$3&amp;"#"&amp;145,CHOOSE($J$3,'فحص-حاسب-بكالوريوس'!$R$5:$R$208,'فحص-بيانات-بكالوريوس'!$R$5:$R$208,'فحص-بيانات-ماجستير'!$R$5:$R$230),0),"")</f>
        <v/>
      </c>
    </row>
    <row r="151" spans="1:9" x14ac:dyDescent="0.2">
      <c r="A151" s="1" t="str">
        <f>IF($I151="","",146)</f>
        <v/>
      </c>
      <c r="B151" s="2" t="str">
        <f>IF($I151="","",INDEX(CHOOSE($J$3,'فحص-حاسب-بكالوريوس'!$A$5:$A$208,'فحص-بيانات-بكالوريوس'!$A$5:$A$208,'فحص-بيانات-ماجستير'!$A$5:$A$230),$I151)&amp;"")</f>
        <v/>
      </c>
      <c r="C151" s="2" t="str">
        <f>IF($I151="","",INDEX(CHOOSE($J$3,'فحص-حاسب-بكالوريوس'!$F$5:$F$208,'فحص-بيانات-بكالوريوس'!$F$5:$F$208,'فحص-بيانات-ماجستير'!$F$5:$F$230),$I151)&amp;"")</f>
        <v/>
      </c>
      <c r="D151" s="2" t="str">
        <f>IF($I151="","",INDEX(CHOOSE($J$3,'فحص-حاسب-بكالوريوس'!$H$5:$H$208,'فحص-بيانات-بكالوريوس'!$H$5:$H$208,'فحص-بيانات-ماجستير'!$H$5:$H$230),$I151)&amp;"")</f>
        <v/>
      </c>
      <c r="E151" s="2" t="str">
        <f>IF($I151="","",INDEX(CHOOSE($J$3,'فحص-حاسب-بكالوريوس'!$J$5:$J$208,'فحص-بيانات-بكالوريوس'!$J$5:$J$208,'فحص-بيانات-ماجستير'!$J$5:$J$230),$I151)&amp;"")</f>
        <v/>
      </c>
      <c r="F151" s="2" t="str">
        <f>IF($I151="","",INDEX(CHOOSE($J$3,'فحص-حاسب-بكالوريوس'!$L$5:$L$208,'فحص-بيانات-بكالوريوس'!$L$5:$L$208,'فحص-بيانات-ماجستير'!$L$5:$L$230),$I151)&amp;"")</f>
        <v/>
      </c>
      <c r="G151" s="2" t="str">
        <f>IF($I151="","",INDEX(CHOOSE($J$3,'فحص-حاسب-بكالوريوس'!$M$5:$M$208,'فحص-بيانات-بكالوريوس'!$M$5:$M$208,'فحص-بيانات-ماجستير'!$M$5:$M$230),$I151)&amp;"")</f>
        <v/>
      </c>
      <c r="I151" s="2" t="str">
        <f>IFERROR(MATCH($E$3&amp;"#"&amp;146,CHOOSE($J$3,'فحص-حاسب-بكالوريوس'!$R$5:$R$208,'فحص-بيانات-بكالوريوس'!$R$5:$R$208,'فحص-بيانات-ماجستير'!$R$5:$R$230),0),"")</f>
        <v/>
      </c>
    </row>
    <row r="152" spans="1:9" x14ac:dyDescent="0.2">
      <c r="A152" s="1" t="str">
        <f>IF($I152="","",147)</f>
        <v/>
      </c>
      <c r="B152" s="2" t="str">
        <f>IF($I152="","",INDEX(CHOOSE($J$3,'فحص-حاسب-بكالوريوس'!$A$5:$A$208,'فحص-بيانات-بكالوريوس'!$A$5:$A$208,'فحص-بيانات-ماجستير'!$A$5:$A$230),$I152)&amp;"")</f>
        <v/>
      </c>
      <c r="C152" s="2" t="str">
        <f>IF($I152="","",INDEX(CHOOSE($J$3,'فحص-حاسب-بكالوريوس'!$F$5:$F$208,'فحص-بيانات-بكالوريوس'!$F$5:$F$208,'فحص-بيانات-ماجستير'!$F$5:$F$230),$I152)&amp;"")</f>
        <v/>
      </c>
      <c r="D152" s="2" t="str">
        <f>IF($I152="","",INDEX(CHOOSE($J$3,'فحص-حاسب-بكالوريوس'!$H$5:$H$208,'فحص-بيانات-بكالوريوس'!$H$5:$H$208,'فحص-بيانات-ماجستير'!$H$5:$H$230),$I152)&amp;"")</f>
        <v/>
      </c>
      <c r="E152" s="2" t="str">
        <f>IF($I152="","",INDEX(CHOOSE($J$3,'فحص-حاسب-بكالوريوس'!$J$5:$J$208,'فحص-بيانات-بكالوريوس'!$J$5:$J$208,'فحص-بيانات-ماجستير'!$J$5:$J$230),$I152)&amp;"")</f>
        <v/>
      </c>
      <c r="F152" s="2" t="str">
        <f>IF($I152="","",INDEX(CHOOSE($J$3,'فحص-حاسب-بكالوريوس'!$L$5:$L$208,'فحص-بيانات-بكالوريوس'!$L$5:$L$208,'فحص-بيانات-ماجستير'!$L$5:$L$230),$I152)&amp;"")</f>
        <v/>
      </c>
      <c r="G152" s="2" t="str">
        <f>IF($I152="","",INDEX(CHOOSE($J$3,'فحص-حاسب-بكالوريوس'!$M$5:$M$208,'فحص-بيانات-بكالوريوس'!$M$5:$M$208,'فحص-بيانات-ماجستير'!$M$5:$M$230),$I152)&amp;"")</f>
        <v/>
      </c>
      <c r="I152" s="2" t="str">
        <f>IFERROR(MATCH($E$3&amp;"#"&amp;147,CHOOSE($J$3,'فحص-حاسب-بكالوريوس'!$R$5:$R$208,'فحص-بيانات-بكالوريوس'!$R$5:$R$208,'فحص-بيانات-ماجستير'!$R$5:$R$230),0),"")</f>
        <v/>
      </c>
    </row>
    <row r="153" spans="1:9" x14ac:dyDescent="0.2">
      <c r="A153" s="1" t="str">
        <f>IF($I153="","",148)</f>
        <v/>
      </c>
      <c r="B153" s="2" t="str">
        <f>IF($I153="","",INDEX(CHOOSE($J$3,'فحص-حاسب-بكالوريوس'!$A$5:$A$208,'فحص-بيانات-بكالوريوس'!$A$5:$A$208,'فحص-بيانات-ماجستير'!$A$5:$A$230),$I153)&amp;"")</f>
        <v/>
      </c>
      <c r="C153" s="2" t="str">
        <f>IF($I153="","",INDEX(CHOOSE($J$3,'فحص-حاسب-بكالوريوس'!$F$5:$F$208,'فحص-بيانات-بكالوريوس'!$F$5:$F$208,'فحص-بيانات-ماجستير'!$F$5:$F$230),$I153)&amp;"")</f>
        <v/>
      </c>
      <c r="D153" s="2" t="str">
        <f>IF($I153="","",INDEX(CHOOSE($J$3,'فحص-حاسب-بكالوريوس'!$H$5:$H$208,'فحص-بيانات-بكالوريوس'!$H$5:$H$208,'فحص-بيانات-ماجستير'!$H$5:$H$230),$I153)&amp;"")</f>
        <v/>
      </c>
      <c r="E153" s="2" t="str">
        <f>IF($I153="","",INDEX(CHOOSE($J$3,'فحص-حاسب-بكالوريوس'!$J$5:$J$208,'فحص-بيانات-بكالوريوس'!$J$5:$J$208,'فحص-بيانات-ماجستير'!$J$5:$J$230),$I153)&amp;"")</f>
        <v/>
      </c>
      <c r="F153" s="2" t="str">
        <f>IF($I153="","",INDEX(CHOOSE($J$3,'فحص-حاسب-بكالوريوس'!$L$5:$L$208,'فحص-بيانات-بكالوريوس'!$L$5:$L$208,'فحص-بيانات-ماجستير'!$L$5:$L$230),$I153)&amp;"")</f>
        <v/>
      </c>
      <c r="G153" s="2" t="str">
        <f>IF($I153="","",INDEX(CHOOSE($J$3,'فحص-حاسب-بكالوريوس'!$M$5:$M$208,'فحص-بيانات-بكالوريوس'!$M$5:$M$208,'فحص-بيانات-ماجستير'!$M$5:$M$230),$I153)&amp;"")</f>
        <v/>
      </c>
      <c r="I153" s="2" t="str">
        <f>IFERROR(MATCH($E$3&amp;"#"&amp;148,CHOOSE($J$3,'فحص-حاسب-بكالوريوس'!$R$5:$R$208,'فحص-بيانات-بكالوريوس'!$R$5:$R$208,'فحص-بيانات-ماجستير'!$R$5:$R$230),0),"")</f>
        <v/>
      </c>
    </row>
    <row r="154" spans="1:9" x14ac:dyDescent="0.2">
      <c r="A154" s="1" t="str">
        <f>IF($I154="","",149)</f>
        <v/>
      </c>
      <c r="B154" s="2" t="str">
        <f>IF($I154="","",INDEX(CHOOSE($J$3,'فحص-حاسب-بكالوريوس'!$A$5:$A$208,'فحص-بيانات-بكالوريوس'!$A$5:$A$208,'فحص-بيانات-ماجستير'!$A$5:$A$230),$I154)&amp;"")</f>
        <v/>
      </c>
      <c r="C154" s="2" t="str">
        <f>IF($I154="","",INDEX(CHOOSE($J$3,'فحص-حاسب-بكالوريوس'!$F$5:$F$208,'فحص-بيانات-بكالوريوس'!$F$5:$F$208,'فحص-بيانات-ماجستير'!$F$5:$F$230),$I154)&amp;"")</f>
        <v/>
      </c>
      <c r="D154" s="2" t="str">
        <f>IF($I154="","",INDEX(CHOOSE($J$3,'فحص-حاسب-بكالوريوس'!$H$5:$H$208,'فحص-بيانات-بكالوريوس'!$H$5:$H$208,'فحص-بيانات-ماجستير'!$H$5:$H$230),$I154)&amp;"")</f>
        <v/>
      </c>
      <c r="E154" s="2" t="str">
        <f>IF($I154="","",INDEX(CHOOSE($J$3,'فحص-حاسب-بكالوريوس'!$J$5:$J$208,'فحص-بيانات-بكالوريوس'!$J$5:$J$208,'فحص-بيانات-ماجستير'!$J$5:$J$230),$I154)&amp;"")</f>
        <v/>
      </c>
      <c r="F154" s="2" t="str">
        <f>IF($I154="","",INDEX(CHOOSE($J$3,'فحص-حاسب-بكالوريوس'!$L$5:$L$208,'فحص-بيانات-بكالوريوس'!$L$5:$L$208,'فحص-بيانات-ماجستير'!$L$5:$L$230),$I154)&amp;"")</f>
        <v/>
      </c>
      <c r="G154" s="2" t="str">
        <f>IF($I154="","",INDEX(CHOOSE($J$3,'فحص-حاسب-بكالوريوس'!$M$5:$M$208,'فحص-بيانات-بكالوريوس'!$M$5:$M$208,'فحص-بيانات-ماجستير'!$M$5:$M$230),$I154)&amp;"")</f>
        <v/>
      </c>
      <c r="I154" s="2" t="str">
        <f>IFERROR(MATCH($E$3&amp;"#"&amp;149,CHOOSE($J$3,'فحص-حاسب-بكالوريوس'!$R$5:$R$208,'فحص-بيانات-بكالوريوس'!$R$5:$R$208,'فحص-بيانات-ماجستير'!$R$5:$R$230),0),"")</f>
        <v/>
      </c>
    </row>
    <row r="155" spans="1:9" x14ac:dyDescent="0.2">
      <c r="A155" s="1" t="str">
        <f>IF($I155="","",150)</f>
        <v/>
      </c>
      <c r="B155" s="2" t="str">
        <f>IF($I155="","",INDEX(CHOOSE($J$3,'فحص-حاسب-بكالوريوس'!$A$5:$A$208,'فحص-بيانات-بكالوريوس'!$A$5:$A$208,'فحص-بيانات-ماجستير'!$A$5:$A$230),$I155)&amp;"")</f>
        <v/>
      </c>
      <c r="C155" s="2" t="str">
        <f>IF($I155="","",INDEX(CHOOSE($J$3,'فحص-حاسب-بكالوريوس'!$F$5:$F$208,'فحص-بيانات-بكالوريوس'!$F$5:$F$208,'فحص-بيانات-ماجستير'!$F$5:$F$230),$I155)&amp;"")</f>
        <v/>
      </c>
      <c r="D155" s="2" t="str">
        <f>IF($I155="","",INDEX(CHOOSE($J$3,'فحص-حاسب-بكالوريوس'!$H$5:$H$208,'فحص-بيانات-بكالوريوس'!$H$5:$H$208,'فحص-بيانات-ماجستير'!$H$5:$H$230),$I155)&amp;"")</f>
        <v/>
      </c>
      <c r="E155" s="2" t="str">
        <f>IF($I155="","",INDEX(CHOOSE($J$3,'فحص-حاسب-بكالوريوس'!$J$5:$J$208,'فحص-بيانات-بكالوريوس'!$J$5:$J$208,'فحص-بيانات-ماجستير'!$J$5:$J$230),$I155)&amp;"")</f>
        <v/>
      </c>
      <c r="F155" s="2" t="str">
        <f>IF($I155="","",INDEX(CHOOSE($J$3,'فحص-حاسب-بكالوريوس'!$L$5:$L$208,'فحص-بيانات-بكالوريوس'!$L$5:$L$208,'فحص-بيانات-ماجستير'!$L$5:$L$230),$I155)&amp;"")</f>
        <v/>
      </c>
      <c r="G155" s="2" t="str">
        <f>IF($I155="","",INDEX(CHOOSE($J$3,'فحص-حاسب-بكالوريوس'!$M$5:$M$208,'فحص-بيانات-بكالوريوس'!$M$5:$M$208,'فحص-بيانات-ماجستير'!$M$5:$M$230),$I155)&amp;"")</f>
        <v/>
      </c>
      <c r="I155" s="2" t="str">
        <f>IFERROR(MATCH($E$3&amp;"#"&amp;150,CHOOSE($J$3,'فحص-حاسب-بكالوريوس'!$R$5:$R$208,'فحص-بيانات-بكالوريوس'!$R$5:$R$208,'فحص-بيانات-ماجستير'!$R$5:$R$230),0),"")</f>
        <v/>
      </c>
    </row>
    <row r="156" spans="1:9" x14ac:dyDescent="0.2">
      <c r="A156" s="1" t="str">
        <f>IF($I156="","",151)</f>
        <v/>
      </c>
      <c r="B156" s="2" t="str">
        <f>IF($I156="","",INDEX(CHOOSE($J$3,'فحص-حاسب-بكالوريوس'!$A$5:$A$208,'فحص-بيانات-بكالوريوس'!$A$5:$A$208,'فحص-بيانات-ماجستير'!$A$5:$A$230),$I156)&amp;"")</f>
        <v/>
      </c>
      <c r="C156" s="2" t="str">
        <f>IF($I156="","",INDEX(CHOOSE($J$3,'فحص-حاسب-بكالوريوس'!$F$5:$F$208,'فحص-بيانات-بكالوريوس'!$F$5:$F$208,'فحص-بيانات-ماجستير'!$F$5:$F$230),$I156)&amp;"")</f>
        <v/>
      </c>
      <c r="D156" s="2" t="str">
        <f>IF($I156="","",INDEX(CHOOSE($J$3,'فحص-حاسب-بكالوريوس'!$H$5:$H$208,'فحص-بيانات-بكالوريوس'!$H$5:$H$208,'فحص-بيانات-ماجستير'!$H$5:$H$230),$I156)&amp;"")</f>
        <v/>
      </c>
      <c r="E156" s="2" t="str">
        <f>IF($I156="","",INDEX(CHOOSE($J$3,'فحص-حاسب-بكالوريوس'!$J$5:$J$208,'فحص-بيانات-بكالوريوس'!$J$5:$J$208,'فحص-بيانات-ماجستير'!$J$5:$J$230),$I156)&amp;"")</f>
        <v/>
      </c>
      <c r="F156" s="2" t="str">
        <f>IF($I156="","",INDEX(CHOOSE($J$3,'فحص-حاسب-بكالوريوس'!$L$5:$L$208,'فحص-بيانات-بكالوريوس'!$L$5:$L$208,'فحص-بيانات-ماجستير'!$L$5:$L$230),$I156)&amp;"")</f>
        <v/>
      </c>
      <c r="G156" s="2" t="str">
        <f>IF($I156="","",INDEX(CHOOSE($J$3,'فحص-حاسب-بكالوريوس'!$M$5:$M$208,'فحص-بيانات-بكالوريوس'!$M$5:$M$208,'فحص-بيانات-ماجستير'!$M$5:$M$230),$I156)&amp;"")</f>
        <v/>
      </c>
      <c r="I156" s="2" t="str">
        <f>IFERROR(MATCH($E$3&amp;"#"&amp;151,CHOOSE($J$3,'فحص-حاسب-بكالوريوس'!$R$5:$R$208,'فحص-بيانات-بكالوريوس'!$R$5:$R$208,'فحص-بيانات-ماجستير'!$R$5:$R$230),0),"")</f>
        <v/>
      </c>
    </row>
    <row r="157" spans="1:9" x14ac:dyDescent="0.2">
      <c r="A157" s="1" t="str">
        <f>IF($I157="","",152)</f>
        <v/>
      </c>
      <c r="B157" s="2" t="str">
        <f>IF($I157="","",INDEX(CHOOSE($J$3,'فحص-حاسب-بكالوريوس'!$A$5:$A$208,'فحص-بيانات-بكالوريوس'!$A$5:$A$208,'فحص-بيانات-ماجستير'!$A$5:$A$230),$I157)&amp;"")</f>
        <v/>
      </c>
      <c r="C157" s="2" t="str">
        <f>IF($I157="","",INDEX(CHOOSE($J$3,'فحص-حاسب-بكالوريوس'!$F$5:$F$208,'فحص-بيانات-بكالوريوس'!$F$5:$F$208,'فحص-بيانات-ماجستير'!$F$5:$F$230),$I157)&amp;"")</f>
        <v/>
      </c>
      <c r="D157" s="2" t="str">
        <f>IF($I157="","",INDEX(CHOOSE($J$3,'فحص-حاسب-بكالوريوس'!$H$5:$H$208,'فحص-بيانات-بكالوريوس'!$H$5:$H$208,'فحص-بيانات-ماجستير'!$H$5:$H$230),$I157)&amp;"")</f>
        <v/>
      </c>
      <c r="E157" s="2" t="str">
        <f>IF($I157="","",INDEX(CHOOSE($J$3,'فحص-حاسب-بكالوريوس'!$J$5:$J$208,'فحص-بيانات-بكالوريوس'!$J$5:$J$208,'فحص-بيانات-ماجستير'!$J$5:$J$230),$I157)&amp;"")</f>
        <v/>
      </c>
      <c r="F157" s="2" t="str">
        <f>IF($I157="","",INDEX(CHOOSE($J$3,'فحص-حاسب-بكالوريوس'!$L$5:$L$208,'فحص-بيانات-بكالوريوس'!$L$5:$L$208,'فحص-بيانات-ماجستير'!$L$5:$L$230),$I157)&amp;"")</f>
        <v/>
      </c>
      <c r="G157" s="2" t="str">
        <f>IF($I157="","",INDEX(CHOOSE($J$3,'فحص-حاسب-بكالوريوس'!$M$5:$M$208,'فحص-بيانات-بكالوريوس'!$M$5:$M$208,'فحص-بيانات-ماجستير'!$M$5:$M$230),$I157)&amp;"")</f>
        <v/>
      </c>
      <c r="I157" s="2" t="str">
        <f>IFERROR(MATCH($E$3&amp;"#"&amp;152,CHOOSE($J$3,'فحص-حاسب-بكالوريوس'!$R$5:$R$208,'فحص-بيانات-بكالوريوس'!$R$5:$R$208,'فحص-بيانات-ماجستير'!$R$5:$R$230),0),"")</f>
        <v/>
      </c>
    </row>
    <row r="158" spans="1:9" x14ac:dyDescent="0.2">
      <c r="A158" s="1" t="str">
        <f>IF($I158="","",153)</f>
        <v/>
      </c>
      <c r="B158" s="2" t="str">
        <f>IF($I158="","",INDEX(CHOOSE($J$3,'فحص-حاسب-بكالوريوس'!$A$5:$A$208,'فحص-بيانات-بكالوريوس'!$A$5:$A$208,'فحص-بيانات-ماجستير'!$A$5:$A$230),$I158)&amp;"")</f>
        <v/>
      </c>
      <c r="C158" s="2" t="str">
        <f>IF($I158="","",INDEX(CHOOSE($J$3,'فحص-حاسب-بكالوريوس'!$F$5:$F$208,'فحص-بيانات-بكالوريوس'!$F$5:$F$208,'فحص-بيانات-ماجستير'!$F$5:$F$230),$I158)&amp;"")</f>
        <v/>
      </c>
      <c r="D158" s="2" t="str">
        <f>IF($I158="","",INDEX(CHOOSE($J$3,'فحص-حاسب-بكالوريوس'!$H$5:$H$208,'فحص-بيانات-بكالوريوس'!$H$5:$H$208,'فحص-بيانات-ماجستير'!$H$5:$H$230),$I158)&amp;"")</f>
        <v/>
      </c>
      <c r="E158" s="2" t="str">
        <f>IF($I158="","",INDEX(CHOOSE($J$3,'فحص-حاسب-بكالوريوس'!$J$5:$J$208,'فحص-بيانات-بكالوريوس'!$J$5:$J$208,'فحص-بيانات-ماجستير'!$J$5:$J$230),$I158)&amp;"")</f>
        <v/>
      </c>
      <c r="F158" s="2" t="str">
        <f>IF($I158="","",INDEX(CHOOSE($J$3,'فحص-حاسب-بكالوريوس'!$L$5:$L$208,'فحص-بيانات-بكالوريوس'!$L$5:$L$208,'فحص-بيانات-ماجستير'!$L$5:$L$230),$I158)&amp;"")</f>
        <v/>
      </c>
      <c r="G158" s="2" t="str">
        <f>IF($I158="","",INDEX(CHOOSE($J$3,'فحص-حاسب-بكالوريوس'!$M$5:$M$208,'فحص-بيانات-بكالوريوس'!$M$5:$M$208,'فحص-بيانات-ماجستير'!$M$5:$M$230),$I158)&amp;"")</f>
        <v/>
      </c>
      <c r="I158" s="2" t="str">
        <f>IFERROR(MATCH($E$3&amp;"#"&amp;153,CHOOSE($J$3,'فحص-حاسب-بكالوريوس'!$R$5:$R$208,'فحص-بيانات-بكالوريوس'!$R$5:$R$208,'فحص-بيانات-ماجستير'!$R$5:$R$230),0),"")</f>
        <v/>
      </c>
    </row>
    <row r="159" spans="1:9" x14ac:dyDescent="0.2">
      <c r="A159" s="1" t="str">
        <f>IF($I159="","",154)</f>
        <v/>
      </c>
      <c r="B159" s="2" t="str">
        <f>IF($I159="","",INDEX(CHOOSE($J$3,'فحص-حاسب-بكالوريوس'!$A$5:$A$208,'فحص-بيانات-بكالوريوس'!$A$5:$A$208,'فحص-بيانات-ماجستير'!$A$5:$A$230),$I159)&amp;"")</f>
        <v/>
      </c>
      <c r="C159" s="2" t="str">
        <f>IF($I159="","",INDEX(CHOOSE($J$3,'فحص-حاسب-بكالوريوس'!$F$5:$F$208,'فحص-بيانات-بكالوريوس'!$F$5:$F$208,'فحص-بيانات-ماجستير'!$F$5:$F$230),$I159)&amp;"")</f>
        <v/>
      </c>
      <c r="D159" s="2" t="str">
        <f>IF($I159="","",INDEX(CHOOSE($J$3,'فحص-حاسب-بكالوريوس'!$H$5:$H$208,'فحص-بيانات-بكالوريوس'!$H$5:$H$208,'فحص-بيانات-ماجستير'!$H$5:$H$230),$I159)&amp;"")</f>
        <v/>
      </c>
      <c r="E159" s="2" t="str">
        <f>IF($I159="","",INDEX(CHOOSE($J$3,'فحص-حاسب-بكالوريوس'!$J$5:$J$208,'فحص-بيانات-بكالوريوس'!$J$5:$J$208,'فحص-بيانات-ماجستير'!$J$5:$J$230),$I159)&amp;"")</f>
        <v/>
      </c>
      <c r="F159" s="2" t="str">
        <f>IF($I159="","",INDEX(CHOOSE($J$3,'فحص-حاسب-بكالوريوس'!$L$5:$L$208,'فحص-بيانات-بكالوريوس'!$L$5:$L$208,'فحص-بيانات-ماجستير'!$L$5:$L$230),$I159)&amp;"")</f>
        <v/>
      </c>
      <c r="G159" s="2" t="str">
        <f>IF($I159="","",INDEX(CHOOSE($J$3,'فحص-حاسب-بكالوريوس'!$M$5:$M$208,'فحص-بيانات-بكالوريوس'!$M$5:$M$208,'فحص-بيانات-ماجستير'!$M$5:$M$230),$I159)&amp;"")</f>
        <v/>
      </c>
      <c r="I159" s="2" t="str">
        <f>IFERROR(MATCH($E$3&amp;"#"&amp;154,CHOOSE($J$3,'فحص-حاسب-بكالوريوس'!$R$5:$R$208,'فحص-بيانات-بكالوريوس'!$R$5:$R$208,'فحص-بيانات-ماجستير'!$R$5:$R$230),0),"")</f>
        <v/>
      </c>
    </row>
    <row r="160" spans="1:9" x14ac:dyDescent="0.2">
      <c r="A160" s="1" t="str">
        <f>IF($I160="","",155)</f>
        <v/>
      </c>
      <c r="B160" s="2" t="str">
        <f>IF($I160="","",INDEX(CHOOSE($J$3,'فحص-حاسب-بكالوريوس'!$A$5:$A$208,'فحص-بيانات-بكالوريوس'!$A$5:$A$208,'فحص-بيانات-ماجستير'!$A$5:$A$230),$I160)&amp;"")</f>
        <v/>
      </c>
      <c r="C160" s="2" t="str">
        <f>IF($I160="","",INDEX(CHOOSE($J$3,'فحص-حاسب-بكالوريوس'!$F$5:$F$208,'فحص-بيانات-بكالوريوس'!$F$5:$F$208,'فحص-بيانات-ماجستير'!$F$5:$F$230),$I160)&amp;"")</f>
        <v/>
      </c>
      <c r="D160" s="2" t="str">
        <f>IF($I160="","",INDEX(CHOOSE($J$3,'فحص-حاسب-بكالوريوس'!$H$5:$H$208,'فحص-بيانات-بكالوريوس'!$H$5:$H$208,'فحص-بيانات-ماجستير'!$H$5:$H$230),$I160)&amp;"")</f>
        <v/>
      </c>
      <c r="E160" s="2" t="str">
        <f>IF($I160="","",INDEX(CHOOSE($J$3,'فحص-حاسب-بكالوريوس'!$J$5:$J$208,'فحص-بيانات-بكالوريوس'!$J$5:$J$208,'فحص-بيانات-ماجستير'!$J$5:$J$230),$I160)&amp;"")</f>
        <v/>
      </c>
      <c r="F160" s="2" t="str">
        <f>IF($I160="","",INDEX(CHOOSE($J$3,'فحص-حاسب-بكالوريوس'!$L$5:$L$208,'فحص-بيانات-بكالوريوس'!$L$5:$L$208,'فحص-بيانات-ماجستير'!$L$5:$L$230),$I160)&amp;"")</f>
        <v/>
      </c>
      <c r="G160" s="2" t="str">
        <f>IF($I160="","",INDEX(CHOOSE($J$3,'فحص-حاسب-بكالوريوس'!$M$5:$M$208,'فحص-بيانات-بكالوريوس'!$M$5:$M$208,'فحص-بيانات-ماجستير'!$M$5:$M$230),$I160)&amp;"")</f>
        <v/>
      </c>
      <c r="I160" s="2" t="str">
        <f>IFERROR(MATCH($E$3&amp;"#"&amp;155,CHOOSE($J$3,'فحص-حاسب-بكالوريوس'!$R$5:$R$208,'فحص-بيانات-بكالوريوس'!$R$5:$R$208,'فحص-بيانات-ماجستير'!$R$5:$R$230),0),"")</f>
        <v/>
      </c>
    </row>
    <row r="161" spans="1:9" x14ac:dyDescent="0.2">
      <c r="A161" s="1" t="str">
        <f>IF($I161="","",156)</f>
        <v/>
      </c>
      <c r="B161" s="2" t="str">
        <f>IF($I161="","",INDEX(CHOOSE($J$3,'فحص-حاسب-بكالوريوس'!$A$5:$A$208,'فحص-بيانات-بكالوريوس'!$A$5:$A$208,'فحص-بيانات-ماجستير'!$A$5:$A$230),$I161)&amp;"")</f>
        <v/>
      </c>
      <c r="C161" s="2" t="str">
        <f>IF($I161="","",INDEX(CHOOSE($J$3,'فحص-حاسب-بكالوريوس'!$F$5:$F$208,'فحص-بيانات-بكالوريوس'!$F$5:$F$208,'فحص-بيانات-ماجستير'!$F$5:$F$230),$I161)&amp;"")</f>
        <v/>
      </c>
      <c r="D161" s="2" t="str">
        <f>IF($I161="","",INDEX(CHOOSE($J$3,'فحص-حاسب-بكالوريوس'!$H$5:$H$208,'فحص-بيانات-بكالوريوس'!$H$5:$H$208,'فحص-بيانات-ماجستير'!$H$5:$H$230),$I161)&amp;"")</f>
        <v/>
      </c>
      <c r="E161" s="2" t="str">
        <f>IF($I161="","",INDEX(CHOOSE($J$3,'فحص-حاسب-بكالوريوس'!$J$5:$J$208,'فحص-بيانات-بكالوريوس'!$J$5:$J$208,'فحص-بيانات-ماجستير'!$J$5:$J$230),$I161)&amp;"")</f>
        <v/>
      </c>
      <c r="F161" s="2" t="str">
        <f>IF($I161="","",INDEX(CHOOSE($J$3,'فحص-حاسب-بكالوريوس'!$L$5:$L$208,'فحص-بيانات-بكالوريوس'!$L$5:$L$208,'فحص-بيانات-ماجستير'!$L$5:$L$230),$I161)&amp;"")</f>
        <v/>
      </c>
      <c r="G161" s="2" t="str">
        <f>IF($I161="","",INDEX(CHOOSE($J$3,'فحص-حاسب-بكالوريوس'!$M$5:$M$208,'فحص-بيانات-بكالوريوس'!$M$5:$M$208,'فحص-بيانات-ماجستير'!$M$5:$M$230),$I161)&amp;"")</f>
        <v/>
      </c>
      <c r="I161" s="2" t="str">
        <f>IFERROR(MATCH($E$3&amp;"#"&amp;156,CHOOSE($J$3,'فحص-حاسب-بكالوريوس'!$R$5:$R$208,'فحص-بيانات-بكالوريوس'!$R$5:$R$208,'فحص-بيانات-ماجستير'!$R$5:$R$230),0),"")</f>
        <v/>
      </c>
    </row>
    <row r="162" spans="1:9" x14ac:dyDescent="0.2">
      <c r="A162" s="1" t="str">
        <f>IF($I162="","",157)</f>
        <v/>
      </c>
      <c r="B162" s="2" t="str">
        <f>IF($I162="","",INDEX(CHOOSE($J$3,'فحص-حاسب-بكالوريوس'!$A$5:$A$208,'فحص-بيانات-بكالوريوس'!$A$5:$A$208,'فحص-بيانات-ماجستير'!$A$5:$A$230),$I162)&amp;"")</f>
        <v/>
      </c>
      <c r="C162" s="2" t="str">
        <f>IF($I162="","",INDEX(CHOOSE($J$3,'فحص-حاسب-بكالوريوس'!$F$5:$F$208,'فحص-بيانات-بكالوريوس'!$F$5:$F$208,'فحص-بيانات-ماجستير'!$F$5:$F$230),$I162)&amp;"")</f>
        <v/>
      </c>
      <c r="D162" s="2" t="str">
        <f>IF($I162="","",INDEX(CHOOSE($J$3,'فحص-حاسب-بكالوريوس'!$H$5:$H$208,'فحص-بيانات-بكالوريوس'!$H$5:$H$208,'فحص-بيانات-ماجستير'!$H$5:$H$230),$I162)&amp;"")</f>
        <v/>
      </c>
      <c r="E162" s="2" t="str">
        <f>IF($I162="","",INDEX(CHOOSE($J$3,'فحص-حاسب-بكالوريوس'!$J$5:$J$208,'فحص-بيانات-بكالوريوس'!$J$5:$J$208,'فحص-بيانات-ماجستير'!$J$5:$J$230),$I162)&amp;"")</f>
        <v/>
      </c>
      <c r="F162" s="2" t="str">
        <f>IF($I162="","",INDEX(CHOOSE($J$3,'فحص-حاسب-بكالوريوس'!$L$5:$L$208,'فحص-بيانات-بكالوريوس'!$L$5:$L$208,'فحص-بيانات-ماجستير'!$L$5:$L$230),$I162)&amp;"")</f>
        <v/>
      </c>
      <c r="G162" s="2" t="str">
        <f>IF($I162="","",INDEX(CHOOSE($J$3,'فحص-حاسب-بكالوريوس'!$M$5:$M$208,'فحص-بيانات-بكالوريوس'!$M$5:$M$208,'فحص-بيانات-ماجستير'!$M$5:$M$230),$I162)&amp;"")</f>
        <v/>
      </c>
      <c r="I162" s="2" t="str">
        <f>IFERROR(MATCH($E$3&amp;"#"&amp;157,CHOOSE($J$3,'فحص-حاسب-بكالوريوس'!$R$5:$R$208,'فحص-بيانات-بكالوريوس'!$R$5:$R$208,'فحص-بيانات-ماجستير'!$R$5:$R$230),0),"")</f>
        <v/>
      </c>
    </row>
    <row r="163" spans="1:9" x14ac:dyDescent="0.2">
      <c r="A163" s="1" t="str">
        <f>IF($I163="","",158)</f>
        <v/>
      </c>
      <c r="B163" s="2" t="str">
        <f>IF($I163="","",INDEX(CHOOSE($J$3,'فحص-حاسب-بكالوريوس'!$A$5:$A$208,'فحص-بيانات-بكالوريوس'!$A$5:$A$208,'فحص-بيانات-ماجستير'!$A$5:$A$230),$I163)&amp;"")</f>
        <v/>
      </c>
      <c r="C163" s="2" t="str">
        <f>IF($I163="","",INDEX(CHOOSE($J$3,'فحص-حاسب-بكالوريوس'!$F$5:$F$208,'فحص-بيانات-بكالوريوس'!$F$5:$F$208,'فحص-بيانات-ماجستير'!$F$5:$F$230),$I163)&amp;"")</f>
        <v/>
      </c>
      <c r="D163" s="2" t="str">
        <f>IF($I163="","",INDEX(CHOOSE($J$3,'فحص-حاسب-بكالوريوس'!$H$5:$H$208,'فحص-بيانات-بكالوريوس'!$H$5:$H$208,'فحص-بيانات-ماجستير'!$H$5:$H$230),$I163)&amp;"")</f>
        <v/>
      </c>
      <c r="E163" s="2" t="str">
        <f>IF($I163="","",INDEX(CHOOSE($J$3,'فحص-حاسب-بكالوريوس'!$J$5:$J$208,'فحص-بيانات-بكالوريوس'!$J$5:$J$208,'فحص-بيانات-ماجستير'!$J$5:$J$230),$I163)&amp;"")</f>
        <v/>
      </c>
      <c r="F163" s="2" t="str">
        <f>IF($I163="","",INDEX(CHOOSE($J$3,'فحص-حاسب-بكالوريوس'!$L$5:$L$208,'فحص-بيانات-بكالوريوس'!$L$5:$L$208,'فحص-بيانات-ماجستير'!$L$5:$L$230),$I163)&amp;"")</f>
        <v/>
      </c>
      <c r="G163" s="2" t="str">
        <f>IF($I163="","",INDEX(CHOOSE($J$3,'فحص-حاسب-بكالوريوس'!$M$5:$M$208,'فحص-بيانات-بكالوريوس'!$M$5:$M$208,'فحص-بيانات-ماجستير'!$M$5:$M$230),$I163)&amp;"")</f>
        <v/>
      </c>
      <c r="I163" s="2" t="str">
        <f>IFERROR(MATCH($E$3&amp;"#"&amp;158,CHOOSE($J$3,'فحص-حاسب-بكالوريوس'!$R$5:$R$208,'فحص-بيانات-بكالوريوس'!$R$5:$R$208,'فحص-بيانات-ماجستير'!$R$5:$R$230),0),"")</f>
        <v/>
      </c>
    </row>
    <row r="164" spans="1:9" x14ac:dyDescent="0.2">
      <c r="A164" s="1" t="str">
        <f>IF($I164="","",159)</f>
        <v/>
      </c>
      <c r="B164" s="2" t="str">
        <f>IF($I164="","",INDEX(CHOOSE($J$3,'فحص-حاسب-بكالوريوس'!$A$5:$A$208,'فحص-بيانات-بكالوريوس'!$A$5:$A$208,'فحص-بيانات-ماجستير'!$A$5:$A$230),$I164)&amp;"")</f>
        <v/>
      </c>
      <c r="C164" s="2" t="str">
        <f>IF($I164="","",INDEX(CHOOSE($J$3,'فحص-حاسب-بكالوريوس'!$F$5:$F$208,'فحص-بيانات-بكالوريوس'!$F$5:$F$208,'فحص-بيانات-ماجستير'!$F$5:$F$230),$I164)&amp;"")</f>
        <v/>
      </c>
      <c r="D164" s="2" t="str">
        <f>IF($I164="","",INDEX(CHOOSE($J$3,'فحص-حاسب-بكالوريوس'!$H$5:$H$208,'فحص-بيانات-بكالوريوس'!$H$5:$H$208,'فحص-بيانات-ماجستير'!$H$5:$H$230),$I164)&amp;"")</f>
        <v/>
      </c>
      <c r="E164" s="2" t="str">
        <f>IF($I164="","",INDEX(CHOOSE($J$3,'فحص-حاسب-بكالوريوس'!$J$5:$J$208,'فحص-بيانات-بكالوريوس'!$J$5:$J$208,'فحص-بيانات-ماجستير'!$J$5:$J$230),$I164)&amp;"")</f>
        <v/>
      </c>
      <c r="F164" s="2" t="str">
        <f>IF($I164="","",INDEX(CHOOSE($J$3,'فحص-حاسب-بكالوريوس'!$L$5:$L$208,'فحص-بيانات-بكالوريوس'!$L$5:$L$208,'فحص-بيانات-ماجستير'!$L$5:$L$230),$I164)&amp;"")</f>
        <v/>
      </c>
      <c r="G164" s="2" t="str">
        <f>IF($I164="","",INDEX(CHOOSE($J$3,'فحص-حاسب-بكالوريوس'!$M$5:$M$208,'فحص-بيانات-بكالوريوس'!$M$5:$M$208,'فحص-بيانات-ماجستير'!$M$5:$M$230),$I164)&amp;"")</f>
        <v/>
      </c>
      <c r="I164" s="2" t="str">
        <f>IFERROR(MATCH($E$3&amp;"#"&amp;159,CHOOSE($J$3,'فحص-حاسب-بكالوريوس'!$R$5:$R$208,'فحص-بيانات-بكالوريوس'!$R$5:$R$208,'فحص-بيانات-ماجستير'!$R$5:$R$230),0),"")</f>
        <v/>
      </c>
    </row>
    <row r="165" spans="1:9" x14ac:dyDescent="0.2">
      <c r="A165" s="1" t="str">
        <f>IF($I165="","",160)</f>
        <v/>
      </c>
      <c r="B165" s="2" t="str">
        <f>IF($I165="","",INDEX(CHOOSE($J$3,'فحص-حاسب-بكالوريوس'!$A$5:$A$208,'فحص-بيانات-بكالوريوس'!$A$5:$A$208,'فحص-بيانات-ماجستير'!$A$5:$A$230),$I165)&amp;"")</f>
        <v/>
      </c>
      <c r="C165" s="2" t="str">
        <f>IF($I165="","",INDEX(CHOOSE($J$3,'فحص-حاسب-بكالوريوس'!$F$5:$F$208,'فحص-بيانات-بكالوريوس'!$F$5:$F$208,'فحص-بيانات-ماجستير'!$F$5:$F$230),$I165)&amp;"")</f>
        <v/>
      </c>
      <c r="D165" s="2" t="str">
        <f>IF($I165="","",INDEX(CHOOSE($J$3,'فحص-حاسب-بكالوريوس'!$H$5:$H$208,'فحص-بيانات-بكالوريوس'!$H$5:$H$208,'فحص-بيانات-ماجستير'!$H$5:$H$230),$I165)&amp;"")</f>
        <v/>
      </c>
      <c r="E165" s="2" t="str">
        <f>IF($I165="","",INDEX(CHOOSE($J$3,'فحص-حاسب-بكالوريوس'!$J$5:$J$208,'فحص-بيانات-بكالوريوس'!$J$5:$J$208,'فحص-بيانات-ماجستير'!$J$5:$J$230),$I165)&amp;"")</f>
        <v/>
      </c>
      <c r="F165" s="2" t="str">
        <f>IF($I165="","",INDEX(CHOOSE($J$3,'فحص-حاسب-بكالوريوس'!$L$5:$L$208,'فحص-بيانات-بكالوريوس'!$L$5:$L$208,'فحص-بيانات-ماجستير'!$L$5:$L$230),$I165)&amp;"")</f>
        <v/>
      </c>
      <c r="G165" s="2" t="str">
        <f>IF($I165="","",INDEX(CHOOSE($J$3,'فحص-حاسب-بكالوريوس'!$M$5:$M$208,'فحص-بيانات-بكالوريوس'!$M$5:$M$208,'فحص-بيانات-ماجستير'!$M$5:$M$230),$I165)&amp;"")</f>
        <v/>
      </c>
      <c r="I165" s="2" t="str">
        <f>IFERROR(MATCH($E$3&amp;"#"&amp;160,CHOOSE($J$3,'فحص-حاسب-بكالوريوس'!$R$5:$R$208,'فحص-بيانات-بكالوريوس'!$R$5:$R$208,'فحص-بيانات-ماجستير'!$R$5:$R$230),0),"")</f>
        <v/>
      </c>
    </row>
    <row r="166" spans="1:9" x14ac:dyDescent="0.2">
      <c r="A166" s="1" t="str">
        <f>IF($I166="","",161)</f>
        <v/>
      </c>
      <c r="B166" s="2" t="str">
        <f>IF($I166="","",INDEX(CHOOSE($J$3,'فحص-حاسب-بكالوريوس'!$A$5:$A$208,'فحص-بيانات-بكالوريوس'!$A$5:$A$208,'فحص-بيانات-ماجستير'!$A$5:$A$230),$I166)&amp;"")</f>
        <v/>
      </c>
      <c r="C166" s="2" t="str">
        <f>IF($I166="","",INDEX(CHOOSE($J$3,'فحص-حاسب-بكالوريوس'!$F$5:$F$208,'فحص-بيانات-بكالوريوس'!$F$5:$F$208,'فحص-بيانات-ماجستير'!$F$5:$F$230),$I166)&amp;"")</f>
        <v/>
      </c>
      <c r="D166" s="2" t="str">
        <f>IF($I166="","",INDEX(CHOOSE($J$3,'فحص-حاسب-بكالوريوس'!$H$5:$H$208,'فحص-بيانات-بكالوريوس'!$H$5:$H$208,'فحص-بيانات-ماجستير'!$H$5:$H$230),$I166)&amp;"")</f>
        <v/>
      </c>
      <c r="E166" s="2" t="str">
        <f>IF($I166="","",INDEX(CHOOSE($J$3,'فحص-حاسب-بكالوريوس'!$J$5:$J$208,'فحص-بيانات-بكالوريوس'!$J$5:$J$208,'فحص-بيانات-ماجستير'!$J$5:$J$230),$I166)&amp;"")</f>
        <v/>
      </c>
      <c r="F166" s="2" t="str">
        <f>IF($I166="","",INDEX(CHOOSE($J$3,'فحص-حاسب-بكالوريوس'!$L$5:$L$208,'فحص-بيانات-بكالوريوس'!$L$5:$L$208,'فحص-بيانات-ماجستير'!$L$5:$L$230),$I166)&amp;"")</f>
        <v/>
      </c>
      <c r="G166" s="2" t="str">
        <f>IF($I166="","",INDEX(CHOOSE($J$3,'فحص-حاسب-بكالوريوس'!$M$5:$M$208,'فحص-بيانات-بكالوريوس'!$M$5:$M$208,'فحص-بيانات-ماجستير'!$M$5:$M$230),$I166)&amp;"")</f>
        <v/>
      </c>
      <c r="I166" s="2" t="str">
        <f>IFERROR(MATCH($E$3&amp;"#"&amp;161,CHOOSE($J$3,'فحص-حاسب-بكالوريوس'!$R$5:$R$208,'فحص-بيانات-بكالوريوس'!$R$5:$R$208,'فحص-بيانات-ماجستير'!$R$5:$R$230),0),"")</f>
        <v/>
      </c>
    </row>
    <row r="167" spans="1:9" x14ac:dyDescent="0.2">
      <c r="A167" s="1" t="str">
        <f>IF($I167="","",162)</f>
        <v/>
      </c>
      <c r="B167" s="2" t="str">
        <f>IF($I167="","",INDEX(CHOOSE($J$3,'فحص-حاسب-بكالوريوس'!$A$5:$A$208,'فحص-بيانات-بكالوريوس'!$A$5:$A$208,'فحص-بيانات-ماجستير'!$A$5:$A$230),$I167)&amp;"")</f>
        <v/>
      </c>
      <c r="C167" s="2" t="str">
        <f>IF($I167="","",INDEX(CHOOSE($J$3,'فحص-حاسب-بكالوريوس'!$F$5:$F$208,'فحص-بيانات-بكالوريوس'!$F$5:$F$208,'فحص-بيانات-ماجستير'!$F$5:$F$230),$I167)&amp;"")</f>
        <v/>
      </c>
      <c r="D167" s="2" t="str">
        <f>IF($I167="","",INDEX(CHOOSE($J$3,'فحص-حاسب-بكالوريوس'!$H$5:$H$208,'فحص-بيانات-بكالوريوس'!$H$5:$H$208,'فحص-بيانات-ماجستير'!$H$5:$H$230),$I167)&amp;"")</f>
        <v/>
      </c>
      <c r="E167" s="2" t="str">
        <f>IF($I167="","",INDEX(CHOOSE($J$3,'فحص-حاسب-بكالوريوس'!$J$5:$J$208,'فحص-بيانات-بكالوريوس'!$J$5:$J$208,'فحص-بيانات-ماجستير'!$J$5:$J$230),$I167)&amp;"")</f>
        <v/>
      </c>
      <c r="F167" s="2" t="str">
        <f>IF($I167="","",INDEX(CHOOSE($J$3,'فحص-حاسب-بكالوريوس'!$L$5:$L$208,'فحص-بيانات-بكالوريوس'!$L$5:$L$208,'فحص-بيانات-ماجستير'!$L$5:$L$230),$I167)&amp;"")</f>
        <v/>
      </c>
      <c r="G167" s="2" t="str">
        <f>IF($I167="","",INDEX(CHOOSE($J$3,'فحص-حاسب-بكالوريوس'!$M$5:$M$208,'فحص-بيانات-بكالوريوس'!$M$5:$M$208,'فحص-بيانات-ماجستير'!$M$5:$M$230),$I167)&amp;"")</f>
        <v/>
      </c>
      <c r="I167" s="2" t="str">
        <f>IFERROR(MATCH($E$3&amp;"#"&amp;162,CHOOSE($J$3,'فحص-حاسب-بكالوريوس'!$R$5:$R$208,'فحص-بيانات-بكالوريوس'!$R$5:$R$208,'فحص-بيانات-ماجستير'!$R$5:$R$230),0),"")</f>
        <v/>
      </c>
    </row>
    <row r="168" spans="1:9" x14ac:dyDescent="0.2">
      <c r="A168" s="1" t="str">
        <f>IF($I168="","",163)</f>
        <v/>
      </c>
      <c r="B168" s="2" t="str">
        <f>IF($I168="","",INDEX(CHOOSE($J$3,'فحص-حاسب-بكالوريوس'!$A$5:$A$208,'فحص-بيانات-بكالوريوس'!$A$5:$A$208,'فحص-بيانات-ماجستير'!$A$5:$A$230),$I168)&amp;"")</f>
        <v/>
      </c>
      <c r="C168" s="2" t="str">
        <f>IF($I168="","",INDEX(CHOOSE($J$3,'فحص-حاسب-بكالوريوس'!$F$5:$F$208,'فحص-بيانات-بكالوريوس'!$F$5:$F$208,'فحص-بيانات-ماجستير'!$F$5:$F$230),$I168)&amp;"")</f>
        <v/>
      </c>
      <c r="D168" s="2" t="str">
        <f>IF($I168="","",INDEX(CHOOSE($J$3,'فحص-حاسب-بكالوريوس'!$H$5:$H$208,'فحص-بيانات-بكالوريوس'!$H$5:$H$208,'فحص-بيانات-ماجستير'!$H$5:$H$230),$I168)&amp;"")</f>
        <v/>
      </c>
      <c r="E168" s="2" t="str">
        <f>IF($I168="","",INDEX(CHOOSE($J$3,'فحص-حاسب-بكالوريوس'!$J$5:$J$208,'فحص-بيانات-بكالوريوس'!$J$5:$J$208,'فحص-بيانات-ماجستير'!$J$5:$J$230),$I168)&amp;"")</f>
        <v/>
      </c>
      <c r="F168" s="2" t="str">
        <f>IF($I168="","",INDEX(CHOOSE($J$3,'فحص-حاسب-بكالوريوس'!$L$5:$L$208,'فحص-بيانات-بكالوريوس'!$L$5:$L$208,'فحص-بيانات-ماجستير'!$L$5:$L$230),$I168)&amp;"")</f>
        <v/>
      </c>
      <c r="G168" s="2" t="str">
        <f>IF($I168="","",INDEX(CHOOSE($J$3,'فحص-حاسب-بكالوريوس'!$M$5:$M$208,'فحص-بيانات-بكالوريوس'!$M$5:$M$208,'فحص-بيانات-ماجستير'!$M$5:$M$230),$I168)&amp;"")</f>
        <v/>
      </c>
      <c r="I168" s="2" t="str">
        <f>IFERROR(MATCH($E$3&amp;"#"&amp;163,CHOOSE($J$3,'فحص-حاسب-بكالوريوس'!$R$5:$R$208,'فحص-بيانات-بكالوريوس'!$R$5:$R$208,'فحص-بيانات-ماجستير'!$R$5:$R$230),0),"")</f>
        <v/>
      </c>
    </row>
    <row r="169" spans="1:9" x14ac:dyDescent="0.2">
      <c r="A169" s="1" t="str">
        <f>IF($I169="","",164)</f>
        <v/>
      </c>
      <c r="B169" s="2" t="str">
        <f>IF($I169="","",INDEX(CHOOSE($J$3,'فحص-حاسب-بكالوريوس'!$A$5:$A$208,'فحص-بيانات-بكالوريوس'!$A$5:$A$208,'فحص-بيانات-ماجستير'!$A$5:$A$230),$I169)&amp;"")</f>
        <v/>
      </c>
      <c r="C169" s="2" t="str">
        <f>IF($I169="","",INDEX(CHOOSE($J$3,'فحص-حاسب-بكالوريوس'!$F$5:$F$208,'فحص-بيانات-بكالوريوس'!$F$5:$F$208,'فحص-بيانات-ماجستير'!$F$5:$F$230),$I169)&amp;"")</f>
        <v/>
      </c>
      <c r="D169" s="2" t="str">
        <f>IF($I169="","",INDEX(CHOOSE($J$3,'فحص-حاسب-بكالوريوس'!$H$5:$H$208,'فحص-بيانات-بكالوريوس'!$H$5:$H$208,'فحص-بيانات-ماجستير'!$H$5:$H$230),$I169)&amp;"")</f>
        <v/>
      </c>
      <c r="E169" s="2" t="str">
        <f>IF($I169="","",INDEX(CHOOSE($J$3,'فحص-حاسب-بكالوريوس'!$J$5:$J$208,'فحص-بيانات-بكالوريوس'!$J$5:$J$208,'فحص-بيانات-ماجستير'!$J$5:$J$230),$I169)&amp;"")</f>
        <v/>
      </c>
      <c r="F169" s="2" t="str">
        <f>IF($I169="","",INDEX(CHOOSE($J$3,'فحص-حاسب-بكالوريوس'!$L$5:$L$208,'فحص-بيانات-بكالوريوس'!$L$5:$L$208,'فحص-بيانات-ماجستير'!$L$5:$L$230),$I169)&amp;"")</f>
        <v/>
      </c>
      <c r="G169" s="2" t="str">
        <f>IF($I169="","",INDEX(CHOOSE($J$3,'فحص-حاسب-بكالوريوس'!$M$5:$M$208,'فحص-بيانات-بكالوريوس'!$M$5:$M$208,'فحص-بيانات-ماجستير'!$M$5:$M$230),$I169)&amp;"")</f>
        <v/>
      </c>
      <c r="I169" s="2" t="str">
        <f>IFERROR(MATCH($E$3&amp;"#"&amp;164,CHOOSE($J$3,'فحص-حاسب-بكالوريوس'!$R$5:$R$208,'فحص-بيانات-بكالوريوس'!$R$5:$R$208,'فحص-بيانات-ماجستير'!$R$5:$R$230),0),"")</f>
        <v/>
      </c>
    </row>
    <row r="170" spans="1:9" x14ac:dyDescent="0.2">
      <c r="A170" s="1" t="str">
        <f>IF($I170="","",165)</f>
        <v/>
      </c>
      <c r="B170" s="2" t="str">
        <f>IF($I170="","",INDEX(CHOOSE($J$3,'فحص-حاسب-بكالوريوس'!$A$5:$A$208,'فحص-بيانات-بكالوريوس'!$A$5:$A$208,'فحص-بيانات-ماجستير'!$A$5:$A$230),$I170)&amp;"")</f>
        <v/>
      </c>
      <c r="C170" s="2" t="str">
        <f>IF($I170="","",INDEX(CHOOSE($J$3,'فحص-حاسب-بكالوريوس'!$F$5:$F$208,'فحص-بيانات-بكالوريوس'!$F$5:$F$208,'فحص-بيانات-ماجستير'!$F$5:$F$230),$I170)&amp;"")</f>
        <v/>
      </c>
      <c r="D170" s="2" t="str">
        <f>IF($I170="","",INDEX(CHOOSE($J$3,'فحص-حاسب-بكالوريوس'!$H$5:$H$208,'فحص-بيانات-بكالوريوس'!$H$5:$H$208,'فحص-بيانات-ماجستير'!$H$5:$H$230),$I170)&amp;"")</f>
        <v/>
      </c>
      <c r="E170" s="2" t="str">
        <f>IF($I170="","",INDEX(CHOOSE($J$3,'فحص-حاسب-بكالوريوس'!$J$5:$J$208,'فحص-بيانات-بكالوريوس'!$J$5:$J$208,'فحص-بيانات-ماجستير'!$J$5:$J$230),$I170)&amp;"")</f>
        <v/>
      </c>
      <c r="F170" s="2" t="str">
        <f>IF($I170="","",INDEX(CHOOSE($J$3,'فحص-حاسب-بكالوريوس'!$L$5:$L$208,'فحص-بيانات-بكالوريوس'!$L$5:$L$208,'فحص-بيانات-ماجستير'!$L$5:$L$230),$I170)&amp;"")</f>
        <v/>
      </c>
      <c r="G170" s="2" t="str">
        <f>IF($I170="","",INDEX(CHOOSE($J$3,'فحص-حاسب-بكالوريوس'!$M$5:$M$208,'فحص-بيانات-بكالوريوس'!$M$5:$M$208,'فحص-بيانات-ماجستير'!$M$5:$M$230),$I170)&amp;"")</f>
        <v/>
      </c>
      <c r="I170" s="2" t="str">
        <f>IFERROR(MATCH($E$3&amp;"#"&amp;165,CHOOSE($J$3,'فحص-حاسب-بكالوريوس'!$R$5:$R$208,'فحص-بيانات-بكالوريوس'!$R$5:$R$208,'فحص-بيانات-ماجستير'!$R$5:$R$230),0),"")</f>
        <v/>
      </c>
    </row>
    <row r="171" spans="1:9" x14ac:dyDescent="0.2">
      <c r="A171" s="1" t="str">
        <f>IF($I171="","",166)</f>
        <v/>
      </c>
      <c r="B171" s="2" t="str">
        <f>IF($I171="","",INDEX(CHOOSE($J$3,'فحص-حاسب-بكالوريوس'!$A$5:$A$208,'فحص-بيانات-بكالوريوس'!$A$5:$A$208,'فحص-بيانات-ماجستير'!$A$5:$A$230),$I171)&amp;"")</f>
        <v/>
      </c>
      <c r="C171" s="2" t="str">
        <f>IF($I171="","",INDEX(CHOOSE($J$3,'فحص-حاسب-بكالوريوس'!$F$5:$F$208,'فحص-بيانات-بكالوريوس'!$F$5:$F$208,'فحص-بيانات-ماجستير'!$F$5:$F$230),$I171)&amp;"")</f>
        <v/>
      </c>
      <c r="D171" s="2" t="str">
        <f>IF($I171="","",INDEX(CHOOSE($J$3,'فحص-حاسب-بكالوريوس'!$H$5:$H$208,'فحص-بيانات-بكالوريوس'!$H$5:$H$208,'فحص-بيانات-ماجستير'!$H$5:$H$230),$I171)&amp;"")</f>
        <v/>
      </c>
      <c r="E171" s="2" t="str">
        <f>IF($I171="","",INDEX(CHOOSE($J$3,'فحص-حاسب-بكالوريوس'!$J$5:$J$208,'فحص-بيانات-بكالوريوس'!$J$5:$J$208,'فحص-بيانات-ماجستير'!$J$5:$J$230),$I171)&amp;"")</f>
        <v/>
      </c>
      <c r="F171" s="2" t="str">
        <f>IF($I171="","",INDEX(CHOOSE($J$3,'فحص-حاسب-بكالوريوس'!$L$5:$L$208,'فحص-بيانات-بكالوريوس'!$L$5:$L$208,'فحص-بيانات-ماجستير'!$L$5:$L$230),$I171)&amp;"")</f>
        <v/>
      </c>
      <c r="G171" s="2" t="str">
        <f>IF($I171="","",INDEX(CHOOSE($J$3,'فحص-حاسب-بكالوريوس'!$M$5:$M$208,'فحص-بيانات-بكالوريوس'!$M$5:$M$208,'فحص-بيانات-ماجستير'!$M$5:$M$230),$I171)&amp;"")</f>
        <v/>
      </c>
      <c r="I171" s="2" t="str">
        <f>IFERROR(MATCH($E$3&amp;"#"&amp;166,CHOOSE($J$3,'فحص-حاسب-بكالوريوس'!$R$5:$R$208,'فحص-بيانات-بكالوريوس'!$R$5:$R$208,'فحص-بيانات-ماجستير'!$R$5:$R$230),0),"")</f>
        <v/>
      </c>
    </row>
    <row r="172" spans="1:9" x14ac:dyDescent="0.2">
      <c r="A172" s="1" t="str">
        <f>IF($I172="","",167)</f>
        <v/>
      </c>
      <c r="B172" s="2" t="str">
        <f>IF($I172="","",INDEX(CHOOSE($J$3,'فحص-حاسب-بكالوريوس'!$A$5:$A$208,'فحص-بيانات-بكالوريوس'!$A$5:$A$208,'فحص-بيانات-ماجستير'!$A$5:$A$230),$I172)&amp;"")</f>
        <v/>
      </c>
      <c r="C172" s="2" t="str">
        <f>IF($I172="","",INDEX(CHOOSE($J$3,'فحص-حاسب-بكالوريوس'!$F$5:$F$208,'فحص-بيانات-بكالوريوس'!$F$5:$F$208,'فحص-بيانات-ماجستير'!$F$5:$F$230),$I172)&amp;"")</f>
        <v/>
      </c>
      <c r="D172" s="2" t="str">
        <f>IF($I172="","",INDEX(CHOOSE($J$3,'فحص-حاسب-بكالوريوس'!$H$5:$H$208,'فحص-بيانات-بكالوريوس'!$H$5:$H$208,'فحص-بيانات-ماجستير'!$H$5:$H$230),$I172)&amp;"")</f>
        <v/>
      </c>
      <c r="E172" s="2" t="str">
        <f>IF($I172="","",INDEX(CHOOSE($J$3,'فحص-حاسب-بكالوريوس'!$J$5:$J$208,'فحص-بيانات-بكالوريوس'!$J$5:$J$208,'فحص-بيانات-ماجستير'!$J$5:$J$230),$I172)&amp;"")</f>
        <v/>
      </c>
      <c r="F172" s="2" t="str">
        <f>IF($I172="","",INDEX(CHOOSE($J$3,'فحص-حاسب-بكالوريوس'!$L$5:$L$208,'فحص-بيانات-بكالوريوس'!$L$5:$L$208,'فحص-بيانات-ماجستير'!$L$5:$L$230),$I172)&amp;"")</f>
        <v/>
      </c>
      <c r="G172" s="2" t="str">
        <f>IF($I172="","",INDEX(CHOOSE($J$3,'فحص-حاسب-بكالوريوس'!$M$5:$M$208,'فحص-بيانات-بكالوريوس'!$M$5:$M$208,'فحص-بيانات-ماجستير'!$M$5:$M$230),$I172)&amp;"")</f>
        <v/>
      </c>
      <c r="I172" s="2" t="str">
        <f>IFERROR(MATCH($E$3&amp;"#"&amp;167,CHOOSE($J$3,'فحص-حاسب-بكالوريوس'!$R$5:$R$208,'فحص-بيانات-بكالوريوس'!$R$5:$R$208,'فحص-بيانات-ماجستير'!$R$5:$R$230),0),"")</f>
        <v/>
      </c>
    </row>
    <row r="173" spans="1:9" x14ac:dyDescent="0.2">
      <c r="A173" s="1" t="str">
        <f>IF($I173="","",168)</f>
        <v/>
      </c>
      <c r="B173" s="2" t="str">
        <f>IF($I173="","",INDEX(CHOOSE($J$3,'فحص-حاسب-بكالوريوس'!$A$5:$A$208,'فحص-بيانات-بكالوريوس'!$A$5:$A$208,'فحص-بيانات-ماجستير'!$A$5:$A$230),$I173)&amp;"")</f>
        <v/>
      </c>
      <c r="C173" s="2" t="str">
        <f>IF($I173="","",INDEX(CHOOSE($J$3,'فحص-حاسب-بكالوريوس'!$F$5:$F$208,'فحص-بيانات-بكالوريوس'!$F$5:$F$208,'فحص-بيانات-ماجستير'!$F$5:$F$230),$I173)&amp;"")</f>
        <v/>
      </c>
      <c r="D173" s="2" t="str">
        <f>IF($I173="","",INDEX(CHOOSE($J$3,'فحص-حاسب-بكالوريوس'!$H$5:$H$208,'فحص-بيانات-بكالوريوس'!$H$5:$H$208,'فحص-بيانات-ماجستير'!$H$5:$H$230),$I173)&amp;"")</f>
        <v/>
      </c>
      <c r="E173" s="2" t="str">
        <f>IF($I173="","",INDEX(CHOOSE($J$3,'فحص-حاسب-بكالوريوس'!$J$5:$J$208,'فحص-بيانات-بكالوريوس'!$J$5:$J$208,'فحص-بيانات-ماجستير'!$J$5:$J$230),$I173)&amp;"")</f>
        <v/>
      </c>
      <c r="F173" s="2" t="str">
        <f>IF($I173="","",INDEX(CHOOSE($J$3,'فحص-حاسب-بكالوريوس'!$L$5:$L$208,'فحص-بيانات-بكالوريوس'!$L$5:$L$208,'فحص-بيانات-ماجستير'!$L$5:$L$230),$I173)&amp;"")</f>
        <v/>
      </c>
      <c r="G173" s="2" t="str">
        <f>IF($I173="","",INDEX(CHOOSE($J$3,'فحص-حاسب-بكالوريوس'!$M$5:$M$208,'فحص-بيانات-بكالوريوس'!$M$5:$M$208,'فحص-بيانات-ماجستير'!$M$5:$M$230),$I173)&amp;"")</f>
        <v/>
      </c>
      <c r="I173" s="2" t="str">
        <f>IFERROR(MATCH($E$3&amp;"#"&amp;168,CHOOSE($J$3,'فحص-حاسب-بكالوريوس'!$R$5:$R$208,'فحص-بيانات-بكالوريوس'!$R$5:$R$208,'فحص-بيانات-ماجستير'!$R$5:$R$230),0),"")</f>
        <v/>
      </c>
    </row>
    <row r="174" spans="1:9" x14ac:dyDescent="0.2">
      <c r="A174" s="1" t="str">
        <f>IF($I174="","",169)</f>
        <v/>
      </c>
      <c r="B174" s="2" t="str">
        <f>IF($I174="","",INDEX(CHOOSE($J$3,'فحص-حاسب-بكالوريوس'!$A$5:$A$208,'فحص-بيانات-بكالوريوس'!$A$5:$A$208,'فحص-بيانات-ماجستير'!$A$5:$A$230),$I174)&amp;"")</f>
        <v/>
      </c>
      <c r="C174" s="2" t="str">
        <f>IF($I174="","",INDEX(CHOOSE($J$3,'فحص-حاسب-بكالوريوس'!$F$5:$F$208,'فحص-بيانات-بكالوريوس'!$F$5:$F$208,'فحص-بيانات-ماجستير'!$F$5:$F$230),$I174)&amp;"")</f>
        <v/>
      </c>
      <c r="D174" s="2" t="str">
        <f>IF($I174="","",INDEX(CHOOSE($J$3,'فحص-حاسب-بكالوريوس'!$H$5:$H$208,'فحص-بيانات-بكالوريوس'!$H$5:$H$208,'فحص-بيانات-ماجستير'!$H$5:$H$230),$I174)&amp;"")</f>
        <v/>
      </c>
      <c r="E174" s="2" t="str">
        <f>IF($I174="","",INDEX(CHOOSE($J$3,'فحص-حاسب-بكالوريوس'!$J$5:$J$208,'فحص-بيانات-بكالوريوس'!$J$5:$J$208,'فحص-بيانات-ماجستير'!$J$5:$J$230),$I174)&amp;"")</f>
        <v/>
      </c>
      <c r="F174" s="2" t="str">
        <f>IF($I174="","",INDEX(CHOOSE($J$3,'فحص-حاسب-بكالوريوس'!$L$5:$L$208,'فحص-بيانات-بكالوريوس'!$L$5:$L$208,'فحص-بيانات-ماجستير'!$L$5:$L$230),$I174)&amp;"")</f>
        <v/>
      </c>
      <c r="G174" s="2" t="str">
        <f>IF($I174="","",INDEX(CHOOSE($J$3,'فحص-حاسب-بكالوريوس'!$M$5:$M$208,'فحص-بيانات-بكالوريوس'!$M$5:$M$208,'فحص-بيانات-ماجستير'!$M$5:$M$230),$I174)&amp;"")</f>
        <v/>
      </c>
      <c r="I174" s="2" t="str">
        <f>IFERROR(MATCH($E$3&amp;"#"&amp;169,CHOOSE($J$3,'فحص-حاسب-بكالوريوس'!$R$5:$R$208,'فحص-بيانات-بكالوريوس'!$R$5:$R$208,'فحص-بيانات-ماجستير'!$R$5:$R$230),0),"")</f>
        <v/>
      </c>
    </row>
    <row r="175" spans="1:9" x14ac:dyDescent="0.2">
      <c r="A175" s="1" t="str">
        <f>IF($I175="","",170)</f>
        <v/>
      </c>
      <c r="B175" s="2" t="str">
        <f>IF($I175="","",INDEX(CHOOSE($J$3,'فحص-حاسب-بكالوريوس'!$A$5:$A$208,'فحص-بيانات-بكالوريوس'!$A$5:$A$208,'فحص-بيانات-ماجستير'!$A$5:$A$230),$I175)&amp;"")</f>
        <v/>
      </c>
      <c r="C175" s="2" t="str">
        <f>IF($I175="","",INDEX(CHOOSE($J$3,'فحص-حاسب-بكالوريوس'!$F$5:$F$208,'فحص-بيانات-بكالوريوس'!$F$5:$F$208,'فحص-بيانات-ماجستير'!$F$5:$F$230),$I175)&amp;"")</f>
        <v/>
      </c>
      <c r="D175" s="2" t="str">
        <f>IF($I175="","",INDEX(CHOOSE($J$3,'فحص-حاسب-بكالوريوس'!$H$5:$H$208,'فحص-بيانات-بكالوريوس'!$H$5:$H$208,'فحص-بيانات-ماجستير'!$H$5:$H$230),$I175)&amp;"")</f>
        <v/>
      </c>
      <c r="E175" s="2" t="str">
        <f>IF($I175="","",INDEX(CHOOSE($J$3,'فحص-حاسب-بكالوريوس'!$J$5:$J$208,'فحص-بيانات-بكالوريوس'!$J$5:$J$208,'فحص-بيانات-ماجستير'!$J$5:$J$230),$I175)&amp;"")</f>
        <v/>
      </c>
      <c r="F175" s="2" t="str">
        <f>IF($I175="","",INDEX(CHOOSE($J$3,'فحص-حاسب-بكالوريوس'!$L$5:$L$208,'فحص-بيانات-بكالوريوس'!$L$5:$L$208,'فحص-بيانات-ماجستير'!$L$5:$L$230),$I175)&amp;"")</f>
        <v/>
      </c>
      <c r="G175" s="2" t="str">
        <f>IF($I175="","",INDEX(CHOOSE($J$3,'فحص-حاسب-بكالوريوس'!$M$5:$M$208,'فحص-بيانات-بكالوريوس'!$M$5:$M$208,'فحص-بيانات-ماجستير'!$M$5:$M$230),$I175)&amp;"")</f>
        <v/>
      </c>
      <c r="I175" s="2" t="str">
        <f>IFERROR(MATCH($E$3&amp;"#"&amp;170,CHOOSE($J$3,'فحص-حاسب-بكالوريوس'!$R$5:$R$208,'فحص-بيانات-بكالوريوس'!$R$5:$R$208,'فحص-بيانات-ماجستير'!$R$5:$R$230),0),"")</f>
        <v/>
      </c>
    </row>
    <row r="176" spans="1:9" x14ac:dyDescent="0.2">
      <c r="A176" s="1" t="str">
        <f>IF($I176="","",171)</f>
        <v/>
      </c>
      <c r="B176" s="2" t="str">
        <f>IF($I176="","",INDEX(CHOOSE($J$3,'فحص-حاسب-بكالوريوس'!$A$5:$A$208,'فحص-بيانات-بكالوريوس'!$A$5:$A$208,'فحص-بيانات-ماجستير'!$A$5:$A$230),$I176)&amp;"")</f>
        <v/>
      </c>
      <c r="C176" s="2" t="str">
        <f>IF($I176="","",INDEX(CHOOSE($J$3,'فحص-حاسب-بكالوريوس'!$F$5:$F$208,'فحص-بيانات-بكالوريوس'!$F$5:$F$208,'فحص-بيانات-ماجستير'!$F$5:$F$230),$I176)&amp;"")</f>
        <v/>
      </c>
      <c r="D176" s="2" t="str">
        <f>IF($I176="","",INDEX(CHOOSE($J$3,'فحص-حاسب-بكالوريوس'!$H$5:$H$208,'فحص-بيانات-بكالوريوس'!$H$5:$H$208,'فحص-بيانات-ماجستير'!$H$5:$H$230),$I176)&amp;"")</f>
        <v/>
      </c>
      <c r="E176" s="2" t="str">
        <f>IF($I176="","",INDEX(CHOOSE($J$3,'فحص-حاسب-بكالوريوس'!$J$5:$J$208,'فحص-بيانات-بكالوريوس'!$J$5:$J$208,'فحص-بيانات-ماجستير'!$J$5:$J$230),$I176)&amp;"")</f>
        <v/>
      </c>
      <c r="F176" s="2" t="str">
        <f>IF($I176="","",INDEX(CHOOSE($J$3,'فحص-حاسب-بكالوريوس'!$L$5:$L$208,'فحص-بيانات-بكالوريوس'!$L$5:$L$208,'فحص-بيانات-ماجستير'!$L$5:$L$230),$I176)&amp;"")</f>
        <v/>
      </c>
      <c r="G176" s="2" t="str">
        <f>IF($I176="","",INDEX(CHOOSE($J$3,'فحص-حاسب-بكالوريوس'!$M$5:$M$208,'فحص-بيانات-بكالوريوس'!$M$5:$M$208,'فحص-بيانات-ماجستير'!$M$5:$M$230),$I176)&amp;"")</f>
        <v/>
      </c>
      <c r="I176" s="2" t="str">
        <f>IFERROR(MATCH($E$3&amp;"#"&amp;171,CHOOSE($J$3,'فحص-حاسب-بكالوريوس'!$R$5:$R$208,'فحص-بيانات-بكالوريوس'!$R$5:$R$208,'فحص-بيانات-ماجستير'!$R$5:$R$230),0),"")</f>
        <v/>
      </c>
    </row>
    <row r="177" spans="1:9" x14ac:dyDescent="0.2">
      <c r="A177" s="1" t="str">
        <f>IF($I177="","",172)</f>
        <v/>
      </c>
      <c r="B177" s="2" t="str">
        <f>IF($I177="","",INDEX(CHOOSE($J$3,'فحص-حاسب-بكالوريوس'!$A$5:$A$208,'فحص-بيانات-بكالوريوس'!$A$5:$A$208,'فحص-بيانات-ماجستير'!$A$5:$A$230),$I177)&amp;"")</f>
        <v/>
      </c>
      <c r="C177" s="2" t="str">
        <f>IF($I177="","",INDEX(CHOOSE($J$3,'فحص-حاسب-بكالوريوس'!$F$5:$F$208,'فحص-بيانات-بكالوريوس'!$F$5:$F$208,'فحص-بيانات-ماجستير'!$F$5:$F$230),$I177)&amp;"")</f>
        <v/>
      </c>
      <c r="D177" s="2" t="str">
        <f>IF($I177="","",INDEX(CHOOSE($J$3,'فحص-حاسب-بكالوريوس'!$H$5:$H$208,'فحص-بيانات-بكالوريوس'!$H$5:$H$208,'فحص-بيانات-ماجستير'!$H$5:$H$230),$I177)&amp;"")</f>
        <v/>
      </c>
      <c r="E177" s="2" t="str">
        <f>IF($I177="","",INDEX(CHOOSE($J$3,'فحص-حاسب-بكالوريوس'!$J$5:$J$208,'فحص-بيانات-بكالوريوس'!$J$5:$J$208,'فحص-بيانات-ماجستير'!$J$5:$J$230),$I177)&amp;"")</f>
        <v/>
      </c>
      <c r="F177" s="2" t="str">
        <f>IF($I177="","",INDEX(CHOOSE($J$3,'فحص-حاسب-بكالوريوس'!$L$5:$L$208,'فحص-بيانات-بكالوريوس'!$L$5:$L$208,'فحص-بيانات-ماجستير'!$L$5:$L$230),$I177)&amp;"")</f>
        <v/>
      </c>
      <c r="G177" s="2" t="str">
        <f>IF($I177="","",INDEX(CHOOSE($J$3,'فحص-حاسب-بكالوريوس'!$M$5:$M$208,'فحص-بيانات-بكالوريوس'!$M$5:$M$208,'فحص-بيانات-ماجستير'!$M$5:$M$230),$I177)&amp;"")</f>
        <v/>
      </c>
      <c r="I177" s="2" t="str">
        <f>IFERROR(MATCH($E$3&amp;"#"&amp;172,CHOOSE($J$3,'فحص-حاسب-بكالوريوس'!$R$5:$R$208,'فحص-بيانات-بكالوريوس'!$R$5:$R$208,'فحص-بيانات-ماجستير'!$R$5:$R$230),0),"")</f>
        <v/>
      </c>
    </row>
    <row r="178" spans="1:9" x14ac:dyDescent="0.2">
      <c r="A178" s="1" t="str">
        <f>IF($I178="","",173)</f>
        <v/>
      </c>
      <c r="B178" s="2" t="str">
        <f>IF($I178="","",INDEX(CHOOSE($J$3,'فحص-حاسب-بكالوريوس'!$A$5:$A$208,'فحص-بيانات-بكالوريوس'!$A$5:$A$208,'فحص-بيانات-ماجستير'!$A$5:$A$230),$I178)&amp;"")</f>
        <v/>
      </c>
      <c r="C178" s="2" t="str">
        <f>IF($I178="","",INDEX(CHOOSE($J$3,'فحص-حاسب-بكالوريوس'!$F$5:$F$208,'فحص-بيانات-بكالوريوس'!$F$5:$F$208,'فحص-بيانات-ماجستير'!$F$5:$F$230),$I178)&amp;"")</f>
        <v/>
      </c>
      <c r="D178" s="2" t="str">
        <f>IF($I178="","",INDEX(CHOOSE($J$3,'فحص-حاسب-بكالوريوس'!$H$5:$H$208,'فحص-بيانات-بكالوريوس'!$H$5:$H$208,'فحص-بيانات-ماجستير'!$H$5:$H$230),$I178)&amp;"")</f>
        <v/>
      </c>
      <c r="E178" s="2" t="str">
        <f>IF($I178="","",INDEX(CHOOSE($J$3,'فحص-حاسب-بكالوريوس'!$J$5:$J$208,'فحص-بيانات-بكالوريوس'!$J$5:$J$208,'فحص-بيانات-ماجستير'!$J$5:$J$230),$I178)&amp;"")</f>
        <v/>
      </c>
      <c r="F178" s="2" t="str">
        <f>IF($I178="","",INDEX(CHOOSE($J$3,'فحص-حاسب-بكالوريوس'!$L$5:$L$208,'فحص-بيانات-بكالوريوس'!$L$5:$L$208,'فحص-بيانات-ماجستير'!$L$5:$L$230),$I178)&amp;"")</f>
        <v/>
      </c>
      <c r="G178" s="2" t="str">
        <f>IF($I178="","",INDEX(CHOOSE($J$3,'فحص-حاسب-بكالوريوس'!$M$5:$M$208,'فحص-بيانات-بكالوريوس'!$M$5:$M$208,'فحص-بيانات-ماجستير'!$M$5:$M$230),$I178)&amp;"")</f>
        <v/>
      </c>
      <c r="I178" s="2" t="str">
        <f>IFERROR(MATCH($E$3&amp;"#"&amp;173,CHOOSE($J$3,'فحص-حاسب-بكالوريوس'!$R$5:$R$208,'فحص-بيانات-بكالوريوس'!$R$5:$R$208,'فحص-بيانات-ماجستير'!$R$5:$R$230),0),"")</f>
        <v/>
      </c>
    </row>
    <row r="179" spans="1:9" x14ac:dyDescent="0.2">
      <c r="A179" s="1" t="str">
        <f>IF($I179="","",174)</f>
        <v/>
      </c>
      <c r="B179" s="2" t="str">
        <f>IF($I179="","",INDEX(CHOOSE($J$3,'فحص-حاسب-بكالوريوس'!$A$5:$A$208,'فحص-بيانات-بكالوريوس'!$A$5:$A$208,'فحص-بيانات-ماجستير'!$A$5:$A$230),$I179)&amp;"")</f>
        <v/>
      </c>
      <c r="C179" s="2" t="str">
        <f>IF($I179="","",INDEX(CHOOSE($J$3,'فحص-حاسب-بكالوريوس'!$F$5:$F$208,'فحص-بيانات-بكالوريوس'!$F$5:$F$208,'فحص-بيانات-ماجستير'!$F$5:$F$230),$I179)&amp;"")</f>
        <v/>
      </c>
      <c r="D179" s="2" t="str">
        <f>IF($I179="","",INDEX(CHOOSE($J$3,'فحص-حاسب-بكالوريوس'!$H$5:$H$208,'فحص-بيانات-بكالوريوس'!$H$5:$H$208,'فحص-بيانات-ماجستير'!$H$5:$H$230),$I179)&amp;"")</f>
        <v/>
      </c>
      <c r="E179" s="2" t="str">
        <f>IF($I179="","",INDEX(CHOOSE($J$3,'فحص-حاسب-بكالوريوس'!$J$5:$J$208,'فحص-بيانات-بكالوريوس'!$J$5:$J$208,'فحص-بيانات-ماجستير'!$J$5:$J$230),$I179)&amp;"")</f>
        <v/>
      </c>
      <c r="F179" s="2" t="str">
        <f>IF($I179="","",INDEX(CHOOSE($J$3,'فحص-حاسب-بكالوريوس'!$L$5:$L$208,'فحص-بيانات-بكالوريوس'!$L$5:$L$208,'فحص-بيانات-ماجستير'!$L$5:$L$230),$I179)&amp;"")</f>
        <v/>
      </c>
      <c r="G179" s="2" t="str">
        <f>IF($I179="","",INDEX(CHOOSE($J$3,'فحص-حاسب-بكالوريوس'!$M$5:$M$208,'فحص-بيانات-بكالوريوس'!$M$5:$M$208,'فحص-بيانات-ماجستير'!$M$5:$M$230),$I179)&amp;"")</f>
        <v/>
      </c>
      <c r="I179" s="2" t="str">
        <f>IFERROR(MATCH($E$3&amp;"#"&amp;174,CHOOSE($J$3,'فحص-حاسب-بكالوريوس'!$R$5:$R$208,'فحص-بيانات-بكالوريوس'!$R$5:$R$208,'فحص-بيانات-ماجستير'!$R$5:$R$230),0),"")</f>
        <v/>
      </c>
    </row>
    <row r="180" spans="1:9" x14ac:dyDescent="0.2">
      <c r="A180" s="1" t="str">
        <f>IF($I180="","",175)</f>
        <v/>
      </c>
      <c r="B180" s="2" t="str">
        <f>IF($I180="","",INDEX(CHOOSE($J$3,'فحص-حاسب-بكالوريوس'!$A$5:$A$208,'فحص-بيانات-بكالوريوس'!$A$5:$A$208,'فحص-بيانات-ماجستير'!$A$5:$A$230),$I180)&amp;"")</f>
        <v/>
      </c>
      <c r="C180" s="2" t="str">
        <f>IF($I180="","",INDEX(CHOOSE($J$3,'فحص-حاسب-بكالوريوس'!$F$5:$F$208,'فحص-بيانات-بكالوريوس'!$F$5:$F$208,'فحص-بيانات-ماجستير'!$F$5:$F$230),$I180)&amp;"")</f>
        <v/>
      </c>
      <c r="D180" s="2" t="str">
        <f>IF($I180="","",INDEX(CHOOSE($J$3,'فحص-حاسب-بكالوريوس'!$H$5:$H$208,'فحص-بيانات-بكالوريوس'!$H$5:$H$208,'فحص-بيانات-ماجستير'!$H$5:$H$230),$I180)&amp;"")</f>
        <v/>
      </c>
      <c r="E180" s="2" t="str">
        <f>IF($I180="","",INDEX(CHOOSE($J$3,'فحص-حاسب-بكالوريوس'!$J$5:$J$208,'فحص-بيانات-بكالوريوس'!$J$5:$J$208,'فحص-بيانات-ماجستير'!$J$5:$J$230),$I180)&amp;"")</f>
        <v/>
      </c>
      <c r="F180" s="2" t="str">
        <f>IF($I180="","",INDEX(CHOOSE($J$3,'فحص-حاسب-بكالوريوس'!$L$5:$L$208,'فحص-بيانات-بكالوريوس'!$L$5:$L$208,'فحص-بيانات-ماجستير'!$L$5:$L$230),$I180)&amp;"")</f>
        <v/>
      </c>
      <c r="G180" s="2" t="str">
        <f>IF($I180="","",INDEX(CHOOSE($J$3,'فحص-حاسب-بكالوريوس'!$M$5:$M$208,'فحص-بيانات-بكالوريوس'!$M$5:$M$208,'فحص-بيانات-ماجستير'!$M$5:$M$230),$I180)&amp;"")</f>
        <v/>
      </c>
      <c r="I180" s="2" t="str">
        <f>IFERROR(MATCH($E$3&amp;"#"&amp;175,CHOOSE($J$3,'فحص-حاسب-بكالوريوس'!$R$5:$R$208,'فحص-بيانات-بكالوريوس'!$R$5:$R$208,'فحص-بيانات-ماجستير'!$R$5:$R$230),0),"")</f>
        <v/>
      </c>
    </row>
    <row r="181" spans="1:9" x14ac:dyDescent="0.2">
      <c r="A181" s="1" t="str">
        <f>IF($I181="","",176)</f>
        <v/>
      </c>
      <c r="B181" s="2" t="str">
        <f>IF($I181="","",INDEX(CHOOSE($J$3,'فحص-حاسب-بكالوريوس'!$A$5:$A$208,'فحص-بيانات-بكالوريوس'!$A$5:$A$208,'فحص-بيانات-ماجستير'!$A$5:$A$230),$I181)&amp;"")</f>
        <v/>
      </c>
      <c r="C181" s="2" t="str">
        <f>IF($I181="","",INDEX(CHOOSE($J$3,'فحص-حاسب-بكالوريوس'!$F$5:$F$208,'فحص-بيانات-بكالوريوس'!$F$5:$F$208,'فحص-بيانات-ماجستير'!$F$5:$F$230),$I181)&amp;"")</f>
        <v/>
      </c>
      <c r="D181" s="2" t="str">
        <f>IF($I181="","",INDEX(CHOOSE($J$3,'فحص-حاسب-بكالوريوس'!$H$5:$H$208,'فحص-بيانات-بكالوريوس'!$H$5:$H$208,'فحص-بيانات-ماجستير'!$H$5:$H$230),$I181)&amp;"")</f>
        <v/>
      </c>
      <c r="E181" s="2" t="str">
        <f>IF($I181="","",INDEX(CHOOSE($J$3,'فحص-حاسب-بكالوريوس'!$J$5:$J$208,'فحص-بيانات-بكالوريوس'!$J$5:$J$208,'فحص-بيانات-ماجستير'!$J$5:$J$230),$I181)&amp;"")</f>
        <v/>
      </c>
      <c r="F181" s="2" t="str">
        <f>IF($I181="","",INDEX(CHOOSE($J$3,'فحص-حاسب-بكالوريوس'!$L$5:$L$208,'فحص-بيانات-بكالوريوس'!$L$5:$L$208,'فحص-بيانات-ماجستير'!$L$5:$L$230),$I181)&amp;"")</f>
        <v/>
      </c>
      <c r="G181" s="2" t="str">
        <f>IF($I181="","",INDEX(CHOOSE($J$3,'فحص-حاسب-بكالوريوس'!$M$5:$M$208,'فحص-بيانات-بكالوريوس'!$M$5:$M$208,'فحص-بيانات-ماجستير'!$M$5:$M$230),$I181)&amp;"")</f>
        <v/>
      </c>
      <c r="I181" s="2" t="str">
        <f>IFERROR(MATCH($E$3&amp;"#"&amp;176,CHOOSE($J$3,'فحص-حاسب-بكالوريوس'!$R$5:$R$208,'فحص-بيانات-بكالوريوس'!$R$5:$R$208,'فحص-بيانات-ماجستير'!$R$5:$R$230),0),"")</f>
        <v/>
      </c>
    </row>
    <row r="182" spans="1:9" x14ac:dyDescent="0.2">
      <c r="A182" s="1" t="str">
        <f>IF($I182="","",177)</f>
        <v/>
      </c>
      <c r="B182" s="2" t="str">
        <f>IF($I182="","",INDEX(CHOOSE($J$3,'فحص-حاسب-بكالوريوس'!$A$5:$A$208,'فحص-بيانات-بكالوريوس'!$A$5:$A$208,'فحص-بيانات-ماجستير'!$A$5:$A$230),$I182)&amp;"")</f>
        <v/>
      </c>
      <c r="C182" s="2" t="str">
        <f>IF($I182="","",INDEX(CHOOSE($J$3,'فحص-حاسب-بكالوريوس'!$F$5:$F$208,'فحص-بيانات-بكالوريوس'!$F$5:$F$208,'فحص-بيانات-ماجستير'!$F$5:$F$230),$I182)&amp;"")</f>
        <v/>
      </c>
      <c r="D182" s="2" t="str">
        <f>IF($I182="","",INDEX(CHOOSE($J$3,'فحص-حاسب-بكالوريوس'!$H$5:$H$208,'فحص-بيانات-بكالوريوس'!$H$5:$H$208,'فحص-بيانات-ماجستير'!$H$5:$H$230),$I182)&amp;"")</f>
        <v/>
      </c>
      <c r="E182" s="2" t="str">
        <f>IF($I182="","",INDEX(CHOOSE($J$3,'فحص-حاسب-بكالوريوس'!$J$5:$J$208,'فحص-بيانات-بكالوريوس'!$J$5:$J$208,'فحص-بيانات-ماجستير'!$J$5:$J$230),$I182)&amp;"")</f>
        <v/>
      </c>
      <c r="F182" s="2" t="str">
        <f>IF($I182="","",INDEX(CHOOSE($J$3,'فحص-حاسب-بكالوريوس'!$L$5:$L$208,'فحص-بيانات-بكالوريوس'!$L$5:$L$208,'فحص-بيانات-ماجستير'!$L$5:$L$230),$I182)&amp;"")</f>
        <v/>
      </c>
      <c r="G182" s="2" t="str">
        <f>IF($I182="","",INDEX(CHOOSE($J$3,'فحص-حاسب-بكالوريوس'!$M$5:$M$208,'فحص-بيانات-بكالوريوس'!$M$5:$M$208,'فحص-بيانات-ماجستير'!$M$5:$M$230),$I182)&amp;"")</f>
        <v/>
      </c>
      <c r="I182" s="2" t="str">
        <f>IFERROR(MATCH($E$3&amp;"#"&amp;177,CHOOSE($J$3,'فحص-حاسب-بكالوريوس'!$R$5:$R$208,'فحص-بيانات-بكالوريوس'!$R$5:$R$208,'فحص-بيانات-ماجستير'!$R$5:$R$230),0),"")</f>
        <v/>
      </c>
    </row>
    <row r="183" spans="1:9" x14ac:dyDescent="0.2">
      <c r="A183" s="1" t="str">
        <f>IF($I183="","",178)</f>
        <v/>
      </c>
      <c r="B183" s="2" t="str">
        <f>IF($I183="","",INDEX(CHOOSE($J$3,'فحص-حاسب-بكالوريوس'!$A$5:$A$208,'فحص-بيانات-بكالوريوس'!$A$5:$A$208,'فحص-بيانات-ماجستير'!$A$5:$A$230),$I183)&amp;"")</f>
        <v/>
      </c>
      <c r="C183" s="2" t="str">
        <f>IF($I183="","",INDEX(CHOOSE($J$3,'فحص-حاسب-بكالوريوس'!$F$5:$F$208,'فحص-بيانات-بكالوريوس'!$F$5:$F$208,'فحص-بيانات-ماجستير'!$F$5:$F$230),$I183)&amp;"")</f>
        <v/>
      </c>
      <c r="D183" s="2" t="str">
        <f>IF($I183="","",INDEX(CHOOSE($J$3,'فحص-حاسب-بكالوريوس'!$H$5:$H$208,'فحص-بيانات-بكالوريوس'!$H$5:$H$208,'فحص-بيانات-ماجستير'!$H$5:$H$230),$I183)&amp;"")</f>
        <v/>
      </c>
      <c r="E183" s="2" t="str">
        <f>IF($I183="","",INDEX(CHOOSE($J$3,'فحص-حاسب-بكالوريوس'!$J$5:$J$208,'فحص-بيانات-بكالوريوس'!$J$5:$J$208,'فحص-بيانات-ماجستير'!$J$5:$J$230),$I183)&amp;"")</f>
        <v/>
      </c>
      <c r="F183" s="2" t="str">
        <f>IF($I183="","",INDEX(CHOOSE($J$3,'فحص-حاسب-بكالوريوس'!$L$5:$L$208,'فحص-بيانات-بكالوريوس'!$L$5:$L$208,'فحص-بيانات-ماجستير'!$L$5:$L$230),$I183)&amp;"")</f>
        <v/>
      </c>
      <c r="G183" s="2" t="str">
        <f>IF($I183="","",INDEX(CHOOSE($J$3,'فحص-حاسب-بكالوريوس'!$M$5:$M$208,'فحص-بيانات-بكالوريوس'!$M$5:$M$208,'فحص-بيانات-ماجستير'!$M$5:$M$230),$I183)&amp;"")</f>
        <v/>
      </c>
      <c r="I183" s="2" t="str">
        <f>IFERROR(MATCH($E$3&amp;"#"&amp;178,CHOOSE($J$3,'فحص-حاسب-بكالوريوس'!$R$5:$R$208,'فحص-بيانات-بكالوريوس'!$R$5:$R$208,'فحص-بيانات-ماجستير'!$R$5:$R$230),0),"")</f>
        <v/>
      </c>
    </row>
    <row r="184" spans="1:9" x14ac:dyDescent="0.2">
      <c r="A184" s="1" t="str">
        <f>IF($I184="","",179)</f>
        <v/>
      </c>
      <c r="B184" s="2" t="str">
        <f>IF($I184="","",INDEX(CHOOSE($J$3,'فحص-حاسب-بكالوريوس'!$A$5:$A$208,'فحص-بيانات-بكالوريوس'!$A$5:$A$208,'فحص-بيانات-ماجستير'!$A$5:$A$230),$I184)&amp;"")</f>
        <v/>
      </c>
      <c r="C184" s="2" t="str">
        <f>IF($I184="","",INDEX(CHOOSE($J$3,'فحص-حاسب-بكالوريوس'!$F$5:$F$208,'فحص-بيانات-بكالوريوس'!$F$5:$F$208,'فحص-بيانات-ماجستير'!$F$5:$F$230),$I184)&amp;"")</f>
        <v/>
      </c>
      <c r="D184" s="2" t="str">
        <f>IF($I184="","",INDEX(CHOOSE($J$3,'فحص-حاسب-بكالوريوس'!$H$5:$H$208,'فحص-بيانات-بكالوريوس'!$H$5:$H$208,'فحص-بيانات-ماجستير'!$H$5:$H$230),$I184)&amp;"")</f>
        <v/>
      </c>
      <c r="E184" s="2" t="str">
        <f>IF($I184="","",INDEX(CHOOSE($J$3,'فحص-حاسب-بكالوريوس'!$J$5:$J$208,'فحص-بيانات-بكالوريوس'!$J$5:$J$208,'فحص-بيانات-ماجستير'!$J$5:$J$230),$I184)&amp;"")</f>
        <v/>
      </c>
      <c r="F184" s="2" t="str">
        <f>IF($I184="","",INDEX(CHOOSE($J$3,'فحص-حاسب-بكالوريوس'!$L$5:$L$208,'فحص-بيانات-بكالوريوس'!$L$5:$L$208,'فحص-بيانات-ماجستير'!$L$5:$L$230),$I184)&amp;"")</f>
        <v/>
      </c>
      <c r="G184" s="2" t="str">
        <f>IF($I184="","",INDEX(CHOOSE($J$3,'فحص-حاسب-بكالوريوس'!$M$5:$M$208,'فحص-بيانات-بكالوريوس'!$M$5:$M$208,'فحص-بيانات-ماجستير'!$M$5:$M$230),$I184)&amp;"")</f>
        <v/>
      </c>
      <c r="I184" s="2" t="str">
        <f>IFERROR(MATCH($E$3&amp;"#"&amp;179,CHOOSE($J$3,'فحص-حاسب-بكالوريوس'!$R$5:$R$208,'فحص-بيانات-بكالوريوس'!$R$5:$R$208,'فحص-بيانات-ماجستير'!$R$5:$R$230),0),"")</f>
        <v/>
      </c>
    </row>
    <row r="185" spans="1:9" x14ac:dyDescent="0.2">
      <c r="A185" s="1" t="str">
        <f>IF($I185="","",180)</f>
        <v/>
      </c>
      <c r="B185" s="2" t="str">
        <f>IF($I185="","",INDEX(CHOOSE($J$3,'فحص-حاسب-بكالوريوس'!$A$5:$A$208,'فحص-بيانات-بكالوريوس'!$A$5:$A$208,'فحص-بيانات-ماجستير'!$A$5:$A$230),$I185)&amp;"")</f>
        <v/>
      </c>
      <c r="C185" s="2" t="str">
        <f>IF($I185="","",INDEX(CHOOSE($J$3,'فحص-حاسب-بكالوريوس'!$F$5:$F$208,'فحص-بيانات-بكالوريوس'!$F$5:$F$208,'فحص-بيانات-ماجستير'!$F$5:$F$230),$I185)&amp;"")</f>
        <v/>
      </c>
      <c r="D185" s="2" t="str">
        <f>IF($I185="","",INDEX(CHOOSE($J$3,'فحص-حاسب-بكالوريوس'!$H$5:$H$208,'فحص-بيانات-بكالوريوس'!$H$5:$H$208,'فحص-بيانات-ماجستير'!$H$5:$H$230),$I185)&amp;"")</f>
        <v/>
      </c>
      <c r="E185" s="2" t="str">
        <f>IF($I185="","",INDEX(CHOOSE($J$3,'فحص-حاسب-بكالوريوس'!$J$5:$J$208,'فحص-بيانات-بكالوريوس'!$J$5:$J$208,'فحص-بيانات-ماجستير'!$J$5:$J$230),$I185)&amp;"")</f>
        <v/>
      </c>
      <c r="F185" s="2" t="str">
        <f>IF($I185="","",INDEX(CHOOSE($J$3,'فحص-حاسب-بكالوريوس'!$L$5:$L$208,'فحص-بيانات-بكالوريوس'!$L$5:$L$208,'فحص-بيانات-ماجستير'!$L$5:$L$230),$I185)&amp;"")</f>
        <v/>
      </c>
      <c r="G185" s="2" t="str">
        <f>IF($I185="","",INDEX(CHOOSE($J$3,'فحص-حاسب-بكالوريوس'!$M$5:$M$208,'فحص-بيانات-بكالوريوس'!$M$5:$M$208,'فحص-بيانات-ماجستير'!$M$5:$M$230),$I185)&amp;"")</f>
        <v/>
      </c>
      <c r="I185" s="2" t="str">
        <f>IFERROR(MATCH($E$3&amp;"#"&amp;180,CHOOSE($J$3,'فحص-حاسب-بكالوريوس'!$R$5:$R$208,'فحص-بيانات-بكالوريوس'!$R$5:$R$208,'فحص-بيانات-ماجستير'!$R$5:$R$230),0),"")</f>
        <v/>
      </c>
    </row>
    <row r="186" spans="1:9" x14ac:dyDescent="0.2">
      <c r="A186" s="1" t="str">
        <f>IF($I186="","",181)</f>
        <v/>
      </c>
      <c r="B186" s="2" t="str">
        <f>IF($I186="","",INDEX(CHOOSE($J$3,'فحص-حاسب-بكالوريوس'!$A$5:$A$208,'فحص-بيانات-بكالوريوس'!$A$5:$A$208,'فحص-بيانات-ماجستير'!$A$5:$A$230),$I186)&amp;"")</f>
        <v/>
      </c>
      <c r="C186" s="2" t="str">
        <f>IF($I186="","",INDEX(CHOOSE($J$3,'فحص-حاسب-بكالوريوس'!$F$5:$F$208,'فحص-بيانات-بكالوريوس'!$F$5:$F$208,'فحص-بيانات-ماجستير'!$F$5:$F$230),$I186)&amp;"")</f>
        <v/>
      </c>
      <c r="D186" s="2" t="str">
        <f>IF($I186="","",INDEX(CHOOSE($J$3,'فحص-حاسب-بكالوريوس'!$H$5:$H$208,'فحص-بيانات-بكالوريوس'!$H$5:$H$208,'فحص-بيانات-ماجستير'!$H$5:$H$230),$I186)&amp;"")</f>
        <v/>
      </c>
      <c r="E186" s="2" t="str">
        <f>IF($I186="","",INDEX(CHOOSE($J$3,'فحص-حاسب-بكالوريوس'!$J$5:$J$208,'فحص-بيانات-بكالوريوس'!$J$5:$J$208,'فحص-بيانات-ماجستير'!$J$5:$J$230),$I186)&amp;"")</f>
        <v/>
      </c>
      <c r="F186" s="2" t="str">
        <f>IF($I186="","",INDEX(CHOOSE($J$3,'فحص-حاسب-بكالوريوس'!$L$5:$L$208,'فحص-بيانات-بكالوريوس'!$L$5:$L$208,'فحص-بيانات-ماجستير'!$L$5:$L$230),$I186)&amp;"")</f>
        <v/>
      </c>
      <c r="G186" s="2" t="str">
        <f>IF($I186="","",INDEX(CHOOSE($J$3,'فحص-حاسب-بكالوريوس'!$M$5:$M$208,'فحص-بيانات-بكالوريوس'!$M$5:$M$208,'فحص-بيانات-ماجستير'!$M$5:$M$230),$I186)&amp;"")</f>
        <v/>
      </c>
      <c r="I186" s="2" t="str">
        <f>IFERROR(MATCH($E$3&amp;"#"&amp;181,CHOOSE($J$3,'فحص-حاسب-بكالوريوس'!$R$5:$R$208,'فحص-بيانات-بكالوريوس'!$R$5:$R$208,'فحص-بيانات-ماجستير'!$R$5:$R$230),0),"")</f>
        <v/>
      </c>
    </row>
    <row r="187" spans="1:9" x14ac:dyDescent="0.2">
      <c r="A187" s="1" t="str">
        <f>IF($I187="","",182)</f>
        <v/>
      </c>
      <c r="B187" s="2" t="str">
        <f>IF($I187="","",INDEX(CHOOSE($J$3,'فحص-حاسب-بكالوريوس'!$A$5:$A$208,'فحص-بيانات-بكالوريوس'!$A$5:$A$208,'فحص-بيانات-ماجستير'!$A$5:$A$230),$I187)&amp;"")</f>
        <v/>
      </c>
      <c r="C187" s="2" t="str">
        <f>IF($I187="","",INDEX(CHOOSE($J$3,'فحص-حاسب-بكالوريوس'!$F$5:$F$208,'فحص-بيانات-بكالوريوس'!$F$5:$F$208,'فحص-بيانات-ماجستير'!$F$5:$F$230),$I187)&amp;"")</f>
        <v/>
      </c>
      <c r="D187" s="2" t="str">
        <f>IF($I187="","",INDEX(CHOOSE($J$3,'فحص-حاسب-بكالوريوس'!$H$5:$H$208,'فحص-بيانات-بكالوريوس'!$H$5:$H$208,'فحص-بيانات-ماجستير'!$H$5:$H$230),$I187)&amp;"")</f>
        <v/>
      </c>
      <c r="E187" s="2" t="str">
        <f>IF($I187="","",INDEX(CHOOSE($J$3,'فحص-حاسب-بكالوريوس'!$J$5:$J$208,'فحص-بيانات-بكالوريوس'!$J$5:$J$208,'فحص-بيانات-ماجستير'!$J$5:$J$230),$I187)&amp;"")</f>
        <v/>
      </c>
      <c r="F187" s="2" t="str">
        <f>IF($I187="","",INDEX(CHOOSE($J$3,'فحص-حاسب-بكالوريوس'!$L$5:$L$208,'فحص-بيانات-بكالوريوس'!$L$5:$L$208,'فحص-بيانات-ماجستير'!$L$5:$L$230),$I187)&amp;"")</f>
        <v/>
      </c>
      <c r="G187" s="2" t="str">
        <f>IF($I187="","",INDEX(CHOOSE($J$3,'فحص-حاسب-بكالوريوس'!$M$5:$M$208,'فحص-بيانات-بكالوريوس'!$M$5:$M$208,'فحص-بيانات-ماجستير'!$M$5:$M$230),$I187)&amp;"")</f>
        <v/>
      </c>
      <c r="I187" s="2" t="str">
        <f>IFERROR(MATCH($E$3&amp;"#"&amp;182,CHOOSE($J$3,'فحص-حاسب-بكالوريوس'!$R$5:$R$208,'فحص-بيانات-بكالوريوس'!$R$5:$R$208,'فحص-بيانات-ماجستير'!$R$5:$R$230),0),"")</f>
        <v/>
      </c>
    </row>
    <row r="188" spans="1:9" x14ac:dyDescent="0.2">
      <c r="A188" s="1" t="str">
        <f>IF($I188="","",183)</f>
        <v/>
      </c>
      <c r="B188" s="2" t="str">
        <f>IF($I188="","",INDEX(CHOOSE($J$3,'فحص-حاسب-بكالوريوس'!$A$5:$A$208,'فحص-بيانات-بكالوريوس'!$A$5:$A$208,'فحص-بيانات-ماجستير'!$A$5:$A$230),$I188)&amp;"")</f>
        <v/>
      </c>
      <c r="C188" s="2" t="str">
        <f>IF($I188="","",INDEX(CHOOSE($J$3,'فحص-حاسب-بكالوريوس'!$F$5:$F$208,'فحص-بيانات-بكالوريوس'!$F$5:$F$208,'فحص-بيانات-ماجستير'!$F$5:$F$230),$I188)&amp;"")</f>
        <v/>
      </c>
      <c r="D188" s="2" t="str">
        <f>IF($I188="","",INDEX(CHOOSE($J$3,'فحص-حاسب-بكالوريوس'!$H$5:$H$208,'فحص-بيانات-بكالوريوس'!$H$5:$H$208,'فحص-بيانات-ماجستير'!$H$5:$H$230),$I188)&amp;"")</f>
        <v/>
      </c>
      <c r="E188" s="2" t="str">
        <f>IF($I188="","",INDEX(CHOOSE($J$3,'فحص-حاسب-بكالوريوس'!$J$5:$J$208,'فحص-بيانات-بكالوريوس'!$J$5:$J$208,'فحص-بيانات-ماجستير'!$J$5:$J$230),$I188)&amp;"")</f>
        <v/>
      </c>
      <c r="F188" s="2" t="str">
        <f>IF($I188="","",INDEX(CHOOSE($J$3,'فحص-حاسب-بكالوريوس'!$L$5:$L$208,'فحص-بيانات-بكالوريوس'!$L$5:$L$208,'فحص-بيانات-ماجستير'!$L$5:$L$230),$I188)&amp;"")</f>
        <v/>
      </c>
      <c r="G188" s="2" t="str">
        <f>IF($I188="","",INDEX(CHOOSE($J$3,'فحص-حاسب-بكالوريوس'!$M$5:$M$208,'فحص-بيانات-بكالوريوس'!$M$5:$M$208,'فحص-بيانات-ماجستير'!$M$5:$M$230),$I188)&amp;"")</f>
        <v/>
      </c>
      <c r="I188" s="2" t="str">
        <f>IFERROR(MATCH($E$3&amp;"#"&amp;183,CHOOSE($J$3,'فحص-حاسب-بكالوريوس'!$R$5:$R$208,'فحص-بيانات-بكالوريوس'!$R$5:$R$208,'فحص-بيانات-ماجستير'!$R$5:$R$230),0),"")</f>
        <v/>
      </c>
    </row>
    <row r="189" spans="1:9" x14ac:dyDescent="0.2">
      <c r="A189" s="1" t="str">
        <f>IF($I189="","",184)</f>
        <v/>
      </c>
      <c r="B189" s="2" t="str">
        <f>IF($I189="","",INDEX(CHOOSE($J$3,'فحص-حاسب-بكالوريوس'!$A$5:$A$208,'فحص-بيانات-بكالوريوس'!$A$5:$A$208,'فحص-بيانات-ماجستير'!$A$5:$A$230),$I189)&amp;"")</f>
        <v/>
      </c>
      <c r="C189" s="2" t="str">
        <f>IF($I189="","",INDEX(CHOOSE($J$3,'فحص-حاسب-بكالوريوس'!$F$5:$F$208,'فحص-بيانات-بكالوريوس'!$F$5:$F$208,'فحص-بيانات-ماجستير'!$F$5:$F$230),$I189)&amp;"")</f>
        <v/>
      </c>
      <c r="D189" s="2" t="str">
        <f>IF($I189="","",INDEX(CHOOSE($J$3,'فحص-حاسب-بكالوريوس'!$H$5:$H$208,'فحص-بيانات-بكالوريوس'!$H$5:$H$208,'فحص-بيانات-ماجستير'!$H$5:$H$230),$I189)&amp;"")</f>
        <v/>
      </c>
      <c r="E189" s="2" t="str">
        <f>IF($I189="","",INDEX(CHOOSE($J$3,'فحص-حاسب-بكالوريوس'!$J$5:$J$208,'فحص-بيانات-بكالوريوس'!$J$5:$J$208,'فحص-بيانات-ماجستير'!$J$5:$J$230),$I189)&amp;"")</f>
        <v/>
      </c>
      <c r="F189" s="2" t="str">
        <f>IF($I189="","",INDEX(CHOOSE($J$3,'فحص-حاسب-بكالوريوس'!$L$5:$L$208,'فحص-بيانات-بكالوريوس'!$L$5:$L$208,'فحص-بيانات-ماجستير'!$L$5:$L$230),$I189)&amp;"")</f>
        <v/>
      </c>
      <c r="G189" s="2" t="str">
        <f>IF($I189="","",INDEX(CHOOSE($J$3,'فحص-حاسب-بكالوريوس'!$M$5:$M$208,'فحص-بيانات-بكالوريوس'!$M$5:$M$208,'فحص-بيانات-ماجستير'!$M$5:$M$230),$I189)&amp;"")</f>
        <v/>
      </c>
      <c r="I189" s="2" t="str">
        <f>IFERROR(MATCH($E$3&amp;"#"&amp;184,CHOOSE($J$3,'فحص-حاسب-بكالوريوس'!$R$5:$R$208,'فحص-بيانات-بكالوريوس'!$R$5:$R$208,'فحص-بيانات-ماجستير'!$R$5:$R$230),0),"")</f>
        <v/>
      </c>
    </row>
    <row r="190" spans="1:9" x14ac:dyDescent="0.2">
      <c r="A190" s="1" t="str">
        <f>IF($I190="","",185)</f>
        <v/>
      </c>
      <c r="B190" s="2" t="str">
        <f>IF($I190="","",INDEX(CHOOSE($J$3,'فحص-حاسب-بكالوريوس'!$A$5:$A$208,'فحص-بيانات-بكالوريوس'!$A$5:$A$208,'فحص-بيانات-ماجستير'!$A$5:$A$230),$I190)&amp;"")</f>
        <v/>
      </c>
      <c r="C190" s="2" t="str">
        <f>IF($I190="","",INDEX(CHOOSE($J$3,'فحص-حاسب-بكالوريوس'!$F$5:$F$208,'فحص-بيانات-بكالوريوس'!$F$5:$F$208,'فحص-بيانات-ماجستير'!$F$5:$F$230),$I190)&amp;"")</f>
        <v/>
      </c>
      <c r="D190" s="2" t="str">
        <f>IF($I190="","",INDEX(CHOOSE($J$3,'فحص-حاسب-بكالوريوس'!$H$5:$H$208,'فحص-بيانات-بكالوريوس'!$H$5:$H$208,'فحص-بيانات-ماجستير'!$H$5:$H$230),$I190)&amp;"")</f>
        <v/>
      </c>
      <c r="E190" s="2" t="str">
        <f>IF($I190="","",INDEX(CHOOSE($J$3,'فحص-حاسب-بكالوريوس'!$J$5:$J$208,'فحص-بيانات-بكالوريوس'!$J$5:$J$208,'فحص-بيانات-ماجستير'!$J$5:$J$230),$I190)&amp;"")</f>
        <v/>
      </c>
      <c r="F190" s="2" t="str">
        <f>IF($I190="","",INDEX(CHOOSE($J$3,'فحص-حاسب-بكالوريوس'!$L$5:$L$208,'فحص-بيانات-بكالوريوس'!$L$5:$L$208,'فحص-بيانات-ماجستير'!$L$5:$L$230),$I190)&amp;"")</f>
        <v/>
      </c>
      <c r="G190" s="2" t="str">
        <f>IF($I190="","",INDEX(CHOOSE($J$3,'فحص-حاسب-بكالوريوس'!$M$5:$M$208,'فحص-بيانات-بكالوريوس'!$M$5:$M$208,'فحص-بيانات-ماجستير'!$M$5:$M$230),$I190)&amp;"")</f>
        <v/>
      </c>
      <c r="I190" s="2" t="str">
        <f>IFERROR(MATCH($E$3&amp;"#"&amp;185,CHOOSE($J$3,'فحص-حاسب-بكالوريوس'!$R$5:$R$208,'فحص-بيانات-بكالوريوس'!$R$5:$R$208,'فحص-بيانات-ماجستير'!$R$5:$R$230),0),"")</f>
        <v/>
      </c>
    </row>
    <row r="191" spans="1:9" x14ac:dyDescent="0.2">
      <c r="A191" s="1" t="str">
        <f>IF($I191="","",186)</f>
        <v/>
      </c>
      <c r="B191" s="2" t="str">
        <f>IF($I191="","",INDEX(CHOOSE($J$3,'فحص-حاسب-بكالوريوس'!$A$5:$A$208,'فحص-بيانات-بكالوريوس'!$A$5:$A$208,'فحص-بيانات-ماجستير'!$A$5:$A$230),$I191)&amp;"")</f>
        <v/>
      </c>
      <c r="C191" s="2" t="str">
        <f>IF($I191="","",INDEX(CHOOSE($J$3,'فحص-حاسب-بكالوريوس'!$F$5:$F$208,'فحص-بيانات-بكالوريوس'!$F$5:$F$208,'فحص-بيانات-ماجستير'!$F$5:$F$230),$I191)&amp;"")</f>
        <v/>
      </c>
      <c r="D191" s="2" t="str">
        <f>IF($I191="","",INDEX(CHOOSE($J$3,'فحص-حاسب-بكالوريوس'!$H$5:$H$208,'فحص-بيانات-بكالوريوس'!$H$5:$H$208,'فحص-بيانات-ماجستير'!$H$5:$H$230),$I191)&amp;"")</f>
        <v/>
      </c>
      <c r="E191" s="2" t="str">
        <f>IF($I191="","",INDEX(CHOOSE($J$3,'فحص-حاسب-بكالوريوس'!$J$5:$J$208,'فحص-بيانات-بكالوريوس'!$J$5:$J$208,'فحص-بيانات-ماجستير'!$J$5:$J$230),$I191)&amp;"")</f>
        <v/>
      </c>
      <c r="F191" s="2" t="str">
        <f>IF($I191="","",INDEX(CHOOSE($J$3,'فحص-حاسب-بكالوريوس'!$L$5:$L$208,'فحص-بيانات-بكالوريوس'!$L$5:$L$208,'فحص-بيانات-ماجستير'!$L$5:$L$230),$I191)&amp;"")</f>
        <v/>
      </c>
      <c r="G191" s="2" t="str">
        <f>IF($I191="","",INDEX(CHOOSE($J$3,'فحص-حاسب-بكالوريوس'!$M$5:$M$208,'فحص-بيانات-بكالوريوس'!$M$5:$M$208,'فحص-بيانات-ماجستير'!$M$5:$M$230),$I191)&amp;"")</f>
        <v/>
      </c>
      <c r="I191" s="2" t="str">
        <f>IFERROR(MATCH($E$3&amp;"#"&amp;186,CHOOSE($J$3,'فحص-حاسب-بكالوريوس'!$R$5:$R$208,'فحص-بيانات-بكالوريوس'!$R$5:$R$208,'فحص-بيانات-ماجستير'!$R$5:$R$230),0),"")</f>
        <v/>
      </c>
    </row>
    <row r="192" spans="1:9" x14ac:dyDescent="0.2">
      <c r="A192" s="1" t="str">
        <f>IF($I192="","",187)</f>
        <v/>
      </c>
      <c r="B192" s="2" t="str">
        <f>IF($I192="","",INDEX(CHOOSE($J$3,'فحص-حاسب-بكالوريوس'!$A$5:$A$208,'فحص-بيانات-بكالوريوس'!$A$5:$A$208,'فحص-بيانات-ماجستير'!$A$5:$A$230),$I192)&amp;"")</f>
        <v/>
      </c>
      <c r="C192" s="2" t="str">
        <f>IF($I192="","",INDEX(CHOOSE($J$3,'فحص-حاسب-بكالوريوس'!$F$5:$F$208,'فحص-بيانات-بكالوريوس'!$F$5:$F$208,'فحص-بيانات-ماجستير'!$F$5:$F$230),$I192)&amp;"")</f>
        <v/>
      </c>
      <c r="D192" s="2" t="str">
        <f>IF($I192="","",INDEX(CHOOSE($J$3,'فحص-حاسب-بكالوريوس'!$H$5:$H$208,'فحص-بيانات-بكالوريوس'!$H$5:$H$208,'فحص-بيانات-ماجستير'!$H$5:$H$230),$I192)&amp;"")</f>
        <v/>
      </c>
      <c r="E192" s="2" t="str">
        <f>IF($I192="","",INDEX(CHOOSE($J$3,'فحص-حاسب-بكالوريوس'!$J$5:$J$208,'فحص-بيانات-بكالوريوس'!$J$5:$J$208,'فحص-بيانات-ماجستير'!$J$5:$J$230),$I192)&amp;"")</f>
        <v/>
      </c>
      <c r="F192" s="2" t="str">
        <f>IF($I192="","",INDEX(CHOOSE($J$3,'فحص-حاسب-بكالوريوس'!$L$5:$L$208,'فحص-بيانات-بكالوريوس'!$L$5:$L$208,'فحص-بيانات-ماجستير'!$L$5:$L$230),$I192)&amp;"")</f>
        <v/>
      </c>
      <c r="G192" s="2" t="str">
        <f>IF($I192="","",INDEX(CHOOSE($J$3,'فحص-حاسب-بكالوريوس'!$M$5:$M$208,'فحص-بيانات-بكالوريوس'!$M$5:$M$208,'فحص-بيانات-ماجستير'!$M$5:$M$230),$I192)&amp;"")</f>
        <v/>
      </c>
      <c r="I192" s="2" t="str">
        <f>IFERROR(MATCH($E$3&amp;"#"&amp;187,CHOOSE($J$3,'فحص-حاسب-بكالوريوس'!$R$5:$R$208,'فحص-بيانات-بكالوريوس'!$R$5:$R$208,'فحص-بيانات-ماجستير'!$R$5:$R$230),0),"")</f>
        <v/>
      </c>
    </row>
    <row r="193" spans="1:9" x14ac:dyDescent="0.2">
      <c r="A193" s="1" t="str">
        <f>IF($I193="","",188)</f>
        <v/>
      </c>
      <c r="B193" s="2" t="str">
        <f>IF($I193="","",INDEX(CHOOSE($J$3,'فحص-حاسب-بكالوريوس'!$A$5:$A$208,'فحص-بيانات-بكالوريوس'!$A$5:$A$208,'فحص-بيانات-ماجستير'!$A$5:$A$230),$I193)&amp;"")</f>
        <v/>
      </c>
      <c r="C193" s="2" t="str">
        <f>IF($I193="","",INDEX(CHOOSE($J$3,'فحص-حاسب-بكالوريوس'!$F$5:$F$208,'فحص-بيانات-بكالوريوس'!$F$5:$F$208,'فحص-بيانات-ماجستير'!$F$5:$F$230),$I193)&amp;"")</f>
        <v/>
      </c>
      <c r="D193" s="2" t="str">
        <f>IF($I193="","",INDEX(CHOOSE($J$3,'فحص-حاسب-بكالوريوس'!$H$5:$H$208,'فحص-بيانات-بكالوريوس'!$H$5:$H$208,'فحص-بيانات-ماجستير'!$H$5:$H$230),$I193)&amp;"")</f>
        <v/>
      </c>
      <c r="E193" s="2" t="str">
        <f>IF($I193="","",INDEX(CHOOSE($J$3,'فحص-حاسب-بكالوريوس'!$J$5:$J$208,'فحص-بيانات-بكالوريوس'!$J$5:$J$208,'فحص-بيانات-ماجستير'!$J$5:$J$230),$I193)&amp;"")</f>
        <v/>
      </c>
      <c r="F193" s="2" t="str">
        <f>IF($I193="","",INDEX(CHOOSE($J$3,'فحص-حاسب-بكالوريوس'!$L$5:$L$208,'فحص-بيانات-بكالوريوس'!$L$5:$L$208,'فحص-بيانات-ماجستير'!$L$5:$L$230),$I193)&amp;"")</f>
        <v/>
      </c>
      <c r="G193" s="2" t="str">
        <f>IF($I193="","",INDEX(CHOOSE($J$3,'فحص-حاسب-بكالوريوس'!$M$5:$M$208,'فحص-بيانات-بكالوريوس'!$M$5:$M$208,'فحص-بيانات-ماجستير'!$M$5:$M$230),$I193)&amp;"")</f>
        <v/>
      </c>
      <c r="I193" s="2" t="str">
        <f>IFERROR(MATCH($E$3&amp;"#"&amp;188,CHOOSE($J$3,'فحص-حاسب-بكالوريوس'!$R$5:$R$208,'فحص-بيانات-بكالوريوس'!$R$5:$R$208,'فحص-بيانات-ماجستير'!$R$5:$R$230),0),"")</f>
        <v/>
      </c>
    </row>
    <row r="194" spans="1:9" x14ac:dyDescent="0.2">
      <c r="A194" s="1" t="str">
        <f>IF($I194="","",189)</f>
        <v/>
      </c>
      <c r="B194" s="2" t="str">
        <f>IF($I194="","",INDEX(CHOOSE($J$3,'فحص-حاسب-بكالوريوس'!$A$5:$A$208,'فحص-بيانات-بكالوريوس'!$A$5:$A$208,'فحص-بيانات-ماجستير'!$A$5:$A$230),$I194)&amp;"")</f>
        <v/>
      </c>
      <c r="C194" s="2" t="str">
        <f>IF($I194="","",INDEX(CHOOSE($J$3,'فحص-حاسب-بكالوريوس'!$F$5:$F$208,'فحص-بيانات-بكالوريوس'!$F$5:$F$208,'فحص-بيانات-ماجستير'!$F$5:$F$230),$I194)&amp;"")</f>
        <v/>
      </c>
      <c r="D194" s="2" t="str">
        <f>IF($I194="","",INDEX(CHOOSE($J$3,'فحص-حاسب-بكالوريوس'!$H$5:$H$208,'فحص-بيانات-بكالوريوس'!$H$5:$H$208,'فحص-بيانات-ماجستير'!$H$5:$H$230),$I194)&amp;"")</f>
        <v/>
      </c>
      <c r="E194" s="2" t="str">
        <f>IF($I194="","",INDEX(CHOOSE($J$3,'فحص-حاسب-بكالوريوس'!$J$5:$J$208,'فحص-بيانات-بكالوريوس'!$J$5:$J$208,'فحص-بيانات-ماجستير'!$J$5:$J$230),$I194)&amp;"")</f>
        <v/>
      </c>
      <c r="F194" s="2" t="str">
        <f>IF($I194="","",INDEX(CHOOSE($J$3,'فحص-حاسب-بكالوريوس'!$L$5:$L$208,'فحص-بيانات-بكالوريوس'!$L$5:$L$208,'فحص-بيانات-ماجستير'!$L$5:$L$230),$I194)&amp;"")</f>
        <v/>
      </c>
      <c r="G194" s="2" t="str">
        <f>IF($I194="","",INDEX(CHOOSE($J$3,'فحص-حاسب-بكالوريوس'!$M$5:$M$208,'فحص-بيانات-بكالوريوس'!$M$5:$M$208,'فحص-بيانات-ماجستير'!$M$5:$M$230),$I194)&amp;"")</f>
        <v/>
      </c>
      <c r="I194" s="2" t="str">
        <f>IFERROR(MATCH($E$3&amp;"#"&amp;189,CHOOSE($J$3,'فحص-حاسب-بكالوريوس'!$R$5:$R$208,'فحص-بيانات-بكالوريوس'!$R$5:$R$208,'فحص-بيانات-ماجستير'!$R$5:$R$230),0),"")</f>
        <v/>
      </c>
    </row>
    <row r="195" spans="1:9" x14ac:dyDescent="0.2">
      <c r="A195" s="1" t="str">
        <f>IF($I195="","",190)</f>
        <v/>
      </c>
      <c r="B195" s="2" t="str">
        <f>IF($I195="","",INDEX(CHOOSE($J$3,'فحص-حاسب-بكالوريوس'!$A$5:$A$208,'فحص-بيانات-بكالوريوس'!$A$5:$A$208,'فحص-بيانات-ماجستير'!$A$5:$A$230),$I195)&amp;"")</f>
        <v/>
      </c>
      <c r="C195" s="2" t="str">
        <f>IF($I195="","",INDEX(CHOOSE($J$3,'فحص-حاسب-بكالوريوس'!$F$5:$F$208,'فحص-بيانات-بكالوريوس'!$F$5:$F$208,'فحص-بيانات-ماجستير'!$F$5:$F$230),$I195)&amp;"")</f>
        <v/>
      </c>
      <c r="D195" s="2" t="str">
        <f>IF($I195="","",INDEX(CHOOSE($J$3,'فحص-حاسب-بكالوريوس'!$H$5:$H$208,'فحص-بيانات-بكالوريوس'!$H$5:$H$208,'فحص-بيانات-ماجستير'!$H$5:$H$230),$I195)&amp;"")</f>
        <v/>
      </c>
      <c r="E195" s="2" t="str">
        <f>IF($I195="","",INDEX(CHOOSE($J$3,'فحص-حاسب-بكالوريوس'!$J$5:$J$208,'فحص-بيانات-بكالوريوس'!$J$5:$J$208,'فحص-بيانات-ماجستير'!$J$5:$J$230),$I195)&amp;"")</f>
        <v/>
      </c>
      <c r="F195" s="2" t="str">
        <f>IF($I195="","",INDEX(CHOOSE($J$3,'فحص-حاسب-بكالوريوس'!$L$5:$L$208,'فحص-بيانات-بكالوريوس'!$L$5:$L$208,'فحص-بيانات-ماجستير'!$L$5:$L$230),$I195)&amp;"")</f>
        <v/>
      </c>
      <c r="G195" s="2" t="str">
        <f>IF($I195="","",INDEX(CHOOSE($J$3,'فحص-حاسب-بكالوريوس'!$M$5:$M$208,'فحص-بيانات-بكالوريوس'!$M$5:$M$208,'فحص-بيانات-ماجستير'!$M$5:$M$230),$I195)&amp;"")</f>
        <v/>
      </c>
      <c r="I195" s="2" t="str">
        <f>IFERROR(MATCH($E$3&amp;"#"&amp;190,CHOOSE($J$3,'فحص-حاسب-بكالوريوس'!$R$5:$R$208,'فحص-بيانات-بكالوريوس'!$R$5:$R$208,'فحص-بيانات-ماجستير'!$R$5:$R$230),0),"")</f>
        <v/>
      </c>
    </row>
    <row r="196" spans="1:9" x14ac:dyDescent="0.2">
      <c r="A196" s="1" t="str">
        <f>IF($I196="","",191)</f>
        <v/>
      </c>
      <c r="B196" s="2" t="str">
        <f>IF($I196="","",INDEX(CHOOSE($J$3,'فحص-حاسب-بكالوريوس'!$A$5:$A$208,'فحص-بيانات-بكالوريوس'!$A$5:$A$208,'فحص-بيانات-ماجستير'!$A$5:$A$230),$I196)&amp;"")</f>
        <v/>
      </c>
      <c r="C196" s="2" t="str">
        <f>IF($I196="","",INDEX(CHOOSE($J$3,'فحص-حاسب-بكالوريوس'!$F$5:$F$208,'فحص-بيانات-بكالوريوس'!$F$5:$F$208,'فحص-بيانات-ماجستير'!$F$5:$F$230),$I196)&amp;"")</f>
        <v/>
      </c>
      <c r="D196" s="2" t="str">
        <f>IF($I196="","",INDEX(CHOOSE($J$3,'فحص-حاسب-بكالوريوس'!$H$5:$H$208,'فحص-بيانات-بكالوريوس'!$H$5:$H$208,'فحص-بيانات-ماجستير'!$H$5:$H$230),$I196)&amp;"")</f>
        <v/>
      </c>
      <c r="E196" s="2" t="str">
        <f>IF($I196="","",INDEX(CHOOSE($J$3,'فحص-حاسب-بكالوريوس'!$J$5:$J$208,'فحص-بيانات-بكالوريوس'!$J$5:$J$208,'فحص-بيانات-ماجستير'!$J$5:$J$230),$I196)&amp;"")</f>
        <v/>
      </c>
      <c r="F196" s="2" t="str">
        <f>IF($I196="","",INDEX(CHOOSE($J$3,'فحص-حاسب-بكالوريوس'!$L$5:$L$208,'فحص-بيانات-بكالوريوس'!$L$5:$L$208,'فحص-بيانات-ماجستير'!$L$5:$L$230),$I196)&amp;"")</f>
        <v/>
      </c>
      <c r="G196" s="2" t="str">
        <f>IF($I196="","",INDEX(CHOOSE($J$3,'فحص-حاسب-بكالوريوس'!$M$5:$M$208,'فحص-بيانات-بكالوريوس'!$M$5:$M$208,'فحص-بيانات-ماجستير'!$M$5:$M$230),$I196)&amp;"")</f>
        <v/>
      </c>
      <c r="I196" s="2" t="str">
        <f>IFERROR(MATCH($E$3&amp;"#"&amp;191,CHOOSE($J$3,'فحص-حاسب-بكالوريوس'!$R$5:$R$208,'فحص-بيانات-بكالوريوس'!$R$5:$R$208,'فحص-بيانات-ماجستير'!$R$5:$R$230),0),"")</f>
        <v/>
      </c>
    </row>
    <row r="197" spans="1:9" x14ac:dyDescent="0.2">
      <c r="A197" s="1" t="str">
        <f>IF($I197="","",192)</f>
        <v/>
      </c>
      <c r="B197" s="2" t="str">
        <f>IF($I197="","",INDEX(CHOOSE($J$3,'فحص-حاسب-بكالوريوس'!$A$5:$A$208,'فحص-بيانات-بكالوريوس'!$A$5:$A$208,'فحص-بيانات-ماجستير'!$A$5:$A$230),$I197)&amp;"")</f>
        <v/>
      </c>
      <c r="C197" s="2" t="str">
        <f>IF($I197="","",INDEX(CHOOSE($J$3,'فحص-حاسب-بكالوريوس'!$F$5:$F$208,'فحص-بيانات-بكالوريوس'!$F$5:$F$208,'فحص-بيانات-ماجستير'!$F$5:$F$230),$I197)&amp;"")</f>
        <v/>
      </c>
      <c r="D197" s="2" t="str">
        <f>IF($I197="","",INDEX(CHOOSE($J$3,'فحص-حاسب-بكالوريوس'!$H$5:$H$208,'فحص-بيانات-بكالوريوس'!$H$5:$H$208,'فحص-بيانات-ماجستير'!$H$5:$H$230),$I197)&amp;"")</f>
        <v/>
      </c>
      <c r="E197" s="2" t="str">
        <f>IF($I197="","",INDEX(CHOOSE($J$3,'فحص-حاسب-بكالوريوس'!$J$5:$J$208,'فحص-بيانات-بكالوريوس'!$J$5:$J$208,'فحص-بيانات-ماجستير'!$J$5:$J$230),$I197)&amp;"")</f>
        <v/>
      </c>
      <c r="F197" s="2" t="str">
        <f>IF($I197="","",INDEX(CHOOSE($J$3,'فحص-حاسب-بكالوريوس'!$L$5:$L$208,'فحص-بيانات-بكالوريوس'!$L$5:$L$208,'فحص-بيانات-ماجستير'!$L$5:$L$230),$I197)&amp;"")</f>
        <v/>
      </c>
      <c r="G197" s="2" t="str">
        <f>IF($I197="","",INDEX(CHOOSE($J$3,'فحص-حاسب-بكالوريوس'!$M$5:$M$208,'فحص-بيانات-بكالوريوس'!$M$5:$M$208,'فحص-بيانات-ماجستير'!$M$5:$M$230),$I197)&amp;"")</f>
        <v/>
      </c>
      <c r="I197" s="2" t="str">
        <f>IFERROR(MATCH($E$3&amp;"#"&amp;192,CHOOSE($J$3,'فحص-حاسب-بكالوريوس'!$R$5:$R$208,'فحص-بيانات-بكالوريوس'!$R$5:$R$208,'فحص-بيانات-ماجستير'!$R$5:$R$230),0),"")</f>
        <v/>
      </c>
    </row>
    <row r="198" spans="1:9" x14ac:dyDescent="0.2">
      <c r="A198" s="1" t="str">
        <f>IF($I198="","",193)</f>
        <v/>
      </c>
      <c r="B198" s="2" t="str">
        <f>IF($I198="","",INDEX(CHOOSE($J$3,'فحص-حاسب-بكالوريوس'!$A$5:$A$208,'فحص-بيانات-بكالوريوس'!$A$5:$A$208,'فحص-بيانات-ماجستير'!$A$5:$A$230),$I198)&amp;"")</f>
        <v/>
      </c>
      <c r="C198" s="2" t="str">
        <f>IF($I198="","",INDEX(CHOOSE($J$3,'فحص-حاسب-بكالوريوس'!$F$5:$F$208,'فحص-بيانات-بكالوريوس'!$F$5:$F$208,'فحص-بيانات-ماجستير'!$F$5:$F$230),$I198)&amp;"")</f>
        <v/>
      </c>
      <c r="D198" s="2" t="str">
        <f>IF($I198="","",INDEX(CHOOSE($J$3,'فحص-حاسب-بكالوريوس'!$H$5:$H$208,'فحص-بيانات-بكالوريوس'!$H$5:$H$208,'فحص-بيانات-ماجستير'!$H$5:$H$230),$I198)&amp;"")</f>
        <v/>
      </c>
      <c r="E198" s="2" t="str">
        <f>IF($I198="","",INDEX(CHOOSE($J$3,'فحص-حاسب-بكالوريوس'!$J$5:$J$208,'فحص-بيانات-بكالوريوس'!$J$5:$J$208,'فحص-بيانات-ماجستير'!$J$5:$J$230),$I198)&amp;"")</f>
        <v/>
      </c>
      <c r="F198" s="2" t="str">
        <f>IF($I198="","",INDEX(CHOOSE($J$3,'فحص-حاسب-بكالوريوس'!$L$5:$L$208,'فحص-بيانات-بكالوريوس'!$L$5:$L$208,'فحص-بيانات-ماجستير'!$L$5:$L$230),$I198)&amp;"")</f>
        <v/>
      </c>
      <c r="G198" s="2" t="str">
        <f>IF($I198="","",INDEX(CHOOSE($J$3,'فحص-حاسب-بكالوريوس'!$M$5:$M$208,'فحص-بيانات-بكالوريوس'!$M$5:$M$208,'فحص-بيانات-ماجستير'!$M$5:$M$230),$I198)&amp;"")</f>
        <v/>
      </c>
      <c r="I198" s="2" t="str">
        <f>IFERROR(MATCH($E$3&amp;"#"&amp;193,CHOOSE($J$3,'فحص-حاسب-بكالوريوس'!$R$5:$R$208,'فحص-بيانات-بكالوريوس'!$R$5:$R$208,'فحص-بيانات-ماجستير'!$R$5:$R$230),0),"")</f>
        <v/>
      </c>
    </row>
    <row r="199" spans="1:9" x14ac:dyDescent="0.2">
      <c r="A199" s="1" t="str">
        <f>IF($I199="","",194)</f>
        <v/>
      </c>
      <c r="B199" s="2" t="str">
        <f>IF($I199="","",INDEX(CHOOSE($J$3,'فحص-حاسب-بكالوريوس'!$A$5:$A$208,'فحص-بيانات-بكالوريوس'!$A$5:$A$208,'فحص-بيانات-ماجستير'!$A$5:$A$230),$I199)&amp;"")</f>
        <v/>
      </c>
      <c r="C199" s="2" t="str">
        <f>IF($I199="","",INDEX(CHOOSE($J$3,'فحص-حاسب-بكالوريوس'!$F$5:$F$208,'فحص-بيانات-بكالوريوس'!$F$5:$F$208,'فحص-بيانات-ماجستير'!$F$5:$F$230),$I199)&amp;"")</f>
        <v/>
      </c>
      <c r="D199" s="2" t="str">
        <f>IF($I199="","",INDEX(CHOOSE($J$3,'فحص-حاسب-بكالوريوس'!$H$5:$H$208,'فحص-بيانات-بكالوريوس'!$H$5:$H$208,'فحص-بيانات-ماجستير'!$H$5:$H$230),$I199)&amp;"")</f>
        <v/>
      </c>
      <c r="E199" s="2" t="str">
        <f>IF($I199="","",INDEX(CHOOSE($J$3,'فحص-حاسب-بكالوريوس'!$J$5:$J$208,'فحص-بيانات-بكالوريوس'!$J$5:$J$208,'فحص-بيانات-ماجستير'!$J$5:$J$230),$I199)&amp;"")</f>
        <v/>
      </c>
      <c r="F199" s="2" t="str">
        <f>IF($I199="","",INDEX(CHOOSE($J$3,'فحص-حاسب-بكالوريوس'!$L$5:$L$208,'فحص-بيانات-بكالوريوس'!$L$5:$L$208,'فحص-بيانات-ماجستير'!$L$5:$L$230),$I199)&amp;"")</f>
        <v/>
      </c>
      <c r="G199" s="2" t="str">
        <f>IF($I199="","",INDEX(CHOOSE($J$3,'فحص-حاسب-بكالوريوس'!$M$5:$M$208,'فحص-بيانات-بكالوريوس'!$M$5:$M$208,'فحص-بيانات-ماجستير'!$M$5:$M$230),$I199)&amp;"")</f>
        <v/>
      </c>
      <c r="I199" s="2" t="str">
        <f>IFERROR(MATCH($E$3&amp;"#"&amp;194,CHOOSE($J$3,'فحص-حاسب-بكالوريوس'!$R$5:$R$208,'فحص-بيانات-بكالوريوس'!$R$5:$R$208,'فحص-بيانات-ماجستير'!$R$5:$R$230),0),"")</f>
        <v/>
      </c>
    </row>
    <row r="200" spans="1:9" x14ac:dyDescent="0.2">
      <c r="A200" s="1" t="str">
        <f>IF($I200="","",195)</f>
        <v/>
      </c>
      <c r="B200" s="2" t="str">
        <f>IF($I200="","",INDEX(CHOOSE($J$3,'فحص-حاسب-بكالوريوس'!$A$5:$A$208,'فحص-بيانات-بكالوريوس'!$A$5:$A$208,'فحص-بيانات-ماجستير'!$A$5:$A$230),$I200)&amp;"")</f>
        <v/>
      </c>
      <c r="C200" s="2" t="str">
        <f>IF($I200="","",INDEX(CHOOSE($J$3,'فحص-حاسب-بكالوريوس'!$F$5:$F$208,'فحص-بيانات-بكالوريوس'!$F$5:$F$208,'فحص-بيانات-ماجستير'!$F$5:$F$230),$I200)&amp;"")</f>
        <v/>
      </c>
      <c r="D200" s="2" t="str">
        <f>IF($I200="","",INDEX(CHOOSE($J$3,'فحص-حاسب-بكالوريوس'!$H$5:$H$208,'فحص-بيانات-بكالوريوس'!$H$5:$H$208,'فحص-بيانات-ماجستير'!$H$5:$H$230),$I200)&amp;"")</f>
        <v/>
      </c>
      <c r="E200" s="2" t="str">
        <f>IF($I200="","",INDEX(CHOOSE($J$3,'فحص-حاسب-بكالوريوس'!$J$5:$J$208,'فحص-بيانات-بكالوريوس'!$J$5:$J$208,'فحص-بيانات-ماجستير'!$J$5:$J$230),$I200)&amp;"")</f>
        <v/>
      </c>
      <c r="F200" s="2" t="str">
        <f>IF($I200="","",INDEX(CHOOSE($J$3,'فحص-حاسب-بكالوريوس'!$L$5:$L$208,'فحص-بيانات-بكالوريوس'!$L$5:$L$208,'فحص-بيانات-ماجستير'!$L$5:$L$230),$I200)&amp;"")</f>
        <v/>
      </c>
      <c r="G200" s="2" t="str">
        <f>IF($I200="","",INDEX(CHOOSE($J$3,'فحص-حاسب-بكالوريوس'!$M$5:$M$208,'فحص-بيانات-بكالوريوس'!$M$5:$M$208,'فحص-بيانات-ماجستير'!$M$5:$M$230),$I200)&amp;"")</f>
        <v/>
      </c>
      <c r="I200" s="2" t="str">
        <f>IFERROR(MATCH($E$3&amp;"#"&amp;195,CHOOSE($J$3,'فحص-حاسب-بكالوريوس'!$R$5:$R$208,'فحص-بيانات-بكالوريوس'!$R$5:$R$208,'فحص-بيانات-ماجستير'!$R$5:$R$230),0),"")</f>
        <v/>
      </c>
    </row>
    <row r="201" spans="1:9" x14ac:dyDescent="0.2">
      <c r="A201" s="1" t="str">
        <f>IF($I201="","",196)</f>
        <v/>
      </c>
      <c r="B201" s="2" t="str">
        <f>IF($I201="","",INDEX(CHOOSE($J$3,'فحص-حاسب-بكالوريوس'!$A$5:$A$208,'فحص-بيانات-بكالوريوس'!$A$5:$A$208,'فحص-بيانات-ماجستير'!$A$5:$A$230),$I201)&amp;"")</f>
        <v/>
      </c>
      <c r="C201" s="2" t="str">
        <f>IF($I201="","",INDEX(CHOOSE($J$3,'فحص-حاسب-بكالوريوس'!$F$5:$F$208,'فحص-بيانات-بكالوريوس'!$F$5:$F$208,'فحص-بيانات-ماجستير'!$F$5:$F$230),$I201)&amp;"")</f>
        <v/>
      </c>
      <c r="D201" s="2" t="str">
        <f>IF($I201="","",INDEX(CHOOSE($J$3,'فحص-حاسب-بكالوريوس'!$H$5:$H$208,'فحص-بيانات-بكالوريوس'!$H$5:$H$208,'فحص-بيانات-ماجستير'!$H$5:$H$230),$I201)&amp;"")</f>
        <v/>
      </c>
      <c r="E201" s="2" t="str">
        <f>IF($I201="","",INDEX(CHOOSE($J$3,'فحص-حاسب-بكالوريوس'!$J$5:$J$208,'فحص-بيانات-بكالوريوس'!$J$5:$J$208,'فحص-بيانات-ماجستير'!$J$5:$J$230),$I201)&amp;"")</f>
        <v/>
      </c>
      <c r="F201" s="2" t="str">
        <f>IF($I201="","",INDEX(CHOOSE($J$3,'فحص-حاسب-بكالوريوس'!$L$5:$L$208,'فحص-بيانات-بكالوريوس'!$L$5:$L$208,'فحص-بيانات-ماجستير'!$L$5:$L$230),$I201)&amp;"")</f>
        <v/>
      </c>
      <c r="G201" s="2" t="str">
        <f>IF($I201="","",INDEX(CHOOSE($J$3,'فحص-حاسب-بكالوريوس'!$M$5:$M$208,'فحص-بيانات-بكالوريوس'!$M$5:$M$208,'فحص-بيانات-ماجستير'!$M$5:$M$230),$I201)&amp;"")</f>
        <v/>
      </c>
      <c r="I201" s="2" t="str">
        <f>IFERROR(MATCH($E$3&amp;"#"&amp;196,CHOOSE($J$3,'فحص-حاسب-بكالوريوس'!$R$5:$R$208,'فحص-بيانات-بكالوريوس'!$R$5:$R$208,'فحص-بيانات-ماجستير'!$R$5:$R$230),0),"")</f>
        <v/>
      </c>
    </row>
    <row r="202" spans="1:9" x14ac:dyDescent="0.2">
      <c r="A202" s="1" t="str">
        <f>IF($I202="","",197)</f>
        <v/>
      </c>
      <c r="B202" s="2" t="str">
        <f>IF($I202="","",INDEX(CHOOSE($J$3,'فحص-حاسب-بكالوريوس'!$A$5:$A$208,'فحص-بيانات-بكالوريوس'!$A$5:$A$208,'فحص-بيانات-ماجستير'!$A$5:$A$230),$I202)&amp;"")</f>
        <v/>
      </c>
      <c r="C202" s="2" t="str">
        <f>IF($I202="","",INDEX(CHOOSE($J$3,'فحص-حاسب-بكالوريوس'!$F$5:$F$208,'فحص-بيانات-بكالوريوس'!$F$5:$F$208,'فحص-بيانات-ماجستير'!$F$5:$F$230),$I202)&amp;"")</f>
        <v/>
      </c>
      <c r="D202" s="2" t="str">
        <f>IF($I202="","",INDEX(CHOOSE($J$3,'فحص-حاسب-بكالوريوس'!$H$5:$H$208,'فحص-بيانات-بكالوريوس'!$H$5:$H$208,'فحص-بيانات-ماجستير'!$H$5:$H$230),$I202)&amp;"")</f>
        <v/>
      </c>
      <c r="E202" s="2" t="str">
        <f>IF($I202="","",INDEX(CHOOSE($J$3,'فحص-حاسب-بكالوريوس'!$J$5:$J$208,'فحص-بيانات-بكالوريوس'!$J$5:$J$208,'فحص-بيانات-ماجستير'!$J$5:$J$230),$I202)&amp;"")</f>
        <v/>
      </c>
      <c r="F202" s="2" t="str">
        <f>IF($I202="","",INDEX(CHOOSE($J$3,'فحص-حاسب-بكالوريوس'!$L$5:$L$208,'فحص-بيانات-بكالوريوس'!$L$5:$L$208,'فحص-بيانات-ماجستير'!$L$5:$L$230),$I202)&amp;"")</f>
        <v/>
      </c>
      <c r="G202" s="2" t="str">
        <f>IF($I202="","",INDEX(CHOOSE($J$3,'فحص-حاسب-بكالوريوس'!$M$5:$M$208,'فحص-بيانات-بكالوريوس'!$M$5:$M$208,'فحص-بيانات-ماجستير'!$M$5:$M$230),$I202)&amp;"")</f>
        <v/>
      </c>
      <c r="I202" s="2" t="str">
        <f>IFERROR(MATCH($E$3&amp;"#"&amp;197,CHOOSE($J$3,'فحص-حاسب-بكالوريوس'!$R$5:$R$208,'فحص-بيانات-بكالوريوس'!$R$5:$R$208,'فحص-بيانات-ماجستير'!$R$5:$R$230),0),"")</f>
        <v/>
      </c>
    </row>
    <row r="203" spans="1:9" x14ac:dyDescent="0.2">
      <c r="A203" s="1" t="str">
        <f>IF($I203="","",198)</f>
        <v/>
      </c>
      <c r="B203" s="2" t="str">
        <f>IF($I203="","",INDEX(CHOOSE($J$3,'فحص-حاسب-بكالوريوس'!$A$5:$A$208,'فحص-بيانات-بكالوريوس'!$A$5:$A$208,'فحص-بيانات-ماجستير'!$A$5:$A$230),$I203)&amp;"")</f>
        <v/>
      </c>
      <c r="C203" s="2" t="str">
        <f>IF($I203="","",INDEX(CHOOSE($J$3,'فحص-حاسب-بكالوريوس'!$F$5:$F$208,'فحص-بيانات-بكالوريوس'!$F$5:$F$208,'فحص-بيانات-ماجستير'!$F$5:$F$230),$I203)&amp;"")</f>
        <v/>
      </c>
      <c r="D203" s="2" t="str">
        <f>IF($I203="","",INDEX(CHOOSE($J$3,'فحص-حاسب-بكالوريوس'!$H$5:$H$208,'فحص-بيانات-بكالوريوس'!$H$5:$H$208,'فحص-بيانات-ماجستير'!$H$5:$H$230),$I203)&amp;"")</f>
        <v/>
      </c>
      <c r="E203" s="2" t="str">
        <f>IF($I203="","",INDEX(CHOOSE($J$3,'فحص-حاسب-بكالوريوس'!$J$5:$J$208,'فحص-بيانات-بكالوريوس'!$J$5:$J$208,'فحص-بيانات-ماجستير'!$J$5:$J$230),$I203)&amp;"")</f>
        <v/>
      </c>
      <c r="F203" s="2" t="str">
        <f>IF($I203="","",INDEX(CHOOSE($J$3,'فحص-حاسب-بكالوريوس'!$L$5:$L$208,'فحص-بيانات-بكالوريوس'!$L$5:$L$208,'فحص-بيانات-ماجستير'!$L$5:$L$230),$I203)&amp;"")</f>
        <v/>
      </c>
      <c r="G203" s="2" t="str">
        <f>IF($I203="","",INDEX(CHOOSE($J$3,'فحص-حاسب-بكالوريوس'!$M$5:$M$208,'فحص-بيانات-بكالوريوس'!$M$5:$M$208,'فحص-بيانات-ماجستير'!$M$5:$M$230),$I203)&amp;"")</f>
        <v/>
      </c>
      <c r="I203" s="2" t="str">
        <f>IFERROR(MATCH($E$3&amp;"#"&amp;198,CHOOSE($J$3,'فحص-حاسب-بكالوريوس'!$R$5:$R$208,'فحص-بيانات-بكالوريوس'!$R$5:$R$208,'فحص-بيانات-ماجستير'!$R$5:$R$230),0),"")</f>
        <v/>
      </c>
    </row>
    <row r="204" spans="1:9" x14ac:dyDescent="0.2">
      <c r="A204" s="1" t="str">
        <f>IF($I204="","",199)</f>
        <v/>
      </c>
      <c r="B204" s="2" t="str">
        <f>IF($I204="","",INDEX(CHOOSE($J$3,'فحص-حاسب-بكالوريوس'!$A$5:$A$208,'فحص-بيانات-بكالوريوس'!$A$5:$A$208,'فحص-بيانات-ماجستير'!$A$5:$A$230),$I204)&amp;"")</f>
        <v/>
      </c>
      <c r="C204" s="2" t="str">
        <f>IF($I204="","",INDEX(CHOOSE($J$3,'فحص-حاسب-بكالوريوس'!$F$5:$F$208,'فحص-بيانات-بكالوريوس'!$F$5:$F$208,'فحص-بيانات-ماجستير'!$F$5:$F$230),$I204)&amp;"")</f>
        <v/>
      </c>
      <c r="D204" s="2" t="str">
        <f>IF($I204="","",INDEX(CHOOSE($J$3,'فحص-حاسب-بكالوريوس'!$H$5:$H$208,'فحص-بيانات-بكالوريوس'!$H$5:$H$208,'فحص-بيانات-ماجستير'!$H$5:$H$230),$I204)&amp;"")</f>
        <v/>
      </c>
      <c r="E204" s="2" t="str">
        <f>IF($I204="","",INDEX(CHOOSE($J$3,'فحص-حاسب-بكالوريوس'!$J$5:$J$208,'فحص-بيانات-بكالوريوس'!$J$5:$J$208,'فحص-بيانات-ماجستير'!$J$5:$J$230),$I204)&amp;"")</f>
        <v/>
      </c>
      <c r="F204" s="2" t="str">
        <f>IF($I204="","",INDEX(CHOOSE($J$3,'فحص-حاسب-بكالوريوس'!$L$5:$L$208,'فحص-بيانات-بكالوريوس'!$L$5:$L$208,'فحص-بيانات-ماجستير'!$L$5:$L$230),$I204)&amp;"")</f>
        <v/>
      </c>
      <c r="G204" s="2" t="str">
        <f>IF($I204="","",INDEX(CHOOSE($J$3,'فحص-حاسب-بكالوريوس'!$M$5:$M$208,'فحص-بيانات-بكالوريوس'!$M$5:$M$208,'فحص-بيانات-ماجستير'!$M$5:$M$230),$I204)&amp;"")</f>
        <v/>
      </c>
      <c r="I204" s="2" t="str">
        <f>IFERROR(MATCH($E$3&amp;"#"&amp;199,CHOOSE($J$3,'فحص-حاسب-بكالوريوس'!$R$5:$R$208,'فحص-بيانات-بكالوريوس'!$R$5:$R$208,'فحص-بيانات-ماجستير'!$R$5:$R$230),0),"")</f>
        <v/>
      </c>
    </row>
    <row r="205" spans="1:9" x14ac:dyDescent="0.2">
      <c r="A205" s="1" t="str">
        <f>IF($I205="","",200)</f>
        <v/>
      </c>
      <c r="B205" s="2" t="str">
        <f>IF($I205="","",INDEX(CHOOSE($J$3,'فحص-حاسب-بكالوريوس'!$A$5:$A$208,'فحص-بيانات-بكالوريوس'!$A$5:$A$208,'فحص-بيانات-ماجستير'!$A$5:$A$230),$I205)&amp;"")</f>
        <v/>
      </c>
      <c r="C205" s="2" t="str">
        <f>IF($I205="","",INDEX(CHOOSE($J$3,'فحص-حاسب-بكالوريوس'!$F$5:$F$208,'فحص-بيانات-بكالوريوس'!$F$5:$F$208,'فحص-بيانات-ماجستير'!$F$5:$F$230),$I205)&amp;"")</f>
        <v/>
      </c>
      <c r="D205" s="2" t="str">
        <f>IF($I205="","",INDEX(CHOOSE($J$3,'فحص-حاسب-بكالوريوس'!$H$5:$H$208,'فحص-بيانات-بكالوريوس'!$H$5:$H$208,'فحص-بيانات-ماجستير'!$H$5:$H$230),$I205)&amp;"")</f>
        <v/>
      </c>
      <c r="E205" s="2" t="str">
        <f>IF($I205="","",INDEX(CHOOSE($J$3,'فحص-حاسب-بكالوريوس'!$J$5:$J$208,'فحص-بيانات-بكالوريوس'!$J$5:$J$208,'فحص-بيانات-ماجستير'!$J$5:$J$230),$I205)&amp;"")</f>
        <v/>
      </c>
      <c r="F205" s="2" t="str">
        <f>IF($I205="","",INDEX(CHOOSE($J$3,'فحص-حاسب-بكالوريوس'!$L$5:$L$208,'فحص-بيانات-بكالوريوس'!$L$5:$L$208,'فحص-بيانات-ماجستير'!$L$5:$L$230),$I205)&amp;"")</f>
        <v/>
      </c>
      <c r="G205" s="2" t="str">
        <f>IF($I205="","",INDEX(CHOOSE($J$3,'فحص-حاسب-بكالوريوس'!$M$5:$M$208,'فحص-بيانات-بكالوريوس'!$M$5:$M$208,'فحص-بيانات-ماجستير'!$M$5:$M$230),$I205)&amp;"")</f>
        <v/>
      </c>
      <c r="I205" s="2" t="str">
        <f>IFERROR(MATCH($E$3&amp;"#"&amp;200,CHOOSE($J$3,'فحص-حاسب-بكالوريوس'!$R$5:$R$208,'فحص-بيانات-بكالوريوس'!$R$5:$R$208,'فحص-بيانات-ماجستير'!$R$5:$R$230),0),"")</f>
        <v/>
      </c>
    </row>
    <row r="206" spans="1:9" x14ac:dyDescent="0.2">
      <c r="A206" s="1" t="str">
        <f>IF($I206="","",201)</f>
        <v/>
      </c>
      <c r="B206" s="2" t="str">
        <f>IF($I206="","",INDEX(CHOOSE($J$3,'فحص-حاسب-بكالوريوس'!$A$5:$A$208,'فحص-بيانات-بكالوريوس'!$A$5:$A$208,'فحص-بيانات-ماجستير'!$A$5:$A$230),$I206)&amp;"")</f>
        <v/>
      </c>
      <c r="C206" s="2" t="str">
        <f>IF($I206="","",INDEX(CHOOSE($J$3,'فحص-حاسب-بكالوريوس'!$F$5:$F$208,'فحص-بيانات-بكالوريوس'!$F$5:$F$208,'فحص-بيانات-ماجستير'!$F$5:$F$230),$I206)&amp;"")</f>
        <v/>
      </c>
      <c r="D206" s="2" t="str">
        <f>IF($I206="","",INDEX(CHOOSE($J$3,'فحص-حاسب-بكالوريوس'!$H$5:$H$208,'فحص-بيانات-بكالوريوس'!$H$5:$H$208,'فحص-بيانات-ماجستير'!$H$5:$H$230),$I206)&amp;"")</f>
        <v/>
      </c>
      <c r="E206" s="2" t="str">
        <f>IF($I206="","",INDEX(CHOOSE($J$3,'فحص-حاسب-بكالوريوس'!$J$5:$J$208,'فحص-بيانات-بكالوريوس'!$J$5:$J$208,'فحص-بيانات-ماجستير'!$J$5:$J$230),$I206)&amp;"")</f>
        <v/>
      </c>
      <c r="F206" s="2" t="str">
        <f>IF($I206="","",INDEX(CHOOSE($J$3,'فحص-حاسب-بكالوريوس'!$L$5:$L$208,'فحص-بيانات-بكالوريوس'!$L$5:$L$208,'فحص-بيانات-ماجستير'!$L$5:$L$230),$I206)&amp;"")</f>
        <v/>
      </c>
      <c r="G206" s="2" t="str">
        <f>IF($I206="","",INDEX(CHOOSE($J$3,'فحص-حاسب-بكالوريوس'!$M$5:$M$208,'فحص-بيانات-بكالوريوس'!$M$5:$M$208,'فحص-بيانات-ماجستير'!$M$5:$M$230),$I206)&amp;"")</f>
        <v/>
      </c>
      <c r="I206" s="2" t="str">
        <f>IFERROR(MATCH($E$3&amp;"#"&amp;201,CHOOSE($J$3,'فحص-حاسب-بكالوريوس'!$R$5:$R$208,'فحص-بيانات-بكالوريوس'!$R$5:$R$208,'فحص-بيانات-ماجستير'!$R$5:$R$230),0),"")</f>
        <v/>
      </c>
    </row>
    <row r="207" spans="1:9" x14ac:dyDescent="0.2">
      <c r="A207" s="1" t="str">
        <f>IF($I207="","",202)</f>
        <v/>
      </c>
      <c r="B207" s="2" t="str">
        <f>IF($I207="","",INDEX(CHOOSE($J$3,'فحص-حاسب-بكالوريوس'!$A$5:$A$208,'فحص-بيانات-بكالوريوس'!$A$5:$A$208,'فحص-بيانات-ماجستير'!$A$5:$A$230),$I207)&amp;"")</f>
        <v/>
      </c>
      <c r="C207" s="2" t="str">
        <f>IF($I207="","",INDEX(CHOOSE($J$3,'فحص-حاسب-بكالوريوس'!$F$5:$F$208,'فحص-بيانات-بكالوريوس'!$F$5:$F$208,'فحص-بيانات-ماجستير'!$F$5:$F$230),$I207)&amp;"")</f>
        <v/>
      </c>
      <c r="D207" s="2" t="str">
        <f>IF($I207="","",INDEX(CHOOSE($J$3,'فحص-حاسب-بكالوريوس'!$H$5:$H$208,'فحص-بيانات-بكالوريوس'!$H$5:$H$208,'فحص-بيانات-ماجستير'!$H$5:$H$230),$I207)&amp;"")</f>
        <v/>
      </c>
      <c r="E207" s="2" t="str">
        <f>IF($I207="","",INDEX(CHOOSE($J$3,'فحص-حاسب-بكالوريوس'!$J$5:$J$208,'فحص-بيانات-بكالوريوس'!$J$5:$J$208,'فحص-بيانات-ماجستير'!$J$5:$J$230),$I207)&amp;"")</f>
        <v/>
      </c>
      <c r="F207" s="2" t="str">
        <f>IF($I207="","",INDEX(CHOOSE($J$3,'فحص-حاسب-بكالوريوس'!$L$5:$L$208,'فحص-بيانات-بكالوريوس'!$L$5:$L$208,'فحص-بيانات-ماجستير'!$L$5:$L$230),$I207)&amp;"")</f>
        <v/>
      </c>
      <c r="G207" s="2" t="str">
        <f>IF($I207="","",INDEX(CHOOSE($J$3,'فحص-حاسب-بكالوريوس'!$M$5:$M$208,'فحص-بيانات-بكالوريوس'!$M$5:$M$208,'فحص-بيانات-ماجستير'!$M$5:$M$230),$I207)&amp;"")</f>
        <v/>
      </c>
      <c r="I207" s="2" t="str">
        <f>IFERROR(MATCH($E$3&amp;"#"&amp;202,CHOOSE($J$3,'فحص-حاسب-بكالوريوس'!$R$5:$R$208,'فحص-بيانات-بكالوريوس'!$R$5:$R$208,'فحص-بيانات-ماجستير'!$R$5:$R$230),0),"")</f>
        <v/>
      </c>
    </row>
    <row r="208" spans="1:9" x14ac:dyDescent="0.2">
      <c r="A208" s="1" t="str">
        <f>IF($I208="","",203)</f>
        <v/>
      </c>
      <c r="B208" s="2" t="str">
        <f>IF($I208="","",INDEX(CHOOSE($J$3,'فحص-حاسب-بكالوريوس'!$A$5:$A$208,'فحص-بيانات-بكالوريوس'!$A$5:$A$208,'فحص-بيانات-ماجستير'!$A$5:$A$230),$I208)&amp;"")</f>
        <v/>
      </c>
      <c r="C208" s="2" t="str">
        <f>IF($I208="","",INDEX(CHOOSE($J$3,'فحص-حاسب-بكالوريوس'!$F$5:$F$208,'فحص-بيانات-بكالوريوس'!$F$5:$F$208,'فحص-بيانات-ماجستير'!$F$5:$F$230),$I208)&amp;"")</f>
        <v/>
      </c>
      <c r="D208" s="2" t="str">
        <f>IF($I208="","",INDEX(CHOOSE($J$3,'فحص-حاسب-بكالوريوس'!$H$5:$H$208,'فحص-بيانات-بكالوريوس'!$H$5:$H$208,'فحص-بيانات-ماجستير'!$H$5:$H$230),$I208)&amp;"")</f>
        <v/>
      </c>
      <c r="E208" s="2" t="str">
        <f>IF($I208="","",INDEX(CHOOSE($J$3,'فحص-حاسب-بكالوريوس'!$J$5:$J$208,'فحص-بيانات-بكالوريوس'!$J$5:$J$208,'فحص-بيانات-ماجستير'!$J$5:$J$230),$I208)&amp;"")</f>
        <v/>
      </c>
      <c r="F208" s="2" t="str">
        <f>IF($I208="","",INDEX(CHOOSE($J$3,'فحص-حاسب-بكالوريوس'!$L$5:$L$208,'فحص-بيانات-بكالوريوس'!$L$5:$L$208,'فحص-بيانات-ماجستير'!$L$5:$L$230),$I208)&amp;"")</f>
        <v/>
      </c>
      <c r="G208" s="2" t="str">
        <f>IF($I208="","",INDEX(CHOOSE($J$3,'فحص-حاسب-بكالوريوس'!$M$5:$M$208,'فحص-بيانات-بكالوريوس'!$M$5:$M$208,'فحص-بيانات-ماجستير'!$M$5:$M$230),$I208)&amp;"")</f>
        <v/>
      </c>
      <c r="I208" s="2" t="str">
        <f>IFERROR(MATCH($E$3&amp;"#"&amp;203,CHOOSE($J$3,'فحص-حاسب-بكالوريوس'!$R$5:$R$208,'فحص-بيانات-بكالوريوس'!$R$5:$R$208,'فحص-بيانات-ماجستير'!$R$5:$R$230),0),"")</f>
        <v/>
      </c>
    </row>
    <row r="209" spans="1:9" x14ac:dyDescent="0.2">
      <c r="A209" s="1" t="str">
        <f>IF($I209="","",204)</f>
        <v/>
      </c>
      <c r="B209" s="2" t="str">
        <f>IF($I209="","",INDEX(CHOOSE($J$3,'فحص-حاسب-بكالوريوس'!$A$5:$A$208,'فحص-بيانات-بكالوريوس'!$A$5:$A$208,'فحص-بيانات-ماجستير'!$A$5:$A$230),$I209)&amp;"")</f>
        <v/>
      </c>
      <c r="C209" s="2" t="str">
        <f>IF($I209="","",INDEX(CHOOSE($J$3,'فحص-حاسب-بكالوريوس'!$F$5:$F$208,'فحص-بيانات-بكالوريوس'!$F$5:$F$208,'فحص-بيانات-ماجستير'!$F$5:$F$230),$I209)&amp;"")</f>
        <v/>
      </c>
      <c r="D209" s="2" t="str">
        <f>IF($I209="","",INDEX(CHOOSE($J$3,'فحص-حاسب-بكالوريوس'!$H$5:$H$208,'فحص-بيانات-بكالوريوس'!$H$5:$H$208,'فحص-بيانات-ماجستير'!$H$5:$H$230),$I209)&amp;"")</f>
        <v/>
      </c>
      <c r="E209" s="2" t="str">
        <f>IF($I209="","",INDEX(CHOOSE($J$3,'فحص-حاسب-بكالوريوس'!$J$5:$J$208,'فحص-بيانات-بكالوريوس'!$J$5:$J$208,'فحص-بيانات-ماجستير'!$J$5:$J$230),$I209)&amp;"")</f>
        <v/>
      </c>
      <c r="F209" s="2" t="str">
        <f>IF($I209="","",INDEX(CHOOSE($J$3,'فحص-حاسب-بكالوريوس'!$L$5:$L$208,'فحص-بيانات-بكالوريوس'!$L$5:$L$208,'فحص-بيانات-ماجستير'!$L$5:$L$230),$I209)&amp;"")</f>
        <v/>
      </c>
      <c r="G209" s="2" t="str">
        <f>IF($I209="","",INDEX(CHOOSE($J$3,'فحص-حاسب-بكالوريوس'!$M$5:$M$208,'فحص-بيانات-بكالوريوس'!$M$5:$M$208,'فحص-بيانات-ماجستير'!$M$5:$M$230),$I209)&amp;"")</f>
        <v/>
      </c>
      <c r="I209" s="2" t="str">
        <f>IFERROR(MATCH($E$3&amp;"#"&amp;204,CHOOSE($J$3,'فحص-حاسب-بكالوريوس'!$R$5:$R$208,'فحص-بيانات-بكالوريوس'!$R$5:$R$208,'فحص-بيانات-ماجستير'!$R$5:$R$230),0),"")</f>
        <v/>
      </c>
    </row>
    <row r="210" spans="1:9" x14ac:dyDescent="0.2">
      <c r="A210" s="1" t="str">
        <f>IF($I210="","",205)</f>
        <v/>
      </c>
      <c r="B210" s="2" t="str">
        <f>IF($I210="","",INDEX(CHOOSE($J$3,'فحص-حاسب-بكالوريوس'!$A$5:$A$208,'فحص-بيانات-بكالوريوس'!$A$5:$A$208,'فحص-بيانات-ماجستير'!$A$5:$A$230),$I210)&amp;"")</f>
        <v/>
      </c>
      <c r="C210" s="2" t="str">
        <f>IF($I210="","",INDEX(CHOOSE($J$3,'فحص-حاسب-بكالوريوس'!$F$5:$F$208,'فحص-بيانات-بكالوريوس'!$F$5:$F$208,'فحص-بيانات-ماجستير'!$F$5:$F$230),$I210)&amp;"")</f>
        <v/>
      </c>
      <c r="D210" s="2" t="str">
        <f>IF($I210="","",INDEX(CHOOSE($J$3,'فحص-حاسب-بكالوريوس'!$H$5:$H$208,'فحص-بيانات-بكالوريوس'!$H$5:$H$208,'فحص-بيانات-ماجستير'!$H$5:$H$230),$I210)&amp;"")</f>
        <v/>
      </c>
      <c r="E210" s="2" t="str">
        <f>IF($I210="","",INDEX(CHOOSE($J$3,'فحص-حاسب-بكالوريوس'!$J$5:$J$208,'فحص-بيانات-بكالوريوس'!$J$5:$J$208,'فحص-بيانات-ماجستير'!$J$5:$J$230),$I210)&amp;"")</f>
        <v/>
      </c>
      <c r="F210" s="2" t="str">
        <f>IF($I210="","",INDEX(CHOOSE($J$3,'فحص-حاسب-بكالوريوس'!$L$5:$L$208,'فحص-بيانات-بكالوريوس'!$L$5:$L$208,'فحص-بيانات-ماجستير'!$L$5:$L$230),$I210)&amp;"")</f>
        <v/>
      </c>
      <c r="G210" s="2" t="str">
        <f>IF($I210="","",INDEX(CHOOSE($J$3,'فحص-حاسب-بكالوريوس'!$M$5:$M$208,'فحص-بيانات-بكالوريوس'!$M$5:$M$208,'فحص-بيانات-ماجستير'!$M$5:$M$230),$I210)&amp;"")</f>
        <v/>
      </c>
      <c r="I210" s="2" t="str">
        <f>IFERROR(MATCH($E$3&amp;"#"&amp;205,CHOOSE($J$3,'فحص-حاسب-بكالوريوس'!$R$5:$R$208,'فحص-بيانات-بكالوريوس'!$R$5:$R$208,'فحص-بيانات-ماجستير'!$R$5:$R$230),0),"")</f>
        <v/>
      </c>
    </row>
    <row r="211" spans="1:9" x14ac:dyDescent="0.2">
      <c r="A211" s="1" t="str">
        <f>IF($I211="","",206)</f>
        <v/>
      </c>
      <c r="B211" s="2" t="str">
        <f>IF($I211="","",INDEX(CHOOSE($J$3,'فحص-حاسب-بكالوريوس'!$A$5:$A$208,'فحص-بيانات-بكالوريوس'!$A$5:$A$208,'فحص-بيانات-ماجستير'!$A$5:$A$230),$I211)&amp;"")</f>
        <v/>
      </c>
      <c r="C211" s="2" t="str">
        <f>IF($I211="","",INDEX(CHOOSE($J$3,'فحص-حاسب-بكالوريوس'!$F$5:$F$208,'فحص-بيانات-بكالوريوس'!$F$5:$F$208,'فحص-بيانات-ماجستير'!$F$5:$F$230),$I211)&amp;"")</f>
        <v/>
      </c>
      <c r="D211" s="2" t="str">
        <f>IF($I211="","",INDEX(CHOOSE($J$3,'فحص-حاسب-بكالوريوس'!$H$5:$H$208,'فحص-بيانات-بكالوريوس'!$H$5:$H$208,'فحص-بيانات-ماجستير'!$H$5:$H$230),$I211)&amp;"")</f>
        <v/>
      </c>
      <c r="E211" s="2" t="str">
        <f>IF($I211="","",INDEX(CHOOSE($J$3,'فحص-حاسب-بكالوريوس'!$J$5:$J$208,'فحص-بيانات-بكالوريوس'!$J$5:$J$208,'فحص-بيانات-ماجستير'!$J$5:$J$230),$I211)&amp;"")</f>
        <v/>
      </c>
      <c r="F211" s="2" t="str">
        <f>IF($I211="","",INDEX(CHOOSE($J$3,'فحص-حاسب-بكالوريوس'!$L$5:$L$208,'فحص-بيانات-بكالوريوس'!$L$5:$L$208,'فحص-بيانات-ماجستير'!$L$5:$L$230),$I211)&amp;"")</f>
        <v/>
      </c>
      <c r="G211" s="2" t="str">
        <f>IF($I211="","",INDEX(CHOOSE($J$3,'فحص-حاسب-بكالوريوس'!$M$5:$M$208,'فحص-بيانات-بكالوريوس'!$M$5:$M$208,'فحص-بيانات-ماجستير'!$M$5:$M$230),$I211)&amp;"")</f>
        <v/>
      </c>
      <c r="I211" s="2" t="str">
        <f>IFERROR(MATCH($E$3&amp;"#"&amp;206,CHOOSE($J$3,'فحص-حاسب-بكالوريوس'!$R$5:$R$208,'فحص-بيانات-بكالوريوس'!$R$5:$R$208,'فحص-بيانات-ماجستير'!$R$5:$R$230),0),"")</f>
        <v/>
      </c>
    </row>
    <row r="212" spans="1:9" x14ac:dyDescent="0.2">
      <c r="A212" s="1" t="str">
        <f>IF($I212="","",207)</f>
        <v/>
      </c>
      <c r="B212" s="2" t="str">
        <f>IF($I212="","",INDEX(CHOOSE($J$3,'فحص-حاسب-بكالوريوس'!$A$5:$A$208,'فحص-بيانات-بكالوريوس'!$A$5:$A$208,'فحص-بيانات-ماجستير'!$A$5:$A$230),$I212)&amp;"")</f>
        <v/>
      </c>
      <c r="C212" s="2" t="str">
        <f>IF($I212="","",INDEX(CHOOSE($J$3,'فحص-حاسب-بكالوريوس'!$F$5:$F$208,'فحص-بيانات-بكالوريوس'!$F$5:$F$208,'فحص-بيانات-ماجستير'!$F$5:$F$230),$I212)&amp;"")</f>
        <v/>
      </c>
      <c r="D212" s="2" t="str">
        <f>IF($I212="","",INDEX(CHOOSE($J$3,'فحص-حاسب-بكالوريوس'!$H$5:$H$208,'فحص-بيانات-بكالوريوس'!$H$5:$H$208,'فحص-بيانات-ماجستير'!$H$5:$H$230),$I212)&amp;"")</f>
        <v/>
      </c>
      <c r="E212" s="2" t="str">
        <f>IF($I212="","",INDEX(CHOOSE($J$3,'فحص-حاسب-بكالوريوس'!$J$5:$J$208,'فحص-بيانات-بكالوريوس'!$J$5:$J$208,'فحص-بيانات-ماجستير'!$J$5:$J$230),$I212)&amp;"")</f>
        <v/>
      </c>
      <c r="F212" s="2" t="str">
        <f>IF($I212="","",INDEX(CHOOSE($J$3,'فحص-حاسب-بكالوريوس'!$L$5:$L$208,'فحص-بيانات-بكالوريوس'!$L$5:$L$208,'فحص-بيانات-ماجستير'!$L$5:$L$230),$I212)&amp;"")</f>
        <v/>
      </c>
      <c r="G212" s="2" t="str">
        <f>IF($I212="","",INDEX(CHOOSE($J$3,'فحص-حاسب-بكالوريوس'!$M$5:$M$208,'فحص-بيانات-بكالوريوس'!$M$5:$M$208,'فحص-بيانات-ماجستير'!$M$5:$M$230),$I212)&amp;"")</f>
        <v/>
      </c>
      <c r="I212" s="2" t="str">
        <f>IFERROR(MATCH($E$3&amp;"#"&amp;207,CHOOSE($J$3,'فحص-حاسب-بكالوريوس'!$R$5:$R$208,'فحص-بيانات-بكالوريوس'!$R$5:$R$208,'فحص-بيانات-ماجستير'!$R$5:$R$230),0),"")</f>
        <v/>
      </c>
    </row>
    <row r="213" spans="1:9" x14ac:dyDescent="0.2">
      <c r="A213" s="1" t="str">
        <f>IF($I213="","",208)</f>
        <v/>
      </c>
      <c r="B213" s="2" t="str">
        <f>IF($I213="","",INDEX(CHOOSE($J$3,'فحص-حاسب-بكالوريوس'!$A$5:$A$208,'فحص-بيانات-بكالوريوس'!$A$5:$A$208,'فحص-بيانات-ماجستير'!$A$5:$A$230),$I213)&amp;"")</f>
        <v/>
      </c>
      <c r="C213" s="2" t="str">
        <f>IF($I213="","",INDEX(CHOOSE($J$3,'فحص-حاسب-بكالوريوس'!$F$5:$F$208,'فحص-بيانات-بكالوريوس'!$F$5:$F$208,'فحص-بيانات-ماجستير'!$F$5:$F$230),$I213)&amp;"")</f>
        <v/>
      </c>
      <c r="D213" s="2" t="str">
        <f>IF($I213="","",INDEX(CHOOSE($J$3,'فحص-حاسب-بكالوريوس'!$H$5:$H$208,'فحص-بيانات-بكالوريوس'!$H$5:$H$208,'فحص-بيانات-ماجستير'!$H$5:$H$230),$I213)&amp;"")</f>
        <v/>
      </c>
      <c r="E213" s="2" t="str">
        <f>IF($I213="","",INDEX(CHOOSE($J$3,'فحص-حاسب-بكالوريوس'!$J$5:$J$208,'فحص-بيانات-بكالوريوس'!$J$5:$J$208,'فحص-بيانات-ماجستير'!$J$5:$J$230),$I213)&amp;"")</f>
        <v/>
      </c>
      <c r="F213" s="2" t="str">
        <f>IF($I213="","",INDEX(CHOOSE($J$3,'فحص-حاسب-بكالوريوس'!$L$5:$L$208,'فحص-بيانات-بكالوريوس'!$L$5:$L$208,'فحص-بيانات-ماجستير'!$L$5:$L$230),$I213)&amp;"")</f>
        <v/>
      </c>
      <c r="G213" s="2" t="str">
        <f>IF($I213="","",INDEX(CHOOSE($J$3,'فحص-حاسب-بكالوريوس'!$M$5:$M$208,'فحص-بيانات-بكالوريوس'!$M$5:$M$208,'فحص-بيانات-ماجستير'!$M$5:$M$230),$I213)&amp;"")</f>
        <v/>
      </c>
      <c r="I213" s="2" t="str">
        <f>IFERROR(MATCH($E$3&amp;"#"&amp;208,CHOOSE($J$3,'فحص-حاسب-بكالوريوس'!$R$5:$R$208,'فحص-بيانات-بكالوريوس'!$R$5:$R$208,'فحص-بيانات-ماجستير'!$R$5:$R$230),0),"")</f>
        <v/>
      </c>
    </row>
    <row r="214" spans="1:9" x14ac:dyDescent="0.2">
      <c r="A214" s="1" t="str">
        <f>IF($I214="","",209)</f>
        <v/>
      </c>
      <c r="B214" s="2" t="str">
        <f>IF($I214="","",INDEX(CHOOSE($J$3,'فحص-حاسب-بكالوريوس'!$A$5:$A$208,'فحص-بيانات-بكالوريوس'!$A$5:$A$208,'فحص-بيانات-ماجستير'!$A$5:$A$230),$I214)&amp;"")</f>
        <v/>
      </c>
      <c r="C214" s="2" t="str">
        <f>IF($I214="","",INDEX(CHOOSE($J$3,'فحص-حاسب-بكالوريوس'!$F$5:$F$208,'فحص-بيانات-بكالوريوس'!$F$5:$F$208,'فحص-بيانات-ماجستير'!$F$5:$F$230),$I214)&amp;"")</f>
        <v/>
      </c>
      <c r="D214" s="2" t="str">
        <f>IF($I214="","",INDEX(CHOOSE($J$3,'فحص-حاسب-بكالوريوس'!$H$5:$H$208,'فحص-بيانات-بكالوريوس'!$H$5:$H$208,'فحص-بيانات-ماجستير'!$H$5:$H$230),$I214)&amp;"")</f>
        <v/>
      </c>
      <c r="E214" s="2" t="str">
        <f>IF($I214="","",INDEX(CHOOSE($J$3,'فحص-حاسب-بكالوريوس'!$J$5:$J$208,'فحص-بيانات-بكالوريوس'!$J$5:$J$208,'فحص-بيانات-ماجستير'!$J$5:$J$230),$I214)&amp;"")</f>
        <v/>
      </c>
      <c r="F214" s="2" t="str">
        <f>IF($I214="","",INDEX(CHOOSE($J$3,'فحص-حاسب-بكالوريوس'!$L$5:$L$208,'فحص-بيانات-بكالوريوس'!$L$5:$L$208,'فحص-بيانات-ماجستير'!$L$5:$L$230),$I214)&amp;"")</f>
        <v/>
      </c>
      <c r="G214" s="2" t="str">
        <f>IF($I214="","",INDEX(CHOOSE($J$3,'فحص-حاسب-بكالوريوس'!$M$5:$M$208,'فحص-بيانات-بكالوريوس'!$M$5:$M$208,'فحص-بيانات-ماجستير'!$M$5:$M$230),$I214)&amp;"")</f>
        <v/>
      </c>
      <c r="I214" s="2" t="str">
        <f>IFERROR(MATCH($E$3&amp;"#"&amp;209,CHOOSE($J$3,'فحص-حاسب-بكالوريوس'!$R$5:$R$208,'فحص-بيانات-بكالوريوس'!$R$5:$R$208,'فحص-بيانات-ماجستير'!$R$5:$R$230),0),"")</f>
        <v/>
      </c>
    </row>
    <row r="215" spans="1:9" x14ac:dyDescent="0.2">
      <c r="A215" s="1" t="str">
        <f>IF($I215="","",210)</f>
        <v/>
      </c>
      <c r="B215" s="2" t="str">
        <f>IF($I215="","",INDEX(CHOOSE($J$3,'فحص-حاسب-بكالوريوس'!$A$5:$A$208,'فحص-بيانات-بكالوريوس'!$A$5:$A$208,'فحص-بيانات-ماجستير'!$A$5:$A$230),$I215)&amp;"")</f>
        <v/>
      </c>
      <c r="C215" s="2" t="str">
        <f>IF($I215="","",INDEX(CHOOSE($J$3,'فحص-حاسب-بكالوريوس'!$F$5:$F$208,'فحص-بيانات-بكالوريوس'!$F$5:$F$208,'فحص-بيانات-ماجستير'!$F$5:$F$230),$I215)&amp;"")</f>
        <v/>
      </c>
      <c r="D215" s="2" t="str">
        <f>IF($I215="","",INDEX(CHOOSE($J$3,'فحص-حاسب-بكالوريوس'!$H$5:$H$208,'فحص-بيانات-بكالوريوس'!$H$5:$H$208,'فحص-بيانات-ماجستير'!$H$5:$H$230),$I215)&amp;"")</f>
        <v/>
      </c>
      <c r="E215" s="2" t="str">
        <f>IF($I215="","",INDEX(CHOOSE($J$3,'فحص-حاسب-بكالوريوس'!$J$5:$J$208,'فحص-بيانات-بكالوريوس'!$J$5:$J$208,'فحص-بيانات-ماجستير'!$J$5:$J$230),$I215)&amp;"")</f>
        <v/>
      </c>
      <c r="F215" s="2" t="str">
        <f>IF($I215="","",INDEX(CHOOSE($J$3,'فحص-حاسب-بكالوريوس'!$L$5:$L$208,'فحص-بيانات-بكالوريوس'!$L$5:$L$208,'فحص-بيانات-ماجستير'!$L$5:$L$230),$I215)&amp;"")</f>
        <v/>
      </c>
      <c r="G215" s="2" t="str">
        <f>IF($I215="","",INDEX(CHOOSE($J$3,'فحص-حاسب-بكالوريوس'!$M$5:$M$208,'فحص-بيانات-بكالوريوس'!$M$5:$M$208,'فحص-بيانات-ماجستير'!$M$5:$M$230),$I215)&amp;"")</f>
        <v/>
      </c>
      <c r="I215" s="2" t="str">
        <f>IFERROR(MATCH($E$3&amp;"#"&amp;210,CHOOSE($J$3,'فحص-حاسب-بكالوريوس'!$R$5:$R$208,'فحص-بيانات-بكالوريوس'!$R$5:$R$208,'فحص-بيانات-ماجستير'!$R$5:$R$230),0),"")</f>
        <v/>
      </c>
    </row>
    <row r="216" spans="1:9" x14ac:dyDescent="0.2">
      <c r="A216" s="1" t="str">
        <f>IF($I216="","",211)</f>
        <v/>
      </c>
      <c r="B216" s="2" t="str">
        <f>IF($I216="","",INDEX(CHOOSE($J$3,'فحص-حاسب-بكالوريوس'!$A$5:$A$208,'فحص-بيانات-بكالوريوس'!$A$5:$A$208,'فحص-بيانات-ماجستير'!$A$5:$A$230),$I216)&amp;"")</f>
        <v/>
      </c>
      <c r="C216" s="2" t="str">
        <f>IF($I216="","",INDEX(CHOOSE($J$3,'فحص-حاسب-بكالوريوس'!$F$5:$F$208,'فحص-بيانات-بكالوريوس'!$F$5:$F$208,'فحص-بيانات-ماجستير'!$F$5:$F$230),$I216)&amp;"")</f>
        <v/>
      </c>
      <c r="D216" s="2" t="str">
        <f>IF($I216="","",INDEX(CHOOSE($J$3,'فحص-حاسب-بكالوريوس'!$H$5:$H$208,'فحص-بيانات-بكالوريوس'!$H$5:$H$208,'فحص-بيانات-ماجستير'!$H$5:$H$230),$I216)&amp;"")</f>
        <v/>
      </c>
      <c r="E216" s="2" t="str">
        <f>IF($I216="","",INDEX(CHOOSE($J$3,'فحص-حاسب-بكالوريوس'!$J$5:$J$208,'فحص-بيانات-بكالوريوس'!$J$5:$J$208,'فحص-بيانات-ماجستير'!$J$5:$J$230),$I216)&amp;"")</f>
        <v/>
      </c>
      <c r="F216" s="2" t="str">
        <f>IF($I216="","",INDEX(CHOOSE($J$3,'فحص-حاسب-بكالوريوس'!$L$5:$L$208,'فحص-بيانات-بكالوريوس'!$L$5:$L$208,'فحص-بيانات-ماجستير'!$L$5:$L$230),$I216)&amp;"")</f>
        <v/>
      </c>
      <c r="G216" s="2" t="str">
        <f>IF($I216="","",INDEX(CHOOSE($J$3,'فحص-حاسب-بكالوريوس'!$M$5:$M$208,'فحص-بيانات-بكالوريوس'!$M$5:$M$208,'فحص-بيانات-ماجستير'!$M$5:$M$230),$I216)&amp;"")</f>
        <v/>
      </c>
      <c r="I216" s="2" t="str">
        <f>IFERROR(MATCH($E$3&amp;"#"&amp;211,CHOOSE($J$3,'فحص-حاسب-بكالوريوس'!$R$5:$R$208,'فحص-بيانات-بكالوريوس'!$R$5:$R$208,'فحص-بيانات-ماجستير'!$R$5:$R$230),0),"")</f>
        <v/>
      </c>
    </row>
    <row r="217" spans="1:9" x14ac:dyDescent="0.2">
      <c r="A217" s="1" t="str">
        <f>IF($I217="","",212)</f>
        <v/>
      </c>
      <c r="B217" s="2" t="str">
        <f>IF($I217="","",INDEX(CHOOSE($J$3,'فحص-حاسب-بكالوريوس'!$A$5:$A$208,'فحص-بيانات-بكالوريوس'!$A$5:$A$208,'فحص-بيانات-ماجستير'!$A$5:$A$230),$I217)&amp;"")</f>
        <v/>
      </c>
      <c r="C217" s="2" t="str">
        <f>IF($I217="","",INDEX(CHOOSE($J$3,'فحص-حاسب-بكالوريوس'!$F$5:$F$208,'فحص-بيانات-بكالوريوس'!$F$5:$F$208,'فحص-بيانات-ماجستير'!$F$5:$F$230),$I217)&amp;"")</f>
        <v/>
      </c>
      <c r="D217" s="2" t="str">
        <f>IF($I217="","",INDEX(CHOOSE($J$3,'فحص-حاسب-بكالوريوس'!$H$5:$H$208,'فحص-بيانات-بكالوريوس'!$H$5:$H$208,'فحص-بيانات-ماجستير'!$H$5:$H$230),$I217)&amp;"")</f>
        <v/>
      </c>
      <c r="E217" s="2" t="str">
        <f>IF($I217="","",INDEX(CHOOSE($J$3,'فحص-حاسب-بكالوريوس'!$J$5:$J$208,'فحص-بيانات-بكالوريوس'!$J$5:$J$208,'فحص-بيانات-ماجستير'!$J$5:$J$230),$I217)&amp;"")</f>
        <v/>
      </c>
      <c r="F217" s="2" t="str">
        <f>IF($I217="","",INDEX(CHOOSE($J$3,'فحص-حاسب-بكالوريوس'!$L$5:$L$208,'فحص-بيانات-بكالوريوس'!$L$5:$L$208,'فحص-بيانات-ماجستير'!$L$5:$L$230),$I217)&amp;"")</f>
        <v/>
      </c>
      <c r="G217" s="2" t="str">
        <f>IF($I217="","",INDEX(CHOOSE($J$3,'فحص-حاسب-بكالوريوس'!$M$5:$M$208,'فحص-بيانات-بكالوريوس'!$M$5:$M$208,'فحص-بيانات-ماجستير'!$M$5:$M$230),$I217)&amp;"")</f>
        <v/>
      </c>
      <c r="I217" s="2" t="str">
        <f>IFERROR(MATCH($E$3&amp;"#"&amp;212,CHOOSE($J$3,'فحص-حاسب-بكالوريوس'!$R$5:$R$208,'فحص-بيانات-بكالوريوس'!$R$5:$R$208,'فحص-بيانات-ماجستير'!$R$5:$R$230),0),"")</f>
        <v/>
      </c>
    </row>
    <row r="218" spans="1:9" x14ac:dyDescent="0.2">
      <c r="A218" s="1" t="str">
        <f>IF($I218="","",213)</f>
        <v/>
      </c>
      <c r="B218" s="2" t="str">
        <f>IF($I218="","",INDEX(CHOOSE($J$3,'فحص-حاسب-بكالوريوس'!$A$5:$A$208,'فحص-بيانات-بكالوريوس'!$A$5:$A$208,'فحص-بيانات-ماجستير'!$A$5:$A$230),$I218)&amp;"")</f>
        <v/>
      </c>
      <c r="C218" s="2" t="str">
        <f>IF($I218="","",INDEX(CHOOSE($J$3,'فحص-حاسب-بكالوريوس'!$F$5:$F$208,'فحص-بيانات-بكالوريوس'!$F$5:$F$208,'فحص-بيانات-ماجستير'!$F$5:$F$230),$I218)&amp;"")</f>
        <v/>
      </c>
      <c r="D218" s="2" t="str">
        <f>IF($I218="","",INDEX(CHOOSE($J$3,'فحص-حاسب-بكالوريوس'!$H$5:$H$208,'فحص-بيانات-بكالوريوس'!$H$5:$H$208,'فحص-بيانات-ماجستير'!$H$5:$H$230),$I218)&amp;"")</f>
        <v/>
      </c>
      <c r="E218" s="2" t="str">
        <f>IF($I218="","",INDEX(CHOOSE($J$3,'فحص-حاسب-بكالوريوس'!$J$5:$J$208,'فحص-بيانات-بكالوريوس'!$J$5:$J$208,'فحص-بيانات-ماجستير'!$J$5:$J$230),$I218)&amp;"")</f>
        <v/>
      </c>
      <c r="F218" s="2" t="str">
        <f>IF($I218="","",INDEX(CHOOSE($J$3,'فحص-حاسب-بكالوريوس'!$L$5:$L$208,'فحص-بيانات-بكالوريوس'!$L$5:$L$208,'فحص-بيانات-ماجستير'!$L$5:$L$230),$I218)&amp;"")</f>
        <v/>
      </c>
      <c r="G218" s="2" t="str">
        <f>IF($I218="","",INDEX(CHOOSE($J$3,'فحص-حاسب-بكالوريوس'!$M$5:$M$208,'فحص-بيانات-بكالوريوس'!$M$5:$M$208,'فحص-بيانات-ماجستير'!$M$5:$M$230),$I218)&amp;"")</f>
        <v/>
      </c>
      <c r="I218" s="2" t="str">
        <f>IFERROR(MATCH($E$3&amp;"#"&amp;213,CHOOSE($J$3,'فحص-حاسب-بكالوريوس'!$R$5:$R$208,'فحص-بيانات-بكالوريوس'!$R$5:$R$208,'فحص-بيانات-ماجستير'!$R$5:$R$230),0),"")</f>
        <v/>
      </c>
    </row>
    <row r="219" spans="1:9" x14ac:dyDescent="0.2">
      <c r="A219" s="1" t="str">
        <f>IF($I219="","",214)</f>
        <v/>
      </c>
      <c r="B219" s="2" t="str">
        <f>IF($I219="","",INDEX(CHOOSE($J$3,'فحص-حاسب-بكالوريوس'!$A$5:$A$208,'فحص-بيانات-بكالوريوس'!$A$5:$A$208,'فحص-بيانات-ماجستير'!$A$5:$A$230),$I219)&amp;"")</f>
        <v/>
      </c>
      <c r="C219" s="2" t="str">
        <f>IF($I219="","",INDEX(CHOOSE($J$3,'فحص-حاسب-بكالوريوس'!$F$5:$F$208,'فحص-بيانات-بكالوريوس'!$F$5:$F$208,'فحص-بيانات-ماجستير'!$F$5:$F$230),$I219)&amp;"")</f>
        <v/>
      </c>
      <c r="D219" s="2" t="str">
        <f>IF($I219="","",INDEX(CHOOSE($J$3,'فحص-حاسب-بكالوريوس'!$H$5:$H$208,'فحص-بيانات-بكالوريوس'!$H$5:$H$208,'فحص-بيانات-ماجستير'!$H$5:$H$230),$I219)&amp;"")</f>
        <v/>
      </c>
      <c r="E219" s="2" t="str">
        <f>IF($I219="","",INDEX(CHOOSE($J$3,'فحص-حاسب-بكالوريوس'!$J$5:$J$208,'فحص-بيانات-بكالوريوس'!$J$5:$J$208,'فحص-بيانات-ماجستير'!$J$5:$J$230),$I219)&amp;"")</f>
        <v/>
      </c>
      <c r="F219" s="2" t="str">
        <f>IF($I219="","",INDEX(CHOOSE($J$3,'فحص-حاسب-بكالوريوس'!$L$5:$L$208,'فحص-بيانات-بكالوريوس'!$L$5:$L$208,'فحص-بيانات-ماجستير'!$L$5:$L$230),$I219)&amp;"")</f>
        <v/>
      </c>
      <c r="G219" s="2" t="str">
        <f>IF($I219="","",INDEX(CHOOSE($J$3,'فحص-حاسب-بكالوريوس'!$M$5:$M$208,'فحص-بيانات-بكالوريوس'!$M$5:$M$208,'فحص-بيانات-ماجستير'!$M$5:$M$230),$I219)&amp;"")</f>
        <v/>
      </c>
      <c r="I219" s="2" t="str">
        <f>IFERROR(MATCH($E$3&amp;"#"&amp;214,CHOOSE($J$3,'فحص-حاسب-بكالوريوس'!$R$5:$R$208,'فحص-بيانات-بكالوريوس'!$R$5:$R$208,'فحص-بيانات-ماجستير'!$R$5:$R$230),0),"")</f>
        <v/>
      </c>
    </row>
    <row r="220" spans="1:9" x14ac:dyDescent="0.2">
      <c r="A220" s="1" t="str">
        <f>IF($I220="","",215)</f>
        <v/>
      </c>
      <c r="B220" s="2" t="str">
        <f>IF($I220="","",INDEX(CHOOSE($J$3,'فحص-حاسب-بكالوريوس'!$A$5:$A$208,'فحص-بيانات-بكالوريوس'!$A$5:$A$208,'فحص-بيانات-ماجستير'!$A$5:$A$230),$I220)&amp;"")</f>
        <v/>
      </c>
      <c r="C220" s="2" t="str">
        <f>IF($I220="","",INDEX(CHOOSE($J$3,'فحص-حاسب-بكالوريوس'!$F$5:$F$208,'فحص-بيانات-بكالوريوس'!$F$5:$F$208,'فحص-بيانات-ماجستير'!$F$5:$F$230),$I220)&amp;"")</f>
        <v/>
      </c>
      <c r="D220" s="2" t="str">
        <f>IF($I220="","",INDEX(CHOOSE($J$3,'فحص-حاسب-بكالوريوس'!$H$5:$H$208,'فحص-بيانات-بكالوريوس'!$H$5:$H$208,'فحص-بيانات-ماجستير'!$H$5:$H$230),$I220)&amp;"")</f>
        <v/>
      </c>
      <c r="E220" s="2" t="str">
        <f>IF($I220="","",INDEX(CHOOSE($J$3,'فحص-حاسب-بكالوريوس'!$J$5:$J$208,'فحص-بيانات-بكالوريوس'!$J$5:$J$208,'فحص-بيانات-ماجستير'!$J$5:$J$230),$I220)&amp;"")</f>
        <v/>
      </c>
      <c r="F220" s="2" t="str">
        <f>IF($I220="","",INDEX(CHOOSE($J$3,'فحص-حاسب-بكالوريوس'!$L$5:$L$208,'فحص-بيانات-بكالوريوس'!$L$5:$L$208,'فحص-بيانات-ماجستير'!$L$5:$L$230),$I220)&amp;"")</f>
        <v/>
      </c>
      <c r="G220" s="2" t="str">
        <f>IF($I220="","",INDEX(CHOOSE($J$3,'فحص-حاسب-بكالوريوس'!$M$5:$M$208,'فحص-بيانات-بكالوريوس'!$M$5:$M$208,'فحص-بيانات-ماجستير'!$M$5:$M$230),$I220)&amp;"")</f>
        <v/>
      </c>
      <c r="I220" s="2" t="str">
        <f>IFERROR(MATCH($E$3&amp;"#"&amp;215,CHOOSE($J$3,'فحص-حاسب-بكالوريوس'!$R$5:$R$208,'فحص-بيانات-بكالوريوس'!$R$5:$R$208,'فحص-بيانات-ماجستير'!$R$5:$R$230),0),"")</f>
        <v/>
      </c>
    </row>
    <row r="221" spans="1:9" x14ac:dyDescent="0.2">
      <c r="A221" s="1" t="str">
        <f>IF($I221="","",216)</f>
        <v/>
      </c>
      <c r="B221" s="2" t="str">
        <f>IF($I221="","",INDEX(CHOOSE($J$3,'فحص-حاسب-بكالوريوس'!$A$5:$A$208,'فحص-بيانات-بكالوريوس'!$A$5:$A$208,'فحص-بيانات-ماجستير'!$A$5:$A$230),$I221)&amp;"")</f>
        <v/>
      </c>
      <c r="C221" s="2" t="str">
        <f>IF($I221="","",INDEX(CHOOSE($J$3,'فحص-حاسب-بكالوريوس'!$F$5:$F$208,'فحص-بيانات-بكالوريوس'!$F$5:$F$208,'فحص-بيانات-ماجستير'!$F$5:$F$230),$I221)&amp;"")</f>
        <v/>
      </c>
      <c r="D221" s="2" t="str">
        <f>IF($I221="","",INDEX(CHOOSE($J$3,'فحص-حاسب-بكالوريوس'!$H$5:$H$208,'فحص-بيانات-بكالوريوس'!$H$5:$H$208,'فحص-بيانات-ماجستير'!$H$5:$H$230),$I221)&amp;"")</f>
        <v/>
      </c>
      <c r="E221" s="2" t="str">
        <f>IF($I221="","",INDEX(CHOOSE($J$3,'فحص-حاسب-بكالوريوس'!$J$5:$J$208,'فحص-بيانات-بكالوريوس'!$J$5:$J$208,'فحص-بيانات-ماجستير'!$J$5:$J$230),$I221)&amp;"")</f>
        <v/>
      </c>
      <c r="F221" s="2" t="str">
        <f>IF($I221="","",INDEX(CHOOSE($J$3,'فحص-حاسب-بكالوريوس'!$L$5:$L$208,'فحص-بيانات-بكالوريوس'!$L$5:$L$208,'فحص-بيانات-ماجستير'!$L$5:$L$230),$I221)&amp;"")</f>
        <v/>
      </c>
      <c r="G221" s="2" t="str">
        <f>IF($I221="","",INDEX(CHOOSE($J$3,'فحص-حاسب-بكالوريوس'!$M$5:$M$208,'فحص-بيانات-بكالوريوس'!$M$5:$M$208,'فحص-بيانات-ماجستير'!$M$5:$M$230),$I221)&amp;"")</f>
        <v/>
      </c>
      <c r="I221" s="2" t="str">
        <f>IFERROR(MATCH($E$3&amp;"#"&amp;216,CHOOSE($J$3,'فحص-حاسب-بكالوريوس'!$R$5:$R$208,'فحص-بيانات-بكالوريوس'!$R$5:$R$208,'فحص-بيانات-ماجستير'!$R$5:$R$230),0),"")</f>
        <v/>
      </c>
    </row>
    <row r="222" spans="1:9" x14ac:dyDescent="0.2">
      <c r="A222" s="1" t="str">
        <f>IF($I222="","",217)</f>
        <v/>
      </c>
      <c r="B222" s="2" t="str">
        <f>IF($I222="","",INDEX(CHOOSE($J$3,'فحص-حاسب-بكالوريوس'!$A$5:$A$208,'فحص-بيانات-بكالوريوس'!$A$5:$A$208,'فحص-بيانات-ماجستير'!$A$5:$A$230),$I222)&amp;"")</f>
        <v/>
      </c>
      <c r="C222" s="2" t="str">
        <f>IF($I222="","",INDEX(CHOOSE($J$3,'فحص-حاسب-بكالوريوس'!$F$5:$F$208,'فحص-بيانات-بكالوريوس'!$F$5:$F$208,'فحص-بيانات-ماجستير'!$F$5:$F$230),$I222)&amp;"")</f>
        <v/>
      </c>
      <c r="D222" s="2" t="str">
        <f>IF($I222="","",INDEX(CHOOSE($J$3,'فحص-حاسب-بكالوريوس'!$H$5:$H$208,'فحص-بيانات-بكالوريوس'!$H$5:$H$208,'فحص-بيانات-ماجستير'!$H$5:$H$230),$I222)&amp;"")</f>
        <v/>
      </c>
      <c r="E222" s="2" t="str">
        <f>IF($I222="","",INDEX(CHOOSE($J$3,'فحص-حاسب-بكالوريوس'!$J$5:$J$208,'فحص-بيانات-بكالوريوس'!$J$5:$J$208,'فحص-بيانات-ماجستير'!$J$5:$J$230),$I222)&amp;"")</f>
        <v/>
      </c>
      <c r="F222" s="2" t="str">
        <f>IF($I222="","",INDEX(CHOOSE($J$3,'فحص-حاسب-بكالوريوس'!$L$5:$L$208,'فحص-بيانات-بكالوريوس'!$L$5:$L$208,'فحص-بيانات-ماجستير'!$L$5:$L$230),$I222)&amp;"")</f>
        <v/>
      </c>
      <c r="G222" s="2" t="str">
        <f>IF($I222="","",INDEX(CHOOSE($J$3,'فحص-حاسب-بكالوريوس'!$M$5:$M$208,'فحص-بيانات-بكالوريوس'!$M$5:$M$208,'فحص-بيانات-ماجستير'!$M$5:$M$230),$I222)&amp;"")</f>
        <v/>
      </c>
      <c r="I222" s="2" t="str">
        <f>IFERROR(MATCH($E$3&amp;"#"&amp;217,CHOOSE($J$3,'فحص-حاسب-بكالوريوس'!$R$5:$R$208,'فحص-بيانات-بكالوريوس'!$R$5:$R$208,'فحص-بيانات-ماجستير'!$R$5:$R$230),0),"")</f>
        <v/>
      </c>
    </row>
    <row r="223" spans="1:9" x14ac:dyDescent="0.2">
      <c r="A223" s="1" t="str">
        <f>IF($I223="","",218)</f>
        <v/>
      </c>
      <c r="B223" s="2" t="str">
        <f>IF($I223="","",INDEX(CHOOSE($J$3,'فحص-حاسب-بكالوريوس'!$A$5:$A$208,'فحص-بيانات-بكالوريوس'!$A$5:$A$208,'فحص-بيانات-ماجستير'!$A$5:$A$230),$I223)&amp;"")</f>
        <v/>
      </c>
      <c r="C223" s="2" t="str">
        <f>IF($I223="","",INDEX(CHOOSE($J$3,'فحص-حاسب-بكالوريوس'!$F$5:$F$208,'فحص-بيانات-بكالوريوس'!$F$5:$F$208,'فحص-بيانات-ماجستير'!$F$5:$F$230),$I223)&amp;"")</f>
        <v/>
      </c>
      <c r="D223" s="2" t="str">
        <f>IF($I223="","",INDEX(CHOOSE($J$3,'فحص-حاسب-بكالوريوس'!$H$5:$H$208,'فحص-بيانات-بكالوريوس'!$H$5:$H$208,'فحص-بيانات-ماجستير'!$H$5:$H$230),$I223)&amp;"")</f>
        <v/>
      </c>
      <c r="E223" s="2" t="str">
        <f>IF($I223="","",INDEX(CHOOSE($J$3,'فحص-حاسب-بكالوريوس'!$J$5:$J$208,'فحص-بيانات-بكالوريوس'!$J$5:$J$208,'فحص-بيانات-ماجستير'!$J$5:$J$230),$I223)&amp;"")</f>
        <v/>
      </c>
      <c r="F223" s="2" t="str">
        <f>IF($I223="","",INDEX(CHOOSE($J$3,'فحص-حاسب-بكالوريوس'!$L$5:$L$208,'فحص-بيانات-بكالوريوس'!$L$5:$L$208,'فحص-بيانات-ماجستير'!$L$5:$L$230),$I223)&amp;"")</f>
        <v/>
      </c>
      <c r="G223" s="2" t="str">
        <f>IF($I223="","",INDEX(CHOOSE($J$3,'فحص-حاسب-بكالوريوس'!$M$5:$M$208,'فحص-بيانات-بكالوريوس'!$M$5:$M$208,'فحص-بيانات-ماجستير'!$M$5:$M$230),$I223)&amp;"")</f>
        <v/>
      </c>
      <c r="I223" s="2" t="str">
        <f>IFERROR(MATCH($E$3&amp;"#"&amp;218,CHOOSE($J$3,'فحص-حاسب-بكالوريوس'!$R$5:$R$208,'فحص-بيانات-بكالوريوس'!$R$5:$R$208,'فحص-بيانات-ماجستير'!$R$5:$R$230),0),"")</f>
        <v/>
      </c>
    </row>
    <row r="224" spans="1:9" x14ac:dyDescent="0.2">
      <c r="A224" s="1" t="str">
        <f>IF($I224="","",219)</f>
        <v/>
      </c>
      <c r="B224" s="2" t="str">
        <f>IF($I224="","",INDEX(CHOOSE($J$3,'فحص-حاسب-بكالوريوس'!$A$5:$A$208,'فحص-بيانات-بكالوريوس'!$A$5:$A$208,'فحص-بيانات-ماجستير'!$A$5:$A$230),$I224)&amp;"")</f>
        <v/>
      </c>
      <c r="C224" s="2" t="str">
        <f>IF($I224="","",INDEX(CHOOSE($J$3,'فحص-حاسب-بكالوريوس'!$F$5:$F$208,'فحص-بيانات-بكالوريوس'!$F$5:$F$208,'فحص-بيانات-ماجستير'!$F$5:$F$230),$I224)&amp;"")</f>
        <v/>
      </c>
      <c r="D224" s="2" t="str">
        <f>IF($I224="","",INDEX(CHOOSE($J$3,'فحص-حاسب-بكالوريوس'!$H$5:$H$208,'فحص-بيانات-بكالوريوس'!$H$5:$H$208,'فحص-بيانات-ماجستير'!$H$5:$H$230),$I224)&amp;"")</f>
        <v/>
      </c>
      <c r="E224" s="2" t="str">
        <f>IF($I224="","",INDEX(CHOOSE($J$3,'فحص-حاسب-بكالوريوس'!$J$5:$J$208,'فحص-بيانات-بكالوريوس'!$J$5:$J$208,'فحص-بيانات-ماجستير'!$J$5:$J$230),$I224)&amp;"")</f>
        <v/>
      </c>
      <c r="F224" s="2" t="str">
        <f>IF($I224="","",INDEX(CHOOSE($J$3,'فحص-حاسب-بكالوريوس'!$L$5:$L$208,'فحص-بيانات-بكالوريوس'!$L$5:$L$208,'فحص-بيانات-ماجستير'!$L$5:$L$230),$I224)&amp;"")</f>
        <v/>
      </c>
      <c r="G224" s="2" t="str">
        <f>IF($I224="","",INDEX(CHOOSE($J$3,'فحص-حاسب-بكالوريوس'!$M$5:$M$208,'فحص-بيانات-بكالوريوس'!$M$5:$M$208,'فحص-بيانات-ماجستير'!$M$5:$M$230),$I224)&amp;"")</f>
        <v/>
      </c>
      <c r="I224" s="2" t="str">
        <f>IFERROR(MATCH($E$3&amp;"#"&amp;219,CHOOSE($J$3,'فحص-حاسب-بكالوريوس'!$R$5:$R$208,'فحص-بيانات-بكالوريوس'!$R$5:$R$208,'فحص-بيانات-ماجستير'!$R$5:$R$230),0),"")</f>
        <v/>
      </c>
    </row>
    <row r="225" spans="1:9" x14ac:dyDescent="0.2">
      <c r="A225" s="1" t="str">
        <f>IF($I225="","",220)</f>
        <v/>
      </c>
      <c r="B225" s="2" t="str">
        <f>IF($I225="","",INDEX(CHOOSE($J$3,'فحص-حاسب-بكالوريوس'!$A$5:$A$208,'فحص-بيانات-بكالوريوس'!$A$5:$A$208,'فحص-بيانات-ماجستير'!$A$5:$A$230),$I225)&amp;"")</f>
        <v/>
      </c>
      <c r="C225" s="2" t="str">
        <f>IF($I225="","",INDEX(CHOOSE($J$3,'فحص-حاسب-بكالوريوس'!$F$5:$F$208,'فحص-بيانات-بكالوريوس'!$F$5:$F$208,'فحص-بيانات-ماجستير'!$F$5:$F$230),$I225)&amp;"")</f>
        <v/>
      </c>
      <c r="D225" s="2" t="str">
        <f>IF($I225="","",INDEX(CHOOSE($J$3,'فحص-حاسب-بكالوريوس'!$H$5:$H$208,'فحص-بيانات-بكالوريوس'!$H$5:$H$208,'فحص-بيانات-ماجستير'!$H$5:$H$230),$I225)&amp;"")</f>
        <v/>
      </c>
      <c r="E225" s="2" t="str">
        <f>IF($I225="","",INDEX(CHOOSE($J$3,'فحص-حاسب-بكالوريوس'!$J$5:$J$208,'فحص-بيانات-بكالوريوس'!$J$5:$J$208,'فحص-بيانات-ماجستير'!$J$5:$J$230),$I225)&amp;"")</f>
        <v/>
      </c>
      <c r="F225" s="2" t="str">
        <f>IF($I225="","",INDEX(CHOOSE($J$3,'فحص-حاسب-بكالوريوس'!$L$5:$L$208,'فحص-بيانات-بكالوريوس'!$L$5:$L$208,'فحص-بيانات-ماجستير'!$L$5:$L$230),$I225)&amp;"")</f>
        <v/>
      </c>
      <c r="G225" s="2" t="str">
        <f>IF($I225="","",INDEX(CHOOSE($J$3,'فحص-حاسب-بكالوريوس'!$M$5:$M$208,'فحص-بيانات-بكالوريوس'!$M$5:$M$208,'فحص-بيانات-ماجستير'!$M$5:$M$230),$I225)&amp;"")</f>
        <v/>
      </c>
      <c r="I225" s="2" t="str">
        <f>IFERROR(MATCH($E$3&amp;"#"&amp;220,CHOOSE($J$3,'فحص-حاسب-بكالوريوس'!$R$5:$R$208,'فحص-بيانات-بكالوريوس'!$R$5:$R$208,'فحص-بيانات-ماجستير'!$R$5:$R$230),0),"")</f>
        <v/>
      </c>
    </row>
    <row r="226" spans="1:9" x14ac:dyDescent="0.2">
      <c r="A226" s="1" t="str">
        <f>IF($I226="","",221)</f>
        <v/>
      </c>
      <c r="B226" s="2" t="str">
        <f>IF($I226="","",INDEX(CHOOSE($J$3,'فحص-حاسب-بكالوريوس'!$A$5:$A$208,'فحص-بيانات-بكالوريوس'!$A$5:$A$208,'فحص-بيانات-ماجستير'!$A$5:$A$230),$I226)&amp;"")</f>
        <v/>
      </c>
      <c r="C226" s="2" t="str">
        <f>IF($I226="","",INDEX(CHOOSE($J$3,'فحص-حاسب-بكالوريوس'!$F$5:$F$208,'فحص-بيانات-بكالوريوس'!$F$5:$F$208,'فحص-بيانات-ماجستير'!$F$5:$F$230),$I226)&amp;"")</f>
        <v/>
      </c>
      <c r="D226" s="2" t="str">
        <f>IF($I226="","",INDEX(CHOOSE($J$3,'فحص-حاسب-بكالوريوس'!$H$5:$H$208,'فحص-بيانات-بكالوريوس'!$H$5:$H$208,'فحص-بيانات-ماجستير'!$H$5:$H$230),$I226)&amp;"")</f>
        <v/>
      </c>
      <c r="E226" s="2" t="str">
        <f>IF($I226="","",INDEX(CHOOSE($J$3,'فحص-حاسب-بكالوريوس'!$J$5:$J$208,'فحص-بيانات-بكالوريوس'!$J$5:$J$208,'فحص-بيانات-ماجستير'!$J$5:$J$230),$I226)&amp;"")</f>
        <v/>
      </c>
      <c r="F226" s="2" t="str">
        <f>IF($I226="","",INDEX(CHOOSE($J$3,'فحص-حاسب-بكالوريوس'!$L$5:$L$208,'فحص-بيانات-بكالوريوس'!$L$5:$L$208,'فحص-بيانات-ماجستير'!$L$5:$L$230),$I226)&amp;"")</f>
        <v/>
      </c>
      <c r="G226" s="2" t="str">
        <f>IF($I226="","",INDEX(CHOOSE($J$3,'فحص-حاسب-بكالوريوس'!$M$5:$M$208,'فحص-بيانات-بكالوريوس'!$M$5:$M$208,'فحص-بيانات-ماجستير'!$M$5:$M$230),$I226)&amp;"")</f>
        <v/>
      </c>
      <c r="I226" s="2" t="str">
        <f>IFERROR(MATCH($E$3&amp;"#"&amp;221,CHOOSE($J$3,'فحص-حاسب-بكالوريوس'!$R$5:$R$208,'فحص-بيانات-بكالوريوس'!$R$5:$R$208,'فحص-بيانات-ماجستير'!$R$5:$R$230),0),"")</f>
        <v/>
      </c>
    </row>
    <row r="227" spans="1:9" x14ac:dyDescent="0.2">
      <c r="A227" s="1" t="str">
        <f>IF($I227="","",222)</f>
        <v/>
      </c>
      <c r="B227" s="2" t="str">
        <f>IF($I227="","",INDEX(CHOOSE($J$3,'فحص-حاسب-بكالوريوس'!$A$5:$A$208,'فحص-بيانات-بكالوريوس'!$A$5:$A$208,'فحص-بيانات-ماجستير'!$A$5:$A$230),$I227)&amp;"")</f>
        <v/>
      </c>
      <c r="C227" s="2" t="str">
        <f>IF($I227="","",INDEX(CHOOSE($J$3,'فحص-حاسب-بكالوريوس'!$F$5:$F$208,'فحص-بيانات-بكالوريوس'!$F$5:$F$208,'فحص-بيانات-ماجستير'!$F$5:$F$230),$I227)&amp;"")</f>
        <v/>
      </c>
      <c r="D227" s="2" t="str">
        <f>IF($I227="","",INDEX(CHOOSE($J$3,'فحص-حاسب-بكالوريوس'!$H$5:$H$208,'فحص-بيانات-بكالوريوس'!$H$5:$H$208,'فحص-بيانات-ماجستير'!$H$5:$H$230),$I227)&amp;"")</f>
        <v/>
      </c>
      <c r="E227" s="2" t="str">
        <f>IF($I227="","",INDEX(CHOOSE($J$3,'فحص-حاسب-بكالوريوس'!$J$5:$J$208,'فحص-بيانات-بكالوريوس'!$J$5:$J$208,'فحص-بيانات-ماجستير'!$J$5:$J$230),$I227)&amp;"")</f>
        <v/>
      </c>
      <c r="F227" s="2" t="str">
        <f>IF($I227="","",INDEX(CHOOSE($J$3,'فحص-حاسب-بكالوريوس'!$L$5:$L$208,'فحص-بيانات-بكالوريوس'!$L$5:$L$208,'فحص-بيانات-ماجستير'!$L$5:$L$230),$I227)&amp;"")</f>
        <v/>
      </c>
      <c r="G227" s="2" t="str">
        <f>IF($I227="","",INDEX(CHOOSE($J$3,'فحص-حاسب-بكالوريوس'!$M$5:$M$208,'فحص-بيانات-بكالوريوس'!$M$5:$M$208,'فحص-بيانات-ماجستير'!$M$5:$M$230),$I227)&amp;"")</f>
        <v/>
      </c>
      <c r="I227" s="2" t="str">
        <f>IFERROR(MATCH($E$3&amp;"#"&amp;222,CHOOSE($J$3,'فحص-حاسب-بكالوريوس'!$R$5:$R$208,'فحص-بيانات-بكالوريوس'!$R$5:$R$208,'فحص-بيانات-ماجستير'!$R$5:$R$230),0),"")</f>
        <v/>
      </c>
    </row>
    <row r="228" spans="1:9" x14ac:dyDescent="0.2">
      <c r="A228" s="1" t="str">
        <f>IF($I228="","",223)</f>
        <v/>
      </c>
      <c r="B228" s="2" t="str">
        <f>IF($I228="","",INDEX(CHOOSE($J$3,'فحص-حاسب-بكالوريوس'!$A$5:$A$208,'فحص-بيانات-بكالوريوس'!$A$5:$A$208,'فحص-بيانات-ماجستير'!$A$5:$A$230),$I228)&amp;"")</f>
        <v/>
      </c>
      <c r="C228" s="2" t="str">
        <f>IF($I228="","",INDEX(CHOOSE($J$3,'فحص-حاسب-بكالوريوس'!$F$5:$F$208,'فحص-بيانات-بكالوريوس'!$F$5:$F$208,'فحص-بيانات-ماجستير'!$F$5:$F$230),$I228)&amp;"")</f>
        <v/>
      </c>
      <c r="D228" s="2" t="str">
        <f>IF($I228="","",INDEX(CHOOSE($J$3,'فحص-حاسب-بكالوريوس'!$H$5:$H$208,'فحص-بيانات-بكالوريوس'!$H$5:$H$208,'فحص-بيانات-ماجستير'!$H$5:$H$230),$I228)&amp;"")</f>
        <v/>
      </c>
      <c r="E228" s="2" t="str">
        <f>IF($I228="","",INDEX(CHOOSE($J$3,'فحص-حاسب-بكالوريوس'!$J$5:$J$208,'فحص-بيانات-بكالوريوس'!$J$5:$J$208,'فحص-بيانات-ماجستير'!$J$5:$J$230),$I228)&amp;"")</f>
        <v/>
      </c>
      <c r="F228" s="2" t="str">
        <f>IF($I228="","",INDEX(CHOOSE($J$3,'فحص-حاسب-بكالوريوس'!$L$5:$L$208,'فحص-بيانات-بكالوريوس'!$L$5:$L$208,'فحص-بيانات-ماجستير'!$L$5:$L$230),$I228)&amp;"")</f>
        <v/>
      </c>
      <c r="G228" s="2" t="str">
        <f>IF($I228="","",INDEX(CHOOSE($J$3,'فحص-حاسب-بكالوريوس'!$M$5:$M$208,'فحص-بيانات-بكالوريوس'!$M$5:$M$208,'فحص-بيانات-ماجستير'!$M$5:$M$230),$I228)&amp;"")</f>
        <v/>
      </c>
      <c r="I228" s="2" t="str">
        <f>IFERROR(MATCH($E$3&amp;"#"&amp;223,CHOOSE($J$3,'فحص-حاسب-بكالوريوس'!$R$5:$R$208,'فحص-بيانات-بكالوريوس'!$R$5:$R$208,'فحص-بيانات-ماجستير'!$R$5:$R$230),0),"")</f>
        <v/>
      </c>
    </row>
    <row r="229" spans="1:9" x14ac:dyDescent="0.2">
      <c r="A229" s="1" t="str">
        <f>IF($I229="","",224)</f>
        <v/>
      </c>
      <c r="B229" s="2" t="str">
        <f>IF($I229="","",INDEX(CHOOSE($J$3,'فحص-حاسب-بكالوريوس'!$A$5:$A$208,'فحص-بيانات-بكالوريوس'!$A$5:$A$208,'فحص-بيانات-ماجستير'!$A$5:$A$230),$I229)&amp;"")</f>
        <v/>
      </c>
      <c r="C229" s="2" t="str">
        <f>IF($I229="","",INDEX(CHOOSE($J$3,'فحص-حاسب-بكالوريوس'!$F$5:$F$208,'فحص-بيانات-بكالوريوس'!$F$5:$F$208,'فحص-بيانات-ماجستير'!$F$5:$F$230),$I229)&amp;"")</f>
        <v/>
      </c>
      <c r="D229" s="2" t="str">
        <f>IF($I229="","",INDEX(CHOOSE($J$3,'فحص-حاسب-بكالوريوس'!$H$5:$H$208,'فحص-بيانات-بكالوريوس'!$H$5:$H$208,'فحص-بيانات-ماجستير'!$H$5:$H$230),$I229)&amp;"")</f>
        <v/>
      </c>
      <c r="E229" s="2" t="str">
        <f>IF($I229="","",INDEX(CHOOSE($J$3,'فحص-حاسب-بكالوريوس'!$J$5:$J$208,'فحص-بيانات-بكالوريوس'!$J$5:$J$208,'فحص-بيانات-ماجستير'!$J$5:$J$230),$I229)&amp;"")</f>
        <v/>
      </c>
      <c r="F229" s="2" t="str">
        <f>IF($I229="","",INDEX(CHOOSE($J$3,'فحص-حاسب-بكالوريوس'!$L$5:$L$208,'فحص-بيانات-بكالوريوس'!$L$5:$L$208,'فحص-بيانات-ماجستير'!$L$5:$L$230),$I229)&amp;"")</f>
        <v/>
      </c>
      <c r="G229" s="2" t="str">
        <f>IF($I229="","",INDEX(CHOOSE($J$3,'فحص-حاسب-بكالوريوس'!$M$5:$M$208,'فحص-بيانات-بكالوريوس'!$M$5:$M$208,'فحص-بيانات-ماجستير'!$M$5:$M$230),$I229)&amp;"")</f>
        <v/>
      </c>
      <c r="I229" s="2" t="str">
        <f>IFERROR(MATCH($E$3&amp;"#"&amp;224,CHOOSE($J$3,'فحص-حاسب-بكالوريوس'!$R$5:$R$208,'فحص-بيانات-بكالوريوس'!$R$5:$R$208,'فحص-بيانات-ماجستير'!$R$5:$R$230),0),"")</f>
        <v/>
      </c>
    </row>
    <row r="230" spans="1:9" x14ac:dyDescent="0.2">
      <c r="A230" s="1" t="str">
        <f>IF($I230="","",225)</f>
        <v/>
      </c>
      <c r="B230" s="2" t="str">
        <f>IF($I230="","",INDEX(CHOOSE($J$3,'فحص-حاسب-بكالوريوس'!$A$5:$A$208,'فحص-بيانات-بكالوريوس'!$A$5:$A$208,'فحص-بيانات-ماجستير'!$A$5:$A$230),$I230)&amp;"")</f>
        <v/>
      </c>
      <c r="C230" s="2" t="str">
        <f>IF($I230="","",INDEX(CHOOSE($J$3,'فحص-حاسب-بكالوريوس'!$F$5:$F$208,'فحص-بيانات-بكالوريوس'!$F$5:$F$208,'فحص-بيانات-ماجستير'!$F$5:$F$230),$I230)&amp;"")</f>
        <v/>
      </c>
      <c r="D230" s="2" t="str">
        <f>IF($I230="","",INDEX(CHOOSE($J$3,'فحص-حاسب-بكالوريوس'!$H$5:$H$208,'فحص-بيانات-بكالوريوس'!$H$5:$H$208,'فحص-بيانات-ماجستير'!$H$5:$H$230),$I230)&amp;"")</f>
        <v/>
      </c>
      <c r="E230" s="2" t="str">
        <f>IF($I230="","",INDEX(CHOOSE($J$3,'فحص-حاسب-بكالوريوس'!$J$5:$J$208,'فحص-بيانات-بكالوريوس'!$J$5:$J$208,'فحص-بيانات-ماجستير'!$J$5:$J$230),$I230)&amp;"")</f>
        <v/>
      </c>
      <c r="F230" s="2" t="str">
        <f>IF($I230="","",INDEX(CHOOSE($J$3,'فحص-حاسب-بكالوريوس'!$L$5:$L$208,'فحص-بيانات-بكالوريوس'!$L$5:$L$208,'فحص-بيانات-ماجستير'!$L$5:$L$230),$I230)&amp;"")</f>
        <v/>
      </c>
      <c r="G230" s="2" t="str">
        <f>IF($I230="","",INDEX(CHOOSE($J$3,'فحص-حاسب-بكالوريوس'!$M$5:$M$208,'فحص-بيانات-بكالوريوس'!$M$5:$M$208,'فحص-بيانات-ماجستير'!$M$5:$M$230),$I230)&amp;"")</f>
        <v/>
      </c>
      <c r="I230" s="2" t="str">
        <f>IFERROR(MATCH($E$3&amp;"#"&amp;225,CHOOSE($J$3,'فحص-حاسب-بكالوريوس'!$R$5:$R$208,'فحص-بيانات-بكالوريوس'!$R$5:$R$208,'فحص-بيانات-ماجستير'!$R$5:$R$230),0),"")</f>
        <v/>
      </c>
    </row>
    <row r="231" spans="1:9" x14ac:dyDescent="0.2">
      <c r="A231" s="1" t="str">
        <f>IF($I231="","",226)</f>
        <v/>
      </c>
      <c r="B231" s="2" t="str">
        <f>IF($I231="","",INDEX(CHOOSE($J$3,'فحص-حاسب-بكالوريوس'!$A$5:$A$208,'فحص-بيانات-بكالوريوس'!$A$5:$A$208,'فحص-بيانات-ماجستير'!$A$5:$A$230),$I231)&amp;"")</f>
        <v/>
      </c>
      <c r="C231" s="2" t="str">
        <f>IF($I231="","",INDEX(CHOOSE($J$3,'فحص-حاسب-بكالوريوس'!$F$5:$F$208,'فحص-بيانات-بكالوريوس'!$F$5:$F$208,'فحص-بيانات-ماجستير'!$F$5:$F$230),$I231)&amp;"")</f>
        <v/>
      </c>
      <c r="D231" s="2" t="str">
        <f>IF($I231="","",INDEX(CHOOSE($J$3,'فحص-حاسب-بكالوريوس'!$H$5:$H$208,'فحص-بيانات-بكالوريوس'!$H$5:$H$208,'فحص-بيانات-ماجستير'!$H$5:$H$230),$I231)&amp;"")</f>
        <v/>
      </c>
      <c r="E231" s="2" t="str">
        <f>IF($I231="","",INDEX(CHOOSE($J$3,'فحص-حاسب-بكالوريوس'!$J$5:$J$208,'فحص-بيانات-بكالوريوس'!$J$5:$J$208,'فحص-بيانات-ماجستير'!$J$5:$J$230),$I231)&amp;"")</f>
        <v/>
      </c>
      <c r="F231" s="2" t="str">
        <f>IF($I231="","",INDEX(CHOOSE($J$3,'فحص-حاسب-بكالوريوس'!$L$5:$L$208,'فحص-بيانات-بكالوريوس'!$L$5:$L$208,'فحص-بيانات-ماجستير'!$L$5:$L$230),$I231)&amp;"")</f>
        <v/>
      </c>
      <c r="G231" s="2" t="str">
        <f>IF($I231="","",INDEX(CHOOSE($J$3,'فحص-حاسب-بكالوريوس'!$M$5:$M$208,'فحص-بيانات-بكالوريوس'!$M$5:$M$208,'فحص-بيانات-ماجستير'!$M$5:$M$230),$I231)&amp;"")</f>
        <v/>
      </c>
      <c r="I231" s="2" t="str">
        <f>IFERROR(MATCH($E$3&amp;"#"&amp;226,CHOOSE($J$3,'فحص-حاسب-بكالوريوس'!$R$5:$R$208,'فحص-بيانات-بكالوريوس'!$R$5:$R$208,'فحص-بيانات-ماجستير'!$R$5:$R$230),0),"")</f>
        <v/>
      </c>
    </row>
    <row r="232" spans="1:9" x14ac:dyDescent="0.2">
      <c r="A232" s="1" t="str">
        <f>IF($I232="","",227)</f>
        <v/>
      </c>
      <c r="B232" s="2" t="str">
        <f>IF($I232="","",INDEX(CHOOSE($J$3,'فحص-حاسب-بكالوريوس'!$A$5:$A$208,'فحص-بيانات-بكالوريوس'!$A$5:$A$208,'فحص-بيانات-ماجستير'!$A$5:$A$230),$I232)&amp;"")</f>
        <v/>
      </c>
      <c r="C232" s="2" t="str">
        <f>IF($I232="","",INDEX(CHOOSE($J$3,'فحص-حاسب-بكالوريوس'!$F$5:$F$208,'فحص-بيانات-بكالوريوس'!$F$5:$F$208,'فحص-بيانات-ماجستير'!$F$5:$F$230),$I232)&amp;"")</f>
        <v/>
      </c>
      <c r="D232" s="2" t="str">
        <f>IF($I232="","",INDEX(CHOOSE($J$3,'فحص-حاسب-بكالوريوس'!$H$5:$H$208,'فحص-بيانات-بكالوريوس'!$H$5:$H$208,'فحص-بيانات-ماجستير'!$H$5:$H$230),$I232)&amp;"")</f>
        <v/>
      </c>
      <c r="E232" s="2" t="str">
        <f>IF($I232="","",INDEX(CHOOSE($J$3,'فحص-حاسب-بكالوريوس'!$J$5:$J$208,'فحص-بيانات-بكالوريوس'!$J$5:$J$208,'فحص-بيانات-ماجستير'!$J$5:$J$230),$I232)&amp;"")</f>
        <v/>
      </c>
      <c r="F232" s="2" t="str">
        <f>IF($I232="","",INDEX(CHOOSE($J$3,'فحص-حاسب-بكالوريوس'!$L$5:$L$208,'فحص-بيانات-بكالوريوس'!$L$5:$L$208,'فحص-بيانات-ماجستير'!$L$5:$L$230),$I232)&amp;"")</f>
        <v/>
      </c>
      <c r="G232" s="2" t="str">
        <f>IF($I232="","",INDEX(CHOOSE($J$3,'فحص-حاسب-بكالوريوس'!$M$5:$M$208,'فحص-بيانات-بكالوريوس'!$M$5:$M$208,'فحص-بيانات-ماجستير'!$M$5:$M$230),$I232)&amp;"")</f>
        <v/>
      </c>
      <c r="I232" s="2" t="str">
        <f>IFERROR(MATCH($E$3&amp;"#"&amp;227,CHOOSE($J$3,'فحص-حاسب-بكالوريوس'!$R$5:$R$208,'فحص-بيانات-بكالوريوس'!$R$5:$R$208,'فحص-بيانات-ماجستير'!$R$5:$R$230),0),"")</f>
        <v/>
      </c>
    </row>
    <row r="233" spans="1:9" x14ac:dyDescent="0.2">
      <c r="A233" s="1" t="str">
        <f>IF($I233="","",228)</f>
        <v/>
      </c>
      <c r="B233" s="2" t="str">
        <f>IF($I233="","",INDEX(CHOOSE($J$3,'فحص-حاسب-بكالوريوس'!$A$5:$A$208,'فحص-بيانات-بكالوريوس'!$A$5:$A$208,'فحص-بيانات-ماجستير'!$A$5:$A$230),$I233)&amp;"")</f>
        <v/>
      </c>
      <c r="C233" s="2" t="str">
        <f>IF($I233="","",INDEX(CHOOSE($J$3,'فحص-حاسب-بكالوريوس'!$F$5:$F$208,'فحص-بيانات-بكالوريوس'!$F$5:$F$208,'فحص-بيانات-ماجستير'!$F$5:$F$230),$I233)&amp;"")</f>
        <v/>
      </c>
      <c r="D233" s="2" t="str">
        <f>IF($I233="","",INDEX(CHOOSE($J$3,'فحص-حاسب-بكالوريوس'!$H$5:$H$208,'فحص-بيانات-بكالوريوس'!$H$5:$H$208,'فحص-بيانات-ماجستير'!$H$5:$H$230),$I233)&amp;"")</f>
        <v/>
      </c>
      <c r="E233" s="2" t="str">
        <f>IF($I233="","",INDEX(CHOOSE($J$3,'فحص-حاسب-بكالوريوس'!$J$5:$J$208,'فحص-بيانات-بكالوريوس'!$J$5:$J$208,'فحص-بيانات-ماجستير'!$J$5:$J$230),$I233)&amp;"")</f>
        <v/>
      </c>
      <c r="F233" s="2" t="str">
        <f>IF($I233="","",INDEX(CHOOSE($J$3,'فحص-حاسب-بكالوريوس'!$L$5:$L$208,'فحص-بيانات-بكالوريوس'!$L$5:$L$208,'فحص-بيانات-ماجستير'!$L$5:$L$230),$I233)&amp;"")</f>
        <v/>
      </c>
      <c r="G233" s="2" t="str">
        <f>IF($I233="","",INDEX(CHOOSE($J$3,'فحص-حاسب-بكالوريوس'!$M$5:$M$208,'فحص-بيانات-بكالوريوس'!$M$5:$M$208,'فحص-بيانات-ماجستير'!$M$5:$M$230),$I233)&amp;"")</f>
        <v/>
      </c>
      <c r="I233" s="2" t="str">
        <f>IFERROR(MATCH($E$3&amp;"#"&amp;228,CHOOSE($J$3,'فحص-حاسب-بكالوريوس'!$R$5:$R$208,'فحص-بيانات-بكالوريوس'!$R$5:$R$208,'فحص-بيانات-ماجستير'!$R$5:$R$230),0),"")</f>
        <v/>
      </c>
    </row>
    <row r="234" spans="1:9" x14ac:dyDescent="0.2">
      <c r="A234" s="1" t="str">
        <f>IF($I234="","",229)</f>
        <v/>
      </c>
      <c r="B234" s="2" t="str">
        <f>IF($I234="","",INDEX(CHOOSE($J$3,'فحص-حاسب-بكالوريوس'!$A$5:$A$208,'فحص-بيانات-بكالوريوس'!$A$5:$A$208,'فحص-بيانات-ماجستير'!$A$5:$A$230),$I234)&amp;"")</f>
        <v/>
      </c>
      <c r="C234" s="2" t="str">
        <f>IF($I234="","",INDEX(CHOOSE($J$3,'فحص-حاسب-بكالوريوس'!$F$5:$F$208,'فحص-بيانات-بكالوريوس'!$F$5:$F$208,'فحص-بيانات-ماجستير'!$F$5:$F$230),$I234)&amp;"")</f>
        <v/>
      </c>
      <c r="D234" s="2" t="str">
        <f>IF($I234="","",INDEX(CHOOSE($J$3,'فحص-حاسب-بكالوريوس'!$H$5:$H$208,'فحص-بيانات-بكالوريوس'!$H$5:$H$208,'فحص-بيانات-ماجستير'!$H$5:$H$230),$I234)&amp;"")</f>
        <v/>
      </c>
      <c r="E234" s="2" t="str">
        <f>IF($I234="","",INDEX(CHOOSE($J$3,'فحص-حاسب-بكالوريوس'!$J$5:$J$208,'فحص-بيانات-بكالوريوس'!$J$5:$J$208,'فحص-بيانات-ماجستير'!$J$5:$J$230),$I234)&amp;"")</f>
        <v/>
      </c>
      <c r="F234" s="2" t="str">
        <f>IF($I234="","",INDEX(CHOOSE($J$3,'فحص-حاسب-بكالوريوس'!$L$5:$L$208,'فحص-بيانات-بكالوريوس'!$L$5:$L$208,'فحص-بيانات-ماجستير'!$L$5:$L$230),$I234)&amp;"")</f>
        <v/>
      </c>
      <c r="G234" s="2" t="str">
        <f>IF($I234="","",INDEX(CHOOSE($J$3,'فحص-حاسب-بكالوريوس'!$M$5:$M$208,'فحص-بيانات-بكالوريوس'!$M$5:$M$208,'فحص-بيانات-ماجستير'!$M$5:$M$230),$I234)&amp;"")</f>
        <v/>
      </c>
      <c r="I234" s="2" t="str">
        <f>IFERROR(MATCH($E$3&amp;"#"&amp;229,CHOOSE($J$3,'فحص-حاسب-بكالوريوس'!$R$5:$R$208,'فحص-بيانات-بكالوريوس'!$R$5:$R$208,'فحص-بيانات-ماجستير'!$R$5:$R$230),0),"")</f>
        <v/>
      </c>
    </row>
    <row r="235" spans="1:9" x14ac:dyDescent="0.2">
      <c r="A235" s="1" t="str">
        <f>IF($I235="","",230)</f>
        <v/>
      </c>
      <c r="B235" s="2" t="str">
        <f>IF($I235="","",INDEX(CHOOSE($J$3,'فحص-حاسب-بكالوريوس'!$A$5:$A$208,'فحص-بيانات-بكالوريوس'!$A$5:$A$208,'فحص-بيانات-ماجستير'!$A$5:$A$230),$I235)&amp;"")</f>
        <v/>
      </c>
      <c r="C235" s="2" t="str">
        <f>IF($I235="","",INDEX(CHOOSE($J$3,'فحص-حاسب-بكالوريوس'!$F$5:$F$208,'فحص-بيانات-بكالوريوس'!$F$5:$F$208,'فحص-بيانات-ماجستير'!$F$5:$F$230),$I235)&amp;"")</f>
        <v/>
      </c>
      <c r="D235" s="2" t="str">
        <f>IF($I235="","",INDEX(CHOOSE($J$3,'فحص-حاسب-بكالوريوس'!$H$5:$H$208,'فحص-بيانات-بكالوريوس'!$H$5:$H$208,'فحص-بيانات-ماجستير'!$H$5:$H$230),$I235)&amp;"")</f>
        <v/>
      </c>
      <c r="E235" s="2" t="str">
        <f>IF($I235="","",INDEX(CHOOSE($J$3,'فحص-حاسب-بكالوريوس'!$J$5:$J$208,'فحص-بيانات-بكالوريوس'!$J$5:$J$208,'فحص-بيانات-ماجستير'!$J$5:$J$230),$I235)&amp;"")</f>
        <v/>
      </c>
      <c r="F235" s="2" t="str">
        <f>IF($I235="","",INDEX(CHOOSE($J$3,'فحص-حاسب-بكالوريوس'!$L$5:$L$208,'فحص-بيانات-بكالوريوس'!$L$5:$L$208,'فحص-بيانات-ماجستير'!$L$5:$L$230),$I235)&amp;"")</f>
        <v/>
      </c>
      <c r="G235" s="2" t="str">
        <f>IF($I235="","",INDEX(CHOOSE($J$3,'فحص-حاسب-بكالوريوس'!$M$5:$M$208,'فحص-بيانات-بكالوريوس'!$M$5:$M$208,'فحص-بيانات-ماجستير'!$M$5:$M$230),$I235)&amp;"")</f>
        <v/>
      </c>
      <c r="I235" s="2" t="str">
        <f>IFERROR(MATCH($E$3&amp;"#"&amp;230,CHOOSE($J$3,'فحص-حاسب-بكالوريوس'!$R$5:$R$208,'فحص-بيانات-بكالوريوس'!$R$5:$R$208,'فحص-بيانات-ماجستير'!$R$5:$R$230),0),"")</f>
        <v/>
      </c>
    </row>
  </sheetData>
  <mergeCells count="3">
    <mergeCell ref="A1:G1"/>
    <mergeCell ref="A2:G2"/>
    <mergeCell ref="B3:C3"/>
  </mergeCells>
  <dataValidations count="1">
    <dataValidation type="list" allowBlank="1" sqref="E3" xr:uid="{00000000-0002-0000-0300-000001000000}">
      <formula1>"متوفر ومكتمل,متوفر ويحتاج تحسين,غير متوفر"</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xr:uid="{00000000-0002-0000-0300-000000000000}">
          <x14:formula1>
            <xm:f>'الإعدادات واللجنة'!$B$5:$B$7</xm:f>
          </x14:formula1>
          <xm:sqref>B3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A06D6-773F-654A-9BE2-CBE5EFB0E9E0}">
  <sheetPr>
    <tabColor rgb="FFC00000"/>
  </sheetPr>
  <dimension ref="A1:F65"/>
  <sheetViews>
    <sheetView rightToLeft="1" topLeftCell="A9" workbookViewId="0">
      <selection activeCell="B18" sqref="B18"/>
    </sheetView>
  </sheetViews>
  <sheetFormatPr baseColWidth="10" defaultColWidth="8.6640625" defaultRowHeight="15" x14ac:dyDescent="0.2"/>
  <cols>
    <col min="1" max="1" width="5" customWidth="1"/>
    <col min="2" max="2" width="32" customWidth="1"/>
    <col min="3" max="3" width="44" customWidth="1"/>
    <col min="4" max="5" width="26" customWidth="1"/>
    <col min="6" max="6" width="36" customWidth="1"/>
  </cols>
  <sheetData>
    <row r="1" spans="1:6" ht="33" customHeight="1" x14ac:dyDescent="0.2">
      <c r="A1" s="98" t="s">
        <v>649</v>
      </c>
      <c r="B1" s="98"/>
      <c r="C1" s="98"/>
      <c r="D1" s="98"/>
      <c r="E1" s="98"/>
      <c r="F1" s="98"/>
    </row>
    <row r="2" spans="1:6" ht="53.25" customHeight="1" x14ac:dyDescent="0.2">
      <c r="A2" s="99" t="s">
        <v>140</v>
      </c>
      <c r="B2" s="99"/>
      <c r="C2" s="99"/>
      <c r="D2" s="99"/>
      <c r="E2" s="99"/>
      <c r="F2" s="99"/>
    </row>
    <row r="3" spans="1:6" ht="26" x14ac:dyDescent="0.55000000000000004">
      <c r="A3" s="26"/>
      <c r="B3" s="26"/>
      <c r="C3" s="26"/>
      <c r="D3" s="26"/>
      <c r="E3" s="26"/>
      <c r="F3" s="26"/>
    </row>
    <row r="4" spans="1:6" ht="26" x14ac:dyDescent="0.2">
      <c r="A4" s="29" t="s">
        <v>69</v>
      </c>
      <c r="B4" s="29" t="s">
        <v>141</v>
      </c>
      <c r="C4" s="29" t="s">
        <v>142</v>
      </c>
      <c r="D4" s="29" t="s">
        <v>143</v>
      </c>
      <c r="E4" s="29" t="s">
        <v>35</v>
      </c>
      <c r="F4" s="29" t="s">
        <v>144</v>
      </c>
    </row>
    <row r="5" spans="1:6" ht="26.75" customHeight="1" x14ac:dyDescent="0.2">
      <c r="A5" s="97" t="s">
        <v>145</v>
      </c>
      <c r="B5" s="97"/>
      <c r="C5" s="97"/>
      <c r="D5" s="97"/>
      <c r="E5" s="97"/>
      <c r="F5" s="97"/>
    </row>
    <row r="6" spans="1:6" ht="56" customHeight="1" x14ac:dyDescent="0.2">
      <c r="A6" s="30">
        <v>1</v>
      </c>
      <c r="B6" s="34" t="s">
        <v>146</v>
      </c>
      <c r="C6" s="31" t="s">
        <v>147</v>
      </c>
      <c r="D6" s="39" t="s">
        <v>148</v>
      </c>
      <c r="E6" s="30" t="str">
        <f>'الإعدادات واللجنة'!$B$12</f>
        <v>د. نهلة بنت سعد القثامي</v>
      </c>
      <c r="F6" s="31" t="s">
        <v>149</v>
      </c>
    </row>
    <row r="7" spans="1:6" ht="56" customHeight="1" x14ac:dyDescent="0.2">
      <c r="A7" s="30">
        <v>2</v>
      </c>
      <c r="B7" s="34" t="s">
        <v>150</v>
      </c>
      <c r="C7" s="31" t="s">
        <v>151</v>
      </c>
      <c r="D7" s="39" t="s">
        <v>152</v>
      </c>
      <c r="E7" s="30" t="s">
        <v>153</v>
      </c>
      <c r="F7" s="31" t="s">
        <v>154</v>
      </c>
    </row>
    <row r="8" spans="1:6" ht="26.75" customHeight="1" x14ac:dyDescent="0.2">
      <c r="A8" s="97" t="s">
        <v>155</v>
      </c>
      <c r="B8" s="97"/>
      <c r="C8" s="97"/>
      <c r="D8" s="97"/>
      <c r="E8" s="97"/>
      <c r="F8" s="97"/>
    </row>
    <row r="9" spans="1:6" ht="56" customHeight="1" x14ac:dyDescent="0.2">
      <c r="A9" s="30">
        <v>3</v>
      </c>
      <c r="B9" s="34" t="s">
        <v>156</v>
      </c>
      <c r="C9" s="31" t="s">
        <v>157</v>
      </c>
      <c r="D9" s="40" t="s">
        <v>158</v>
      </c>
      <c r="E9" s="30" t="str">
        <f>'الإعدادات واللجنة'!$B$13</f>
        <v>د. عبير بنت عبدالله راجحي</v>
      </c>
      <c r="F9" s="31" t="s">
        <v>159</v>
      </c>
    </row>
    <row r="10" spans="1:6" ht="56" customHeight="1" x14ac:dyDescent="0.2">
      <c r="A10" s="30">
        <v>4</v>
      </c>
      <c r="B10" s="34" t="s">
        <v>160</v>
      </c>
      <c r="C10" s="31" t="s">
        <v>161</v>
      </c>
      <c r="D10" s="40" t="s">
        <v>158</v>
      </c>
      <c r="E10" s="30" t="str">
        <f>'الإعدادات واللجنة'!$B$13</f>
        <v>د. عبير بنت عبدالله راجحي</v>
      </c>
      <c r="F10" s="31" t="s">
        <v>162</v>
      </c>
    </row>
    <row r="11" spans="1:6" ht="56" customHeight="1" x14ac:dyDescent="0.2">
      <c r="A11" s="30">
        <v>5</v>
      </c>
      <c r="B11" s="34" t="s">
        <v>163</v>
      </c>
      <c r="C11" s="31" t="s">
        <v>164</v>
      </c>
      <c r="D11" s="40" t="s">
        <v>158</v>
      </c>
      <c r="E11" s="30" t="str">
        <f>'الإعدادات واللجنة'!$B$13</f>
        <v>د. عبير بنت عبدالله راجحي</v>
      </c>
      <c r="F11" s="31" t="s">
        <v>162</v>
      </c>
    </row>
    <row r="12" spans="1:6" ht="56" customHeight="1" x14ac:dyDescent="0.2">
      <c r="A12" s="30">
        <v>6</v>
      </c>
      <c r="B12" s="34" t="s">
        <v>101</v>
      </c>
      <c r="C12" s="31" t="s">
        <v>165</v>
      </c>
      <c r="D12" s="40" t="s">
        <v>158</v>
      </c>
      <c r="E12" s="30" t="str">
        <f>'الإعدادات واللجنة'!$B$13</f>
        <v>د. عبير بنت عبدالله راجحي</v>
      </c>
      <c r="F12" s="31" t="s">
        <v>162</v>
      </c>
    </row>
    <row r="13" spans="1:6" ht="56" customHeight="1" x14ac:dyDescent="0.2">
      <c r="A13" s="30">
        <v>7</v>
      </c>
      <c r="B13" s="34" t="s">
        <v>166</v>
      </c>
      <c r="C13" s="31" t="s">
        <v>167</v>
      </c>
      <c r="D13" s="40" t="s">
        <v>158</v>
      </c>
      <c r="E13" s="30" t="str">
        <f>'الإعدادات واللجنة'!$B$13</f>
        <v>د. عبير بنت عبدالله راجحي</v>
      </c>
      <c r="F13" s="31" t="s">
        <v>162</v>
      </c>
    </row>
    <row r="14" spans="1:6" ht="56" customHeight="1" x14ac:dyDescent="0.2">
      <c r="A14" s="30">
        <v>8</v>
      </c>
      <c r="B14" s="34" t="s">
        <v>168</v>
      </c>
      <c r="C14" s="31" t="s">
        <v>169</v>
      </c>
      <c r="D14" s="41" t="s">
        <v>24</v>
      </c>
      <c r="E14" s="30" t="s">
        <v>153</v>
      </c>
      <c r="F14" s="31" t="s">
        <v>170</v>
      </c>
    </row>
    <row r="15" spans="1:6" ht="26.75" customHeight="1" x14ac:dyDescent="0.2">
      <c r="A15" s="97" t="s">
        <v>171</v>
      </c>
      <c r="B15" s="97"/>
      <c r="C15" s="97"/>
      <c r="D15" s="97"/>
      <c r="E15" s="97"/>
      <c r="F15" s="97"/>
    </row>
    <row r="16" spans="1:6" ht="56" customHeight="1" x14ac:dyDescent="0.2">
      <c r="A16" s="30">
        <v>9</v>
      </c>
      <c r="B16" s="34" t="s">
        <v>172</v>
      </c>
      <c r="C16" s="31" t="s">
        <v>173</v>
      </c>
      <c r="D16" s="42" t="s">
        <v>174</v>
      </c>
      <c r="E16" s="30" t="s">
        <v>175</v>
      </c>
      <c r="F16" s="31" t="s">
        <v>176</v>
      </c>
    </row>
    <row r="17" spans="1:6" ht="56" customHeight="1" x14ac:dyDescent="0.2">
      <c r="A17" s="30">
        <v>10</v>
      </c>
      <c r="B17" s="34" t="s">
        <v>177</v>
      </c>
      <c r="C17" s="31" t="s">
        <v>178</v>
      </c>
      <c r="D17" s="42" t="s">
        <v>179</v>
      </c>
      <c r="E17" s="30" t="str">
        <f>'الإعدادات واللجنة'!$B$20</f>
        <v>د. حسن بن سعد القحطاني</v>
      </c>
      <c r="F17" s="31"/>
    </row>
    <row r="18" spans="1:6" ht="56" customHeight="1" x14ac:dyDescent="0.2">
      <c r="A18" s="30">
        <v>11</v>
      </c>
      <c r="B18" s="34" t="s">
        <v>180</v>
      </c>
      <c r="C18" s="31" t="s">
        <v>181</v>
      </c>
      <c r="D18" s="42" t="s">
        <v>182</v>
      </c>
      <c r="E18" s="30" t="str">
        <f>'الإعدادات واللجنة'!$B$15</f>
        <v>د. سلطان بن سعيد الشمراني</v>
      </c>
      <c r="F18" s="31"/>
    </row>
    <row r="19" spans="1:6" ht="56" customHeight="1" x14ac:dyDescent="0.2">
      <c r="A19" s="30">
        <v>12</v>
      </c>
      <c r="B19" s="34" t="s">
        <v>183</v>
      </c>
      <c r="C19" s="31" t="s">
        <v>184</v>
      </c>
      <c r="D19" s="39" t="s">
        <v>152</v>
      </c>
      <c r="E19" s="30" t="s">
        <v>153</v>
      </c>
      <c r="F19" s="31" t="s">
        <v>185</v>
      </c>
    </row>
    <row r="20" spans="1:6" ht="26" x14ac:dyDescent="0.55000000000000004">
      <c r="A20" s="26"/>
      <c r="B20" s="26"/>
      <c r="C20" s="26"/>
      <c r="D20" s="26"/>
      <c r="E20" s="26"/>
      <c r="F20" s="26"/>
    </row>
    <row r="21" spans="1:6" ht="26" x14ac:dyDescent="0.55000000000000004">
      <c r="A21" s="26"/>
      <c r="B21" s="26"/>
      <c r="C21" s="26"/>
      <c r="D21" s="26"/>
      <c r="E21" s="26"/>
      <c r="F21" s="26"/>
    </row>
    <row r="22" spans="1:6" ht="26" x14ac:dyDescent="0.55000000000000004">
      <c r="A22" s="26"/>
      <c r="B22" s="26"/>
      <c r="C22" s="26"/>
      <c r="D22" s="26"/>
      <c r="E22" s="26"/>
      <c r="F22" s="26"/>
    </row>
    <row r="23" spans="1:6" ht="26" x14ac:dyDescent="0.55000000000000004">
      <c r="A23" s="26"/>
      <c r="B23" s="26"/>
      <c r="C23" s="26"/>
      <c r="D23" s="26"/>
      <c r="E23" s="26"/>
      <c r="F23" s="26"/>
    </row>
    <row r="24" spans="1:6" ht="26" x14ac:dyDescent="0.55000000000000004">
      <c r="A24" s="26"/>
      <c r="B24" s="26"/>
      <c r="C24" s="26"/>
      <c r="D24" s="26"/>
      <c r="E24" s="26"/>
      <c r="F24" s="26"/>
    </row>
    <row r="25" spans="1:6" ht="26" x14ac:dyDescent="0.55000000000000004">
      <c r="A25" s="26"/>
      <c r="B25" s="26"/>
      <c r="C25" s="26"/>
      <c r="D25" s="26"/>
      <c r="E25" s="26"/>
      <c r="F25" s="26"/>
    </row>
    <row r="26" spans="1:6" ht="26" x14ac:dyDescent="0.55000000000000004">
      <c r="A26" s="26"/>
      <c r="B26" s="26"/>
      <c r="C26" s="26"/>
      <c r="D26" s="26"/>
      <c r="E26" s="26"/>
      <c r="F26" s="26"/>
    </row>
    <row r="27" spans="1:6" ht="26" x14ac:dyDescent="0.55000000000000004">
      <c r="A27" s="26"/>
      <c r="B27" s="26"/>
      <c r="C27" s="26"/>
      <c r="D27" s="26"/>
      <c r="E27" s="26"/>
      <c r="F27" s="26"/>
    </row>
    <row r="28" spans="1:6" ht="26" x14ac:dyDescent="0.55000000000000004">
      <c r="A28" s="26"/>
      <c r="B28" s="26"/>
      <c r="C28" s="26"/>
      <c r="D28" s="26"/>
      <c r="E28" s="26"/>
      <c r="F28" s="26"/>
    </row>
    <row r="29" spans="1:6" ht="26" x14ac:dyDescent="0.55000000000000004">
      <c r="A29" s="26"/>
      <c r="B29" s="26"/>
      <c r="C29" s="26"/>
      <c r="D29" s="26"/>
      <c r="E29" s="26"/>
      <c r="F29" s="26"/>
    </row>
    <row r="30" spans="1:6" ht="26" x14ac:dyDescent="0.55000000000000004">
      <c r="A30" s="26"/>
      <c r="B30" s="26"/>
      <c r="C30" s="26"/>
      <c r="D30" s="26"/>
      <c r="E30" s="26"/>
      <c r="F30" s="26"/>
    </row>
    <row r="31" spans="1:6" ht="26" x14ac:dyDescent="0.55000000000000004">
      <c r="A31" s="26"/>
      <c r="B31" s="26"/>
      <c r="C31" s="26"/>
      <c r="D31" s="26"/>
      <c r="E31" s="26"/>
      <c r="F31" s="26"/>
    </row>
    <row r="32" spans="1:6" ht="26" x14ac:dyDescent="0.55000000000000004">
      <c r="A32" s="26"/>
      <c r="B32" s="26"/>
      <c r="C32" s="26"/>
      <c r="D32" s="26"/>
      <c r="E32" s="26"/>
      <c r="F32" s="26"/>
    </row>
    <row r="33" spans="1:6" ht="26" x14ac:dyDescent="0.55000000000000004">
      <c r="A33" s="26"/>
      <c r="B33" s="26"/>
      <c r="C33" s="26"/>
      <c r="D33" s="26"/>
      <c r="E33" s="26"/>
      <c r="F33" s="26"/>
    </row>
    <row r="34" spans="1:6" ht="26" x14ac:dyDescent="0.55000000000000004">
      <c r="A34" s="26"/>
      <c r="B34" s="26"/>
      <c r="C34" s="26"/>
      <c r="D34" s="26"/>
      <c r="E34" s="26"/>
      <c r="F34" s="26"/>
    </row>
    <row r="35" spans="1:6" ht="26" x14ac:dyDescent="0.55000000000000004">
      <c r="A35" s="26"/>
      <c r="B35" s="26"/>
      <c r="C35" s="26"/>
      <c r="D35" s="26"/>
      <c r="E35" s="26"/>
      <c r="F35" s="26"/>
    </row>
    <row r="36" spans="1:6" ht="26" x14ac:dyDescent="0.55000000000000004">
      <c r="A36" s="26"/>
      <c r="B36" s="26"/>
      <c r="C36" s="26"/>
      <c r="D36" s="26"/>
      <c r="E36" s="26"/>
      <c r="F36" s="26"/>
    </row>
    <row r="37" spans="1:6" ht="26" x14ac:dyDescent="0.55000000000000004">
      <c r="A37" s="26"/>
      <c r="B37" s="26"/>
      <c r="C37" s="26"/>
      <c r="D37" s="26"/>
      <c r="E37" s="26"/>
      <c r="F37" s="26"/>
    </row>
    <row r="38" spans="1:6" ht="26" x14ac:dyDescent="0.55000000000000004">
      <c r="A38" s="26"/>
      <c r="B38" s="26"/>
      <c r="C38" s="26"/>
      <c r="D38" s="26"/>
      <c r="E38" s="26"/>
      <c r="F38" s="26"/>
    </row>
    <row r="39" spans="1:6" ht="26" x14ac:dyDescent="0.55000000000000004">
      <c r="A39" s="26"/>
      <c r="B39" s="26"/>
      <c r="C39" s="26"/>
      <c r="D39" s="26"/>
      <c r="E39" s="26"/>
      <c r="F39" s="26"/>
    </row>
    <row r="40" spans="1:6" ht="26" x14ac:dyDescent="0.55000000000000004">
      <c r="A40" s="26"/>
      <c r="B40" s="26"/>
      <c r="C40" s="26"/>
      <c r="D40" s="26"/>
      <c r="E40" s="26"/>
      <c r="F40" s="26"/>
    </row>
    <row r="41" spans="1:6" ht="26" x14ac:dyDescent="0.55000000000000004">
      <c r="A41" s="26"/>
      <c r="B41" s="26"/>
      <c r="C41" s="26"/>
      <c r="D41" s="26"/>
      <c r="E41" s="26"/>
      <c r="F41" s="26"/>
    </row>
    <row r="42" spans="1:6" ht="26" x14ac:dyDescent="0.55000000000000004">
      <c r="A42" s="26"/>
      <c r="B42" s="26"/>
      <c r="C42" s="26"/>
      <c r="D42" s="26"/>
      <c r="E42" s="26"/>
      <c r="F42" s="26"/>
    </row>
    <row r="43" spans="1:6" ht="26" x14ac:dyDescent="0.55000000000000004">
      <c r="A43" s="26"/>
      <c r="B43" s="26"/>
      <c r="C43" s="26"/>
      <c r="D43" s="26"/>
      <c r="E43" s="26"/>
      <c r="F43" s="26"/>
    </row>
    <row r="44" spans="1:6" ht="26" x14ac:dyDescent="0.55000000000000004">
      <c r="A44" s="26"/>
      <c r="B44" s="26"/>
      <c r="C44" s="26"/>
      <c r="D44" s="26"/>
      <c r="E44" s="26"/>
      <c r="F44" s="26"/>
    </row>
    <row r="45" spans="1:6" ht="26" x14ac:dyDescent="0.55000000000000004">
      <c r="A45" s="26"/>
      <c r="B45" s="26"/>
      <c r="C45" s="26"/>
      <c r="D45" s="26"/>
      <c r="E45" s="26"/>
      <c r="F45" s="26"/>
    </row>
    <row r="46" spans="1:6" ht="26" x14ac:dyDescent="0.55000000000000004">
      <c r="A46" s="26"/>
      <c r="B46" s="26"/>
      <c r="C46" s="26"/>
      <c r="D46" s="26"/>
      <c r="E46" s="26"/>
      <c r="F46" s="26"/>
    </row>
    <row r="47" spans="1:6" ht="26" x14ac:dyDescent="0.55000000000000004">
      <c r="A47" s="26"/>
      <c r="B47" s="26"/>
      <c r="C47" s="26"/>
      <c r="D47" s="26"/>
      <c r="E47" s="26"/>
      <c r="F47" s="26"/>
    </row>
    <row r="48" spans="1:6" ht="26" x14ac:dyDescent="0.55000000000000004">
      <c r="A48" s="26"/>
      <c r="B48" s="26"/>
      <c r="C48" s="26"/>
      <c r="D48" s="26"/>
      <c r="E48" s="26"/>
      <c r="F48" s="26"/>
    </row>
    <row r="49" spans="1:6" ht="26" x14ac:dyDescent="0.55000000000000004">
      <c r="A49" s="26"/>
      <c r="B49" s="26"/>
      <c r="C49" s="26"/>
      <c r="D49" s="26"/>
      <c r="E49" s="26"/>
      <c r="F49" s="26"/>
    </row>
    <row r="50" spans="1:6" ht="26" x14ac:dyDescent="0.55000000000000004">
      <c r="A50" s="26"/>
      <c r="B50" s="26"/>
      <c r="C50" s="26"/>
      <c r="D50" s="26"/>
      <c r="E50" s="26"/>
      <c r="F50" s="26"/>
    </row>
    <row r="51" spans="1:6" ht="26" x14ac:dyDescent="0.55000000000000004">
      <c r="A51" s="26"/>
      <c r="B51" s="26"/>
      <c r="C51" s="26"/>
      <c r="D51" s="26"/>
      <c r="E51" s="26"/>
      <c r="F51" s="26"/>
    </row>
    <row r="52" spans="1:6" ht="26" x14ac:dyDescent="0.55000000000000004">
      <c r="A52" s="26"/>
      <c r="B52" s="26"/>
      <c r="C52" s="26"/>
      <c r="D52" s="26"/>
      <c r="E52" s="26"/>
      <c r="F52" s="26"/>
    </row>
    <row r="53" spans="1:6" ht="26" x14ac:dyDescent="0.55000000000000004">
      <c r="A53" s="26"/>
      <c r="B53" s="26"/>
      <c r="C53" s="26"/>
      <c r="D53" s="26"/>
      <c r="E53" s="26"/>
      <c r="F53" s="26"/>
    </row>
    <row r="54" spans="1:6" ht="26" x14ac:dyDescent="0.55000000000000004">
      <c r="A54" s="26"/>
      <c r="B54" s="26"/>
      <c r="C54" s="26"/>
      <c r="D54" s="26"/>
      <c r="E54" s="26"/>
      <c r="F54" s="26"/>
    </row>
    <row r="55" spans="1:6" ht="26" x14ac:dyDescent="0.55000000000000004">
      <c r="A55" s="26"/>
      <c r="B55" s="26"/>
      <c r="C55" s="26"/>
      <c r="D55" s="26"/>
      <c r="E55" s="26"/>
      <c r="F55" s="26"/>
    </row>
    <row r="56" spans="1:6" ht="26" x14ac:dyDescent="0.55000000000000004">
      <c r="A56" s="26"/>
      <c r="B56" s="26"/>
      <c r="C56" s="26"/>
      <c r="D56" s="26"/>
      <c r="E56" s="26"/>
      <c r="F56" s="26"/>
    </row>
    <row r="57" spans="1:6" ht="26" x14ac:dyDescent="0.55000000000000004">
      <c r="A57" s="26"/>
      <c r="B57" s="26"/>
      <c r="C57" s="26"/>
      <c r="D57" s="26"/>
      <c r="E57" s="26"/>
      <c r="F57" s="26"/>
    </row>
    <row r="58" spans="1:6" ht="26" x14ac:dyDescent="0.55000000000000004">
      <c r="A58" s="26"/>
      <c r="B58" s="26"/>
      <c r="C58" s="26"/>
      <c r="D58" s="26"/>
      <c r="E58" s="26"/>
      <c r="F58" s="26"/>
    </row>
    <row r="59" spans="1:6" ht="26" x14ac:dyDescent="0.55000000000000004">
      <c r="A59" s="26"/>
      <c r="B59" s="26"/>
      <c r="C59" s="26"/>
      <c r="D59" s="26"/>
      <c r="E59" s="26"/>
      <c r="F59" s="26"/>
    </row>
    <row r="60" spans="1:6" ht="26" x14ac:dyDescent="0.55000000000000004">
      <c r="A60" s="26"/>
      <c r="B60" s="26"/>
      <c r="C60" s="26"/>
      <c r="D60" s="26"/>
      <c r="E60" s="26"/>
      <c r="F60" s="26"/>
    </row>
    <row r="61" spans="1:6" ht="26" x14ac:dyDescent="0.55000000000000004">
      <c r="A61" s="26"/>
      <c r="B61" s="26"/>
      <c r="C61" s="26"/>
      <c r="D61" s="26"/>
      <c r="E61" s="26"/>
      <c r="F61" s="26"/>
    </row>
    <row r="62" spans="1:6" ht="26" x14ac:dyDescent="0.55000000000000004">
      <c r="A62" s="26"/>
      <c r="B62" s="26"/>
      <c r="C62" s="26"/>
      <c r="D62" s="26"/>
      <c r="E62" s="26"/>
      <c r="F62" s="26"/>
    </row>
    <row r="63" spans="1:6" ht="26" x14ac:dyDescent="0.55000000000000004">
      <c r="A63" s="26"/>
      <c r="B63" s="26"/>
      <c r="C63" s="26"/>
      <c r="D63" s="26"/>
      <c r="E63" s="26"/>
      <c r="F63" s="26"/>
    </row>
    <row r="64" spans="1:6" ht="26" x14ac:dyDescent="0.55000000000000004">
      <c r="A64" s="26"/>
      <c r="B64" s="26"/>
      <c r="C64" s="26"/>
      <c r="D64" s="26"/>
      <c r="E64" s="26"/>
      <c r="F64" s="26"/>
    </row>
    <row r="65" spans="1:6" ht="26" x14ac:dyDescent="0.55000000000000004">
      <c r="A65" s="26"/>
      <c r="B65" s="26"/>
      <c r="C65" s="26"/>
      <c r="D65" s="26"/>
      <c r="E65" s="26"/>
      <c r="F65" s="26"/>
    </row>
  </sheetData>
  <mergeCells count="5">
    <mergeCell ref="A1:F1"/>
    <mergeCell ref="A2:F2"/>
    <mergeCell ref="A5:F5"/>
    <mergeCell ref="A8:F8"/>
    <mergeCell ref="A15:F15"/>
  </mergeCells>
  <pageMargins left="0.7" right="0.7" top="0.75" bottom="0.75" header="0.3" footer="0.3"/>
  <headerFooter>
    <oddFooter xml:space="preserve">&amp;L_x000D_&amp;1#&amp;"Aptos"&amp;10&amp;K000000 Restricted - مقيد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02BB4-BDFA-AD44-B227-471B689DE6C8}">
  <sheetPr>
    <tabColor rgb="FF548235"/>
  </sheetPr>
  <dimension ref="A1:H15"/>
  <sheetViews>
    <sheetView rightToLeft="1" workbookViewId="0">
      <selection activeCell="A1" sqref="A1"/>
    </sheetView>
  </sheetViews>
  <sheetFormatPr baseColWidth="10" defaultColWidth="8.83203125" defaultRowHeight="15" x14ac:dyDescent="0.2"/>
  <cols>
    <col min="1" max="1" width="18" customWidth="1"/>
    <col min="2" max="2" width="26" customWidth="1"/>
    <col min="3" max="3" width="38" customWidth="1"/>
    <col min="4" max="4" width="40" customWidth="1"/>
    <col min="5" max="5" width="13" customWidth="1"/>
    <col min="6" max="6" width="38" customWidth="1"/>
    <col min="7" max="7" width="17" customWidth="1"/>
    <col min="8" max="8" width="10" customWidth="1"/>
  </cols>
  <sheetData>
    <row r="1" spans="1:8" ht="30" customHeight="1" x14ac:dyDescent="0.2">
      <c r="A1" s="104" t="s">
        <v>594</v>
      </c>
      <c r="B1" s="105"/>
      <c r="C1" s="105"/>
      <c r="D1" s="105"/>
      <c r="E1" s="105"/>
      <c r="F1" s="105"/>
      <c r="G1" s="105"/>
      <c r="H1" s="105"/>
    </row>
    <row r="2" spans="1:8" ht="46" customHeight="1" x14ac:dyDescent="0.2">
      <c r="A2" s="106" t="s">
        <v>595</v>
      </c>
      <c r="B2" s="105"/>
      <c r="C2" s="105"/>
      <c r="D2" s="105"/>
      <c r="E2" s="105"/>
      <c r="F2" s="105"/>
      <c r="G2" s="105"/>
      <c r="H2" s="105"/>
    </row>
    <row r="4" spans="1:8" ht="30" customHeight="1" x14ac:dyDescent="0.2">
      <c r="A4" s="5" t="s">
        <v>191</v>
      </c>
      <c r="B4" s="5" t="s">
        <v>596</v>
      </c>
      <c r="C4" s="5" t="s">
        <v>593</v>
      </c>
      <c r="D4" s="5" t="s">
        <v>597</v>
      </c>
      <c r="E4" s="5" t="s">
        <v>139</v>
      </c>
      <c r="F4" s="5" t="s">
        <v>193</v>
      </c>
      <c r="G4" s="5" t="s">
        <v>194</v>
      </c>
      <c r="H4" s="5" t="s">
        <v>192</v>
      </c>
    </row>
    <row r="5" spans="1:8" ht="48" customHeight="1" x14ac:dyDescent="0.2">
      <c r="A5" s="1" t="s">
        <v>598</v>
      </c>
      <c r="B5" s="2" t="s">
        <v>599</v>
      </c>
      <c r="C5" s="2" t="s">
        <v>600</v>
      </c>
      <c r="D5" s="2" t="s">
        <v>601</v>
      </c>
      <c r="E5" s="2" t="s">
        <v>153</v>
      </c>
      <c r="F5" s="2" t="s">
        <v>153</v>
      </c>
      <c r="G5" s="2" t="s">
        <v>153</v>
      </c>
      <c r="H5" s="2" t="s">
        <v>153</v>
      </c>
    </row>
    <row r="6" spans="1:8" ht="48" customHeight="1" x14ac:dyDescent="0.2">
      <c r="A6" s="1" t="s">
        <v>598</v>
      </c>
      <c r="B6" s="2" t="s">
        <v>602</v>
      </c>
      <c r="C6" s="2" t="s">
        <v>603</v>
      </c>
      <c r="D6" s="2" t="s">
        <v>604</v>
      </c>
      <c r="E6" s="2" t="s">
        <v>153</v>
      </c>
      <c r="F6" s="2" t="s">
        <v>153</v>
      </c>
      <c r="G6" s="2" t="s">
        <v>153</v>
      </c>
      <c r="H6" s="2" t="s">
        <v>153</v>
      </c>
    </row>
    <row r="7" spans="1:8" ht="48" customHeight="1" x14ac:dyDescent="0.2">
      <c r="A7" s="1" t="s">
        <v>605</v>
      </c>
      <c r="B7" s="2" t="s">
        <v>599</v>
      </c>
      <c r="C7" s="2" t="s">
        <v>606</v>
      </c>
      <c r="D7" s="2" t="s">
        <v>607</v>
      </c>
      <c r="E7" s="2" t="s">
        <v>588</v>
      </c>
      <c r="F7" s="2" t="s">
        <v>608</v>
      </c>
      <c r="G7" s="2" t="s">
        <v>609</v>
      </c>
      <c r="H7" s="2" t="s">
        <v>610</v>
      </c>
    </row>
    <row r="8" spans="1:8" ht="48" customHeight="1" x14ac:dyDescent="0.2">
      <c r="A8" s="1" t="s">
        <v>605</v>
      </c>
      <c r="B8" s="2" t="s">
        <v>611</v>
      </c>
      <c r="C8" s="2" t="s">
        <v>612</v>
      </c>
      <c r="D8" s="2" t="s">
        <v>613</v>
      </c>
      <c r="E8" s="2" t="s">
        <v>588</v>
      </c>
      <c r="F8" s="2" t="s">
        <v>614</v>
      </c>
      <c r="G8" s="2" t="s">
        <v>609</v>
      </c>
      <c r="H8" s="2" t="s">
        <v>610</v>
      </c>
    </row>
    <row r="9" spans="1:8" ht="48" customHeight="1" x14ac:dyDescent="0.2">
      <c r="A9" s="1" t="s">
        <v>605</v>
      </c>
      <c r="B9" s="2" t="s">
        <v>615</v>
      </c>
      <c r="C9" s="2" t="s">
        <v>616</v>
      </c>
      <c r="D9" s="2" t="s">
        <v>617</v>
      </c>
      <c r="E9" s="2" t="s">
        <v>589</v>
      </c>
      <c r="F9" s="2" t="s">
        <v>618</v>
      </c>
      <c r="G9" s="2" t="s">
        <v>619</v>
      </c>
      <c r="H9" s="2" t="s">
        <v>620</v>
      </c>
    </row>
    <row r="10" spans="1:8" ht="48" customHeight="1" x14ac:dyDescent="0.2">
      <c r="A10" s="1" t="s">
        <v>605</v>
      </c>
      <c r="B10" s="2" t="s">
        <v>621</v>
      </c>
      <c r="C10" s="2" t="s">
        <v>622</v>
      </c>
      <c r="D10" s="2" t="s">
        <v>623</v>
      </c>
      <c r="E10" s="2" t="s">
        <v>589</v>
      </c>
      <c r="F10" s="2" t="s">
        <v>624</v>
      </c>
      <c r="G10" s="2" t="s">
        <v>619</v>
      </c>
      <c r="H10" s="2" t="s">
        <v>620</v>
      </c>
    </row>
    <row r="11" spans="1:8" ht="48" customHeight="1" x14ac:dyDescent="0.2">
      <c r="A11" s="1" t="s">
        <v>120</v>
      </c>
      <c r="B11" s="2" t="s">
        <v>625</v>
      </c>
      <c r="C11" s="2" t="s">
        <v>626</v>
      </c>
      <c r="D11" s="2" t="s">
        <v>627</v>
      </c>
      <c r="E11" s="2" t="s">
        <v>588</v>
      </c>
      <c r="F11" s="2" t="s">
        <v>628</v>
      </c>
      <c r="G11" s="2" t="s">
        <v>609</v>
      </c>
      <c r="H11" s="2" t="s">
        <v>620</v>
      </c>
    </row>
    <row r="12" spans="1:8" ht="48" customHeight="1" x14ac:dyDescent="0.2">
      <c r="A12" s="1" t="s">
        <v>120</v>
      </c>
      <c r="B12" s="2" t="s">
        <v>629</v>
      </c>
      <c r="C12" s="2" t="s">
        <v>630</v>
      </c>
      <c r="D12" s="2" t="s">
        <v>631</v>
      </c>
      <c r="E12" s="2" t="s">
        <v>588</v>
      </c>
      <c r="F12" s="2" t="s">
        <v>632</v>
      </c>
      <c r="G12" s="2" t="s">
        <v>609</v>
      </c>
      <c r="H12" s="2" t="s">
        <v>620</v>
      </c>
    </row>
    <row r="13" spans="1:8" ht="48" customHeight="1" x14ac:dyDescent="0.2">
      <c r="A13" s="1" t="s">
        <v>120</v>
      </c>
      <c r="B13" s="2" t="s">
        <v>629</v>
      </c>
      <c r="C13" s="2" t="s">
        <v>633</v>
      </c>
      <c r="D13" s="2" t="s">
        <v>634</v>
      </c>
      <c r="E13" s="2" t="s">
        <v>589</v>
      </c>
      <c r="F13" s="2" t="s">
        <v>635</v>
      </c>
      <c r="G13" s="2" t="s">
        <v>619</v>
      </c>
      <c r="H13" s="2" t="s">
        <v>620</v>
      </c>
    </row>
    <row r="14" spans="1:8" ht="48" customHeight="1" x14ac:dyDescent="0.2">
      <c r="A14" s="1" t="s">
        <v>120</v>
      </c>
      <c r="B14" s="2" t="s">
        <v>636</v>
      </c>
      <c r="C14" s="2" t="s">
        <v>637</v>
      </c>
      <c r="D14" s="2" t="s">
        <v>638</v>
      </c>
      <c r="E14" s="2" t="s">
        <v>589</v>
      </c>
      <c r="F14" s="2" t="s">
        <v>639</v>
      </c>
      <c r="G14" s="2" t="s">
        <v>640</v>
      </c>
      <c r="H14" s="2" t="s">
        <v>620</v>
      </c>
    </row>
    <row r="15" spans="1:8" ht="48" customHeight="1" x14ac:dyDescent="0.2">
      <c r="A15" s="1" t="s">
        <v>641</v>
      </c>
      <c r="B15" s="2" t="s">
        <v>599</v>
      </c>
      <c r="C15" s="2" t="s">
        <v>642</v>
      </c>
      <c r="D15" s="2" t="s">
        <v>643</v>
      </c>
      <c r="E15" s="2" t="s">
        <v>153</v>
      </c>
      <c r="F15" s="2" t="s">
        <v>644</v>
      </c>
      <c r="G15" s="2" t="s">
        <v>153</v>
      </c>
      <c r="H15" s="2" t="s">
        <v>153</v>
      </c>
    </row>
  </sheetData>
  <mergeCells count="2">
    <mergeCell ref="A1:H1"/>
    <mergeCell ref="A2:H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BEB1F6-92DE-B64A-9273-D3BCD9982A86}">
  <sheetPr filterMode="1">
    <tabColor rgb="FF8EA9DB"/>
  </sheetPr>
  <dimension ref="A1:R208"/>
  <sheetViews>
    <sheetView rightToLeft="1" workbookViewId="0">
      <pane xSplit="6" ySplit="4" topLeftCell="H5" activePane="bottomRight" state="frozen"/>
      <selection pane="topRight"/>
      <selection pane="bottomLeft"/>
      <selection pane="bottomRight" activeCell="L13" sqref="L13"/>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واللجنة'!$B$5</f>
        <v>فحص الأدلة – بكالوريوس علوم الحاسب</v>
      </c>
      <c r="B1" s="107"/>
      <c r="C1" s="107"/>
      <c r="D1" s="107"/>
      <c r="E1" s="107"/>
      <c r="F1" s="107"/>
      <c r="G1" s="107"/>
      <c r="H1" s="107"/>
    </row>
    <row r="2" spans="1:18" ht="15" customHeight="1" x14ac:dyDescent="0.2">
      <c r="A2" s="108"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29"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s">
        <v>202</v>
      </c>
      <c r="H5" s="46" t="str">
        <f>IFERROR(INDEX('الإعدادات واللجنة'!$C$24:$C$32,MATCH(LEFT(A5,3),'الإعدادات واللجنة'!$A$24:$A$32,0)),"")</f>
        <v>د. سلطان بن سعيد الشمراني</v>
      </c>
      <c r="I5" s="38" t="s">
        <v>605</v>
      </c>
      <c r="J5" s="38" t="s">
        <v>588</v>
      </c>
      <c r="K5" s="46" t="str">
        <f t="shared" ref="K5:K68" si="0">IF(OR(I5="",I5="متوفر ومكتمل"),"",IF(OR(D5="★",I5="غير متوفر"),"عالية","متوسطة"))</f>
        <v>متوسطة</v>
      </c>
      <c r="L5" s="48" t="s">
        <v>650</v>
      </c>
      <c r="M5" s="38"/>
      <c r="N5" s="48"/>
      <c r="O5" s="48"/>
      <c r="P5" s="38"/>
      <c r="Q5" s="48"/>
      <c r="R5" s="26" t="str">
        <f>IF($I5="","",$I5&amp;"#"&amp;COUNTIF($I$5:$I5,$I5))</f>
        <v>متوفر ويحتاج تحسين#1</v>
      </c>
    </row>
    <row r="6" spans="1:18" ht="44" x14ac:dyDescent="0.55000000000000004">
      <c r="A6" s="46" t="s">
        <v>199</v>
      </c>
      <c r="B6" s="63" t="s">
        <v>125</v>
      </c>
      <c r="C6" s="44"/>
      <c r="D6" s="45"/>
      <c r="E6" s="46">
        <v>2</v>
      </c>
      <c r="F6" s="44" t="s">
        <v>203</v>
      </c>
      <c r="G6" s="47" t="s">
        <v>202</v>
      </c>
      <c r="H6" s="46" t="str">
        <f>IFERROR(INDEX('الإعدادات واللجنة'!$C$24:$C$32,MATCH(LEFT(A6,3),'الإعدادات واللجنة'!$A$24:$A$32,0)),"")</f>
        <v>د. سلطان بن سعيد الشمراني</v>
      </c>
      <c r="I6" s="38" t="s">
        <v>598</v>
      </c>
      <c r="J6" s="38"/>
      <c r="K6" s="46" t="str">
        <f t="shared" si="0"/>
        <v/>
      </c>
      <c r="L6" s="48"/>
      <c r="M6" s="38"/>
      <c r="N6" s="48"/>
      <c r="O6" s="48"/>
      <c r="P6" s="38"/>
      <c r="Q6" s="48"/>
      <c r="R6" s="26" t="str">
        <f>IF($I6="","",$I6&amp;"#"&amp;COUNTIF($I$5:$I6,$I6))</f>
        <v>متوفر ومكتمل#1</v>
      </c>
    </row>
    <row r="7" spans="1:18" ht="44" x14ac:dyDescent="0.55000000000000004">
      <c r="A7" s="46" t="s">
        <v>199</v>
      </c>
      <c r="B7" s="63" t="s">
        <v>125</v>
      </c>
      <c r="C7" s="44"/>
      <c r="D7" s="45"/>
      <c r="E7" s="46">
        <v>3</v>
      </c>
      <c r="F7" s="44" t="s">
        <v>204</v>
      </c>
      <c r="G7" s="47" t="s">
        <v>202</v>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s">
        <v>202</v>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s">
        <v>202</v>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s">
        <v>202</v>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s">
        <v>202</v>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s">
        <v>202</v>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s">
        <v>202</v>
      </c>
      <c r="H13" s="46" t="str">
        <f>IFERROR(INDEX('الإعدادات واللجنة'!$C$24:$C$32,MATCH(LEFT(A13,3),'الإعدادات واللجنة'!$A$24:$A$32,0)),"")</f>
        <v>د. سلطان بن سعيد الشمراني</v>
      </c>
      <c r="I13" s="38" t="s">
        <v>120</v>
      </c>
      <c r="J13" s="38" t="s">
        <v>589</v>
      </c>
      <c r="K13" s="46" t="str">
        <f t="shared" si="0"/>
        <v>عالية</v>
      </c>
      <c r="L13" s="48"/>
      <c r="M13" s="38"/>
      <c r="N13" s="48"/>
      <c r="O13" s="48"/>
      <c r="P13" s="38"/>
      <c r="Q13" s="48"/>
      <c r="R13" s="26" t="str">
        <f>IF($I13="","",$I13&amp;"#"&amp;COUNTIF($I$5:$I13,$I13))</f>
        <v>غير متوفر#1</v>
      </c>
    </row>
    <row r="14" spans="1:18" ht="44" x14ac:dyDescent="0.55000000000000004">
      <c r="A14" s="60" t="s">
        <v>214</v>
      </c>
      <c r="B14" s="66" t="s">
        <v>125</v>
      </c>
      <c r="C14" s="61" t="s">
        <v>215</v>
      </c>
      <c r="D14" s="62"/>
      <c r="E14" s="54">
        <v>1</v>
      </c>
      <c r="F14" s="61" t="s">
        <v>216</v>
      </c>
      <c r="G14" s="53" t="s">
        <v>202</v>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s">
        <v>202</v>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s">
        <v>202</v>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s">
        <v>202</v>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s">
        <v>202</v>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s">
        <v>202</v>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s">
        <v>202</v>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s">
        <v>202</v>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s">
        <v>202</v>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s">
        <v>202</v>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s">
        <v>202</v>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s">
        <v>202</v>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s">
        <v>202</v>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s">
        <v>202</v>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s">
        <v>202</v>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s">
        <v>202</v>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s">
        <v>202</v>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s">
        <v>202</v>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s">
        <v>202</v>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s">
        <v>202</v>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s">
        <v>202</v>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s">
        <v>202</v>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s">
        <v>202</v>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s">
        <v>202</v>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s">
        <v>202</v>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s">
        <v>202</v>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s">
        <v>202</v>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s">
        <v>202</v>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s">
        <v>202</v>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s">
        <v>202</v>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hidden="1" x14ac:dyDescent="0.55000000000000004">
      <c r="A44" s="60" t="s">
        <v>258</v>
      </c>
      <c r="B44" s="66" t="s">
        <v>125</v>
      </c>
      <c r="C44" s="61" t="s">
        <v>259</v>
      </c>
      <c r="D44" s="62"/>
      <c r="E44" s="54">
        <v>1</v>
      </c>
      <c r="F44" s="61" t="s">
        <v>260</v>
      </c>
      <c r="G44" s="53" t="s">
        <v>202</v>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hidden="1" x14ac:dyDescent="0.55000000000000004">
      <c r="A45" s="46" t="s">
        <v>258</v>
      </c>
      <c r="B45" s="63" t="s">
        <v>125</v>
      </c>
      <c r="C45" s="44"/>
      <c r="D45" s="45"/>
      <c r="E45" s="46">
        <v>2</v>
      </c>
      <c r="F45" s="44" t="s">
        <v>261</v>
      </c>
      <c r="G45" s="47" t="s">
        <v>202</v>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hidden="1" x14ac:dyDescent="0.55000000000000004">
      <c r="A46" s="46" t="s">
        <v>258</v>
      </c>
      <c r="B46" s="63" t="s">
        <v>125</v>
      </c>
      <c r="C46" s="44"/>
      <c r="D46" s="45"/>
      <c r="E46" s="46">
        <v>3</v>
      </c>
      <c r="F46" s="44" t="s">
        <v>262</v>
      </c>
      <c r="G46" s="47" t="s">
        <v>202</v>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hidden="1" x14ac:dyDescent="0.55000000000000004">
      <c r="A47" s="46" t="s">
        <v>258</v>
      </c>
      <c r="B47" s="63" t="s">
        <v>125</v>
      </c>
      <c r="C47" s="44"/>
      <c r="D47" s="45"/>
      <c r="E47" s="46">
        <v>4</v>
      </c>
      <c r="F47" s="44" t="s">
        <v>263</v>
      </c>
      <c r="G47" s="47" t="s">
        <v>202</v>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hidden="1" x14ac:dyDescent="0.55000000000000004">
      <c r="A48" s="49" t="s">
        <v>264</v>
      </c>
      <c r="B48" s="64" t="s">
        <v>125</v>
      </c>
      <c r="C48" s="50" t="s">
        <v>265</v>
      </c>
      <c r="D48" s="51" t="s">
        <v>208</v>
      </c>
      <c r="E48" s="52">
        <v>1</v>
      </c>
      <c r="F48" s="50" t="s">
        <v>266</v>
      </c>
      <c r="G48" s="53" t="s">
        <v>202</v>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hidden="1" x14ac:dyDescent="0.55000000000000004">
      <c r="A49" s="57" t="s">
        <v>264</v>
      </c>
      <c r="B49" s="65" t="s">
        <v>125</v>
      </c>
      <c r="C49" s="58"/>
      <c r="D49" s="59" t="s">
        <v>208</v>
      </c>
      <c r="E49" s="57">
        <v>2</v>
      </c>
      <c r="F49" s="58" t="s">
        <v>267</v>
      </c>
      <c r="G49" s="47" t="s">
        <v>202</v>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hidden="1" x14ac:dyDescent="0.55000000000000004">
      <c r="A50" s="57" t="s">
        <v>264</v>
      </c>
      <c r="B50" s="65" t="s">
        <v>125</v>
      </c>
      <c r="C50" s="58"/>
      <c r="D50" s="59" t="s">
        <v>208</v>
      </c>
      <c r="E50" s="57">
        <v>3</v>
      </c>
      <c r="F50" s="58" t="s">
        <v>268</v>
      </c>
      <c r="G50" s="47" t="s">
        <v>202</v>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hidden="1" x14ac:dyDescent="0.55000000000000004">
      <c r="A51" s="60" t="s">
        <v>269</v>
      </c>
      <c r="B51" s="66" t="s">
        <v>125</v>
      </c>
      <c r="C51" s="61" t="s">
        <v>270</v>
      </c>
      <c r="D51" s="62"/>
      <c r="E51" s="54">
        <v>1</v>
      </c>
      <c r="F51" s="61" t="s">
        <v>271</v>
      </c>
      <c r="G51" s="53" t="s">
        <v>202</v>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hidden="1" x14ac:dyDescent="0.55000000000000004">
      <c r="A52" s="46" t="s">
        <v>269</v>
      </c>
      <c r="B52" s="63" t="s">
        <v>125</v>
      </c>
      <c r="C52" s="44"/>
      <c r="D52" s="45"/>
      <c r="E52" s="46">
        <v>2</v>
      </c>
      <c r="F52" s="44" t="s">
        <v>272</v>
      </c>
      <c r="G52" s="47" t="s">
        <v>202</v>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hidden="1" x14ac:dyDescent="0.55000000000000004">
      <c r="A53" s="46" t="s">
        <v>269</v>
      </c>
      <c r="B53" s="63" t="s">
        <v>125</v>
      </c>
      <c r="C53" s="44"/>
      <c r="D53" s="45"/>
      <c r="E53" s="46">
        <v>3</v>
      </c>
      <c r="F53" s="44" t="s">
        <v>273</v>
      </c>
      <c r="G53" s="47" t="s">
        <v>202</v>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hidden="1" x14ac:dyDescent="0.55000000000000004">
      <c r="A54" s="46" t="s">
        <v>269</v>
      </c>
      <c r="B54" s="63" t="s">
        <v>125</v>
      </c>
      <c r="C54" s="44"/>
      <c r="D54" s="45"/>
      <c r="E54" s="46">
        <v>4</v>
      </c>
      <c r="F54" s="44" t="s">
        <v>274</v>
      </c>
      <c r="G54" s="47" t="s">
        <v>202</v>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hidden="1" x14ac:dyDescent="0.55000000000000004">
      <c r="A55" s="46" t="s">
        <v>269</v>
      </c>
      <c r="B55" s="63" t="s">
        <v>125</v>
      </c>
      <c r="C55" s="44"/>
      <c r="D55" s="45"/>
      <c r="E55" s="46">
        <v>5</v>
      </c>
      <c r="F55" s="44" t="s">
        <v>275</v>
      </c>
      <c r="G55" s="47" t="s">
        <v>202</v>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hidden="1" x14ac:dyDescent="0.55000000000000004">
      <c r="A56" s="46" t="s">
        <v>269</v>
      </c>
      <c r="B56" s="63" t="s">
        <v>125</v>
      </c>
      <c r="C56" s="44"/>
      <c r="D56" s="45"/>
      <c r="E56" s="46">
        <v>6</v>
      </c>
      <c r="F56" s="44" t="s">
        <v>276</v>
      </c>
      <c r="G56" s="47" t="s">
        <v>202</v>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hidden="1" x14ac:dyDescent="0.55000000000000004">
      <c r="A57" s="60" t="s">
        <v>277</v>
      </c>
      <c r="B57" s="66" t="s">
        <v>126</v>
      </c>
      <c r="C57" s="61" t="s">
        <v>278</v>
      </c>
      <c r="D57" s="62"/>
      <c r="E57" s="54">
        <v>1</v>
      </c>
      <c r="F57" s="61" t="s">
        <v>279</v>
      </c>
      <c r="G57" s="53" t="s">
        <v>202</v>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hidden="1" x14ac:dyDescent="0.55000000000000004">
      <c r="A58" s="46" t="s">
        <v>277</v>
      </c>
      <c r="B58" s="63" t="s">
        <v>126</v>
      </c>
      <c r="C58" s="44"/>
      <c r="D58" s="45"/>
      <c r="E58" s="46">
        <v>2</v>
      </c>
      <c r="F58" s="44" t="s">
        <v>280</v>
      </c>
      <c r="G58" s="47" t="s">
        <v>202</v>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hidden="1" x14ac:dyDescent="0.55000000000000004">
      <c r="A59" s="46" t="s">
        <v>277</v>
      </c>
      <c r="B59" s="63" t="s">
        <v>126</v>
      </c>
      <c r="C59" s="44"/>
      <c r="D59" s="45"/>
      <c r="E59" s="46">
        <v>3</v>
      </c>
      <c r="F59" s="44" t="s">
        <v>281</v>
      </c>
      <c r="G59" s="47" t="s">
        <v>202</v>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hidden="1" x14ac:dyDescent="0.55000000000000004">
      <c r="A60" s="46" t="s">
        <v>277</v>
      </c>
      <c r="B60" s="63" t="s">
        <v>126</v>
      </c>
      <c r="C60" s="44"/>
      <c r="D60" s="45"/>
      <c r="E60" s="46">
        <v>4</v>
      </c>
      <c r="F60" s="44" t="s">
        <v>282</v>
      </c>
      <c r="G60" s="47" t="s">
        <v>202</v>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hidden="1" x14ac:dyDescent="0.55000000000000004">
      <c r="A61" s="46" t="s">
        <v>277</v>
      </c>
      <c r="B61" s="63" t="s">
        <v>126</v>
      </c>
      <c r="C61" s="44"/>
      <c r="D61" s="45"/>
      <c r="E61" s="46">
        <v>5</v>
      </c>
      <c r="F61" s="44" t="s">
        <v>283</v>
      </c>
      <c r="G61" s="47" t="s">
        <v>202</v>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hidden="1" x14ac:dyDescent="0.55000000000000004">
      <c r="A62" s="46" t="s">
        <v>277</v>
      </c>
      <c r="B62" s="63" t="s">
        <v>126</v>
      </c>
      <c r="C62" s="44"/>
      <c r="D62" s="45"/>
      <c r="E62" s="46">
        <v>6</v>
      </c>
      <c r="F62" s="44" t="s">
        <v>284</v>
      </c>
      <c r="G62" s="47" t="s">
        <v>202</v>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hidden="1" x14ac:dyDescent="0.55000000000000004">
      <c r="A63" s="46" t="s">
        <v>277</v>
      </c>
      <c r="B63" s="63" t="s">
        <v>126</v>
      </c>
      <c r="C63" s="44"/>
      <c r="D63" s="45"/>
      <c r="E63" s="46">
        <v>7</v>
      </c>
      <c r="F63" s="44" t="s">
        <v>285</v>
      </c>
      <c r="G63" s="47" t="s">
        <v>202</v>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hidden="1" x14ac:dyDescent="0.55000000000000004">
      <c r="A64" s="46" t="s">
        <v>277</v>
      </c>
      <c r="B64" s="63" t="s">
        <v>126</v>
      </c>
      <c r="C64" s="44"/>
      <c r="D64" s="45"/>
      <c r="E64" s="46">
        <v>8</v>
      </c>
      <c r="F64" s="44" t="s">
        <v>286</v>
      </c>
      <c r="G64" s="47" t="s">
        <v>202</v>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hidden="1" x14ac:dyDescent="0.55000000000000004">
      <c r="A65" s="46" t="s">
        <v>277</v>
      </c>
      <c r="B65" s="63" t="s">
        <v>126</v>
      </c>
      <c r="C65" s="44"/>
      <c r="D65" s="45"/>
      <c r="E65" s="46">
        <v>9</v>
      </c>
      <c r="F65" s="44" t="s">
        <v>287</v>
      </c>
      <c r="G65" s="47" t="s">
        <v>202</v>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hidden="1" x14ac:dyDescent="0.55000000000000004">
      <c r="A66" s="46" t="s">
        <v>277</v>
      </c>
      <c r="B66" s="63" t="s">
        <v>126</v>
      </c>
      <c r="C66" s="44"/>
      <c r="D66" s="45"/>
      <c r="E66" s="46">
        <v>10</v>
      </c>
      <c r="F66" s="44" t="s">
        <v>288</v>
      </c>
      <c r="G66" s="47" t="s">
        <v>202</v>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hidden="1" x14ac:dyDescent="0.55000000000000004">
      <c r="A67" s="49" t="s">
        <v>289</v>
      </c>
      <c r="B67" s="64" t="s">
        <v>126</v>
      </c>
      <c r="C67" s="50" t="s">
        <v>290</v>
      </c>
      <c r="D67" s="51" t="s">
        <v>208</v>
      </c>
      <c r="E67" s="52">
        <v>1</v>
      </c>
      <c r="F67" s="50" t="s">
        <v>291</v>
      </c>
      <c r="G67" s="53" t="s">
        <v>202</v>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hidden="1" x14ac:dyDescent="0.55000000000000004">
      <c r="A68" s="57" t="s">
        <v>289</v>
      </c>
      <c r="B68" s="65" t="s">
        <v>126</v>
      </c>
      <c r="C68" s="58"/>
      <c r="D68" s="59" t="s">
        <v>208</v>
      </c>
      <c r="E68" s="57">
        <v>2</v>
      </c>
      <c r="F68" s="58" t="s">
        <v>292</v>
      </c>
      <c r="G68" s="47" t="s">
        <v>202</v>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hidden="1" x14ac:dyDescent="0.55000000000000004">
      <c r="A69" s="57" t="s">
        <v>289</v>
      </c>
      <c r="B69" s="65" t="s">
        <v>126</v>
      </c>
      <c r="C69" s="58"/>
      <c r="D69" s="59" t="s">
        <v>208</v>
      </c>
      <c r="E69" s="57">
        <v>3</v>
      </c>
      <c r="F69" s="58" t="s">
        <v>293</v>
      </c>
      <c r="G69" s="47" t="s">
        <v>202</v>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hidden="1" x14ac:dyDescent="0.55000000000000004">
      <c r="A70" s="60" t="s">
        <v>294</v>
      </c>
      <c r="B70" s="66" t="s">
        <v>126</v>
      </c>
      <c r="C70" s="61" t="s">
        <v>295</v>
      </c>
      <c r="D70" s="62"/>
      <c r="E70" s="54">
        <v>1</v>
      </c>
      <c r="F70" s="61" t="s">
        <v>296</v>
      </c>
      <c r="G70" s="53" t="s">
        <v>202</v>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hidden="1" x14ac:dyDescent="0.55000000000000004">
      <c r="A71" s="46" t="s">
        <v>294</v>
      </c>
      <c r="B71" s="63" t="s">
        <v>126</v>
      </c>
      <c r="C71" s="44"/>
      <c r="D71" s="45"/>
      <c r="E71" s="46">
        <v>2</v>
      </c>
      <c r="F71" s="44" t="s">
        <v>297</v>
      </c>
      <c r="G71" s="47" t="s">
        <v>202</v>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hidden="1" x14ac:dyDescent="0.55000000000000004">
      <c r="A72" s="46" t="s">
        <v>294</v>
      </c>
      <c r="B72" s="63" t="s">
        <v>126</v>
      </c>
      <c r="C72" s="44"/>
      <c r="D72" s="45"/>
      <c r="E72" s="46">
        <v>3</v>
      </c>
      <c r="F72" s="44" t="s">
        <v>298</v>
      </c>
      <c r="G72" s="47" t="s">
        <v>202</v>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hidden="1" x14ac:dyDescent="0.55000000000000004">
      <c r="A73" s="46" t="s">
        <v>294</v>
      </c>
      <c r="B73" s="63" t="s">
        <v>126</v>
      </c>
      <c r="C73" s="44"/>
      <c r="D73" s="45"/>
      <c r="E73" s="46">
        <v>4</v>
      </c>
      <c r="F73" s="44" t="s">
        <v>299</v>
      </c>
      <c r="G73" s="47" t="s">
        <v>202</v>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hidden="1" x14ac:dyDescent="0.55000000000000004">
      <c r="A74" s="49" t="s">
        <v>300</v>
      </c>
      <c r="B74" s="64" t="s">
        <v>126</v>
      </c>
      <c r="C74" s="50" t="s">
        <v>301</v>
      </c>
      <c r="D74" s="51" t="s">
        <v>208</v>
      </c>
      <c r="E74" s="52">
        <v>1</v>
      </c>
      <c r="F74" s="50" t="s">
        <v>280</v>
      </c>
      <c r="G74" s="53" t="s">
        <v>202</v>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hidden="1" x14ac:dyDescent="0.55000000000000004">
      <c r="A75" s="57" t="s">
        <v>300</v>
      </c>
      <c r="B75" s="65" t="s">
        <v>126</v>
      </c>
      <c r="C75" s="58"/>
      <c r="D75" s="59" t="s">
        <v>208</v>
      </c>
      <c r="E75" s="57">
        <v>2</v>
      </c>
      <c r="F75" s="58" t="s">
        <v>302</v>
      </c>
      <c r="G75" s="47" t="s">
        <v>202</v>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hidden="1" x14ac:dyDescent="0.55000000000000004">
      <c r="A76" s="57" t="s">
        <v>300</v>
      </c>
      <c r="B76" s="65" t="s">
        <v>126</v>
      </c>
      <c r="C76" s="58"/>
      <c r="D76" s="59" t="s">
        <v>208</v>
      </c>
      <c r="E76" s="57">
        <v>3</v>
      </c>
      <c r="F76" s="58" t="s">
        <v>303</v>
      </c>
      <c r="G76" s="47" t="s">
        <v>202</v>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hidden="1" x14ac:dyDescent="0.55000000000000004">
      <c r="A77" s="57" t="s">
        <v>300</v>
      </c>
      <c r="B77" s="65" t="s">
        <v>126</v>
      </c>
      <c r="C77" s="58"/>
      <c r="D77" s="59" t="s">
        <v>208</v>
      </c>
      <c r="E77" s="57">
        <v>4</v>
      </c>
      <c r="F77" s="58" t="s">
        <v>304</v>
      </c>
      <c r="G77" s="47" t="s">
        <v>202</v>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hidden="1" x14ac:dyDescent="0.55000000000000004">
      <c r="A78" s="60" t="s">
        <v>305</v>
      </c>
      <c r="B78" s="66" t="s">
        <v>126</v>
      </c>
      <c r="C78" s="61" t="s">
        <v>306</v>
      </c>
      <c r="D78" s="62"/>
      <c r="E78" s="54">
        <v>1</v>
      </c>
      <c r="F78" s="61" t="s">
        <v>307</v>
      </c>
      <c r="G78" s="53" t="s">
        <v>202</v>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hidden="1" x14ac:dyDescent="0.55000000000000004">
      <c r="A79" s="46" t="s">
        <v>305</v>
      </c>
      <c r="B79" s="63" t="s">
        <v>126</v>
      </c>
      <c r="C79" s="44"/>
      <c r="D79" s="45"/>
      <c r="E79" s="46">
        <v>2</v>
      </c>
      <c r="F79" s="44" t="s">
        <v>308</v>
      </c>
      <c r="G79" s="47" t="s">
        <v>202</v>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hidden="1" x14ac:dyDescent="0.55000000000000004">
      <c r="A80" s="46" t="s">
        <v>305</v>
      </c>
      <c r="B80" s="63" t="s">
        <v>126</v>
      </c>
      <c r="C80" s="44"/>
      <c r="D80" s="45"/>
      <c r="E80" s="46">
        <v>3</v>
      </c>
      <c r="F80" s="44" t="s">
        <v>309</v>
      </c>
      <c r="G80" s="47" t="s">
        <v>202</v>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hidden="1" x14ac:dyDescent="0.55000000000000004">
      <c r="A81" s="46" t="s">
        <v>305</v>
      </c>
      <c r="B81" s="63" t="s">
        <v>126</v>
      </c>
      <c r="C81" s="44"/>
      <c r="D81" s="45"/>
      <c r="E81" s="46">
        <v>4</v>
      </c>
      <c r="F81" s="44" t="s">
        <v>310</v>
      </c>
      <c r="G81" s="47" t="s">
        <v>202</v>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hidden="1" x14ac:dyDescent="0.55000000000000004">
      <c r="A82" s="49" t="s">
        <v>311</v>
      </c>
      <c r="B82" s="64" t="s">
        <v>126</v>
      </c>
      <c r="C82" s="50" t="s">
        <v>312</v>
      </c>
      <c r="D82" s="51" t="s">
        <v>208</v>
      </c>
      <c r="E82" s="52">
        <v>1</v>
      </c>
      <c r="F82" s="50" t="s">
        <v>313</v>
      </c>
      <c r="G82" s="53" t="s">
        <v>202</v>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hidden="1" x14ac:dyDescent="0.55000000000000004">
      <c r="A83" s="57" t="s">
        <v>311</v>
      </c>
      <c r="B83" s="65" t="s">
        <v>126</v>
      </c>
      <c r="C83" s="58"/>
      <c r="D83" s="59" t="s">
        <v>208</v>
      </c>
      <c r="E83" s="57">
        <v>2</v>
      </c>
      <c r="F83" s="58" t="s">
        <v>314</v>
      </c>
      <c r="G83" s="47" t="s">
        <v>202</v>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hidden="1" x14ac:dyDescent="0.55000000000000004">
      <c r="A84" s="57" t="s">
        <v>311</v>
      </c>
      <c r="B84" s="65" t="s">
        <v>126</v>
      </c>
      <c r="C84" s="58"/>
      <c r="D84" s="59" t="s">
        <v>208</v>
      </c>
      <c r="E84" s="57">
        <v>3</v>
      </c>
      <c r="F84" s="58" t="s">
        <v>315</v>
      </c>
      <c r="G84" s="47" t="s">
        <v>202</v>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hidden="1" x14ac:dyDescent="0.55000000000000004">
      <c r="A85" s="57" t="s">
        <v>311</v>
      </c>
      <c r="B85" s="65" t="s">
        <v>126</v>
      </c>
      <c r="C85" s="58"/>
      <c r="D85" s="59" t="s">
        <v>208</v>
      </c>
      <c r="E85" s="57">
        <v>4</v>
      </c>
      <c r="F85" s="58" t="s">
        <v>316</v>
      </c>
      <c r="G85" s="47" t="s">
        <v>202</v>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hidden="1" x14ac:dyDescent="0.55000000000000004">
      <c r="A86" s="57" t="s">
        <v>311</v>
      </c>
      <c r="B86" s="65" t="s">
        <v>126</v>
      </c>
      <c r="C86" s="58"/>
      <c r="D86" s="59" t="s">
        <v>208</v>
      </c>
      <c r="E86" s="57">
        <v>5</v>
      </c>
      <c r="F86" s="58" t="s">
        <v>317</v>
      </c>
      <c r="G86" s="47" t="s">
        <v>202</v>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hidden="1" x14ac:dyDescent="0.55000000000000004">
      <c r="A87" s="57" t="s">
        <v>311</v>
      </c>
      <c r="B87" s="65" t="s">
        <v>126</v>
      </c>
      <c r="C87" s="58"/>
      <c r="D87" s="59" t="s">
        <v>208</v>
      </c>
      <c r="E87" s="57">
        <v>6</v>
      </c>
      <c r="F87" s="58" t="s">
        <v>318</v>
      </c>
      <c r="G87" s="47" t="s">
        <v>202</v>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hidden="1" x14ac:dyDescent="0.55000000000000004">
      <c r="A88" s="49" t="s">
        <v>319</v>
      </c>
      <c r="B88" s="64" t="s">
        <v>126</v>
      </c>
      <c r="C88" s="50" t="s">
        <v>320</v>
      </c>
      <c r="D88" s="51" t="s">
        <v>208</v>
      </c>
      <c r="E88" s="52">
        <v>1</v>
      </c>
      <c r="F88" s="50" t="s">
        <v>321</v>
      </c>
      <c r="G88" s="53" t="s">
        <v>202</v>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hidden="1" x14ac:dyDescent="0.55000000000000004">
      <c r="A89" s="57" t="s">
        <v>319</v>
      </c>
      <c r="B89" s="65" t="s">
        <v>126</v>
      </c>
      <c r="C89" s="58"/>
      <c r="D89" s="59" t="s">
        <v>208</v>
      </c>
      <c r="E89" s="57">
        <v>2</v>
      </c>
      <c r="F89" s="58" t="s">
        <v>322</v>
      </c>
      <c r="G89" s="47" t="s">
        <v>202</v>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hidden="1" x14ac:dyDescent="0.55000000000000004">
      <c r="A90" s="57" t="s">
        <v>319</v>
      </c>
      <c r="B90" s="65" t="s">
        <v>126</v>
      </c>
      <c r="C90" s="58"/>
      <c r="D90" s="59" t="s">
        <v>208</v>
      </c>
      <c r="E90" s="57">
        <v>3</v>
      </c>
      <c r="F90" s="58" t="s">
        <v>316</v>
      </c>
      <c r="G90" s="47" t="s">
        <v>202</v>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hidden="1" x14ac:dyDescent="0.55000000000000004">
      <c r="A91" s="57" t="s">
        <v>319</v>
      </c>
      <c r="B91" s="65" t="s">
        <v>126</v>
      </c>
      <c r="C91" s="58"/>
      <c r="D91" s="59" t="s">
        <v>208</v>
      </c>
      <c r="E91" s="57">
        <v>4</v>
      </c>
      <c r="F91" s="58" t="s">
        <v>323</v>
      </c>
      <c r="G91" s="47" t="s">
        <v>202</v>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hidden="1" x14ac:dyDescent="0.55000000000000004">
      <c r="A92" s="60" t="s">
        <v>324</v>
      </c>
      <c r="B92" s="66" t="s">
        <v>126</v>
      </c>
      <c r="C92" s="61" t="s">
        <v>325</v>
      </c>
      <c r="D92" s="62"/>
      <c r="E92" s="54">
        <v>1</v>
      </c>
      <c r="F92" s="61" t="s">
        <v>326</v>
      </c>
      <c r="G92" s="53" t="s">
        <v>202</v>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hidden="1" x14ac:dyDescent="0.55000000000000004">
      <c r="A93" s="46" t="s">
        <v>324</v>
      </c>
      <c r="B93" s="63" t="s">
        <v>126</v>
      </c>
      <c r="C93" s="44"/>
      <c r="D93" s="45"/>
      <c r="E93" s="46">
        <v>2</v>
      </c>
      <c r="F93" s="44" t="s">
        <v>327</v>
      </c>
      <c r="G93" s="47" t="s">
        <v>202</v>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hidden="1" x14ac:dyDescent="0.55000000000000004">
      <c r="A94" s="46" t="s">
        <v>324</v>
      </c>
      <c r="B94" s="63" t="s">
        <v>126</v>
      </c>
      <c r="C94" s="44"/>
      <c r="D94" s="45"/>
      <c r="E94" s="46">
        <v>3</v>
      </c>
      <c r="F94" s="44" t="s">
        <v>328</v>
      </c>
      <c r="G94" s="47" t="s">
        <v>202</v>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44" hidden="1" x14ac:dyDescent="0.55000000000000004">
      <c r="A95" s="46" t="s">
        <v>324</v>
      </c>
      <c r="B95" s="63" t="s">
        <v>126</v>
      </c>
      <c r="C95" s="44"/>
      <c r="D95" s="45"/>
      <c r="E95" s="46">
        <v>4</v>
      </c>
      <c r="F95" s="44" t="s">
        <v>329</v>
      </c>
      <c r="G95" s="47" t="s">
        <v>202</v>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44" hidden="1" x14ac:dyDescent="0.55000000000000004">
      <c r="A96" s="60" t="s">
        <v>330</v>
      </c>
      <c r="B96" s="66" t="s">
        <v>126</v>
      </c>
      <c r="C96" s="61" t="s">
        <v>331</v>
      </c>
      <c r="D96" s="62"/>
      <c r="E96" s="54">
        <v>1</v>
      </c>
      <c r="F96" s="61" t="s">
        <v>314</v>
      </c>
      <c r="G96" s="53" t="s">
        <v>202</v>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hidden="1" x14ac:dyDescent="0.55000000000000004">
      <c r="A97" s="46" t="s">
        <v>330</v>
      </c>
      <c r="B97" s="63" t="s">
        <v>126</v>
      </c>
      <c r="C97" s="44"/>
      <c r="D97" s="45"/>
      <c r="E97" s="46">
        <v>2</v>
      </c>
      <c r="F97" s="44" t="s">
        <v>332</v>
      </c>
      <c r="G97" s="47" t="s">
        <v>202</v>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44" hidden="1" x14ac:dyDescent="0.55000000000000004">
      <c r="A98" s="46" t="s">
        <v>330</v>
      </c>
      <c r="B98" s="63" t="s">
        <v>126</v>
      </c>
      <c r="C98" s="44"/>
      <c r="D98" s="45"/>
      <c r="E98" s="46">
        <v>3</v>
      </c>
      <c r="F98" s="44" t="s">
        <v>333</v>
      </c>
      <c r="G98" s="47" t="s">
        <v>202</v>
      </c>
      <c r="H98" s="46" t="str">
        <f>IFERROR(INDEX('الإعدادات واللجنة'!$C$24:$C$32,MATCH(LEFT(A98,3),'الإعدادات واللجنة'!$A$24:$A$32,0)),"")</f>
        <v>د. احمد بن عوض البشري</v>
      </c>
      <c r="I98" s="38"/>
      <c r="J98" s="38"/>
      <c r="K98" s="46" t="str">
        <f t="shared" si="1"/>
        <v/>
      </c>
      <c r="L98" s="48"/>
      <c r="M98" s="38"/>
      <c r="N98" s="48"/>
      <c r="O98" s="48"/>
      <c r="P98" s="38"/>
      <c r="Q98" s="48"/>
      <c r="R98" s="26" t="str">
        <f>IF($I98="","",$I98&amp;"#"&amp;COUNTIF($I$5:$I98,$I98))</f>
        <v/>
      </c>
    </row>
    <row r="99" spans="1:18" ht="66" hidden="1" x14ac:dyDescent="0.55000000000000004">
      <c r="A99" s="46" t="s">
        <v>330</v>
      </c>
      <c r="B99" s="63" t="s">
        <v>126</v>
      </c>
      <c r="C99" s="44"/>
      <c r="D99" s="45"/>
      <c r="E99" s="46">
        <v>4</v>
      </c>
      <c r="F99" s="44" t="s">
        <v>334</v>
      </c>
      <c r="G99" s="47" t="s">
        <v>202</v>
      </c>
      <c r="H99" s="46" t="str">
        <f>IFERROR(INDEX('الإعدادات واللجنة'!$C$24:$C$32,MATCH(LEFT(A99,3),'الإعدادات واللجنة'!$A$24:$A$32,0)),"")</f>
        <v>د. احمد بن عوض البشري</v>
      </c>
      <c r="I99" s="38"/>
      <c r="J99" s="38"/>
      <c r="K99" s="46" t="str">
        <f t="shared" si="1"/>
        <v/>
      </c>
      <c r="L99" s="48"/>
      <c r="M99" s="38"/>
      <c r="N99" s="48"/>
      <c r="O99" s="48"/>
      <c r="P99" s="38"/>
      <c r="Q99" s="48"/>
      <c r="R99" s="26" t="str">
        <f>IF($I99="","",$I99&amp;"#"&amp;COUNTIF($I$5:$I99,$I99))</f>
        <v/>
      </c>
    </row>
    <row r="100" spans="1:18" ht="66" hidden="1" x14ac:dyDescent="0.55000000000000004">
      <c r="A100" s="60" t="s">
        <v>335</v>
      </c>
      <c r="B100" s="66" t="s">
        <v>126</v>
      </c>
      <c r="C100" s="61" t="s">
        <v>336</v>
      </c>
      <c r="D100" s="62"/>
      <c r="E100" s="54">
        <v>1</v>
      </c>
      <c r="F100" s="61" t="s">
        <v>337</v>
      </c>
      <c r="G100" s="53" t="s">
        <v>202</v>
      </c>
      <c r="H100" s="54" t="str">
        <f>IFERROR(INDEX('الإعدادات واللجنة'!$C$24:$C$32,MATCH(LEFT(A100,3),'الإعدادات واللجنة'!$A$24:$A$32,0)),"")</f>
        <v>د. احمد بن عوض البشري</v>
      </c>
      <c r="I100" s="55"/>
      <c r="J100" s="55"/>
      <c r="K100" s="54" t="str">
        <f t="shared" si="1"/>
        <v/>
      </c>
      <c r="L100" s="56"/>
      <c r="M100" s="55"/>
      <c r="N100" s="56"/>
      <c r="O100" s="56"/>
      <c r="P100" s="55"/>
      <c r="Q100" s="56"/>
      <c r="R100" s="26" t="str">
        <f>IF($I100="","",$I100&amp;"#"&amp;COUNTIF($I$5:$I100,$I100))</f>
        <v/>
      </c>
    </row>
    <row r="101" spans="1:18" ht="44" hidden="1" x14ac:dyDescent="0.55000000000000004">
      <c r="A101" s="46" t="s">
        <v>335</v>
      </c>
      <c r="B101" s="63" t="s">
        <v>126</v>
      </c>
      <c r="C101" s="44"/>
      <c r="D101" s="45"/>
      <c r="E101" s="46">
        <v>2</v>
      </c>
      <c r="F101" s="44" t="s">
        <v>338</v>
      </c>
      <c r="G101" s="47" t="s">
        <v>202</v>
      </c>
      <c r="H101" s="46" t="str">
        <f>IFERROR(INDEX('الإعدادات واللجنة'!$C$24:$C$32,MATCH(LEFT(A101,3),'الإعدادات واللجنة'!$A$24:$A$32,0)),"")</f>
        <v>د. احمد بن عوض البشري</v>
      </c>
      <c r="I101" s="38"/>
      <c r="J101" s="38"/>
      <c r="K101" s="46" t="str">
        <f t="shared" si="1"/>
        <v/>
      </c>
      <c r="L101" s="48"/>
      <c r="M101" s="38"/>
      <c r="N101" s="48"/>
      <c r="O101" s="48"/>
      <c r="P101" s="38"/>
      <c r="Q101" s="48"/>
      <c r="R101" s="26" t="str">
        <f>IF($I101="","",$I101&amp;"#"&amp;COUNTIF($I$5:$I101,$I101))</f>
        <v/>
      </c>
    </row>
    <row r="102" spans="1:18" ht="66" hidden="1" x14ac:dyDescent="0.55000000000000004">
      <c r="A102" s="60" t="s">
        <v>339</v>
      </c>
      <c r="B102" s="66" t="s">
        <v>126</v>
      </c>
      <c r="C102" s="61" t="s">
        <v>340</v>
      </c>
      <c r="D102" s="62"/>
      <c r="E102" s="54">
        <v>1</v>
      </c>
      <c r="F102" s="61" t="s">
        <v>341</v>
      </c>
      <c r="G102" s="53" t="s">
        <v>202</v>
      </c>
      <c r="H102" s="54" t="str">
        <f>IFERROR(INDEX('الإعدادات واللجنة'!$C$24:$C$32,MATCH(LEFT(A102,3),'الإعدادات واللجنة'!$A$24:$A$32,0)),"")</f>
        <v>د. احمد بن عوض البشري</v>
      </c>
      <c r="I102" s="55"/>
      <c r="J102" s="55"/>
      <c r="K102" s="54" t="str">
        <f t="shared" si="1"/>
        <v/>
      </c>
      <c r="L102" s="56"/>
      <c r="M102" s="55"/>
      <c r="N102" s="56"/>
      <c r="O102" s="56"/>
      <c r="P102" s="55"/>
      <c r="Q102" s="56"/>
      <c r="R102" s="26" t="str">
        <f>IF($I102="","",$I102&amp;"#"&amp;COUNTIF($I$5:$I102,$I102))</f>
        <v/>
      </c>
    </row>
    <row r="103" spans="1:18" ht="44" hidden="1" x14ac:dyDescent="0.55000000000000004">
      <c r="A103" s="46" t="s">
        <v>339</v>
      </c>
      <c r="B103" s="63" t="s">
        <v>126</v>
      </c>
      <c r="C103" s="44"/>
      <c r="D103" s="45"/>
      <c r="E103" s="46">
        <v>2</v>
      </c>
      <c r="F103" s="44" t="s">
        <v>342</v>
      </c>
      <c r="G103" s="47" t="s">
        <v>202</v>
      </c>
      <c r="H103" s="46" t="str">
        <f>IFERROR(INDEX('الإعدادات واللجنة'!$C$24:$C$32,MATCH(LEFT(A103,3),'الإعدادات واللجنة'!$A$24:$A$32,0)),"")</f>
        <v>د. احمد بن عوض البشري</v>
      </c>
      <c r="I103" s="38"/>
      <c r="J103" s="38"/>
      <c r="K103" s="46" t="str">
        <f t="shared" si="1"/>
        <v/>
      </c>
      <c r="L103" s="48"/>
      <c r="M103" s="38"/>
      <c r="N103" s="48"/>
      <c r="O103" s="48"/>
      <c r="P103" s="38"/>
      <c r="Q103" s="48"/>
      <c r="R103" s="26" t="str">
        <f>IF($I103="","",$I103&amp;"#"&amp;COUNTIF($I$5:$I103,$I103))</f>
        <v/>
      </c>
    </row>
    <row r="104" spans="1:18" ht="44" hidden="1" x14ac:dyDescent="0.55000000000000004">
      <c r="A104" s="46" t="s">
        <v>339</v>
      </c>
      <c r="B104" s="63" t="s">
        <v>126</v>
      </c>
      <c r="C104" s="44"/>
      <c r="D104" s="45"/>
      <c r="E104" s="46">
        <v>3</v>
      </c>
      <c r="F104" s="44" t="s">
        <v>343</v>
      </c>
      <c r="G104" s="47" t="s">
        <v>202</v>
      </c>
      <c r="H104" s="46" t="str">
        <f>IFERROR(INDEX('الإعدادات واللجنة'!$C$24:$C$32,MATCH(LEFT(A104,3),'الإعدادات واللجنة'!$A$24:$A$32,0)),"")</f>
        <v>د. احمد بن عوض البشري</v>
      </c>
      <c r="I104" s="38"/>
      <c r="J104" s="38"/>
      <c r="K104" s="46" t="str">
        <f t="shared" si="1"/>
        <v/>
      </c>
      <c r="L104" s="48"/>
      <c r="M104" s="38"/>
      <c r="N104" s="48"/>
      <c r="O104" s="48"/>
      <c r="P104" s="38"/>
      <c r="Q104" s="48"/>
      <c r="R104" s="26" t="str">
        <f>IF($I104="","",$I104&amp;"#"&amp;COUNTIF($I$5:$I104,$I104))</f>
        <v/>
      </c>
    </row>
    <row r="105" spans="1:18" ht="66" hidden="1" x14ac:dyDescent="0.55000000000000004">
      <c r="A105" s="49" t="s">
        <v>344</v>
      </c>
      <c r="B105" s="64" t="s">
        <v>126</v>
      </c>
      <c r="C105" s="50" t="s">
        <v>345</v>
      </c>
      <c r="D105" s="51" t="s">
        <v>208</v>
      </c>
      <c r="E105" s="52">
        <v>1</v>
      </c>
      <c r="F105" s="50" t="s">
        <v>346</v>
      </c>
      <c r="G105" s="53" t="s">
        <v>202</v>
      </c>
      <c r="H105" s="54" t="str">
        <f>IFERROR(INDEX('الإعدادات واللجنة'!$C$24:$C$32,MATCH(LEFT(A105,3),'الإعدادات واللجنة'!$A$24:$A$32,0)),"")</f>
        <v>د. احمد بن عوض البشري</v>
      </c>
      <c r="I105" s="55"/>
      <c r="J105" s="55"/>
      <c r="K105" s="54" t="str">
        <f t="shared" si="1"/>
        <v/>
      </c>
      <c r="L105" s="56"/>
      <c r="M105" s="55"/>
      <c r="N105" s="56"/>
      <c r="O105" s="56"/>
      <c r="P105" s="55"/>
      <c r="Q105" s="56"/>
      <c r="R105" s="26" t="str">
        <f>IF($I105="","",$I105&amp;"#"&amp;COUNTIF($I$5:$I105,$I105))</f>
        <v/>
      </c>
    </row>
    <row r="106" spans="1:18" ht="44" hidden="1" x14ac:dyDescent="0.55000000000000004">
      <c r="A106" s="57" t="s">
        <v>344</v>
      </c>
      <c r="B106" s="65" t="s">
        <v>126</v>
      </c>
      <c r="C106" s="58"/>
      <c r="D106" s="59" t="s">
        <v>208</v>
      </c>
      <c r="E106" s="57">
        <v>2</v>
      </c>
      <c r="F106" s="58" t="s">
        <v>347</v>
      </c>
      <c r="G106" s="47" t="s">
        <v>202</v>
      </c>
      <c r="H106" s="46" t="str">
        <f>IFERROR(INDEX('الإعدادات واللجنة'!$C$24:$C$32,MATCH(LEFT(A106,3),'الإعدادات واللجنة'!$A$24:$A$32,0)),"")</f>
        <v>د. احمد بن عوض البشري</v>
      </c>
      <c r="I106" s="38"/>
      <c r="J106" s="38"/>
      <c r="K106" s="46" t="str">
        <f t="shared" si="1"/>
        <v/>
      </c>
      <c r="L106" s="48"/>
      <c r="M106" s="38"/>
      <c r="N106" s="48"/>
      <c r="O106" s="48"/>
      <c r="P106" s="38"/>
      <c r="Q106" s="48"/>
      <c r="R106" s="26" t="str">
        <f>IF($I106="","",$I106&amp;"#"&amp;COUNTIF($I$5:$I106,$I106))</f>
        <v/>
      </c>
    </row>
    <row r="107" spans="1:18" ht="66" hidden="1" x14ac:dyDescent="0.55000000000000004">
      <c r="A107" s="49" t="s">
        <v>348</v>
      </c>
      <c r="B107" s="64" t="s">
        <v>126</v>
      </c>
      <c r="C107" s="50" t="s">
        <v>349</v>
      </c>
      <c r="D107" s="51" t="s">
        <v>208</v>
      </c>
      <c r="E107" s="52">
        <v>1</v>
      </c>
      <c r="F107" s="50" t="s">
        <v>350</v>
      </c>
      <c r="G107" s="53" t="s">
        <v>202</v>
      </c>
      <c r="H107" s="54" t="str">
        <f>IFERROR(INDEX('الإعدادات واللجنة'!$C$24:$C$32,MATCH(LEFT(A107,3),'الإعدادات واللجنة'!$A$24:$A$32,0)),"")</f>
        <v>د. يثرب بنت سعد القحطاني</v>
      </c>
      <c r="I107" s="55"/>
      <c r="J107" s="55"/>
      <c r="K107" s="54" t="str">
        <f t="shared" si="1"/>
        <v/>
      </c>
      <c r="L107" s="56"/>
      <c r="M107" s="55"/>
      <c r="N107" s="56"/>
      <c r="O107" s="56"/>
      <c r="P107" s="55"/>
      <c r="Q107" s="56"/>
      <c r="R107" s="26" t="str">
        <f>IF($I107="","",$I107&amp;"#"&amp;COUNTIF($I$5:$I107,$I107))</f>
        <v/>
      </c>
    </row>
    <row r="108" spans="1:18" ht="44" hidden="1" x14ac:dyDescent="0.55000000000000004">
      <c r="A108" s="57" t="s">
        <v>348</v>
      </c>
      <c r="B108" s="65" t="s">
        <v>126</v>
      </c>
      <c r="C108" s="58"/>
      <c r="D108" s="59" t="s">
        <v>208</v>
      </c>
      <c r="E108" s="57">
        <v>2</v>
      </c>
      <c r="F108" s="58" t="s">
        <v>351</v>
      </c>
      <c r="G108" s="47" t="s">
        <v>202</v>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66" hidden="1" x14ac:dyDescent="0.55000000000000004">
      <c r="A109" s="57" t="s">
        <v>348</v>
      </c>
      <c r="B109" s="65" t="s">
        <v>126</v>
      </c>
      <c r="C109" s="58"/>
      <c r="D109" s="59" t="s">
        <v>208</v>
      </c>
      <c r="E109" s="57">
        <v>3</v>
      </c>
      <c r="F109" s="58" t="s">
        <v>352</v>
      </c>
      <c r="G109" s="47" t="s">
        <v>202</v>
      </c>
      <c r="H109" s="46" t="str">
        <f>IFERROR(INDEX('الإعدادات واللجنة'!$C$24:$C$32,MATCH(LEFT(A109,3),'الإعدادات واللجنة'!$A$24:$A$32,0)),"")</f>
        <v>د. يثرب بنت سعد القحطاني</v>
      </c>
      <c r="I109" s="38"/>
      <c r="J109" s="38"/>
      <c r="K109" s="46" t="str">
        <f t="shared" si="1"/>
        <v/>
      </c>
      <c r="L109" s="48"/>
      <c r="M109" s="38"/>
      <c r="N109" s="48"/>
      <c r="O109" s="48"/>
      <c r="P109" s="38"/>
      <c r="Q109" s="48"/>
      <c r="R109" s="26" t="str">
        <f>IF($I109="","",$I109&amp;"#"&amp;COUNTIF($I$5:$I109,$I109))</f>
        <v/>
      </c>
    </row>
    <row r="110" spans="1:18" ht="44" hidden="1" x14ac:dyDescent="0.55000000000000004">
      <c r="A110" s="57" t="s">
        <v>348</v>
      </c>
      <c r="B110" s="65" t="s">
        <v>126</v>
      </c>
      <c r="C110" s="58"/>
      <c r="D110" s="59" t="s">
        <v>208</v>
      </c>
      <c r="E110" s="57">
        <v>4</v>
      </c>
      <c r="F110" s="58" t="s">
        <v>353</v>
      </c>
      <c r="G110" s="47" t="s">
        <v>202</v>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hidden="1" x14ac:dyDescent="0.55000000000000004">
      <c r="A111" s="57" t="s">
        <v>348</v>
      </c>
      <c r="B111" s="65" t="s">
        <v>126</v>
      </c>
      <c r="C111" s="58"/>
      <c r="D111" s="59" t="s">
        <v>208</v>
      </c>
      <c r="E111" s="57">
        <v>5</v>
      </c>
      <c r="F111" s="58" t="s">
        <v>354</v>
      </c>
      <c r="G111" s="47" t="s">
        <v>202</v>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66" hidden="1" x14ac:dyDescent="0.55000000000000004">
      <c r="A112" s="60" t="s">
        <v>355</v>
      </c>
      <c r="B112" s="66" t="s">
        <v>126</v>
      </c>
      <c r="C112" s="61" t="s">
        <v>356</v>
      </c>
      <c r="D112" s="62"/>
      <c r="E112" s="54">
        <v>1</v>
      </c>
      <c r="F112" s="61" t="s">
        <v>357</v>
      </c>
      <c r="G112" s="53" t="s">
        <v>202</v>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hidden="1" x14ac:dyDescent="0.55000000000000004">
      <c r="A113" s="46" t="s">
        <v>355</v>
      </c>
      <c r="B113" s="63" t="s">
        <v>126</v>
      </c>
      <c r="C113" s="44"/>
      <c r="D113" s="45"/>
      <c r="E113" s="46">
        <v>2</v>
      </c>
      <c r="F113" s="44" t="s">
        <v>358</v>
      </c>
      <c r="G113" s="47" t="s">
        <v>202</v>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hidden="1" x14ac:dyDescent="0.55000000000000004">
      <c r="A114" s="46" t="s">
        <v>355</v>
      </c>
      <c r="B114" s="63" t="s">
        <v>126</v>
      </c>
      <c r="C114" s="44"/>
      <c r="D114" s="45"/>
      <c r="E114" s="46">
        <v>3</v>
      </c>
      <c r="F114" s="44" t="s">
        <v>359</v>
      </c>
      <c r="G114" s="47" t="s">
        <v>202</v>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hidden="1" x14ac:dyDescent="0.55000000000000004">
      <c r="A115" s="46" t="s">
        <v>355</v>
      </c>
      <c r="B115" s="63" t="s">
        <v>126</v>
      </c>
      <c r="C115" s="44"/>
      <c r="D115" s="45"/>
      <c r="E115" s="46">
        <v>4</v>
      </c>
      <c r="F115" s="44" t="s">
        <v>360</v>
      </c>
      <c r="G115" s="47" t="s">
        <v>202</v>
      </c>
      <c r="H115" s="46" t="str">
        <f>IFERROR(INDEX('الإعدادات واللجنة'!$C$24:$C$32,MATCH(LEFT(A115,3),'الإعدادات واللجنة'!$A$24:$A$32,0)),"")</f>
        <v>د. يثرب بنت سعد القحطاني</v>
      </c>
      <c r="I115" s="38"/>
      <c r="J115" s="38"/>
      <c r="K115" s="46" t="str">
        <f t="shared" si="1"/>
        <v/>
      </c>
      <c r="L115" s="48"/>
      <c r="M115" s="38"/>
      <c r="N115" s="48"/>
      <c r="O115" s="48"/>
      <c r="P115" s="38"/>
      <c r="Q115" s="48"/>
      <c r="R115" s="26" t="str">
        <f>IF($I115="","",$I115&amp;"#"&amp;COUNTIF($I$5:$I115,$I115))</f>
        <v/>
      </c>
    </row>
    <row r="116" spans="1:18" ht="88" hidden="1" x14ac:dyDescent="0.55000000000000004">
      <c r="A116" s="60" t="s">
        <v>361</v>
      </c>
      <c r="B116" s="66" t="s">
        <v>126</v>
      </c>
      <c r="C116" s="61" t="s">
        <v>362</v>
      </c>
      <c r="D116" s="62"/>
      <c r="E116" s="54">
        <v>1</v>
      </c>
      <c r="F116" s="61" t="s">
        <v>363</v>
      </c>
      <c r="G116" s="53" t="s">
        <v>202</v>
      </c>
      <c r="H116" s="54" t="str">
        <f>IFERROR(INDEX('الإعدادات واللجنة'!$C$24:$C$32,MATCH(LEFT(A116,3),'الإعدادات واللجنة'!$A$24:$A$32,0)),"")</f>
        <v>د. يثرب بنت سعد القحطاني</v>
      </c>
      <c r="I116" s="55"/>
      <c r="J116" s="55"/>
      <c r="K116" s="54" t="str">
        <f t="shared" si="1"/>
        <v/>
      </c>
      <c r="L116" s="56"/>
      <c r="M116" s="55"/>
      <c r="N116" s="56"/>
      <c r="O116" s="56"/>
      <c r="P116" s="55"/>
      <c r="Q116" s="56"/>
      <c r="R116" s="26" t="str">
        <f>IF($I116="","",$I116&amp;"#"&amp;COUNTIF($I$5:$I116,$I116))</f>
        <v/>
      </c>
    </row>
    <row r="117" spans="1:18" ht="66" hidden="1" x14ac:dyDescent="0.55000000000000004">
      <c r="A117" s="46" t="s">
        <v>361</v>
      </c>
      <c r="B117" s="63" t="s">
        <v>126</v>
      </c>
      <c r="C117" s="44"/>
      <c r="D117" s="45"/>
      <c r="E117" s="46">
        <v>2</v>
      </c>
      <c r="F117" s="44" t="s">
        <v>364</v>
      </c>
      <c r="G117" s="47" t="s">
        <v>202</v>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hidden="1" x14ac:dyDescent="0.55000000000000004">
      <c r="A118" s="46" t="s">
        <v>361</v>
      </c>
      <c r="B118" s="63" t="s">
        <v>126</v>
      </c>
      <c r="C118" s="44"/>
      <c r="D118" s="45"/>
      <c r="E118" s="46">
        <v>3</v>
      </c>
      <c r="F118" s="44" t="s">
        <v>365</v>
      </c>
      <c r="G118" s="47" t="s">
        <v>202</v>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hidden="1" x14ac:dyDescent="0.55000000000000004">
      <c r="A119" s="60" t="s">
        <v>366</v>
      </c>
      <c r="B119" s="66" t="s">
        <v>126</v>
      </c>
      <c r="C119" s="61" t="s">
        <v>367</v>
      </c>
      <c r="D119" s="62"/>
      <c r="E119" s="54">
        <v>1</v>
      </c>
      <c r="F119" s="61" t="s">
        <v>368</v>
      </c>
      <c r="G119" s="53" t="s">
        <v>202</v>
      </c>
      <c r="H119" s="54" t="str">
        <f>IFERROR(INDEX('الإعدادات واللجنة'!$C$24:$C$32,MATCH(LEFT(A119,3),'الإعدادات واللجنة'!$A$24:$A$32,0)),"")</f>
        <v>د. يثرب بنت سعد القحطاني</v>
      </c>
      <c r="I119" s="55"/>
      <c r="J119" s="55"/>
      <c r="K119" s="54" t="str">
        <f t="shared" si="1"/>
        <v/>
      </c>
      <c r="L119" s="56"/>
      <c r="M119" s="55"/>
      <c r="N119" s="56"/>
      <c r="O119" s="56"/>
      <c r="P119" s="55"/>
      <c r="Q119" s="56"/>
      <c r="R119" s="26" t="str">
        <f>IF($I119="","",$I119&amp;"#"&amp;COUNTIF($I$5:$I119,$I119))</f>
        <v/>
      </c>
    </row>
    <row r="120" spans="1:18" ht="44" hidden="1" x14ac:dyDescent="0.55000000000000004">
      <c r="A120" s="46" t="s">
        <v>366</v>
      </c>
      <c r="B120" s="63" t="s">
        <v>126</v>
      </c>
      <c r="C120" s="44"/>
      <c r="D120" s="45"/>
      <c r="E120" s="46">
        <v>2</v>
      </c>
      <c r="F120" s="44" t="s">
        <v>369</v>
      </c>
      <c r="G120" s="47" t="s">
        <v>202</v>
      </c>
      <c r="H120" s="46" t="str">
        <f>IFERROR(INDEX('الإعدادات واللجنة'!$C$24:$C$32,MATCH(LEFT(A120,3),'الإعدادات واللجنة'!$A$24:$A$32,0)),"")</f>
        <v>د. يثرب بنت سعد القحطاني</v>
      </c>
      <c r="I120" s="38"/>
      <c r="J120" s="38"/>
      <c r="K120" s="46" t="str">
        <f t="shared" si="1"/>
        <v/>
      </c>
      <c r="L120" s="48"/>
      <c r="M120" s="38"/>
      <c r="N120" s="48"/>
      <c r="O120" s="48"/>
      <c r="P120" s="38"/>
      <c r="Q120" s="48"/>
      <c r="R120" s="26" t="str">
        <f>IF($I120="","",$I120&amp;"#"&amp;COUNTIF($I$5:$I120,$I120))</f>
        <v/>
      </c>
    </row>
    <row r="121" spans="1:18" ht="44" hidden="1" x14ac:dyDescent="0.55000000000000004">
      <c r="A121" s="46" t="s">
        <v>366</v>
      </c>
      <c r="B121" s="63" t="s">
        <v>126</v>
      </c>
      <c r="C121" s="44"/>
      <c r="D121" s="45"/>
      <c r="E121" s="46">
        <v>3</v>
      </c>
      <c r="F121" s="44" t="s">
        <v>370</v>
      </c>
      <c r="G121" s="47" t="s">
        <v>202</v>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hidden="1" x14ac:dyDescent="0.55000000000000004">
      <c r="A122" s="60" t="s">
        <v>371</v>
      </c>
      <c r="B122" s="66" t="s">
        <v>126</v>
      </c>
      <c r="C122" s="61" t="s">
        <v>372</v>
      </c>
      <c r="D122" s="62"/>
      <c r="E122" s="54">
        <v>1</v>
      </c>
      <c r="F122" s="61" t="s">
        <v>373</v>
      </c>
      <c r="G122" s="53" t="s">
        <v>202</v>
      </c>
      <c r="H122" s="54" t="str">
        <f>IFERROR(INDEX('الإعدادات واللجنة'!$C$24:$C$32,MATCH(LEFT(A122,3),'الإعدادات واللجنة'!$A$24:$A$32,0)),"")</f>
        <v>د. يثرب بنت سعد القحطاني</v>
      </c>
      <c r="I122" s="55"/>
      <c r="J122" s="55"/>
      <c r="K122" s="54" t="str">
        <f t="shared" si="1"/>
        <v/>
      </c>
      <c r="L122" s="56"/>
      <c r="M122" s="55"/>
      <c r="N122" s="56"/>
      <c r="O122" s="56"/>
      <c r="P122" s="55"/>
      <c r="Q122" s="56"/>
      <c r="R122" s="26" t="str">
        <f>IF($I122="","",$I122&amp;"#"&amp;COUNTIF($I$5:$I122,$I122))</f>
        <v/>
      </c>
    </row>
    <row r="123" spans="1:18" ht="44" hidden="1" x14ac:dyDescent="0.55000000000000004">
      <c r="A123" s="46" t="s">
        <v>371</v>
      </c>
      <c r="B123" s="63" t="s">
        <v>126</v>
      </c>
      <c r="C123" s="44"/>
      <c r="D123" s="45"/>
      <c r="E123" s="46">
        <v>2</v>
      </c>
      <c r="F123" s="44" t="s">
        <v>374</v>
      </c>
      <c r="G123" s="47" t="s">
        <v>202</v>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hidden="1" x14ac:dyDescent="0.55000000000000004">
      <c r="A124" s="46" t="s">
        <v>371</v>
      </c>
      <c r="B124" s="63" t="s">
        <v>126</v>
      </c>
      <c r="C124" s="44"/>
      <c r="D124" s="45"/>
      <c r="E124" s="46">
        <v>3</v>
      </c>
      <c r="F124" s="44" t="s">
        <v>375</v>
      </c>
      <c r="G124" s="47" t="s">
        <v>202</v>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44" hidden="1" x14ac:dyDescent="0.55000000000000004">
      <c r="A125" s="46" t="s">
        <v>371</v>
      </c>
      <c r="B125" s="63" t="s">
        <v>126</v>
      </c>
      <c r="C125" s="44"/>
      <c r="D125" s="45"/>
      <c r="E125" s="46">
        <v>4</v>
      </c>
      <c r="F125" s="44" t="s">
        <v>376</v>
      </c>
      <c r="G125" s="47" t="s">
        <v>202</v>
      </c>
      <c r="H125" s="46" t="str">
        <f>IFERROR(INDEX('الإعدادات واللجنة'!$C$24:$C$32,MATCH(LEFT(A125,3),'الإعدادات واللجنة'!$A$24:$A$32,0)),"")</f>
        <v>د. يثرب بنت سعد القحطاني</v>
      </c>
      <c r="I125" s="38"/>
      <c r="J125" s="38"/>
      <c r="K125" s="46" t="str">
        <f t="shared" si="1"/>
        <v/>
      </c>
      <c r="L125" s="48"/>
      <c r="M125" s="38"/>
      <c r="N125" s="48"/>
      <c r="O125" s="48"/>
      <c r="P125" s="38"/>
      <c r="Q125" s="48"/>
      <c r="R125" s="26" t="str">
        <f>IF($I125="","",$I125&amp;"#"&amp;COUNTIF($I$5:$I125,$I125))</f>
        <v/>
      </c>
    </row>
    <row r="126" spans="1:18" ht="44" hidden="1" x14ac:dyDescent="0.55000000000000004">
      <c r="A126" s="46" t="s">
        <v>371</v>
      </c>
      <c r="B126" s="63" t="s">
        <v>126</v>
      </c>
      <c r="C126" s="44"/>
      <c r="D126" s="45"/>
      <c r="E126" s="46">
        <v>5</v>
      </c>
      <c r="F126" s="44" t="s">
        <v>377</v>
      </c>
      <c r="G126" s="47" t="s">
        <v>202</v>
      </c>
      <c r="H126" s="46" t="str">
        <f>IFERROR(INDEX('الإعدادات واللجنة'!$C$24:$C$32,MATCH(LEFT(A126,3),'الإعدادات واللجنة'!$A$24:$A$32,0)),"")</f>
        <v>د. يثرب بنت سعد القحطاني</v>
      </c>
      <c r="I126" s="38"/>
      <c r="J126" s="38"/>
      <c r="K126" s="46" t="str">
        <f t="shared" si="1"/>
        <v/>
      </c>
      <c r="L126" s="48"/>
      <c r="M126" s="38"/>
      <c r="N126" s="48"/>
      <c r="O126" s="48"/>
      <c r="P126" s="38"/>
      <c r="Q126" s="48"/>
      <c r="R126" s="26" t="str">
        <f>IF($I126="","",$I126&amp;"#"&amp;COUNTIF($I$5:$I126,$I126))</f>
        <v/>
      </c>
    </row>
    <row r="127" spans="1:18" ht="66" hidden="1" x14ac:dyDescent="0.55000000000000004">
      <c r="A127" s="49" t="s">
        <v>378</v>
      </c>
      <c r="B127" s="64" t="s">
        <v>126</v>
      </c>
      <c r="C127" s="50" t="s">
        <v>379</v>
      </c>
      <c r="D127" s="51" t="s">
        <v>208</v>
      </c>
      <c r="E127" s="52">
        <v>1</v>
      </c>
      <c r="F127" s="50" t="s">
        <v>380</v>
      </c>
      <c r="G127" s="53" t="s">
        <v>202</v>
      </c>
      <c r="H127" s="54" t="str">
        <f>IFERROR(INDEX('الإعدادات واللجنة'!$C$24:$C$32,MATCH(LEFT(A127,3),'الإعدادات واللجنة'!$A$24:$A$32,0)),"")</f>
        <v>د. يثرب بنت سعد القحطاني</v>
      </c>
      <c r="I127" s="55"/>
      <c r="J127" s="55"/>
      <c r="K127" s="54" t="str">
        <f t="shared" si="1"/>
        <v/>
      </c>
      <c r="L127" s="56"/>
      <c r="M127" s="55"/>
      <c r="N127" s="56"/>
      <c r="O127" s="56"/>
      <c r="P127" s="55"/>
      <c r="Q127" s="56"/>
      <c r="R127" s="26" t="str">
        <f>IF($I127="","",$I127&amp;"#"&amp;COUNTIF($I$5:$I127,$I127))</f>
        <v/>
      </c>
    </row>
    <row r="128" spans="1:18" ht="44" hidden="1" x14ac:dyDescent="0.55000000000000004">
      <c r="A128" s="57" t="s">
        <v>378</v>
      </c>
      <c r="B128" s="65" t="s">
        <v>126</v>
      </c>
      <c r="C128" s="58"/>
      <c r="D128" s="59" t="s">
        <v>208</v>
      </c>
      <c r="E128" s="57">
        <v>2</v>
      </c>
      <c r="F128" s="58" t="s">
        <v>381</v>
      </c>
      <c r="G128" s="47" t="s">
        <v>202</v>
      </c>
      <c r="H128" s="46" t="str">
        <f>IFERROR(INDEX('الإعدادات واللجنة'!$C$24:$C$32,MATCH(LEFT(A128,3),'الإعدادات واللجنة'!$A$24:$A$32,0)),"")</f>
        <v>د. يثرب بنت سعد القحطاني</v>
      </c>
      <c r="I128" s="38"/>
      <c r="J128" s="38"/>
      <c r="K128" s="46" t="str">
        <f t="shared" si="1"/>
        <v/>
      </c>
      <c r="L128" s="48"/>
      <c r="M128" s="38"/>
      <c r="N128" s="48"/>
      <c r="O128" s="48"/>
      <c r="P128" s="38"/>
      <c r="Q128" s="48"/>
      <c r="R128" s="26" t="str">
        <f>IF($I128="","",$I128&amp;"#"&amp;COUNTIF($I$5:$I128,$I128))</f>
        <v/>
      </c>
    </row>
    <row r="129" spans="1:18" ht="44" hidden="1" x14ac:dyDescent="0.55000000000000004">
      <c r="A129" s="57" t="s">
        <v>378</v>
      </c>
      <c r="B129" s="65" t="s">
        <v>126</v>
      </c>
      <c r="C129" s="58"/>
      <c r="D129" s="59" t="s">
        <v>208</v>
      </c>
      <c r="E129" s="57">
        <v>3</v>
      </c>
      <c r="F129" s="58" t="s">
        <v>382</v>
      </c>
      <c r="G129" s="47" t="s">
        <v>202</v>
      </c>
      <c r="H129" s="46" t="str">
        <f>IFERROR(INDEX('الإعدادات واللجنة'!$C$24:$C$32,MATCH(LEFT(A129,3),'الإعدادات واللجنة'!$A$24:$A$32,0)),"")</f>
        <v>د. يثرب بنت سعد القحطاني</v>
      </c>
      <c r="I129" s="38"/>
      <c r="J129" s="38"/>
      <c r="K129" s="46" t="str">
        <f t="shared" si="1"/>
        <v/>
      </c>
      <c r="L129" s="48"/>
      <c r="M129" s="38"/>
      <c r="N129" s="48"/>
      <c r="O129" s="48"/>
      <c r="P129" s="38"/>
      <c r="Q129" s="48"/>
      <c r="R129" s="26" t="str">
        <f>IF($I129="","",$I129&amp;"#"&amp;COUNTIF($I$5:$I129,$I129))</f>
        <v/>
      </c>
    </row>
    <row r="130" spans="1:18" ht="44" hidden="1" x14ac:dyDescent="0.55000000000000004">
      <c r="A130" s="57" t="s">
        <v>378</v>
      </c>
      <c r="B130" s="65" t="s">
        <v>126</v>
      </c>
      <c r="C130" s="58"/>
      <c r="D130" s="59" t="s">
        <v>208</v>
      </c>
      <c r="E130" s="57">
        <v>4</v>
      </c>
      <c r="F130" s="58" t="s">
        <v>383</v>
      </c>
      <c r="G130" s="47" t="s">
        <v>202</v>
      </c>
      <c r="H130" s="46" t="str">
        <f>IFERROR(INDEX('الإعدادات واللجنة'!$C$24:$C$32,MATCH(LEFT(A130,3),'الإعدادات واللجنة'!$A$24:$A$32,0)),"")</f>
        <v>د. يثرب بنت سعد القحطاني</v>
      </c>
      <c r="I130" s="38"/>
      <c r="J130" s="38"/>
      <c r="K130" s="46" t="str">
        <f t="shared" si="1"/>
        <v/>
      </c>
      <c r="L130" s="48"/>
      <c r="M130" s="38"/>
      <c r="N130" s="48"/>
      <c r="O130" s="48"/>
      <c r="P130" s="38"/>
      <c r="Q130" s="48"/>
      <c r="R130" s="26" t="str">
        <f>IF($I130="","",$I130&amp;"#"&amp;COUNTIF($I$5:$I130,$I130))</f>
        <v/>
      </c>
    </row>
    <row r="131" spans="1:18" ht="44" hidden="1" x14ac:dyDescent="0.55000000000000004">
      <c r="A131" s="57" t="s">
        <v>378</v>
      </c>
      <c r="B131" s="65" t="s">
        <v>126</v>
      </c>
      <c r="C131" s="58"/>
      <c r="D131" s="59" t="s">
        <v>208</v>
      </c>
      <c r="E131" s="57">
        <v>5</v>
      </c>
      <c r="F131" s="58" t="s">
        <v>384</v>
      </c>
      <c r="G131" s="47" t="s">
        <v>202</v>
      </c>
      <c r="H131" s="46" t="str">
        <f>IFERROR(INDEX('الإعدادات واللجنة'!$C$24:$C$32,MATCH(LEFT(A131,3),'الإعدادات واللجنة'!$A$24:$A$32,0)),"")</f>
        <v>د. يثرب بنت سعد القحطاني</v>
      </c>
      <c r="I131" s="38"/>
      <c r="J131" s="38"/>
      <c r="K131" s="46" t="str">
        <f t="shared" si="1"/>
        <v/>
      </c>
      <c r="L131" s="48"/>
      <c r="M131" s="38"/>
      <c r="N131" s="48"/>
      <c r="O131" s="48"/>
      <c r="P131" s="38"/>
      <c r="Q131" s="48"/>
      <c r="R131" s="26" t="str">
        <f>IF($I131="","",$I131&amp;"#"&amp;COUNTIF($I$5:$I131,$I131))</f>
        <v/>
      </c>
    </row>
    <row r="132" spans="1:18" ht="66" hidden="1" x14ac:dyDescent="0.55000000000000004">
      <c r="A132" s="60" t="s">
        <v>385</v>
      </c>
      <c r="B132" s="66" t="s">
        <v>127</v>
      </c>
      <c r="C132" s="61" t="s">
        <v>386</v>
      </c>
      <c r="D132" s="62"/>
      <c r="E132" s="54">
        <v>1</v>
      </c>
      <c r="F132" s="61" t="s">
        <v>387</v>
      </c>
      <c r="G132" s="53" t="s">
        <v>202</v>
      </c>
      <c r="H132" s="54" t="str">
        <f>IFERROR(INDEX('الإعدادات واللجنة'!$C$24:$C$32,MATCH(LEFT(A132,3),'الإعدادات واللجنة'!$A$24:$A$32,0)),"")</f>
        <v>د. عبدالله بن محمد البركاتي</v>
      </c>
      <c r="I132" s="55"/>
      <c r="J132" s="55"/>
      <c r="K132" s="54" t="str">
        <f t="shared" si="1"/>
        <v/>
      </c>
      <c r="L132" s="56"/>
      <c r="M132" s="55"/>
      <c r="N132" s="56"/>
      <c r="O132" s="56"/>
      <c r="P132" s="55"/>
      <c r="Q132" s="56"/>
      <c r="R132" s="26" t="str">
        <f>IF($I132="","",$I132&amp;"#"&amp;COUNTIF($I$5:$I132,$I132))</f>
        <v/>
      </c>
    </row>
    <row r="133" spans="1:18" ht="44" hidden="1" x14ac:dyDescent="0.55000000000000004">
      <c r="A133" s="46" t="s">
        <v>385</v>
      </c>
      <c r="B133" s="63" t="s">
        <v>127</v>
      </c>
      <c r="C133" s="44"/>
      <c r="D133" s="45"/>
      <c r="E133" s="46">
        <v>2</v>
      </c>
      <c r="F133" s="44" t="s">
        <v>388</v>
      </c>
      <c r="G133" s="47" t="s">
        <v>202</v>
      </c>
      <c r="H133" s="46" t="str">
        <f>IFERROR(INDEX('الإعدادات واللجنة'!$C$24:$C$32,MATCH(LEFT(A133,3),'الإعدادات واللجنة'!$A$24:$A$32,0)),"")</f>
        <v>د. عبدالله بن محمد البركاتي</v>
      </c>
      <c r="I133" s="38"/>
      <c r="J133" s="38"/>
      <c r="K133" s="46" t="str">
        <f t="shared" ref="K133:K196" si="2">IF(OR(I133="",I133="متوفر ومكتمل"),"",IF(OR(D133="★",I133="غير متوفر"),"عالية","متوسطة"))</f>
        <v/>
      </c>
      <c r="L133" s="48"/>
      <c r="M133" s="38"/>
      <c r="N133" s="48"/>
      <c r="O133" s="48"/>
      <c r="P133" s="38"/>
      <c r="Q133" s="48"/>
      <c r="R133" s="26" t="str">
        <f>IF($I133="","",$I133&amp;"#"&amp;COUNTIF($I$5:$I133,$I133))</f>
        <v/>
      </c>
    </row>
    <row r="134" spans="1:18" ht="44" hidden="1" x14ac:dyDescent="0.55000000000000004">
      <c r="A134" s="46" t="s">
        <v>385</v>
      </c>
      <c r="B134" s="63" t="s">
        <v>127</v>
      </c>
      <c r="C134" s="44"/>
      <c r="D134" s="45"/>
      <c r="E134" s="46">
        <v>3</v>
      </c>
      <c r="F134" s="44" t="s">
        <v>389</v>
      </c>
      <c r="G134" s="47" t="s">
        <v>202</v>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hidden="1" x14ac:dyDescent="0.55000000000000004">
      <c r="A135" s="46" t="s">
        <v>385</v>
      </c>
      <c r="B135" s="63" t="s">
        <v>127</v>
      </c>
      <c r="C135" s="44"/>
      <c r="D135" s="45"/>
      <c r="E135" s="46">
        <v>4</v>
      </c>
      <c r="F135" s="44" t="s">
        <v>390</v>
      </c>
      <c r="G135" s="47" t="s">
        <v>202</v>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hidden="1" x14ac:dyDescent="0.55000000000000004">
      <c r="A136" s="46" t="s">
        <v>385</v>
      </c>
      <c r="B136" s="63" t="s">
        <v>127</v>
      </c>
      <c r="C136" s="44"/>
      <c r="D136" s="45"/>
      <c r="E136" s="46">
        <v>5</v>
      </c>
      <c r="F136" s="44" t="s">
        <v>391</v>
      </c>
      <c r="G136" s="47" t="s">
        <v>202</v>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hidden="1" x14ac:dyDescent="0.55000000000000004">
      <c r="A137" s="60" t="s">
        <v>392</v>
      </c>
      <c r="B137" s="66" t="s">
        <v>127</v>
      </c>
      <c r="C137" s="61" t="s">
        <v>393</v>
      </c>
      <c r="D137" s="62"/>
      <c r="E137" s="54">
        <v>1</v>
      </c>
      <c r="F137" s="61" t="s">
        <v>394</v>
      </c>
      <c r="G137" s="53" t="s">
        <v>202</v>
      </c>
      <c r="H137" s="54" t="str">
        <f>IFERROR(INDEX('الإعدادات واللجنة'!$C$24:$C$32,MATCH(LEFT(A137,3),'الإعدادات واللجنة'!$A$24:$A$32,0)),"")</f>
        <v>د. عبدالله بن محمد البركاتي</v>
      </c>
      <c r="I137" s="55"/>
      <c r="J137" s="55"/>
      <c r="K137" s="54" t="str">
        <f t="shared" si="2"/>
        <v/>
      </c>
      <c r="L137" s="56"/>
      <c r="M137" s="55"/>
      <c r="N137" s="56"/>
      <c r="O137" s="56"/>
      <c r="P137" s="55"/>
      <c r="Q137" s="56"/>
      <c r="R137" s="26" t="str">
        <f>IF($I137="","",$I137&amp;"#"&amp;COUNTIF($I$5:$I137,$I137))</f>
        <v/>
      </c>
    </row>
    <row r="138" spans="1:18" ht="44" hidden="1" x14ac:dyDescent="0.55000000000000004">
      <c r="A138" s="46" t="s">
        <v>392</v>
      </c>
      <c r="B138" s="63" t="s">
        <v>127</v>
      </c>
      <c r="C138" s="44"/>
      <c r="D138" s="45"/>
      <c r="E138" s="46">
        <v>2</v>
      </c>
      <c r="F138" s="44" t="s">
        <v>395</v>
      </c>
      <c r="G138" s="47" t="s">
        <v>202</v>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hidden="1" x14ac:dyDescent="0.55000000000000004">
      <c r="A139" s="46" t="s">
        <v>392</v>
      </c>
      <c r="B139" s="63" t="s">
        <v>127</v>
      </c>
      <c r="C139" s="44"/>
      <c r="D139" s="45"/>
      <c r="E139" s="46">
        <v>3</v>
      </c>
      <c r="F139" s="44" t="s">
        <v>396</v>
      </c>
      <c r="G139" s="47" t="s">
        <v>202</v>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hidden="1" x14ac:dyDescent="0.55000000000000004">
      <c r="A140" s="49" t="s">
        <v>397</v>
      </c>
      <c r="B140" s="64" t="s">
        <v>127</v>
      </c>
      <c r="C140" s="50" t="s">
        <v>398</v>
      </c>
      <c r="D140" s="51" t="s">
        <v>208</v>
      </c>
      <c r="E140" s="52">
        <v>1</v>
      </c>
      <c r="F140" s="50" t="s">
        <v>399</v>
      </c>
      <c r="G140" s="53" t="s">
        <v>202</v>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hidden="1" x14ac:dyDescent="0.55000000000000004">
      <c r="A141" s="57" t="s">
        <v>397</v>
      </c>
      <c r="B141" s="65" t="s">
        <v>127</v>
      </c>
      <c r="C141" s="58"/>
      <c r="D141" s="59" t="s">
        <v>208</v>
      </c>
      <c r="E141" s="57">
        <v>2</v>
      </c>
      <c r="F141" s="58" t="s">
        <v>400</v>
      </c>
      <c r="G141" s="47" t="s">
        <v>202</v>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hidden="1" x14ac:dyDescent="0.55000000000000004">
      <c r="A142" s="57" t="s">
        <v>397</v>
      </c>
      <c r="B142" s="65" t="s">
        <v>127</v>
      </c>
      <c r="C142" s="58"/>
      <c r="D142" s="59" t="s">
        <v>208</v>
      </c>
      <c r="E142" s="57">
        <v>3</v>
      </c>
      <c r="F142" s="58" t="s">
        <v>401</v>
      </c>
      <c r="G142" s="47" t="s">
        <v>202</v>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hidden="1" x14ac:dyDescent="0.55000000000000004">
      <c r="A143" s="57" t="s">
        <v>397</v>
      </c>
      <c r="B143" s="65" t="s">
        <v>127</v>
      </c>
      <c r="C143" s="58"/>
      <c r="D143" s="59" t="s">
        <v>208</v>
      </c>
      <c r="E143" s="57">
        <v>4</v>
      </c>
      <c r="F143" s="58" t="s">
        <v>402</v>
      </c>
      <c r="G143" s="47" t="s">
        <v>202</v>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hidden="1" x14ac:dyDescent="0.55000000000000004">
      <c r="A144" s="57" t="s">
        <v>397</v>
      </c>
      <c r="B144" s="65" t="s">
        <v>127</v>
      </c>
      <c r="C144" s="58"/>
      <c r="D144" s="59" t="s">
        <v>208</v>
      </c>
      <c r="E144" s="57">
        <v>5</v>
      </c>
      <c r="F144" s="58" t="s">
        <v>403</v>
      </c>
      <c r="G144" s="47" t="s">
        <v>202</v>
      </c>
      <c r="H144" s="46" t="str">
        <f>IFERROR(INDEX('الإعدادات واللجنة'!$C$24:$C$32,MATCH(LEFT(A144,3),'الإعدادات واللجنة'!$A$24:$A$32,0)),"")</f>
        <v>د. عبدالله بن محمد البركاتي</v>
      </c>
      <c r="I144" s="38"/>
      <c r="J144" s="38"/>
      <c r="K144" s="46" t="str">
        <f t="shared" si="2"/>
        <v/>
      </c>
      <c r="L144" s="48"/>
      <c r="M144" s="38"/>
      <c r="N144" s="48"/>
      <c r="O144" s="48"/>
      <c r="P144" s="38"/>
      <c r="Q144" s="48"/>
      <c r="R144" s="26" t="str">
        <f>IF($I144="","",$I144&amp;"#"&amp;COUNTIF($I$5:$I144,$I144))</f>
        <v/>
      </c>
    </row>
    <row r="145" spans="1:18" ht="44" hidden="1" x14ac:dyDescent="0.55000000000000004">
      <c r="A145" s="57" t="s">
        <v>397</v>
      </c>
      <c r="B145" s="65" t="s">
        <v>127</v>
      </c>
      <c r="C145" s="58"/>
      <c r="D145" s="59" t="s">
        <v>208</v>
      </c>
      <c r="E145" s="57">
        <v>6</v>
      </c>
      <c r="F145" s="58" t="s">
        <v>404</v>
      </c>
      <c r="G145" s="47" t="s">
        <v>202</v>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hidden="1" x14ac:dyDescent="0.55000000000000004">
      <c r="A146" s="57" t="s">
        <v>397</v>
      </c>
      <c r="B146" s="65" t="s">
        <v>127</v>
      </c>
      <c r="C146" s="58"/>
      <c r="D146" s="59" t="s">
        <v>208</v>
      </c>
      <c r="E146" s="57">
        <v>7</v>
      </c>
      <c r="F146" s="58" t="s">
        <v>405</v>
      </c>
      <c r="G146" s="47" t="s">
        <v>202</v>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66" hidden="1" x14ac:dyDescent="0.55000000000000004">
      <c r="A147" s="60" t="s">
        <v>406</v>
      </c>
      <c r="B147" s="66" t="s">
        <v>127</v>
      </c>
      <c r="C147" s="61" t="s">
        <v>407</v>
      </c>
      <c r="D147" s="62"/>
      <c r="E147" s="54">
        <v>1</v>
      </c>
      <c r="F147" s="61" t="s">
        <v>408</v>
      </c>
      <c r="G147" s="53" t="s">
        <v>202</v>
      </c>
      <c r="H147" s="54" t="str">
        <f>IFERROR(INDEX('الإعدادات واللجنة'!$C$24:$C$32,MATCH(LEFT(A147,3),'الإعدادات واللجنة'!$A$24:$A$32,0)),"")</f>
        <v>د. عبدالله بن محمد البركاتي</v>
      </c>
      <c r="I147" s="55"/>
      <c r="J147" s="55"/>
      <c r="K147" s="54" t="str">
        <f t="shared" si="2"/>
        <v/>
      </c>
      <c r="L147" s="56"/>
      <c r="M147" s="55"/>
      <c r="N147" s="56"/>
      <c r="O147" s="56"/>
      <c r="P147" s="55"/>
      <c r="Q147" s="56"/>
      <c r="R147" s="26" t="str">
        <f>IF($I147="","",$I147&amp;"#"&amp;COUNTIF($I$5:$I147,$I147))</f>
        <v/>
      </c>
    </row>
    <row r="148" spans="1:18" ht="44" hidden="1" x14ac:dyDescent="0.55000000000000004">
      <c r="A148" s="46" t="s">
        <v>406</v>
      </c>
      <c r="B148" s="63" t="s">
        <v>127</v>
      </c>
      <c r="C148" s="44"/>
      <c r="D148" s="45"/>
      <c r="E148" s="46">
        <v>2</v>
      </c>
      <c r="F148" s="44" t="s">
        <v>409</v>
      </c>
      <c r="G148" s="47" t="s">
        <v>202</v>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hidden="1" x14ac:dyDescent="0.55000000000000004">
      <c r="A149" s="46" t="s">
        <v>406</v>
      </c>
      <c r="B149" s="63" t="s">
        <v>127</v>
      </c>
      <c r="C149" s="44"/>
      <c r="D149" s="45"/>
      <c r="E149" s="46">
        <v>3</v>
      </c>
      <c r="F149" s="44" t="s">
        <v>410</v>
      </c>
      <c r="G149" s="47" t="s">
        <v>202</v>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44" hidden="1" x14ac:dyDescent="0.55000000000000004">
      <c r="A150" s="46" t="s">
        <v>406</v>
      </c>
      <c r="B150" s="63" t="s">
        <v>127</v>
      </c>
      <c r="C150" s="44"/>
      <c r="D150" s="45"/>
      <c r="E150" s="46">
        <v>4</v>
      </c>
      <c r="F150" s="44" t="s">
        <v>411</v>
      </c>
      <c r="G150" s="47" t="s">
        <v>202</v>
      </c>
      <c r="H150" s="46" t="str">
        <f>IFERROR(INDEX('الإعدادات واللجنة'!$C$24:$C$32,MATCH(LEFT(A150,3),'الإعدادات واللجنة'!$A$24:$A$32,0)),"")</f>
        <v>د. عبدالله بن محمد البركاتي</v>
      </c>
      <c r="I150" s="38"/>
      <c r="J150" s="38"/>
      <c r="K150" s="46" t="str">
        <f t="shared" si="2"/>
        <v/>
      </c>
      <c r="L150" s="48"/>
      <c r="M150" s="38"/>
      <c r="N150" s="48"/>
      <c r="O150" s="48"/>
      <c r="P150" s="38"/>
      <c r="Q150" s="48"/>
      <c r="R150" s="26" t="str">
        <f>IF($I150="","",$I150&amp;"#"&amp;COUNTIF($I$5:$I150,$I150))</f>
        <v/>
      </c>
    </row>
    <row r="151" spans="1:18" ht="66" hidden="1" x14ac:dyDescent="0.55000000000000004">
      <c r="A151" s="60" t="s">
        <v>412</v>
      </c>
      <c r="B151" s="66" t="s">
        <v>127</v>
      </c>
      <c r="C151" s="61" t="s">
        <v>413</v>
      </c>
      <c r="D151" s="62"/>
      <c r="E151" s="54">
        <v>1</v>
      </c>
      <c r="F151" s="61" t="s">
        <v>414</v>
      </c>
      <c r="G151" s="53" t="s">
        <v>202</v>
      </c>
      <c r="H151" s="54" t="str">
        <f>IFERROR(INDEX('الإعدادات واللجنة'!$C$24:$C$32,MATCH(LEFT(A151,3),'الإعدادات واللجنة'!$A$24:$A$32,0)),"")</f>
        <v>د. عبدالله بن محمد البركاتي</v>
      </c>
      <c r="I151" s="55"/>
      <c r="J151" s="55"/>
      <c r="K151" s="54" t="str">
        <f t="shared" si="2"/>
        <v/>
      </c>
      <c r="L151" s="56"/>
      <c r="M151" s="55"/>
      <c r="N151" s="56"/>
      <c r="O151" s="56"/>
      <c r="P151" s="55"/>
      <c r="Q151" s="56"/>
      <c r="R151" s="26" t="str">
        <f>IF($I151="","",$I151&amp;"#"&amp;COUNTIF($I$5:$I151,$I151))</f>
        <v/>
      </c>
    </row>
    <row r="152" spans="1:18" ht="44" hidden="1" x14ac:dyDescent="0.55000000000000004">
      <c r="A152" s="46" t="s">
        <v>412</v>
      </c>
      <c r="B152" s="63" t="s">
        <v>127</v>
      </c>
      <c r="C152" s="44"/>
      <c r="D152" s="45"/>
      <c r="E152" s="46">
        <v>2</v>
      </c>
      <c r="F152" s="44" t="s">
        <v>415</v>
      </c>
      <c r="G152" s="47" t="s">
        <v>202</v>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44" hidden="1" x14ac:dyDescent="0.55000000000000004">
      <c r="A153" s="46" t="s">
        <v>412</v>
      </c>
      <c r="B153" s="63" t="s">
        <v>127</v>
      </c>
      <c r="C153" s="44"/>
      <c r="D153" s="45"/>
      <c r="E153" s="46">
        <v>3</v>
      </c>
      <c r="F153" s="44" t="s">
        <v>416</v>
      </c>
      <c r="G153" s="47" t="s">
        <v>202</v>
      </c>
      <c r="H153" s="46" t="str">
        <f>IFERROR(INDEX('الإعدادات واللجنة'!$C$24:$C$32,MATCH(LEFT(A153,3),'الإعدادات واللجنة'!$A$24:$A$32,0)),"")</f>
        <v>د. عبدالله بن محمد البركاتي</v>
      </c>
      <c r="I153" s="38"/>
      <c r="J153" s="38"/>
      <c r="K153" s="46" t="str">
        <f t="shared" si="2"/>
        <v/>
      </c>
      <c r="L153" s="48"/>
      <c r="M153" s="38"/>
      <c r="N153" s="48"/>
      <c r="O153" s="48"/>
      <c r="P153" s="38"/>
      <c r="Q153" s="48"/>
      <c r="R153" s="26" t="str">
        <f>IF($I153="","",$I153&amp;"#"&amp;COUNTIF($I$5:$I153,$I153))</f>
        <v/>
      </c>
    </row>
    <row r="154" spans="1:18" ht="44" hidden="1" x14ac:dyDescent="0.55000000000000004">
      <c r="A154" s="46" t="s">
        <v>412</v>
      </c>
      <c r="B154" s="63" t="s">
        <v>127</v>
      </c>
      <c r="C154" s="44"/>
      <c r="D154" s="45"/>
      <c r="E154" s="46">
        <v>4</v>
      </c>
      <c r="F154" s="44" t="s">
        <v>417</v>
      </c>
      <c r="G154" s="47" t="s">
        <v>202</v>
      </c>
      <c r="H154" s="46" t="str">
        <f>IFERROR(INDEX('الإعدادات واللجنة'!$C$24:$C$32,MATCH(LEFT(A154,3),'الإعدادات واللجنة'!$A$24:$A$32,0)),"")</f>
        <v>د. عبدالله بن محمد البركاتي</v>
      </c>
      <c r="I154" s="38"/>
      <c r="J154" s="38"/>
      <c r="K154" s="46" t="str">
        <f t="shared" si="2"/>
        <v/>
      </c>
      <c r="L154" s="48"/>
      <c r="M154" s="38"/>
      <c r="N154" s="48"/>
      <c r="O154" s="48"/>
      <c r="P154" s="38"/>
      <c r="Q154" s="48"/>
      <c r="R154" s="26" t="str">
        <f>IF($I154="","",$I154&amp;"#"&amp;COUNTIF($I$5:$I154,$I154))</f>
        <v/>
      </c>
    </row>
    <row r="155" spans="1:18" ht="66" hidden="1" x14ac:dyDescent="0.55000000000000004">
      <c r="A155" s="60" t="s">
        <v>418</v>
      </c>
      <c r="B155" s="66" t="s">
        <v>127</v>
      </c>
      <c r="C155" s="61" t="s">
        <v>419</v>
      </c>
      <c r="D155" s="62"/>
      <c r="E155" s="54">
        <v>1</v>
      </c>
      <c r="F155" s="61" t="s">
        <v>420</v>
      </c>
      <c r="G155" s="53" t="s">
        <v>202</v>
      </c>
      <c r="H155" s="54" t="str">
        <f>IFERROR(INDEX('الإعدادات واللجنة'!$C$24:$C$32,MATCH(LEFT(A155,3),'الإعدادات واللجنة'!$A$24:$A$32,0)),"")</f>
        <v>د. عبدالله بن محمد البركاتي</v>
      </c>
      <c r="I155" s="55"/>
      <c r="J155" s="55"/>
      <c r="K155" s="54" t="str">
        <f t="shared" si="2"/>
        <v/>
      </c>
      <c r="L155" s="56"/>
      <c r="M155" s="55"/>
      <c r="N155" s="56"/>
      <c r="O155" s="56"/>
      <c r="P155" s="55"/>
      <c r="Q155" s="56"/>
      <c r="R155" s="26" t="str">
        <f>IF($I155="","",$I155&amp;"#"&amp;COUNTIF($I$5:$I155,$I155))</f>
        <v/>
      </c>
    </row>
    <row r="156" spans="1:18" ht="44" hidden="1" x14ac:dyDescent="0.55000000000000004">
      <c r="A156" s="46" t="s">
        <v>418</v>
      </c>
      <c r="B156" s="63" t="s">
        <v>127</v>
      </c>
      <c r="C156" s="44"/>
      <c r="D156" s="45"/>
      <c r="E156" s="46">
        <v>2</v>
      </c>
      <c r="F156" s="44" t="s">
        <v>421</v>
      </c>
      <c r="G156" s="47" t="s">
        <v>202</v>
      </c>
      <c r="H156" s="46" t="str">
        <f>IFERROR(INDEX('الإعدادات واللجنة'!$C$24:$C$32,MATCH(LEFT(A156,3),'الإعدادات واللجنة'!$A$24:$A$32,0)),"")</f>
        <v>د. عبدالله بن محمد البركاتي</v>
      </c>
      <c r="I156" s="38"/>
      <c r="J156" s="38"/>
      <c r="K156" s="46" t="str">
        <f t="shared" si="2"/>
        <v/>
      </c>
      <c r="L156" s="48"/>
      <c r="M156" s="38"/>
      <c r="N156" s="48"/>
      <c r="O156" s="48"/>
      <c r="P156" s="38"/>
      <c r="Q156" s="48"/>
      <c r="R156" s="26" t="str">
        <f>IF($I156="","",$I156&amp;"#"&amp;COUNTIF($I$5:$I156,$I156))</f>
        <v/>
      </c>
    </row>
    <row r="157" spans="1:18" ht="44" hidden="1" x14ac:dyDescent="0.55000000000000004">
      <c r="A157" s="46" t="s">
        <v>418</v>
      </c>
      <c r="B157" s="63" t="s">
        <v>127</v>
      </c>
      <c r="C157" s="44"/>
      <c r="D157" s="45"/>
      <c r="E157" s="46">
        <v>3</v>
      </c>
      <c r="F157" s="44" t="s">
        <v>422</v>
      </c>
      <c r="G157" s="47" t="s">
        <v>202</v>
      </c>
      <c r="H157" s="46" t="str">
        <f>IFERROR(INDEX('الإعدادات واللجنة'!$C$24:$C$32,MATCH(LEFT(A157,3),'الإعدادات واللجنة'!$A$24:$A$32,0)),"")</f>
        <v>د. عبدالله بن محمد البركاتي</v>
      </c>
      <c r="I157" s="38"/>
      <c r="J157" s="38"/>
      <c r="K157" s="46" t="str">
        <f t="shared" si="2"/>
        <v/>
      </c>
      <c r="L157" s="48"/>
      <c r="M157" s="38"/>
      <c r="N157" s="48"/>
      <c r="O157" s="48"/>
      <c r="P157" s="38"/>
      <c r="Q157" s="48"/>
      <c r="R157" s="26" t="str">
        <f>IF($I157="","",$I157&amp;"#"&amp;COUNTIF($I$5:$I157,$I157))</f>
        <v/>
      </c>
    </row>
    <row r="158" spans="1:18" ht="44" hidden="1" x14ac:dyDescent="0.55000000000000004">
      <c r="A158" s="46" t="s">
        <v>418</v>
      </c>
      <c r="B158" s="63" t="s">
        <v>127</v>
      </c>
      <c r="C158" s="44"/>
      <c r="D158" s="45"/>
      <c r="E158" s="46">
        <v>4</v>
      </c>
      <c r="F158" s="44" t="s">
        <v>423</v>
      </c>
      <c r="G158" s="47" t="s">
        <v>202</v>
      </c>
      <c r="H158" s="46" t="str">
        <f>IFERROR(INDEX('الإعدادات واللجنة'!$C$24:$C$32,MATCH(LEFT(A158,3),'الإعدادات واللجنة'!$A$24:$A$32,0)),"")</f>
        <v>د. عبدالله بن محمد البركاتي</v>
      </c>
      <c r="I158" s="38"/>
      <c r="J158" s="38"/>
      <c r="K158" s="46" t="str">
        <f t="shared" si="2"/>
        <v/>
      </c>
      <c r="L158" s="48"/>
      <c r="M158" s="38"/>
      <c r="N158" s="48"/>
      <c r="O158" s="48"/>
      <c r="P158" s="38"/>
      <c r="Q158" s="48"/>
      <c r="R158" s="26" t="str">
        <f>IF($I158="","",$I158&amp;"#"&amp;COUNTIF($I$5:$I158,$I158))</f>
        <v/>
      </c>
    </row>
    <row r="159" spans="1:18" ht="44" hidden="1" x14ac:dyDescent="0.55000000000000004">
      <c r="A159" s="46" t="s">
        <v>418</v>
      </c>
      <c r="B159" s="63" t="s">
        <v>127</v>
      </c>
      <c r="C159" s="44"/>
      <c r="D159" s="45"/>
      <c r="E159" s="46">
        <v>5</v>
      </c>
      <c r="F159" s="44" t="s">
        <v>424</v>
      </c>
      <c r="G159" s="47" t="s">
        <v>202</v>
      </c>
      <c r="H159" s="46" t="str">
        <f>IFERROR(INDEX('الإعدادات واللجنة'!$C$24:$C$32,MATCH(LEFT(A159,3),'الإعدادات واللجنة'!$A$24:$A$32,0)),"")</f>
        <v>د. عبدالله بن محمد البركاتي</v>
      </c>
      <c r="I159" s="38"/>
      <c r="J159" s="38"/>
      <c r="K159" s="46" t="str">
        <f t="shared" si="2"/>
        <v/>
      </c>
      <c r="L159" s="48"/>
      <c r="M159" s="38"/>
      <c r="N159" s="48"/>
      <c r="O159" s="48"/>
      <c r="P159" s="38"/>
      <c r="Q159" s="48"/>
      <c r="R159" s="26" t="str">
        <f>IF($I159="","",$I159&amp;"#"&amp;COUNTIF($I$5:$I159,$I159))</f>
        <v/>
      </c>
    </row>
    <row r="160" spans="1:18" ht="44" hidden="1" x14ac:dyDescent="0.55000000000000004">
      <c r="A160" s="46" t="s">
        <v>418</v>
      </c>
      <c r="B160" s="63" t="s">
        <v>127</v>
      </c>
      <c r="C160" s="44"/>
      <c r="D160" s="45"/>
      <c r="E160" s="46">
        <v>6</v>
      </c>
      <c r="F160" s="44" t="s">
        <v>425</v>
      </c>
      <c r="G160" s="47" t="s">
        <v>202</v>
      </c>
      <c r="H160" s="46" t="str">
        <f>IFERROR(INDEX('الإعدادات واللجنة'!$C$24:$C$32,MATCH(LEFT(A160,3),'الإعدادات واللجنة'!$A$24:$A$32,0)),"")</f>
        <v>د. عبدالله بن محمد البركاتي</v>
      </c>
      <c r="I160" s="38"/>
      <c r="J160" s="38"/>
      <c r="K160" s="46" t="str">
        <f t="shared" si="2"/>
        <v/>
      </c>
      <c r="L160" s="48"/>
      <c r="M160" s="38"/>
      <c r="N160" s="48"/>
      <c r="O160" s="48"/>
      <c r="P160" s="38"/>
      <c r="Q160" s="48"/>
      <c r="R160" s="26" t="str">
        <f>IF($I160="","",$I160&amp;"#"&amp;COUNTIF($I$5:$I160,$I160))</f>
        <v/>
      </c>
    </row>
    <row r="161" spans="1:18" ht="66" hidden="1" x14ac:dyDescent="0.55000000000000004">
      <c r="A161" s="49" t="s">
        <v>426</v>
      </c>
      <c r="B161" s="64" t="s">
        <v>127</v>
      </c>
      <c r="C161" s="50" t="s">
        <v>427</v>
      </c>
      <c r="D161" s="51" t="s">
        <v>208</v>
      </c>
      <c r="E161" s="52">
        <v>1</v>
      </c>
      <c r="F161" s="50" t="s">
        <v>428</v>
      </c>
      <c r="G161" s="53" t="s">
        <v>202</v>
      </c>
      <c r="H161" s="54" t="str">
        <f>IFERROR(INDEX('الإعدادات واللجنة'!$C$24:$C$32,MATCH(LEFT(A161,3),'الإعدادات واللجنة'!$A$24:$A$32,0)),"")</f>
        <v>د. عبدالله بن محمد البركاتي</v>
      </c>
      <c r="I161" s="55"/>
      <c r="J161" s="55"/>
      <c r="K161" s="54" t="str">
        <f t="shared" si="2"/>
        <v/>
      </c>
      <c r="L161" s="56"/>
      <c r="M161" s="55"/>
      <c r="N161" s="56"/>
      <c r="O161" s="56"/>
      <c r="P161" s="55"/>
      <c r="Q161" s="56"/>
      <c r="R161" s="26" t="str">
        <f>IF($I161="","",$I161&amp;"#"&amp;COUNTIF($I$5:$I161,$I161))</f>
        <v/>
      </c>
    </row>
    <row r="162" spans="1:18" ht="44" hidden="1" x14ac:dyDescent="0.55000000000000004">
      <c r="A162" s="57" t="s">
        <v>426</v>
      </c>
      <c r="B162" s="65" t="s">
        <v>127</v>
      </c>
      <c r="C162" s="58"/>
      <c r="D162" s="59" t="s">
        <v>208</v>
      </c>
      <c r="E162" s="57">
        <v>2</v>
      </c>
      <c r="F162" s="58" t="s">
        <v>429</v>
      </c>
      <c r="G162" s="47" t="s">
        <v>202</v>
      </c>
      <c r="H162" s="46" t="str">
        <f>IFERROR(INDEX('الإعدادات واللجنة'!$C$24:$C$32,MATCH(LEFT(A162,3),'الإعدادات واللجنة'!$A$24:$A$32,0)),"")</f>
        <v>د. عبدالله بن محمد البركاتي</v>
      </c>
      <c r="I162" s="38"/>
      <c r="J162" s="38"/>
      <c r="K162" s="46" t="str">
        <f t="shared" si="2"/>
        <v/>
      </c>
      <c r="L162" s="48"/>
      <c r="M162" s="38"/>
      <c r="N162" s="48"/>
      <c r="O162" s="48"/>
      <c r="P162" s="38"/>
      <c r="Q162" s="48"/>
      <c r="R162" s="26" t="str">
        <f>IF($I162="","",$I162&amp;"#"&amp;COUNTIF($I$5:$I162,$I162))</f>
        <v/>
      </c>
    </row>
    <row r="163" spans="1:18" ht="44" hidden="1" x14ac:dyDescent="0.55000000000000004">
      <c r="A163" s="57" t="s">
        <v>426</v>
      </c>
      <c r="B163" s="65" t="s">
        <v>127</v>
      </c>
      <c r="C163" s="58"/>
      <c r="D163" s="59" t="s">
        <v>208</v>
      </c>
      <c r="E163" s="57">
        <v>3</v>
      </c>
      <c r="F163" s="58" t="s">
        <v>430</v>
      </c>
      <c r="G163" s="47" t="s">
        <v>202</v>
      </c>
      <c r="H163" s="46" t="str">
        <f>IFERROR(INDEX('الإعدادات واللجنة'!$C$24:$C$32,MATCH(LEFT(A163,3),'الإعدادات واللجنة'!$A$24:$A$32,0)),"")</f>
        <v>د. عبدالله بن محمد البركاتي</v>
      </c>
      <c r="I163" s="38"/>
      <c r="J163" s="38"/>
      <c r="K163" s="46" t="str">
        <f t="shared" si="2"/>
        <v/>
      </c>
      <c r="L163" s="48"/>
      <c r="M163" s="38"/>
      <c r="N163" s="48"/>
      <c r="O163" s="48"/>
      <c r="P163" s="38"/>
      <c r="Q163" s="48"/>
      <c r="R163" s="26" t="str">
        <f>IF($I163="","",$I163&amp;"#"&amp;COUNTIF($I$5:$I163,$I163))</f>
        <v/>
      </c>
    </row>
    <row r="164" spans="1:18" ht="66" hidden="1" x14ac:dyDescent="0.55000000000000004">
      <c r="A164" s="49" t="s">
        <v>431</v>
      </c>
      <c r="B164" s="64" t="s">
        <v>128</v>
      </c>
      <c r="C164" s="50" t="s">
        <v>432</v>
      </c>
      <c r="D164" s="51" t="s">
        <v>208</v>
      </c>
      <c r="E164" s="52">
        <v>1</v>
      </c>
      <c r="F164" s="50" t="s">
        <v>433</v>
      </c>
      <c r="G164" s="53" t="s">
        <v>202</v>
      </c>
      <c r="H164" s="54" t="str">
        <f>IFERROR(INDEX('الإعدادات واللجنة'!$C$24:$C$32,MATCH(LEFT(A164,3),'الإعدادات واللجنة'!$A$24:$A$32,0)),"")</f>
        <v>د. عمر بن محمد موسى</v>
      </c>
      <c r="I164" s="55"/>
      <c r="J164" s="55"/>
      <c r="K164" s="54" t="str">
        <f t="shared" si="2"/>
        <v/>
      </c>
      <c r="L164" s="56"/>
      <c r="M164" s="55"/>
      <c r="N164" s="56"/>
      <c r="O164" s="56"/>
      <c r="P164" s="55"/>
      <c r="Q164" s="56"/>
      <c r="R164" s="26" t="str">
        <f>IF($I164="","",$I164&amp;"#"&amp;COUNTIF($I$5:$I164,$I164))</f>
        <v/>
      </c>
    </row>
    <row r="165" spans="1:18" ht="26" hidden="1" x14ac:dyDescent="0.55000000000000004">
      <c r="A165" s="57" t="s">
        <v>431</v>
      </c>
      <c r="B165" s="65" t="s">
        <v>128</v>
      </c>
      <c r="C165" s="58"/>
      <c r="D165" s="59" t="s">
        <v>208</v>
      </c>
      <c r="E165" s="57">
        <v>2</v>
      </c>
      <c r="F165" s="58" t="s">
        <v>434</v>
      </c>
      <c r="G165" s="47" t="s">
        <v>202</v>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hidden="1" x14ac:dyDescent="0.55000000000000004">
      <c r="A166" s="57" t="s">
        <v>431</v>
      </c>
      <c r="B166" s="65" t="s">
        <v>128</v>
      </c>
      <c r="C166" s="58"/>
      <c r="D166" s="59" t="s">
        <v>208</v>
      </c>
      <c r="E166" s="57">
        <v>3</v>
      </c>
      <c r="F166" s="58" t="s">
        <v>435</v>
      </c>
      <c r="G166" s="47" t="s">
        <v>202</v>
      </c>
      <c r="H166" s="46" t="str">
        <f>IFERROR(INDEX('الإعدادات واللجنة'!$C$24:$C$32,MATCH(LEFT(A166,3),'الإعدادات واللجنة'!$A$24:$A$32,0)),"")</f>
        <v>د. عمر بن محمد موسى</v>
      </c>
      <c r="I166" s="38"/>
      <c r="J166" s="38"/>
      <c r="K166" s="46" t="str">
        <f t="shared" si="2"/>
        <v/>
      </c>
      <c r="L166" s="48"/>
      <c r="M166" s="38"/>
      <c r="N166" s="48"/>
      <c r="O166" s="48"/>
      <c r="P166" s="38"/>
      <c r="Q166" s="48"/>
      <c r="R166" s="26" t="str">
        <f>IF($I166="","",$I166&amp;"#"&amp;COUNTIF($I$5:$I166,$I166))</f>
        <v/>
      </c>
    </row>
    <row r="167" spans="1:18" ht="44" hidden="1" x14ac:dyDescent="0.55000000000000004">
      <c r="A167" s="57" t="s">
        <v>431</v>
      </c>
      <c r="B167" s="65" t="s">
        <v>128</v>
      </c>
      <c r="C167" s="58"/>
      <c r="D167" s="59" t="s">
        <v>208</v>
      </c>
      <c r="E167" s="57">
        <v>4</v>
      </c>
      <c r="F167" s="58" t="s">
        <v>436</v>
      </c>
      <c r="G167" s="47" t="s">
        <v>202</v>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hidden="1" x14ac:dyDescent="0.55000000000000004">
      <c r="A168" s="60" t="s">
        <v>437</v>
      </c>
      <c r="B168" s="66" t="s">
        <v>128</v>
      </c>
      <c r="C168" s="61" t="s">
        <v>438</v>
      </c>
      <c r="D168" s="62"/>
      <c r="E168" s="54">
        <v>1</v>
      </c>
      <c r="F168" s="61" t="s">
        <v>439</v>
      </c>
      <c r="G168" s="53" t="s">
        <v>202</v>
      </c>
      <c r="H168" s="54" t="str">
        <f>IFERROR(INDEX('الإعدادات واللجنة'!$C$24:$C$32,MATCH(LEFT(A168,3),'الإعدادات واللجنة'!$A$24:$A$32,0)),"")</f>
        <v>د. عمر بن محمد موسى</v>
      </c>
      <c r="I168" s="55"/>
      <c r="J168" s="55"/>
      <c r="K168" s="54" t="str">
        <f t="shared" si="2"/>
        <v/>
      </c>
      <c r="L168" s="56"/>
      <c r="M168" s="55"/>
      <c r="N168" s="56"/>
      <c r="O168" s="56"/>
      <c r="P168" s="55"/>
      <c r="Q168" s="56"/>
      <c r="R168" s="26" t="str">
        <f>IF($I168="","",$I168&amp;"#"&amp;COUNTIF($I$5:$I168,$I168))</f>
        <v/>
      </c>
    </row>
    <row r="169" spans="1:18" ht="44" hidden="1" x14ac:dyDescent="0.55000000000000004">
      <c r="A169" s="46" t="s">
        <v>437</v>
      </c>
      <c r="B169" s="63" t="s">
        <v>128</v>
      </c>
      <c r="C169" s="44"/>
      <c r="D169" s="45"/>
      <c r="E169" s="46">
        <v>2</v>
      </c>
      <c r="F169" s="44" t="s">
        <v>440</v>
      </c>
      <c r="G169" s="47" t="s">
        <v>202</v>
      </c>
      <c r="H169" s="46" t="str">
        <f>IFERROR(INDEX('الإعدادات واللجنة'!$C$24:$C$32,MATCH(LEFT(A169,3),'الإعدادات واللجنة'!$A$24:$A$32,0)),"")</f>
        <v>د. عمر بن محمد موسى</v>
      </c>
      <c r="I169" s="38"/>
      <c r="J169" s="38"/>
      <c r="K169" s="46" t="str">
        <f t="shared" si="2"/>
        <v/>
      </c>
      <c r="L169" s="48"/>
      <c r="M169" s="38"/>
      <c r="N169" s="48"/>
      <c r="O169" s="48"/>
      <c r="P169" s="38"/>
      <c r="Q169" s="48"/>
      <c r="R169" s="26" t="str">
        <f>IF($I169="","",$I169&amp;"#"&amp;COUNTIF($I$5:$I169,$I169))</f>
        <v/>
      </c>
    </row>
    <row r="170" spans="1:18" ht="66" hidden="1" x14ac:dyDescent="0.55000000000000004">
      <c r="A170" s="60" t="s">
        <v>441</v>
      </c>
      <c r="B170" s="66" t="s">
        <v>128</v>
      </c>
      <c r="C170" s="61" t="s">
        <v>442</v>
      </c>
      <c r="D170" s="62"/>
      <c r="E170" s="54">
        <v>1</v>
      </c>
      <c r="F170" s="61" t="s">
        <v>443</v>
      </c>
      <c r="G170" s="53" t="s">
        <v>202</v>
      </c>
      <c r="H170" s="54" t="str">
        <f>IFERROR(INDEX('الإعدادات واللجنة'!$C$24:$C$32,MATCH(LEFT(A170,3),'الإعدادات واللجنة'!$A$24:$A$32,0)),"")</f>
        <v>د. عمر بن محمد موسى</v>
      </c>
      <c r="I170" s="55"/>
      <c r="J170" s="55"/>
      <c r="K170" s="54" t="str">
        <f t="shared" si="2"/>
        <v/>
      </c>
      <c r="L170" s="56"/>
      <c r="M170" s="55"/>
      <c r="N170" s="56"/>
      <c r="O170" s="56"/>
      <c r="P170" s="55"/>
      <c r="Q170" s="56"/>
      <c r="R170" s="26" t="str">
        <f>IF($I170="","",$I170&amp;"#"&amp;COUNTIF($I$5:$I170,$I170))</f>
        <v/>
      </c>
    </row>
    <row r="171" spans="1:18" ht="66" hidden="1" x14ac:dyDescent="0.55000000000000004">
      <c r="A171" s="46" t="s">
        <v>441</v>
      </c>
      <c r="B171" s="63" t="s">
        <v>128</v>
      </c>
      <c r="C171" s="44"/>
      <c r="D171" s="45"/>
      <c r="E171" s="46">
        <v>2</v>
      </c>
      <c r="F171" s="44" t="s">
        <v>444</v>
      </c>
      <c r="G171" s="47" t="s">
        <v>202</v>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hidden="1" x14ac:dyDescent="0.55000000000000004">
      <c r="A172" s="46" t="s">
        <v>441</v>
      </c>
      <c r="B172" s="63" t="s">
        <v>128</v>
      </c>
      <c r="C172" s="44"/>
      <c r="D172" s="45"/>
      <c r="E172" s="46">
        <v>3</v>
      </c>
      <c r="F172" s="44" t="s">
        <v>445</v>
      </c>
      <c r="G172" s="47" t="s">
        <v>202</v>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44" hidden="1" x14ac:dyDescent="0.55000000000000004">
      <c r="A173" s="46" t="s">
        <v>441</v>
      </c>
      <c r="B173" s="63" t="s">
        <v>128</v>
      </c>
      <c r="C173" s="44"/>
      <c r="D173" s="45"/>
      <c r="E173" s="46">
        <v>4</v>
      </c>
      <c r="F173" s="44" t="s">
        <v>446</v>
      </c>
      <c r="G173" s="47" t="s">
        <v>202</v>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26" hidden="1" x14ac:dyDescent="0.55000000000000004">
      <c r="A174" s="46" t="s">
        <v>441</v>
      </c>
      <c r="B174" s="63" t="s">
        <v>128</v>
      </c>
      <c r="C174" s="44"/>
      <c r="D174" s="45"/>
      <c r="E174" s="46">
        <v>5</v>
      </c>
      <c r="F174" s="44" t="s">
        <v>447</v>
      </c>
      <c r="G174" s="47" t="s">
        <v>202</v>
      </c>
      <c r="H174" s="46" t="str">
        <f>IFERROR(INDEX('الإعدادات واللجنة'!$C$24:$C$32,MATCH(LEFT(A174,3),'الإعدادات واللجنة'!$A$24:$A$32,0)),"")</f>
        <v>د. عمر بن محمد موسى</v>
      </c>
      <c r="I174" s="38"/>
      <c r="J174" s="38"/>
      <c r="K174" s="46" t="str">
        <f t="shared" si="2"/>
        <v/>
      </c>
      <c r="L174" s="48"/>
      <c r="M174" s="38"/>
      <c r="N174" s="48"/>
      <c r="O174" s="48"/>
      <c r="P174" s="38"/>
      <c r="Q174" s="48"/>
      <c r="R174" s="26" t="str">
        <f>IF($I174="","",$I174&amp;"#"&amp;COUNTIF($I$5:$I174,$I174))</f>
        <v/>
      </c>
    </row>
    <row r="175" spans="1:18" ht="26" hidden="1" x14ac:dyDescent="0.55000000000000004">
      <c r="A175" s="46" t="s">
        <v>441</v>
      </c>
      <c r="B175" s="63" t="s">
        <v>128</v>
      </c>
      <c r="C175" s="44"/>
      <c r="D175" s="45"/>
      <c r="E175" s="46">
        <v>6</v>
      </c>
      <c r="F175" s="44" t="s">
        <v>448</v>
      </c>
      <c r="G175" s="47" t="s">
        <v>202</v>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44" hidden="1" x14ac:dyDescent="0.55000000000000004">
      <c r="A176" s="46" t="s">
        <v>441</v>
      </c>
      <c r="B176" s="63" t="s">
        <v>128</v>
      </c>
      <c r="C176" s="44"/>
      <c r="D176" s="45"/>
      <c r="E176" s="46">
        <v>7</v>
      </c>
      <c r="F176" s="44" t="s">
        <v>449</v>
      </c>
      <c r="G176" s="47" t="s">
        <v>202</v>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44" hidden="1" x14ac:dyDescent="0.55000000000000004">
      <c r="A177" s="60" t="s">
        <v>450</v>
      </c>
      <c r="B177" s="66" t="s">
        <v>128</v>
      </c>
      <c r="C177" s="61" t="s">
        <v>451</v>
      </c>
      <c r="D177" s="62"/>
      <c r="E177" s="54">
        <v>1</v>
      </c>
      <c r="F177" s="61" t="s">
        <v>452</v>
      </c>
      <c r="G177" s="53" t="s">
        <v>202</v>
      </c>
      <c r="H177" s="54" t="str">
        <f>IFERROR(INDEX('الإعدادات واللجنة'!$C$24:$C$32,MATCH(LEFT(A177,3),'الإعدادات واللجنة'!$A$24:$A$32,0)),"")</f>
        <v>د. عمر بن محمد موسى</v>
      </c>
      <c r="I177" s="55"/>
      <c r="J177" s="55"/>
      <c r="K177" s="54" t="str">
        <f t="shared" si="2"/>
        <v/>
      </c>
      <c r="L177" s="56"/>
      <c r="M177" s="55"/>
      <c r="N177" s="56"/>
      <c r="O177" s="56"/>
      <c r="P177" s="55"/>
      <c r="Q177" s="56"/>
      <c r="R177" s="26" t="str">
        <f>IF($I177="","",$I177&amp;"#"&amp;COUNTIF($I$5:$I177,$I177))</f>
        <v/>
      </c>
    </row>
    <row r="178" spans="1:18" ht="26" hidden="1" x14ac:dyDescent="0.55000000000000004">
      <c r="A178" s="46" t="s">
        <v>450</v>
      </c>
      <c r="B178" s="63" t="s">
        <v>128</v>
      </c>
      <c r="C178" s="44"/>
      <c r="D178" s="45"/>
      <c r="E178" s="46">
        <v>2</v>
      </c>
      <c r="F178" s="44" t="s">
        <v>453</v>
      </c>
      <c r="G178" s="47" t="s">
        <v>202</v>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44" hidden="1" x14ac:dyDescent="0.55000000000000004">
      <c r="A179" s="46" t="s">
        <v>450</v>
      </c>
      <c r="B179" s="63" t="s">
        <v>128</v>
      </c>
      <c r="C179" s="44"/>
      <c r="D179" s="45"/>
      <c r="E179" s="46">
        <v>3</v>
      </c>
      <c r="F179" s="44" t="s">
        <v>454</v>
      </c>
      <c r="G179" s="47" t="s">
        <v>202</v>
      </c>
      <c r="H179" s="46" t="str">
        <f>IFERROR(INDEX('الإعدادات واللجنة'!$C$24:$C$32,MATCH(LEFT(A179,3),'الإعدادات واللجنة'!$A$24:$A$32,0)),"")</f>
        <v>د. عمر بن محمد موسى</v>
      </c>
      <c r="I179" s="38"/>
      <c r="J179" s="38"/>
      <c r="K179" s="46" t="str">
        <f t="shared" si="2"/>
        <v/>
      </c>
      <c r="L179" s="48"/>
      <c r="M179" s="38"/>
      <c r="N179" s="48"/>
      <c r="O179" s="48"/>
      <c r="P179" s="38"/>
      <c r="Q179" s="48"/>
      <c r="R179" s="26" t="str">
        <f>IF($I179="","",$I179&amp;"#"&amp;COUNTIF($I$5:$I179,$I179))</f>
        <v/>
      </c>
    </row>
    <row r="180" spans="1:18" ht="66" hidden="1" x14ac:dyDescent="0.55000000000000004">
      <c r="A180" s="60" t="s">
        <v>455</v>
      </c>
      <c r="B180" s="66" t="s">
        <v>128</v>
      </c>
      <c r="C180" s="61" t="s">
        <v>456</v>
      </c>
      <c r="D180" s="62"/>
      <c r="E180" s="54">
        <v>1</v>
      </c>
      <c r="F180" s="61" t="s">
        <v>457</v>
      </c>
      <c r="G180" s="53" t="s">
        <v>202</v>
      </c>
      <c r="H180" s="54" t="str">
        <f>IFERROR(INDEX('الإعدادات واللجنة'!$C$24:$C$32,MATCH(LEFT(A180,3),'الإعدادات واللجنة'!$A$24:$A$32,0)),"")</f>
        <v>د. عمر بن محمد موسى</v>
      </c>
      <c r="I180" s="55"/>
      <c r="J180" s="55"/>
      <c r="K180" s="54" t="str">
        <f t="shared" si="2"/>
        <v/>
      </c>
      <c r="L180" s="56"/>
      <c r="M180" s="55"/>
      <c r="N180" s="56"/>
      <c r="O180" s="56"/>
      <c r="P180" s="55"/>
      <c r="Q180" s="56"/>
      <c r="R180" s="26" t="str">
        <f>IF($I180="","",$I180&amp;"#"&amp;COUNTIF($I$5:$I180,$I180))</f>
        <v/>
      </c>
    </row>
    <row r="181" spans="1:18" ht="26" hidden="1" x14ac:dyDescent="0.55000000000000004">
      <c r="A181" s="46" t="s">
        <v>455</v>
      </c>
      <c r="B181" s="63" t="s">
        <v>128</v>
      </c>
      <c r="C181" s="44"/>
      <c r="D181" s="45"/>
      <c r="E181" s="46">
        <v>2</v>
      </c>
      <c r="F181" s="44" t="s">
        <v>458</v>
      </c>
      <c r="G181" s="47" t="s">
        <v>202</v>
      </c>
      <c r="H181" s="46" t="str">
        <f>IFERROR(INDEX('الإعدادات واللجنة'!$C$24:$C$32,MATCH(LEFT(A181,3),'الإعدادات واللجنة'!$A$24:$A$32,0)),"")</f>
        <v>د. عمر بن محمد موسى</v>
      </c>
      <c r="I181" s="38"/>
      <c r="J181" s="38"/>
      <c r="K181" s="46" t="str">
        <f t="shared" si="2"/>
        <v/>
      </c>
      <c r="L181" s="48"/>
      <c r="M181" s="38"/>
      <c r="N181" s="48"/>
      <c r="O181" s="48"/>
      <c r="P181" s="38"/>
      <c r="Q181" s="48"/>
      <c r="R181" s="26" t="str">
        <f>IF($I181="","",$I181&amp;"#"&amp;COUNTIF($I$5:$I181,$I181))</f>
        <v/>
      </c>
    </row>
    <row r="182" spans="1:18" ht="44" hidden="1" x14ac:dyDescent="0.55000000000000004">
      <c r="A182" s="46" t="s">
        <v>455</v>
      </c>
      <c r="B182" s="63" t="s">
        <v>128</v>
      </c>
      <c r="C182" s="44"/>
      <c r="D182" s="45"/>
      <c r="E182" s="46">
        <v>3</v>
      </c>
      <c r="F182" s="44" t="s">
        <v>459</v>
      </c>
      <c r="G182" s="47" t="s">
        <v>202</v>
      </c>
      <c r="H182" s="46" t="str">
        <f>IFERROR(INDEX('الإعدادات واللجنة'!$C$24:$C$32,MATCH(LEFT(A182,3),'الإعدادات واللجنة'!$A$24:$A$32,0)),"")</f>
        <v>د. عمر بن محمد موسى</v>
      </c>
      <c r="I182" s="38"/>
      <c r="J182" s="38"/>
      <c r="K182" s="46" t="str">
        <f t="shared" si="2"/>
        <v/>
      </c>
      <c r="L182" s="48"/>
      <c r="M182" s="38"/>
      <c r="N182" s="48"/>
      <c r="O182" s="48"/>
      <c r="P182" s="38"/>
      <c r="Q182" s="48"/>
      <c r="R182" s="26" t="str">
        <f>IF($I182="","",$I182&amp;"#"&amp;COUNTIF($I$5:$I182,$I182))</f>
        <v/>
      </c>
    </row>
    <row r="183" spans="1:18" ht="44" hidden="1" x14ac:dyDescent="0.55000000000000004">
      <c r="A183" s="46" t="s">
        <v>455</v>
      </c>
      <c r="B183" s="63" t="s">
        <v>128</v>
      </c>
      <c r="C183" s="44"/>
      <c r="D183" s="45"/>
      <c r="E183" s="46">
        <v>4</v>
      </c>
      <c r="F183" s="44" t="s">
        <v>460</v>
      </c>
      <c r="G183" s="47" t="s">
        <v>202</v>
      </c>
      <c r="H183" s="46" t="str">
        <f>IFERROR(INDEX('الإعدادات واللجنة'!$C$24:$C$32,MATCH(LEFT(A183,3),'الإعدادات واللجنة'!$A$24:$A$32,0)),"")</f>
        <v>د. عمر بن محمد موسى</v>
      </c>
      <c r="I183" s="38"/>
      <c r="J183" s="38"/>
      <c r="K183" s="46" t="str">
        <f t="shared" si="2"/>
        <v/>
      </c>
      <c r="L183" s="48"/>
      <c r="M183" s="38"/>
      <c r="N183" s="48"/>
      <c r="O183" s="48"/>
      <c r="P183" s="38"/>
      <c r="Q183" s="48"/>
      <c r="R183" s="26" t="str">
        <f>IF($I183="","",$I183&amp;"#"&amp;COUNTIF($I$5:$I183,$I183))</f>
        <v/>
      </c>
    </row>
    <row r="184" spans="1:18" ht="26" hidden="1" x14ac:dyDescent="0.55000000000000004">
      <c r="A184" s="46" t="s">
        <v>455</v>
      </c>
      <c r="B184" s="63" t="s">
        <v>128</v>
      </c>
      <c r="C184" s="44"/>
      <c r="D184" s="45"/>
      <c r="E184" s="46">
        <v>5</v>
      </c>
      <c r="F184" s="44" t="s">
        <v>461</v>
      </c>
      <c r="G184" s="47" t="s">
        <v>202</v>
      </c>
      <c r="H184" s="46" t="str">
        <f>IFERROR(INDEX('الإعدادات واللجنة'!$C$24:$C$32,MATCH(LEFT(A184,3),'الإعدادات واللجنة'!$A$24:$A$32,0)),"")</f>
        <v>د. عمر بن محمد موسى</v>
      </c>
      <c r="I184" s="38"/>
      <c r="J184" s="38"/>
      <c r="K184" s="46" t="str">
        <f t="shared" si="2"/>
        <v/>
      </c>
      <c r="L184" s="48"/>
      <c r="M184" s="38"/>
      <c r="N184" s="48"/>
      <c r="O184" s="48"/>
      <c r="P184" s="38"/>
      <c r="Q184" s="48"/>
      <c r="R184" s="26" t="str">
        <f>IF($I184="","",$I184&amp;"#"&amp;COUNTIF($I$5:$I184,$I184))</f>
        <v/>
      </c>
    </row>
    <row r="185" spans="1:18" ht="66" hidden="1" x14ac:dyDescent="0.55000000000000004">
      <c r="A185" s="60" t="s">
        <v>462</v>
      </c>
      <c r="B185" s="66" t="s">
        <v>128</v>
      </c>
      <c r="C185" s="61" t="s">
        <v>463</v>
      </c>
      <c r="D185" s="62"/>
      <c r="E185" s="54">
        <v>1</v>
      </c>
      <c r="F185" s="61" t="s">
        <v>464</v>
      </c>
      <c r="G185" s="53" t="s">
        <v>202</v>
      </c>
      <c r="H185" s="54" t="str">
        <f>IFERROR(INDEX('الإعدادات واللجنة'!$C$24:$C$32,MATCH(LEFT(A185,3),'الإعدادات واللجنة'!$A$24:$A$32,0)),"")</f>
        <v>د. عمر بن محمد موسى</v>
      </c>
      <c r="I185" s="55"/>
      <c r="J185" s="55"/>
      <c r="K185" s="54" t="str">
        <f t="shared" si="2"/>
        <v/>
      </c>
      <c r="L185" s="56"/>
      <c r="M185" s="55"/>
      <c r="N185" s="56"/>
      <c r="O185" s="56"/>
      <c r="P185" s="55"/>
      <c r="Q185" s="56"/>
      <c r="R185" s="26" t="str">
        <f>IF($I185="","",$I185&amp;"#"&amp;COUNTIF($I$5:$I185,$I185))</f>
        <v/>
      </c>
    </row>
    <row r="186" spans="1:18" ht="26" hidden="1" x14ac:dyDescent="0.55000000000000004">
      <c r="A186" s="46" t="s">
        <v>462</v>
      </c>
      <c r="B186" s="63" t="s">
        <v>128</v>
      </c>
      <c r="C186" s="44"/>
      <c r="D186" s="45"/>
      <c r="E186" s="46">
        <v>2</v>
      </c>
      <c r="F186" s="44" t="s">
        <v>465</v>
      </c>
      <c r="G186" s="47" t="s">
        <v>202</v>
      </c>
      <c r="H186" s="46" t="str">
        <f>IFERROR(INDEX('الإعدادات واللجنة'!$C$24:$C$32,MATCH(LEFT(A186,3),'الإعدادات واللجنة'!$A$24:$A$32,0)),"")</f>
        <v>د. عمر بن محمد موسى</v>
      </c>
      <c r="I186" s="38"/>
      <c r="J186" s="38"/>
      <c r="K186" s="46" t="str">
        <f t="shared" si="2"/>
        <v/>
      </c>
      <c r="L186" s="48"/>
      <c r="M186" s="38"/>
      <c r="N186" s="48"/>
      <c r="O186" s="48"/>
      <c r="P186" s="38"/>
      <c r="Q186" s="48"/>
      <c r="R186" s="26" t="str">
        <f>IF($I186="","",$I186&amp;"#"&amp;COUNTIF($I$5:$I186,$I186))</f>
        <v/>
      </c>
    </row>
    <row r="187" spans="1:18" ht="26" hidden="1" x14ac:dyDescent="0.55000000000000004">
      <c r="A187" s="46" t="s">
        <v>462</v>
      </c>
      <c r="B187" s="63" t="s">
        <v>128</v>
      </c>
      <c r="C187" s="44"/>
      <c r="D187" s="45"/>
      <c r="E187" s="46">
        <v>3</v>
      </c>
      <c r="F187" s="44" t="s">
        <v>466</v>
      </c>
      <c r="G187" s="47" t="s">
        <v>202</v>
      </c>
      <c r="H187" s="46" t="str">
        <f>IFERROR(INDEX('الإعدادات واللجنة'!$C$24:$C$32,MATCH(LEFT(A187,3),'الإعدادات واللجنة'!$A$24:$A$32,0)),"")</f>
        <v>د. عمر بن محمد موسى</v>
      </c>
      <c r="I187" s="38"/>
      <c r="J187" s="38"/>
      <c r="K187" s="46" t="str">
        <f t="shared" si="2"/>
        <v/>
      </c>
      <c r="L187" s="48"/>
      <c r="M187" s="38"/>
      <c r="N187" s="48"/>
      <c r="O187" s="48"/>
      <c r="P187" s="38"/>
      <c r="Q187" s="48"/>
      <c r="R187" s="26" t="str">
        <f>IF($I187="","",$I187&amp;"#"&amp;COUNTIF($I$5:$I187,$I187))</f>
        <v/>
      </c>
    </row>
    <row r="188" spans="1:18" ht="88" hidden="1" x14ac:dyDescent="0.55000000000000004">
      <c r="A188" s="46" t="s">
        <v>462</v>
      </c>
      <c r="B188" s="63" t="s">
        <v>128</v>
      </c>
      <c r="C188" s="44"/>
      <c r="D188" s="45"/>
      <c r="E188" s="46">
        <v>4</v>
      </c>
      <c r="F188" s="44" t="s">
        <v>467</v>
      </c>
      <c r="G188" s="47" t="s">
        <v>202</v>
      </c>
      <c r="H188" s="46" t="str">
        <f>IFERROR(INDEX('الإعدادات واللجنة'!$C$24:$C$32,MATCH(LEFT(A188,3),'الإعدادات واللجنة'!$A$24:$A$32,0)),"")</f>
        <v>د. عمر بن محمد موسى</v>
      </c>
      <c r="I188" s="38"/>
      <c r="J188" s="38"/>
      <c r="K188" s="46" t="str">
        <f t="shared" si="2"/>
        <v/>
      </c>
      <c r="L188" s="48"/>
      <c r="M188" s="38"/>
      <c r="N188" s="48"/>
      <c r="O188" s="48"/>
      <c r="P188" s="38"/>
      <c r="Q188" s="48"/>
      <c r="R188" s="26" t="str">
        <f>IF($I188="","",$I188&amp;"#"&amp;COUNTIF($I$5:$I188,$I188))</f>
        <v/>
      </c>
    </row>
    <row r="189" spans="1:18" ht="26" hidden="1" x14ac:dyDescent="0.55000000000000004">
      <c r="A189" s="46" t="s">
        <v>462</v>
      </c>
      <c r="B189" s="63" t="s">
        <v>128</v>
      </c>
      <c r="C189" s="44"/>
      <c r="D189" s="45"/>
      <c r="E189" s="46">
        <v>5</v>
      </c>
      <c r="F189" s="44" t="s">
        <v>468</v>
      </c>
      <c r="G189" s="47" t="s">
        <v>202</v>
      </c>
      <c r="H189" s="46" t="str">
        <f>IFERROR(INDEX('الإعدادات واللجنة'!$C$24:$C$32,MATCH(LEFT(A189,3),'الإعدادات واللجنة'!$A$24:$A$32,0)),"")</f>
        <v>د. عمر بن محمد موسى</v>
      </c>
      <c r="I189" s="38"/>
      <c r="J189" s="38"/>
      <c r="K189" s="46" t="str">
        <f t="shared" si="2"/>
        <v/>
      </c>
      <c r="L189" s="48"/>
      <c r="M189" s="38"/>
      <c r="N189" s="48"/>
      <c r="O189" s="48"/>
      <c r="P189" s="38"/>
      <c r="Q189" s="48"/>
      <c r="R189" s="26" t="str">
        <f>IF($I189="","",$I189&amp;"#"&amp;COUNTIF($I$5:$I189,$I189))</f>
        <v/>
      </c>
    </row>
    <row r="190" spans="1:18" ht="66" hidden="1" x14ac:dyDescent="0.55000000000000004">
      <c r="A190" s="60" t="s">
        <v>469</v>
      </c>
      <c r="B190" s="66" t="s">
        <v>129</v>
      </c>
      <c r="C190" s="61" t="s">
        <v>470</v>
      </c>
      <c r="D190" s="62"/>
      <c r="E190" s="54">
        <v>1</v>
      </c>
      <c r="F190" s="61" t="s">
        <v>471</v>
      </c>
      <c r="G190" s="53" t="s">
        <v>202</v>
      </c>
      <c r="H190" s="54" t="str">
        <f>IFERROR(INDEX('الإعدادات واللجنة'!$C$24:$C$32,MATCH(LEFT(A190,3),'الإعدادات واللجنة'!$A$24:$A$32,0)),"")</f>
        <v>د. حسن بن سعد القحطاني</v>
      </c>
      <c r="I190" s="55"/>
      <c r="J190" s="55"/>
      <c r="K190" s="54" t="str">
        <f t="shared" si="2"/>
        <v/>
      </c>
      <c r="L190" s="56"/>
      <c r="M190" s="55"/>
      <c r="N190" s="56"/>
      <c r="O190" s="56"/>
      <c r="P190" s="55"/>
      <c r="Q190" s="56"/>
      <c r="R190" s="26" t="str">
        <f>IF($I190="","",$I190&amp;"#"&amp;COUNTIF($I$5:$I190,$I190))</f>
        <v/>
      </c>
    </row>
    <row r="191" spans="1:18" ht="44" hidden="1" x14ac:dyDescent="0.55000000000000004">
      <c r="A191" s="46" t="s">
        <v>469</v>
      </c>
      <c r="B191" s="63" t="s">
        <v>129</v>
      </c>
      <c r="C191" s="44"/>
      <c r="D191" s="45"/>
      <c r="E191" s="46">
        <v>2</v>
      </c>
      <c r="F191" s="44" t="s">
        <v>472</v>
      </c>
      <c r="G191" s="47" t="s">
        <v>202</v>
      </c>
      <c r="H191" s="46" t="str">
        <f>IFERROR(INDEX('الإعدادات واللجنة'!$C$24:$C$32,MATCH(LEFT(A191,3),'الإعدادات واللجنة'!$A$24:$A$32,0)),"")</f>
        <v>د. حسن بن سعد القحطاني</v>
      </c>
      <c r="I191" s="38"/>
      <c r="J191" s="38"/>
      <c r="K191" s="46" t="str">
        <f t="shared" si="2"/>
        <v/>
      </c>
      <c r="L191" s="48"/>
      <c r="M191" s="38"/>
      <c r="N191" s="48"/>
      <c r="O191" s="48"/>
      <c r="P191" s="38"/>
      <c r="Q191" s="48"/>
      <c r="R191" s="26" t="str">
        <f>IF($I191="","",$I191&amp;"#"&amp;COUNTIF($I$5:$I191,$I191))</f>
        <v/>
      </c>
    </row>
    <row r="192" spans="1:18" ht="44" hidden="1" x14ac:dyDescent="0.55000000000000004">
      <c r="A192" s="46" t="s">
        <v>469</v>
      </c>
      <c r="B192" s="63" t="s">
        <v>129</v>
      </c>
      <c r="C192" s="44"/>
      <c r="D192" s="45"/>
      <c r="E192" s="46">
        <v>3</v>
      </c>
      <c r="F192" s="44" t="s">
        <v>473</v>
      </c>
      <c r="G192" s="47" t="s">
        <v>202</v>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66" hidden="1" x14ac:dyDescent="0.55000000000000004">
      <c r="A193" s="60" t="s">
        <v>474</v>
      </c>
      <c r="B193" s="66" t="s">
        <v>129</v>
      </c>
      <c r="C193" s="61" t="s">
        <v>475</v>
      </c>
      <c r="D193" s="62"/>
      <c r="E193" s="54">
        <v>1</v>
      </c>
      <c r="F193" s="61" t="s">
        <v>476</v>
      </c>
      <c r="G193" s="53" t="s">
        <v>202</v>
      </c>
      <c r="H193" s="54" t="str">
        <f>IFERROR(INDEX('الإعدادات واللجنة'!$C$24:$C$32,MATCH(LEFT(A193,3),'الإعدادات واللجنة'!$A$24:$A$32,0)),"")</f>
        <v>د. حسن بن سعد القحطاني</v>
      </c>
      <c r="I193" s="55"/>
      <c r="J193" s="55"/>
      <c r="K193" s="54" t="str">
        <f t="shared" si="2"/>
        <v/>
      </c>
      <c r="L193" s="56"/>
      <c r="M193" s="55"/>
      <c r="N193" s="56"/>
      <c r="O193" s="56"/>
      <c r="P193" s="55"/>
      <c r="Q193" s="56"/>
      <c r="R193" s="26" t="str">
        <f>IF($I193="","",$I193&amp;"#"&amp;COUNTIF($I$5:$I193,$I193))</f>
        <v/>
      </c>
    </row>
    <row r="194" spans="1:18" ht="44" hidden="1" x14ac:dyDescent="0.55000000000000004">
      <c r="A194" s="46" t="s">
        <v>474</v>
      </c>
      <c r="B194" s="63" t="s">
        <v>129</v>
      </c>
      <c r="C194" s="44"/>
      <c r="D194" s="45"/>
      <c r="E194" s="46">
        <v>2</v>
      </c>
      <c r="F194" s="44" t="s">
        <v>477</v>
      </c>
      <c r="G194" s="47" t="s">
        <v>202</v>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hidden="1" x14ac:dyDescent="0.55000000000000004">
      <c r="A195" s="46" t="s">
        <v>474</v>
      </c>
      <c r="B195" s="63" t="s">
        <v>129</v>
      </c>
      <c r="C195" s="44"/>
      <c r="D195" s="45"/>
      <c r="E195" s="46">
        <v>3</v>
      </c>
      <c r="F195" s="44" t="s">
        <v>478</v>
      </c>
      <c r="G195" s="47" t="s">
        <v>202</v>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88" hidden="1" x14ac:dyDescent="0.55000000000000004">
      <c r="A196" s="49" t="s">
        <v>479</v>
      </c>
      <c r="B196" s="64" t="s">
        <v>129</v>
      </c>
      <c r="C196" s="50" t="s">
        <v>480</v>
      </c>
      <c r="D196" s="51" t="s">
        <v>208</v>
      </c>
      <c r="E196" s="52">
        <v>1</v>
      </c>
      <c r="F196" s="50" t="s">
        <v>481</v>
      </c>
      <c r="G196" s="53" t="s">
        <v>202</v>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hidden="1" x14ac:dyDescent="0.55000000000000004">
      <c r="A197" s="57" t="s">
        <v>479</v>
      </c>
      <c r="B197" s="65" t="s">
        <v>129</v>
      </c>
      <c r="C197" s="58"/>
      <c r="D197" s="59" t="s">
        <v>208</v>
      </c>
      <c r="E197" s="57">
        <v>2</v>
      </c>
      <c r="F197" s="58" t="s">
        <v>482</v>
      </c>
      <c r="G197" s="47" t="s">
        <v>202</v>
      </c>
      <c r="H197" s="46" t="str">
        <f>IFERROR(INDEX('الإعدادات واللجنة'!$C$24:$C$32,MATCH(LEFT(A197,3),'الإعدادات واللجنة'!$A$24:$A$32,0)),"")</f>
        <v>د. حسن بن سعد القحطاني</v>
      </c>
      <c r="I197" s="38"/>
      <c r="J197" s="38"/>
      <c r="K197" s="46" t="str">
        <f t="shared" ref="K197:K208" si="3">IF(OR(I197="",I197="متوفر ومكتمل"),"",IF(OR(D197="★",I197="غير متوفر"),"عالية","متوسطة"))</f>
        <v/>
      </c>
      <c r="L197" s="48"/>
      <c r="M197" s="38"/>
      <c r="N197" s="48"/>
      <c r="O197" s="48"/>
      <c r="P197" s="38"/>
      <c r="Q197" s="48"/>
      <c r="R197" s="26" t="str">
        <f>IF($I197="","",$I197&amp;"#"&amp;COUNTIF($I$5:$I197,$I197))</f>
        <v/>
      </c>
    </row>
    <row r="198" spans="1:18" ht="44" hidden="1" x14ac:dyDescent="0.55000000000000004">
      <c r="A198" s="57" t="s">
        <v>479</v>
      </c>
      <c r="B198" s="65" t="s">
        <v>129</v>
      </c>
      <c r="C198" s="58"/>
      <c r="D198" s="59" t="s">
        <v>208</v>
      </c>
      <c r="E198" s="57">
        <v>3</v>
      </c>
      <c r="F198" s="58" t="s">
        <v>483</v>
      </c>
      <c r="G198" s="47" t="s">
        <v>202</v>
      </c>
      <c r="H198" s="46" t="str">
        <f>IFERROR(INDEX('الإعدادات واللجنة'!$C$24:$C$32,MATCH(LEFT(A198,3),'الإعدادات واللجنة'!$A$24:$A$32,0)),"")</f>
        <v>د. حسن بن سعد القحطاني</v>
      </c>
      <c r="I198" s="38"/>
      <c r="J198" s="38"/>
      <c r="K198" s="46" t="str">
        <f t="shared" si="3"/>
        <v/>
      </c>
      <c r="L198" s="48"/>
      <c r="M198" s="38"/>
      <c r="N198" s="48"/>
      <c r="O198" s="48"/>
      <c r="P198" s="38"/>
      <c r="Q198" s="48"/>
      <c r="R198" s="26" t="str">
        <f>IF($I198="","",$I198&amp;"#"&amp;COUNTIF($I$5:$I198,$I198))</f>
        <v/>
      </c>
    </row>
    <row r="199" spans="1:18" ht="44" hidden="1" x14ac:dyDescent="0.55000000000000004">
      <c r="A199" s="57" t="s">
        <v>479</v>
      </c>
      <c r="B199" s="65" t="s">
        <v>129</v>
      </c>
      <c r="C199" s="58"/>
      <c r="D199" s="59" t="s">
        <v>208</v>
      </c>
      <c r="E199" s="57">
        <v>4</v>
      </c>
      <c r="F199" s="58" t="s">
        <v>484</v>
      </c>
      <c r="G199" s="47" t="s">
        <v>202</v>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hidden="1" x14ac:dyDescent="0.55000000000000004">
      <c r="A200" s="57" t="s">
        <v>479</v>
      </c>
      <c r="B200" s="65" t="s">
        <v>129</v>
      </c>
      <c r="C200" s="58"/>
      <c r="D200" s="59" t="s">
        <v>208</v>
      </c>
      <c r="E200" s="57">
        <v>5</v>
      </c>
      <c r="F200" s="58" t="s">
        <v>485</v>
      </c>
      <c r="G200" s="47" t="s">
        <v>202</v>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hidden="1" x14ac:dyDescent="0.55000000000000004">
      <c r="A201" s="57" t="s">
        <v>479</v>
      </c>
      <c r="B201" s="65" t="s">
        <v>129</v>
      </c>
      <c r="C201" s="58"/>
      <c r="D201" s="59" t="s">
        <v>208</v>
      </c>
      <c r="E201" s="57">
        <v>6</v>
      </c>
      <c r="F201" s="58" t="s">
        <v>486</v>
      </c>
      <c r="G201" s="47" t="s">
        <v>202</v>
      </c>
      <c r="H201" s="46" t="str">
        <f>IFERROR(INDEX('الإعدادات واللجنة'!$C$24:$C$32,MATCH(LEFT(A201,3),'الإعدادات واللجنة'!$A$24:$A$32,0)),"")</f>
        <v>د. حسن بن سعد القحطاني</v>
      </c>
      <c r="I201" s="38"/>
      <c r="J201" s="38"/>
      <c r="K201" s="46" t="str">
        <f t="shared" si="3"/>
        <v/>
      </c>
      <c r="L201" s="48"/>
      <c r="M201" s="38"/>
      <c r="N201" s="48"/>
      <c r="O201" s="48"/>
      <c r="P201" s="38"/>
      <c r="Q201" s="48"/>
      <c r="R201" s="26" t="str">
        <f>IF($I201="","",$I201&amp;"#"&amp;COUNTIF($I$5:$I201,$I201))</f>
        <v/>
      </c>
    </row>
    <row r="202" spans="1:18" ht="44" hidden="1" x14ac:dyDescent="0.55000000000000004">
      <c r="A202" s="60" t="s">
        <v>487</v>
      </c>
      <c r="B202" s="66" t="s">
        <v>129</v>
      </c>
      <c r="C202" s="61" t="s">
        <v>488</v>
      </c>
      <c r="D202" s="62"/>
      <c r="E202" s="54">
        <v>1</v>
      </c>
      <c r="F202" s="61" t="s">
        <v>489</v>
      </c>
      <c r="G202" s="53" t="s">
        <v>202</v>
      </c>
      <c r="H202" s="54" t="str">
        <f>IFERROR(INDEX('الإعدادات واللجنة'!$C$24:$C$32,MATCH(LEFT(A202,3),'الإعدادات واللجنة'!$A$24:$A$32,0)),"")</f>
        <v>د. حسن بن سعد القحطاني</v>
      </c>
      <c r="I202" s="55"/>
      <c r="J202" s="55"/>
      <c r="K202" s="54" t="str">
        <f t="shared" si="3"/>
        <v/>
      </c>
      <c r="L202" s="56"/>
      <c r="M202" s="55"/>
      <c r="N202" s="56"/>
      <c r="O202" s="56"/>
      <c r="P202" s="55"/>
      <c r="Q202" s="56"/>
      <c r="R202" s="26" t="str">
        <f>IF($I202="","",$I202&amp;"#"&amp;COUNTIF($I$5:$I202,$I202))</f>
        <v/>
      </c>
    </row>
    <row r="203" spans="1:18" ht="44" hidden="1" x14ac:dyDescent="0.55000000000000004">
      <c r="A203" s="46" t="s">
        <v>487</v>
      </c>
      <c r="B203" s="63" t="s">
        <v>129</v>
      </c>
      <c r="C203" s="44"/>
      <c r="D203" s="45"/>
      <c r="E203" s="46">
        <v>2</v>
      </c>
      <c r="F203" s="44" t="s">
        <v>490</v>
      </c>
      <c r="G203" s="47" t="s">
        <v>202</v>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hidden="1" x14ac:dyDescent="0.55000000000000004">
      <c r="A204" s="46" t="s">
        <v>487</v>
      </c>
      <c r="B204" s="63" t="s">
        <v>129</v>
      </c>
      <c r="C204" s="44"/>
      <c r="D204" s="45"/>
      <c r="E204" s="46">
        <v>3</v>
      </c>
      <c r="F204" s="44" t="s">
        <v>491</v>
      </c>
      <c r="G204" s="47" t="s">
        <v>202</v>
      </c>
      <c r="H204" s="46" t="str">
        <f>IFERROR(INDEX('الإعدادات واللجنة'!$C$24:$C$32,MATCH(LEFT(A204,3),'الإعدادات واللجنة'!$A$24:$A$32,0)),"")</f>
        <v>د. حسن بن سعد القحطاني</v>
      </c>
      <c r="I204" s="38"/>
      <c r="J204" s="38"/>
      <c r="K204" s="46" t="str">
        <f t="shared" si="3"/>
        <v/>
      </c>
      <c r="L204" s="48"/>
      <c r="M204" s="38"/>
      <c r="N204" s="48"/>
      <c r="O204" s="48"/>
      <c r="P204" s="38"/>
      <c r="Q204" s="48"/>
      <c r="R204" s="26" t="str">
        <f>IF($I204="","",$I204&amp;"#"&amp;COUNTIF($I$5:$I204,$I204))</f>
        <v/>
      </c>
    </row>
    <row r="205" spans="1:18" ht="44" hidden="1" x14ac:dyDescent="0.55000000000000004">
      <c r="A205" s="46" t="s">
        <v>487</v>
      </c>
      <c r="B205" s="63" t="s">
        <v>129</v>
      </c>
      <c r="C205" s="44"/>
      <c r="D205" s="45"/>
      <c r="E205" s="46">
        <v>4</v>
      </c>
      <c r="F205" s="44" t="s">
        <v>492</v>
      </c>
      <c r="G205" s="47" t="s">
        <v>202</v>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hidden="1" x14ac:dyDescent="0.55000000000000004">
      <c r="A206" s="46" t="s">
        <v>487</v>
      </c>
      <c r="B206" s="63" t="s">
        <v>129</v>
      </c>
      <c r="C206" s="44"/>
      <c r="D206" s="45"/>
      <c r="E206" s="46">
        <v>5</v>
      </c>
      <c r="F206" s="44" t="s">
        <v>493</v>
      </c>
      <c r="G206" s="47" t="s">
        <v>202</v>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44" hidden="1" x14ac:dyDescent="0.55000000000000004">
      <c r="A207" s="60" t="s">
        <v>494</v>
      </c>
      <c r="B207" s="66" t="s">
        <v>129</v>
      </c>
      <c r="C207" s="61" t="s">
        <v>495</v>
      </c>
      <c r="D207" s="62"/>
      <c r="E207" s="54">
        <v>1</v>
      </c>
      <c r="F207" s="61" t="s">
        <v>496</v>
      </c>
      <c r="G207" s="53" t="s">
        <v>202</v>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hidden="1" x14ac:dyDescent="0.55000000000000004">
      <c r="A208" s="46" t="s">
        <v>494</v>
      </c>
      <c r="B208" s="63" t="s">
        <v>129</v>
      </c>
      <c r="C208" s="44"/>
      <c r="D208" s="45"/>
      <c r="E208" s="46">
        <v>2</v>
      </c>
      <c r="F208" s="44" t="s">
        <v>497</v>
      </c>
      <c r="G208" s="47" t="s">
        <v>202</v>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sheetData>
  <autoFilter ref="A4:R208" xr:uid="{75BEB1F6-92DE-B64A-9273-D3BCD9982A86}">
    <filterColumn colId="7">
      <filters>
        <filter val="د. سلطان بن سعيد الشمراني"/>
      </filters>
    </filterColumn>
  </autoFilter>
  <mergeCells count="2">
    <mergeCell ref="A1:H1"/>
    <mergeCell ref="A2:Q2"/>
  </mergeCells>
  <conditionalFormatting sqref="I5:I208">
    <cfRule type="cellIs" dxfId="26" priority="2" operator="equal">
      <formula>"متوفر ومكتمل"</formula>
    </cfRule>
    <cfRule type="cellIs" dxfId="25" priority="3" operator="equal">
      <formula>"متوفر ويحتاج تحسين"</formula>
    </cfRule>
    <cfRule type="cellIs" dxfId="24" priority="4" operator="equal">
      <formula>"غير متوفر"</formula>
    </cfRule>
  </conditionalFormatting>
  <conditionalFormatting sqref="J5:J208 L5:M208">
    <cfRule type="expression" dxfId="23" priority="101">
      <formula>AND($I5="متوفر ومكتمل",J5&lt;&gt;"")</formula>
    </cfRule>
    <cfRule type="expression" dxfId="22" priority="102">
      <formula>$I5="متوفر ومكتمل"</formula>
    </cfRule>
  </conditionalFormatting>
  <conditionalFormatting sqref="J5:J208">
    <cfRule type="expression" dxfId="21" priority="103">
      <formula>AND(OR($I5="متوفر ويحتاج تحسين",$I5="غير متوفر"),J5="")</formula>
    </cfRule>
  </conditionalFormatting>
  <conditionalFormatting sqref="K5:K208">
    <cfRule type="cellIs" dxfId="20" priority="5" operator="equal">
      <formula>"عالية"</formula>
    </cfRule>
  </conditionalFormatting>
  <conditionalFormatting sqref="P5:P208">
    <cfRule type="cellIs" dxfId="19" priority="6" operator="equal">
      <formula>"تمت"</formula>
    </cfRule>
    <cfRule type="cellIs" dxfId="18" priority="7" operator="equal">
      <formula>"تحتاج تعديل"</formula>
    </cfRule>
  </conditionalFormatting>
  <dataValidations count="4">
    <dataValidation type="list" allowBlank="1" sqref="I5:I208" xr:uid="{00000000-0002-0000-0500-000000000000}">
      <formula1>"متوفر ومكتمل,متوفر ويحتاج تحسين,غير متوفر"</formula1>
      <formula2>0</formula2>
    </dataValidation>
    <dataValidation type="list" allowBlank="1" sqref="J5:J208" xr:uid="{00000000-0002-0000-0500-000001000000}">
      <formula1>"فجوة توثيق,فجوة تطبيق"</formula1>
      <formula2>0</formula2>
    </dataValidation>
    <dataValidation type="list" allowBlank="1" sqref="M5:M208" xr:uid="{00000000-0002-0000-0500-000002000000}">
      <formula1>"خلال المرحلة الأولى,خلال فصل دراسي,خلال سنة دراسية"</formula1>
      <formula2>0</formula2>
    </dataValidation>
    <dataValidation type="list" allowBlank="1" sqref="P5:P208" xr:uid="{00000000-0002-0000-05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334FB-3D54-584D-B845-ECF832B068ED}">
  <sheetPr>
    <tabColor rgb="FF8EA9DB"/>
  </sheetPr>
  <dimension ref="A1:R208"/>
  <sheetViews>
    <sheetView rightToLeft="1" workbookViewId="0">
      <pane xSplit="6" ySplit="4" topLeftCell="G202" activePane="bottomRight" state="frozen"/>
      <selection pane="topRight"/>
      <selection pane="bottomLeft"/>
      <selection pane="bottomRight" activeCell="C217" sqref="C217"/>
    </sheetView>
  </sheetViews>
  <sheetFormatPr baseColWidth="10" defaultColWidth="8.6640625" defaultRowHeight="15" x14ac:dyDescent="0.2"/>
  <cols>
    <col min="1" max="1" width="8" customWidth="1"/>
    <col min="2" max="2" width="14" style="68"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واللجنة'!$B$6</f>
        <v>فحص الأدلة – بكالوريوس علوم البيانات</v>
      </c>
      <c r="B1" s="107"/>
      <c r="C1" s="107"/>
      <c r="D1" s="107"/>
      <c r="E1" s="107"/>
      <c r="F1" s="107"/>
      <c r="G1" s="107"/>
      <c r="H1" s="107"/>
    </row>
    <row r="2" spans="1:18" ht="15" customHeight="1" x14ac:dyDescent="0.2">
      <c r="A2" s="109"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67"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s">
        <v>202</v>
      </c>
      <c r="H5" s="46" t="str">
        <f>IFERROR(INDEX('الإعدادات واللجنة'!$C$24:$C$32,MATCH(LEFT(A5,3),'الإعدادات واللجنة'!$A$24:$A$32,0)),"")</f>
        <v>د. سلطان بن سعيد الشمراني</v>
      </c>
      <c r="I5" s="38"/>
      <c r="J5" s="38"/>
      <c r="K5" s="46" t="str">
        <f t="shared" ref="K5:K68" si="0">IF(OR(I5="",I5="متوفر ومكتمل"),"",IF(OR(D5="★",I5="غير متوفر"),"عالية","متوسطة"))</f>
        <v/>
      </c>
      <c r="L5" s="48"/>
      <c r="M5" s="38"/>
      <c r="N5" s="48"/>
      <c r="O5" s="48"/>
      <c r="P5" s="38"/>
      <c r="Q5" s="48"/>
      <c r="R5" s="26" t="str">
        <f>IF($I5="","",$I5&amp;"#"&amp;COUNTIF($I$5:$I5,$I5))</f>
        <v/>
      </c>
    </row>
    <row r="6" spans="1:18" ht="44" x14ac:dyDescent="0.55000000000000004">
      <c r="A6" s="46" t="s">
        <v>199</v>
      </c>
      <c r="B6" s="63" t="s">
        <v>125</v>
      </c>
      <c r="C6" s="44"/>
      <c r="D6" s="45"/>
      <c r="E6" s="46">
        <v>2</v>
      </c>
      <c r="F6" s="44" t="s">
        <v>203</v>
      </c>
      <c r="G6" s="47" t="s">
        <v>202</v>
      </c>
      <c r="H6" s="46" t="str">
        <f>IFERROR(INDEX('الإعدادات واللجنة'!$C$24:$C$32,MATCH(LEFT(A6,3),'الإعدادات واللجنة'!$A$24:$A$32,0)),"")</f>
        <v>د. سلطان بن سعيد الشمراني</v>
      </c>
      <c r="I6" s="38"/>
      <c r="J6" s="38"/>
      <c r="K6" s="46" t="str">
        <f t="shared" si="0"/>
        <v/>
      </c>
      <c r="L6" s="48"/>
      <c r="M6" s="38"/>
      <c r="N6" s="48"/>
      <c r="O6" s="48"/>
      <c r="P6" s="38"/>
      <c r="Q6" s="48"/>
      <c r="R6" s="26" t="str">
        <f>IF($I6="","",$I6&amp;"#"&amp;COUNTIF($I$5:$I6,$I6))</f>
        <v/>
      </c>
    </row>
    <row r="7" spans="1:18" ht="44" x14ac:dyDescent="0.55000000000000004">
      <c r="A7" s="46" t="s">
        <v>199</v>
      </c>
      <c r="B7" s="63" t="s">
        <v>125</v>
      </c>
      <c r="C7" s="44"/>
      <c r="D7" s="45"/>
      <c r="E7" s="46">
        <v>3</v>
      </c>
      <c r="F7" s="44" t="s">
        <v>204</v>
      </c>
      <c r="G7" s="47" t="s">
        <v>202</v>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s">
        <v>202</v>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s">
        <v>202</v>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s">
        <v>202</v>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s">
        <v>202</v>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s">
        <v>202</v>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s">
        <v>202</v>
      </c>
      <c r="H13" s="46" t="str">
        <f>IFERROR(INDEX('الإعدادات واللجنة'!$C$24:$C$32,MATCH(LEFT(A13,3),'الإعدادات واللجنة'!$A$24:$A$32,0)),"")</f>
        <v>د. سلطان بن سعيد الشمراني</v>
      </c>
      <c r="I13" s="38"/>
      <c r="J13" s="38"/>
      <c r="K13" s="46" t="str">
        <f t="shared" si="0"/>
        <v/>
      </c>
      <c r="L13" s="48"/>
      <c r="M13" s="38"/>
      <c r="N13" s="48"/>
      <c r="O13" s="48"/>
      <c r="P13" s="38"/>
      <c r="Q13" s="48"/>
      <c r="R13" s="26" t="str">
        <f>IF($I13="","",$I13&amp;"#"&amp;COUNTIF($I$5:$I13,$I13))</f>
        <v/>
      </c>
    </row>
    <row r="14" spans="1:18" ht="44" x14ac:dyDescent="0.55000000000000004">
      <c r="A14" s="60" t="s">
        <v>214</v>
      </c>
      <c r="B14" s="66" t="s">
        <v>125</v>
      </c>
      <c r="C14" s="61" t="s">
        <v>215</v>
      </c>
      <c r="D14" s="62"/>
      <c r="E14" s="54">
        <v>1</v>
      </c>
      <c r="F14" s="61" t="s">
        <v>216</v>
      </c>
      <c r="G14" s="53" t="s">
        <v>202</v>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s">
        <v>202</v>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s">
        <v>202</v>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s">
        <v>202</v>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s">
        <v>202</v>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s">
        <v>202</v>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s">
        <v>202</v>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s">
        <v>202</v>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s">
        <v>202</v>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s">
        <v>202</v>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s">
        <v>202</v>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s">
        <v>202</v>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s">
        <v>202</v>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s">
        <v>202</v>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s">
        <v>202</v>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s">
        <v>202</v>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s">
        <v>202</v>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s">
        <v>202</v>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s">
        <v>202</v>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s">
        <v>202</v>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s">
        <v>202</v>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s">
        <v>202</v>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s">
        <v>202</v>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s">
        <v>202</v>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s">
        <v>202</v>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s">
        <v>202</v>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s">
        <v>202</v>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s">
        <v>202</v>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s">
        <v>202</v>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s">
        <v>202</v>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x14ac:dyDescent="0.55000000000000004">
      <c r="A44" s="60" t="s">
        <v>258</v>
      </c>
      <c r="B44" s="66" t="s">
        <v>125</v>
      </c>
      <c r="C44" s="61" t="s">
        <v>259</v>
      </c>
      <c r="D44" s="62"/>
      <c r="E44" s="54">
        <v>1</v>
      </c>
      <c r="F44" s="61" t="s">
        <v>260</v>
      </c>
      <c r="G44" s="53" t="s">
        <v>202</v>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x14ac:dyDescent="0.55000000000000004">
      <c r="A45" s="46" t="s">
        <v>258</v>
      </c>
      <c r="B45" s="63" t="s">
        <v>125</v>
      </c>
      <c r="C45" s="44"/>
      <c r="D45" s="45"/>
      <c r="E45" s="46">
        <v>2</v>
      </c>
      <c r="F45" s="44" t="s">
        <v>261</v>
      </c>
      <c r="G45" s="47" t="s">
        <v>202</v>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x14ac:dyDescent="0.55000000000000004">
      <c r="A46" s="46" t="s">
        <v>258</v>
      </c>
      <c r="B46" s="63" t="s">
        <v>125</v>
      </c>
      <c r="C46" s="44"/>
      <c r="D46" s="45"/>
      <c r="E46" s="46">
        <v>3</v>
      </c>
      <c r="F46" s="44" t="s">
        <v>262</v>
      </c>
      <c r="G46" s="47" t="s">
        <v>202</v>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x14ac:dyDescent="0.55000000000000004">
      <c r="A47" s="46" t="s">
        <v>258</v>
      </c>
      <c r="B47" s="63" t="s">
        <v>125</v>
      </c>
      <c r="C47" s="44"/>
      <c r="D47" s="45"/>
      <c r="E47" s="46">
        <v>4</v>
      </c>
      <c r="F47" s="44" t="s">
        <v>263</v>
      </c>
      <c r="G47" s="47" t="s">
        <v>202</v>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x14ac:dyDescent="0.55000000000000004">
      <c r="A48" s="49" t="s">
        <v>264</v>
      </c>
      <c r="B48" s="64" t="s">
        <v>125</v>
      </c>
      <c r="C48" s="50" t="s">
        <v>265</v>
      </c>
      <c r="D48" s="51" t="s">
        <v>208</v>
      </c>
      <c r="E48" s="52">
        <v>1</v>
      </c>
      <c r="F48" s="50" t="s">
        <v>266</v>
      </c>
      <c r="G48" s="53" t="s">
        <v>202</v>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x14ac:dyDescent="0.55000000000000004">
      <c r="A49" s="57" t="s">
        <v>264</v>
      </c>
      <c r="B49" s="65" t="s">
        <v>125</v>
      </c>
      <c r="C49" s="58"/>
      <c r="D49" s="59" t="s">
        <v>208</v>
      </c>
      <c r="E49" s="57">
        <v>2</v>
      </c>
      <c r="F49" s="58" t="s">
        <v>267</v>
      </c>
      <c r="G49" s="47" t="s">
        <v>202</v>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x14ac:dyDescent="0.55000000000000004">
      <c r="A50" s="57" t="s">
        <v>264</v>
      </c>
      <c r="B50" s="65" t="s">
        <v>125</v>
      </c>
      <c r="C50" s="58"/>
      <c r="D50" s="59" t="s">
        <v>208</v>
      </c>
      <c r="E50" s="57">
        <v>3</v>
      </c>
      <c r="F50" s="58" t="s">
        <v>268</v>
      </c>
      <c r="G50" s="47" t="s">
        <v>202</v>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x14ac:dyDescent="0.55000000000000004">
      <c r="A51" s="60" t="s">
        <v>269</v>
      </c>
      <c r="B51" s="66" t="s">
        <v>125</v>
      </c>
      <c r="C51" s="61" t="s">
        <v>270</v>
      </c>
      <c r="D51" s="62"/>
      <c r="E51" s="54">
        <v>1</v>
      </c>
      <c r="F51" s="61" t="s">
        <v>271</v>
      </c>
      <c r="G51" s="53" t="s">
        <v>202</v>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x14ac:dyDescent="0.55000000000000004">
      <c r="A52" s="46" t="s">
        <v>269</v>
      </c>
      <c r="B52" s="63" t="s">
        <v>125</v>
      </c>
      <c r="C52" s="44"/>
      <c r="D52" s="45"/>
      <c r="E52" s="46">
        <v>2</v>
      </c>
      <c r="F52" s="44" t="s">
        <v>272</v>
      </c>
      <c r="G52" s="47" t="s">
        <v>202</v>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x14ac:dyDescent="0.55000000000000004">
      <c r="A53" s="46" t="s">
        <v>269</v>
      </c>
      <c r="B53" s="63" t="s">
        <v>125</v>
      </c>
      <c r="C53" s="44"/>
      <c r="D53" s="45"/>
      <c r="E53" s="46">
        <v>3</v>
      </c>
      <c r="F53" s="44" t="s">
        <v>273</v>
      </c>
      <c r="G53" s="47" t="s">
        <v>202</v>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x14ac:dyDescent="0.55000000000000004">
      <c r="A54" s="46" t="s">
        <v>269</v>
      </c>
      <c r="B54" s="63" t="s">
        <v>125</v>
      </c>
      <c r="C54" s="44"/>
      <c r="D54" s="45"/>
      <c r="E54" s="46">
        <v>4</v>
      </c>
      <c r="F54" s="44" t="s">
        <v>274</v>
      </c>
      <c r="G54" s="47" t="s">
        <v>202</v>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x14ac:dyDescent="0.55000000000000004">
      <c r="A55" s="46" t="s">
        <v>269</v>
      </c>
      <c r="B55" s="63" t="s">
        <v>125</v>
      </c>
      <c r="C55" s="44"/>
      <c r="D55" s="45"/>
      <c r="E55" s="46">
        <v>5</v>
      </c>
      <c r="F55" s="44" t="s">
        <v>275</v>
      </c>
      <c r="G55" s="47" t="s">
        <v>202</v>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x14ac:dyDescent="0.55000000000000004">
      <c r="A56" s="46" t="s">
        <v>269</v>
      </c>
      <c r="B56" s="63" t="s">
        <v>125</v>
      </c>
      <c r="C56" s="44"/>
      <c r="D56" s="45"/>
      <c r="E56" s="46">
        <v>6</v>
      </c>
      <c r="F56" s="44" t="s">
        <v>276</v>
      </c>
      <c r="G56" s="47" t="s">
        <v>202</v>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x14ac:dyDescent="0.55000000000000004">
      <c r="A57" s="60" t="s">
        <v>277</v>
      </c>
      <c r="B57" s="66" t="s">
        <v>126</v>
      </c>
      <c r="C57" s="61" t="s">
        <v>278</v>
      </c>
      <c r="D57" s="62"/>
      <c r="E57" s="54">
        <v>1</v>
      </c>
      <c r="F57" s="61" t="s">
        <v>279</v>
      </c>
      <c r="G57" s="53" t="s">
        <v>202</v>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x14ac:dyDescent="0.55000000000000004">
      <c r="A58" s="46" t="s">
        <v>277</v>
      </c>
      <c r="B58" s="63" t="s">
        <v>126</v>
      </c>
      <c r="C58" s="44"/>
      <c r="D58" s="45"/>
      <c r="E58" s="46">
        <v>2</v>
      </c>
      <c r="F58" s="44" t="s">
        <v>280</v>
      </c>
      <c r="G58" s="47" t="s">
        <v>202</v>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x14ac:dyDescent="0.55000000000000004">
      <c r="A59" s="46" t="s">
        <v>277</v>
      </c>
      <c r="B59" s="63" t="s">
        <v>126</v>
      </c>
      <c r="C59" s="44"/>
      <c r="D59" s="45"/>
      <c r="E59" s="46">
        <v>3</v>
      </c>
      <c r="F59" s="44" t="s">
        <v>281</v>
      </c>
      <c r="G59" s="47" t="s">
        <v>202</v>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x14ac:dyDescent="0.55000000000000004">
      <c r="A60" s="46" t="s">
        <v>277</v>
      </c>
      <c r="B60" s="63" t="s">
        <v>126</v>
      </c>
      <c r="C60" s="44"/>
      <c r="D60" s="45"/>
      <c r="E60" s="46">
        <v>4</v>
      </c>
      <c r="F60" s="44" t="s">
        <v>282</v>
      </c>
      <c r="G60" s="47" t="s">
        <v>202</v>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x14ac:dyDescent="0.55000000000000004">
      <c r="A61" s="46" t="s">
        <v>277</v>
      </c>
      <c r="B61" s="63" t="s">
        <v>126</v>
      </c>
      <c r="C61" s="44"/>
      <c r="D61" s="45"/>
      <c r="E61" s="46">
        <v>5</v>
      </c>
      <c r="F61" s="44" t="s">
        <v>283</v>
      </c>
      <c r="G61" s="47" t="s">
        <v>202</v>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x14ac:dyDescent="0.55000000000000004">
      <c r="A62" s="46" t="s">
        <v>277</v>
      </c>
      <c r="B62" s="63" t="s">
        <v>126</v>
      </c>
      <c r="C62" s="44"/>
      <c r="D62" s="45"/>
      <c r="E62" s="46">
        <v>6</v>
      </c>
      <c r="F62" s="44" t="s">
        <v>284</v>
      </c>
      <c r="G62" s="47" t="s">
        <v>202</v>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x14ac:dyDescent="0.55000000000000004">
      <c r="A63" s="46" t="s">
        <v>277</v>
      </c>
      <c r="B63" s="63" t="s">
        <v>126</v>
      </c>
      <c r="C63" s="44"/>
      <c r="D63" s="45"/>
      <c r="E63" s="46">
        <v>7</v>
      </c>
      <c r="F63" s="44" t="s">
        <v>285</v>
      </c>
      <c r="G63" s="47" t="s">
        <v>202</v>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x14ac:dyDescent="0.55000000000000004">
      <c r="A64" s="46" t="s">
        <v>277</v>
      </c>
      <c r="B64" s="63" t="s">
        <v>126</v>
      </c>
      <c r="C64" s="44"/>
      <c r="D64" s="45"/>
      <c r="E64" s="46">
        <v>8</v>
      </c>
      <c r="F64" s="44" t="s">
        <v>286</v>
      </c>
      <c r="G64" s="47" t="s">
        <v>202</v>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x14ac:dyDescent="0.55000000000000004">
      <c r="A65" s="46" t="s">
        <v>277</v>
      </c>
      <c r="B65" s="63" t="s">
        <v>126</v>
      </c>
      <c r="C65" s="44"/>
      <c r="D65" s="45"/>
      <c r="E65" s="46">
        <v>9</v>
      </c>
      <c r="F65" s="44" t="s">
        <v>287</v>
      </c>
      <c r="G65" s="47" t="s">
        <v>202</v>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x14ac:dyDescent="0.55000000000000004">
      <c r="A66" s="46" t="s">
        <v>277</v>
      </c>
      <c r="B66" s="63" t="s">
        <v>126</v>
      </c>
      <c r="C66" s="44"/>
      <c r="D66" s="45"/>
      <c r="E66" s="46">
        <v>10</v>
      </c>
      <c r="F66" s="44" t="s">
        <v>288</v>
      </c>
      <c r="G66" s="47" t="s">
        <v>202</v>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x14ac:dyDescent="0.55000000000000004">
      <c r="A67" s="49" t="s">
        <v>289</v>
      </c>
      <c r="B67" s="64" t="s">
        <v>126</v>
      </c>
      <c r="C67" s="50" t="s">
        <v>290</v>
      </c>
      <c r="D67" s="51" t="s">
        <v>208</v>
      </c>
      <c r="E67" s="52">
        <v>1</v>
      </c>
      <c r="F67" s="50" t="s">
        <v>291</v>
      </c>
      <c r="G67" s="53" t="s">
        <v>202</v>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x14ac:dyDescent="0.55000000000000004">
      <c r="A68" s="57" t="s">
        <v>289</v>
      </c>
      <c r="B68" s="65" t="s">
        <v>126</v>
      </c>
      <c r="C68" s="58"/>
      <c r="D68" s="59" t="s">
        <v>208</v>
      </c>
      <c r="E68" s="57">
        <v>2</v>
      </c>
      <c r="F68" s="58" t="s">
        <v>292</v>
      </c>
      <c r="G68" s="47" t="s">
        <v>202</v>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x14ac:dyDescent="0.55000000000000004">
      <c r="A69" s="57" t="s">
        <v>289</v>
      </c>
      <c r="B69" s="65" t="s">
        <v>126</v>
      </c>
      <c r="C69" s="58"/>
      <c r="D69" s="59" t="s">
        <v>208</v>
      </c>
      <c r="E69" s="57">
        <v>3</v>
      </c>
      <c r="F69" s="58" t="s">
        <v>293</v>
      </c>
      <c r="G69" s="47" t="s">
        <v>202</v>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x14ac:dyDescent="0.55000000000000004">
      <c r="A70" s="60" t="s">
        <v>294</v>
      </c>
      <c r="B70" s="66" t="s">
        <v>126</v>
      </c>
      <c r="C70" s="61" t="s">
        <v>295</v>
      </c>
      <c r="D70" s="62"/>
      <c r="E70" s="54">
        <v>1</v>
      </c>
      <c r="F70" s="61" t="s">
        <v>296</v>
      </c>
      <c r="G70" s="53" t="s">
        <v>202</v>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x14ac:dyDescent="0.55000000000000004">
      <c r="A71" s="46" t="s">
        <v>294</v>
      </c>
      <c r="B71" s="63" t="s">
        <v>126</v>
      </c>
      <c r="C71" s="44"/>
      <c r="D71" s="45"/>
      <c r="E71" s="46">
        <v>2</v>
      </c>
      <c r="F71" s="44" t="s">
        <v>297</v>
      </c>
      <c r="G71" s="47" t="s">
        <v>202</v>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x14ac:dyDescent="0.55000000000000004">
      <c r="A72" s="46" t="s">
        <v>294</v>
      </c>
      <c r="B72" s="63" t="s">
        <v>126</v>
      </c>
      <c r="C72" s="44"/>
      <c r="D72" s="45"/>
      <c r="E72" s="46">
        <v>3</v>
      </c>
      <c r="F72" s="44" t="s">
        <v>298</v>
      </c>
      <c r="G72" s="47" t="s">
        <v>202</v>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x14ac:dyDescent="0.55000000000000004">
      <c r="A73" s="46" t="s">
        <v>294</v>
      </c>
      <c r="B73" s="63" t="s">
        <v>126</v>
      </c>
      <c r="C73" s="44"/>
      <c r="D73" s="45"/>
      <c r="E73" s="46">
        <v>4</v>
      </c>
      <c r="F73" s="44" t="s">
        <v>299</v>
      </c>
      <c r="G73" s="47" t="s">
        <v>202</v>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x14ac:dyDescent="0.55000000000000004">
      <c r="A74" s="49" t="s">
        <v>300</v>
      </c>
      <c r="B74" s="64" t="s">
        <v>126</v>
      </c>
      <c r="C74" s="50" t="s">
        <v>301</v>
      </c>
      <c r="D74" s="51" t="s">
        <v>208</v>
      </c>
      <c r="E74" s="52">
        <v>1</v>
      </c>
      <c r="F74" s="50" t="s">
        <v>280</v>
      </c>
      <c r="G74" s="53" t="s">
        <v>202</v>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x14ac:dyDescent="0.55000000000000004">
      <c r="A75" s="57" t="s">
        <v>300</v>
      </c>
      <c r="B75" s="65" t="s">
        <v>126</v>
      </c>
      <c r="C75" s="58"/>
      <c r="D75" s="59" t="s">
        <v>208</v>
      </c>
      <c r="E75" s="57">
        <v>2</v>
      </c>
      <c r="F75" s="58" t="s">
        <v>302</v>
      </c>
      <c r="G75" s="47" t="s">
        <v>202</v>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x14ac:dyDescent="0.55000000000000004">
      <c r="A76" s="57" t="s">
        <v>300</v>
      </c>
      <c r="B76" s="65" t="s">
        <v>126</v>
      </c>
      <c r="C76" s="58"/>
      <c r="D76" s="59" t="s">
        <v>208</v>
      </c>
      <c r="E76" s="57">
        <v>3</v>
      </c>
      <c r="F76" s="58" t="s">
        <v>303</v>
      </c>
      <c r="G76" s="47" t="s">
        <v>202</v>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x14ac:dyDescent="0.55000000000000004">
      <c r="A77" s="57" t="s">
        <v>300</v>
      </c>
      <c r="B77" s="65" t="s">
        <v>126</v>
      </c>
      <c r="C77" s="58"/>
      <c r="D77" s="59" t="s">
        <v>208</v>
      </c>
      <c r="E77" s="57">
        <v>4</v>
      </c>
      <c r="F77" s="58" t="s">
        <v>304</v>
      </c>
      <c r="G77" s="47" t="s">
        <v>202</v>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x14ac:dyDescent="0.55000000000000004">
      <c r="A78" s="60" t="s">
        <v>305</v>
      </c>
      <c r="B78" s="66" t="s">
        <v>126</v>
      </c>
      <c r="C78" s="61" t="s">
        <v>306</v>
      </c>
      <c r="D78" s="62"/>
      <c r="E78" s="54">
        <v>1</v>
      </c>
      <c r="F78" s="61" t="s">
        <v>307</v>
      </c>
      <c r="G78" s="53" t="s">
        <v>202</v>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x14ac:dyDescent="0.55000000000000004">
      <c r="A79" s="46" t="s">
        <v>305</v>
      </c>
      <c r="B79" s="63" t="s">
        <v>126</v>
      </c>
      <c r="C79" s="44"/>
      <c r="D79" s="45"/>
      <c r="E79" s="46">
        <v>2</v>
      </c>
      <c r="F79" s="44" t="s">
        <v>308</v>
      </c>
      <c r="G79" s="47" t="s">
        <v>202</v>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x14ac:dyDescent="0.55000000000000004">
      <c r="A80" s="46" t="s">
        <v>305</v>
      </c>
      <c r="B80" s="63" t="s">
        <v>126</v>
      </c>
      <c r="C80" s="44"/>
      <c r="D80" s="45"/>
      <c r="E80" s="46">
        <v>3</v>
      </c>
      <c r="F80" s="44" t="s">
        <v>309</v>
      </c>
      <c r="G80" s="47" t="s">
        <v>202</v>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x14ac:dyDescent="0.55000000000000004">
      <c r="A81" s="46" t="s">
        <v>305</v>
      </c>
      <c r="B81" s="63" t="s">
        <v>126</v>
      </c>
      <c r="C81" s="44"/>
      <c r="D81" s="45"/>
      <c r="E81" s="46">
        <v>4</v>
      </c>
      <c r="F81" s="44" t="s">
        <v>310</v>
      </c>
      <c r="G81" s="47" t="s">
        <v>202</v>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x14ac:dyDescent="0.55000000000000004">
      <c r="A82" s="49" t="s">
        <v>311</v>
      </c>
      <c r="B82" s="64" t="s">
        <v>126</v>
      </c>
      <c r="C82" s="50" t="s">
        <v>312</v>
      </c>
      <c r="D82" s="51" t="s">
        <v>208</v>
      </c>
      <c r="E82" s="52">
        <v>1</v>
      </c>
      <c r="F82" s="50" t="s">
        <v>313</v>
      </c>
      <c r="G82" s="53" t="s">
        <v>202</v>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x14ac:dyDescent="0.55000000000000004">
      <c r="A83" s="57" t="s">
        <v>311</v>
      </c>
      <c r="B83" s="65" t="s">
        <v>126</v>
      </c>
      <c r="C83" s="58"/>
      <c r="D83" s="59" t="s">
        <v>208</v>
      </c>
      <c r="E83" s="57">
        <v>2</v>
      </c>
      <c r="F83" s="58" t="s">
        <v>314</v>
      </c>
      <c r="G83" s="47" t="s">
        <v>202</v>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x14ac:dyDescent="0.55000000000000004">
      <c r="A84" s="57" t="s">
        <v>311</v>
      </c>
      <c r="B84" s="65" t="s">
        <v>126</v>
      </c>
      <c r="C84" s="58"/>
      <c r="D84" s="59" t="s">
        <v>208</v>
      </c>
      <c r="E84" s="57">
        <v>3</v>
      </c>
      <c r="F84" s="58" t="s">
        <v>315</v>
      </c>
      <c r="G84" s="47" t="s">
        <v>202</v>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x14ac:dyDescent="0.55000000000000004">
      <c r="A85" s="57" t="s">
        <v>311</v>
      </c>
      <c r="B85" s="65" t="s">
        <v>126</v>
      </c>
      <c r="C85" s="58"/>
      <c r="D85" s="59" t="s">
        <v>208</v>
      </c>
      <c r="E85" s="57">
        <v>4</v>
      </c>
      <c r="F85" s="58" t="s">
        <v>316</v>
      </c>
      <c r="G85" s="47" t="s">
        <v>202</v>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x14ac:dyDescent="0.55000000000000004">
      <c r="A86" s="57" t="s">
        <v>311</v>
      </c>
      <c r="B86" s="65" t="s">
        <v>126</v>
      </c>
      <c r="C86" s="58"/>
      <c r="D86" s="59" t="s">
        <v>208</v>
      </c>
      <c r="E86" s="57">
        <v>5</v>
      </c>
      <c r="F86" s="58" t="s">
        <v>317</v>
      </c>
      <c r="G86" s="47" t="s">
        <v>202</v>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x14ac:dyDescent="0.55000000000000004">
      <c r="A87" s="57" t="s">
        <v>311</v>
      </c>
      <c r="B87" s="65" t="s">
        <v>126</v>
      </c>
      <c r="C87" s="58"/>
      <c r="D87" s="59" t="s">
        <v>208</v>
      </c>
      <c r="E87" s="57">
        <v>6</v>
      </c>
      <c r="F87" s="58" t="s">
        <v>318</v>
      </c>
      <c r="G87" s="47" t="s">
        <v>202</v>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x14ac:dyDescent="0.55000000000000004">
      <c r="A88" s="49" t="s">
        <v>319</v>
      </c>
      <c r="B88" s="64" t="s">
        <v>126</v>
      </c>
      <c r="C88" s="50" t="s">
        <v>320</v>
      </c>
      <c r="D88" s="51" t="s">
        <v>208</v>
      </c>
      <c r="E88" s="52">
        <v>1</v>
      </c>
      <c r="F88" s="50" t="s">
        <v>321</v>
      </c>
      <c r="G88" s="53" t="s">
        <v>202</v>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x14ac:dyDescent="0.55000000000000004">
      <c r="A89" s="57" t="s">
        <v>319</v>
      </c>
      <c r="B89" s="65" t="s">
        <v>126</v>
      </c>
      <c r="C89" s="58"/>
      <c r="D89" s="59" t="s">
        <v>208</v>
      </c>
      <c r="E89" s="57">
        <v>2</v>
      </c>
      <c r="F89" s="58" t="s">
        <v>322</v>
      </c>
      <c r="G89" s="47" t="s">
        <v>202</v>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x14ac:dyDescent="0.55000000000000004">
      <c r="A90" s="57" t="s">
        <v>319</v>
      </c>
      <c r="B90" s="65" t="s">
        <v>126</v>
      </c>
      <c r="C90" s="58"/>
      <c r="D90" s="59" t="s">
        <v>208</v>
      </c>
      <c r="E90" s="57">
        <v>3</v>
      </c>
      <c r="F90" s="58" t="s">
        <v>316</v>
      </c>
      <c r="G90" s="47" t="s">
        <v>202</v>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x14ac:dyDescent="0.55000000000000004">
      <c r="A91" s="57" t="s">
        <v>319</v>
      </c>
      <c r="B91" s="65" t="s">
        <v>126</v>
      </c>
      <c r="C91" s="58"/>
      <c r="D91" s="59" t="s">
        <v>208</v>
      </c>
      <c r="E91" s="57">
        <v>4</v>
      </c>
      <c r="F91" s="58" t="s">
        <v>323</v>
      </c>
      <c r="G91" s="47" t="s">
        <v>202</v>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x14ac:dyDescent="0.55000000000000004">
      <c r="A92" s="60" t="s">
        <v>324</v>
      </c>
      <c r="B92" s="66" t="s">
        <v>126</v>
      </c>
      <c r="C92" s="61" t="s">
        <v>325</v>
      </c>
      <c r="D92" s="62"/>
      <c r="E92" s="54">
        <v>1</v>
      </c>
      <c r="F92" s="61" t="s">
        <v>326</v>
      </c>
      <c r="G92" s="53" t="s">
        <v>202</v>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x14ac:dyDescent="0.55000000000000004">
      <c r="A93" s="46" t="s">
        <v>324</v>
      </c>
      <c r="B93" s="63" t="s">
        <v>126</v>
      </c>
      <c r="C93" s="44"/>
      <c r="D93" s="45"/>
      <c r="E93" s="46">
        <v>2</v>
      </c>
      <c r="F93" s="44" t="s">
        <v>327</v>
      </c>
      <c r="G93" s="47" t="s">
        <v>202</v>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x14ac:dyDescent="0.55000000000000004">
      <c r="A94" s="46" t="s">
        <v>324</v>
      </c>
      <c r="B94" s="63" t="s">
        <v>126</v>
      </c>
      <c r="C94" s="44"/>
      <c r="D94" s="45"/>
      <c r="E94" s="46">
        <v>3</v>
      </c>
      <c r="F94" s="44" t="s">
        <v>328</v>
      </c>
      <c r="G94" s="47" t="s">
        <v>202</v>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44" x14ac:dyDescent="0.55000000000000004">
      <c r="A95" s="46" t="s">
        <v>324</v>
      </c>
      <c r="B95" s="63" t="s">
        <v>126</v>
      </c>
      <c r="C95" s="44"/>
      <c r="D95" s="45"/>
      <c r="E95" s="46">
        <v>4</v>
      </c>
      <c r="F95" s="44" t="s">
        <v>329</v>
      </c>
      <c r="G95" s="47" t="s">
        <v>202</v>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44" x14ac:dyDescent="0.55000000000000004">
      <c r="A96" s="60" t="s">
        <v>330</v>
      </c>
      <c r="B96" s="66" t="s">
        <v>126</v>
      </c>
      <c r="C96" s="61" t="s">
        <v>331</v>
      </c>
      <c r="D96" s="62"/>
      <c r="E96" s="54">
        <v>1</v>
      </c>
      <c r="F96" s="61" t="s">
        <v>314</v>
      </c>
      <c r="G96" s="53" t="s">
        <v>202</v>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x14ac:dyDescent="0.55000000000000004">
      <c r="A97" s="46" t="s">
        <v>330</v>
      </c>
      <c r="B97" s="63" t="s">
        <v>126</v>
      </c>
      <c r="C97" s="44"/>
      <c r="D97" s="45"/>
      <c r="E97" s="46">
        <v>2</v>
      </c>
      <c r="F97" s="44" t="s">
        <v>332</v>
      </c>
      <c r="G97" s="47" t="s">
        <v>202</v>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44" x14ac:dyDescent="0.55000000000000004">
      <c r="A98" s="46" t="s">
        <v>330</v>
      </c>
      <c r="B98" s="63" t="s">
        <v>126</v>
      </c>
      <c r="C98" s="44"/>
      <c r="D98" s="45"/>
      <c r="E98" s="46">
        <v>3</v>
      </c>
      <c r="F98" s="44" t="s">
        <v>333</v>
      </c>
      <c r="G98" s="47" t="s">
        <v>202</v>
      </c>
      <c r="H98" s="46" t="str">
        <f>IFERROR(INDEX('الإعدادات واللجنة'!$C$24:$C$32,MATCH(LEFT(A98,3),'الإعدادات واللجنة'!$A$24:$A$32,0)),"")</f>
        <v>د. احمد بن عوض البشري</v>
      </c>
      <c r="I98" s="38"/>
      <c r="J98" s="38"/>
      <c r="K98" s="46" t="str">
        <f t="shared" si="1"/>
        <v/>
      </c>
      <c r="L98" s="48"/>
      <c r="M98" s="38"/>
      <c r="N98" s="48"/>
      <c r="O98" s="48"/>
      <c r="P98" s="38"/>
      <c r="Q98" s="48"/>
      <c r="R98" s="26" t="str">
        <f>IF($I98="","",$I98&amp;"#"&amp;COUNTIF($I$5:$I98,$I98))</f>
        <v/>
      </c>
    </row>
    <row r="99" spans="1:18" ht="66" x14ac:dyDescent="0.55000000000000004">
      <c r="A99" s="46" t="s">
        <v>330</v>
      </c>
      <c r="B99" s="63" t="s">
        <v>126</v>
      </c>
      <c r="C99" s="44"/>
      <c r="D99" s="45"/>
      <c r="E99" s="46">
        <v>4</v>
      </c>
      <c r="F99" s="44" t="s">
        <v>334</v>
      </c>
      <c r="G99" s="47" t="s">
        <v>202</v>
      </c>
      <c r="H99" s="46" t="str">
        <f>IFERROR(INDEX('الإعدادات واللجنة'!$C$24:$C$32,MATCH(LEFT(A99,3),'الإعدادات واللجنة'!$A$24:$A$32,0)),"")</f>
        <v>د. احمد بن عوض البشري</v>
      </c>
      <c r="I99" s="38"/>
      <c r="J99" s="38"/>
      <c r="K99" s="46" t="str">
        <f t="shared" si="1"/>
        <v/>
      </c>
      <c r="L99" s="48"/>
      <c r="M99" s="38"/>
      <c r="N99" s="48"/>
      <c r="O99" s="48"/>
      <c r="P99" s="38"/>
      <c r="Q99" s="48"/>
      <c r="R99" s="26" t="str">
        <f>IF($I99="","",$I99&amp;"#"&amp;COUNTIF($I$5:$I99,$I99))</f>
        <v/>
      </c>
    </row>
    <row r="100" spans="1:18" ht="66" x14ac:dyDescent="0.55000000000000004">
      <c r="A100" s="60" t="s">
        <v>335</v>
      </c>
      <c r="B100" s="66" t="s">
        <v>126</v>
      </c>
      <c r="C100" s="61" t="s">
        <v>336</v>
      </c>
      <c r="D100" s="62"/>
      <c r="E100" s="54">
        <v>1</v>
      </c>
      <c r="F100" s="61" t="s">
        <v>337</v>
      </c>
      <c r="G100" s="53" t="s">
        <v>202</v>
      </c>
      <c r="H100" s="54" t="str">
        <f>IFERROR(INDEX('الإعدادات واللجنة'!$C$24:$C$32,MATCH(LEFT(A100,3),'الإعدادات واللجنة'!$A$24:$A$32,0)),"")</f>
        <v>د. احمد بن عوض البشري</v>
      </c>
      <c r="I100" s="55"/>
      <c r="J100" s="55"/>
      <c r="K100" s="54" t="str">
        <f t="shared" si="1"/>
        <v/>
      </c>
      <c r="L100" s="56"/>
      <c r="M100" s="55"/>
      <c r="N100" s="56"/>
      <c r="O100" s="56"/>
      <c r="P100" s="55"/>
      <c r="Q100" s="56"/>
      <c r="R100" s="26" t="str">
        <f>IF($I100="","",$I100&amp;"#"&amp;COUNTIF($I$5:$I100,$I100))</f>
        <v/>
      </c>
    </row>
    <row r="101" spans="1:18" ht="44" x14ac:dyDescent="0.55000000000000004">
      <c r="A101" s="46" t="s">
        <v>335</v>
      </c>
      <c r="B101" s="63" t="s">
        <v>126</v>
      </c>
      <c r="C101" s="44"/>
      <c r="D101" s="45"/>
      <c r="E101" s="46">
        <v>2</v>
      </c>
      <c r="F101" s="44" t="s">
        <v>338</v>
      </c>
      <c r="G101" s="47" t="s">
        <v>202</v>
      </c>
      <c r="H101" s="46" t="str">
        <f>IFERROR(INDEX('الإعدادات واللجنة'!$C$24:$C$32,MATCH(LEFT(A101,3),'الإعدادات واللجنة'!$A$24:$A$32,0)),"")</f>
        <v>د. احمد بن عوض البشري</v>
      </c>
      <c r="I101" s="38"/>
      <c r="J101" s="38"/>
      <c r="K101" s="46" t="str">
        <f t="shared" si="1"/>
        <v/>
      </c>
      <c r="L101" s="48"/>
      <c r="M101" s="38"/>
      <c r="N101" s="48"/>
      <c r="O101" s="48"/>
      <c r="P101" s="38"/>
      <c r="Q101" s="48"/>
      <c r="R101" s="26" t="str">
        <f>IF($I101="","",$I101&amp;"#"&amp;COUNTIF($I$5:$I101,$I101))</f>
        <v/>
      </c>
    </row>
    <row r="102" spans="1:18" ht="66" x14ac:dyDescent="0.55000000000000004">
      <c r="A102" s="60" t="s">
        <v>339</v>
      </c>
      <c r="B102" s="66" t="s">
        <v>126</v>
      </c>
      <c r="C102" s="61" t="s">
        <v>340</v>
      </c>
      <c r="D102" s="62"/>
      <c r="E102" s="54">
        <v>1</v>
      </c>
      <c r="F102" s="61" t="s">
        <v>341</v>
      </c>
      <c r="G102" s="53" t="s">
        <v>202</v>
      </c>
      <c r="H102" s="54" t="str">
        <f>IFERROR(INDEX('الإعدادات واللجنة'!$C$24:$C$32,MATCH(LEFT(A102,3),'الإعدادات واللجنة'!$A$24:$A$32,0)),"")</f>
        <v>د. احمد بن عوض البشري</v>
      </c>
      <c r="I102" s="55"/>
      <c r="J102" s="55"/>
      <c r="K102" s="54" t="str">
        <f t="shared" si="1"/>
        <v/>
      </c>
      <c r="L102" s="56"/>
      <c r="M102" s="55"/>
      <c r="N102" s="56"/>
      <c r="O102" s="56"/>
      <c r="P102" s="55"/>
      <c r="Q102" s="56"/>
      <c r="R102" s="26" t="str">
        <f>IF($I102="","",$I102&amp;"#"&amp;COUNTIF($I$5:$I102,$I102))</f>
        <v/>
      </c>
    </row>
    <row r="103" spans="1:18" ht="44" x14ac:dyDescent="0.55000000000000004">
      <c r="A103" s="46" t="s">
        <v>339</v>
      </c>
      <c r="B103" s="63" t="s">
        <v>126</v>
      </c>
      <c r="C103" s="44"/>
      <c r="D103" s="45"/>
      <c r="E103" s="46">
        <v>2</v>
      </c>
      <c r="F103" s="44" t="s">
        <v>342</v>
      </c>
      <c r="G103" s="47" t="s">
        <v>202</v>
      </c>
      <c r="H103" s="46" t="str">
        <f>IFERROR(INDEX('الإعدادات واللجنة'!$C$24:$C$32,MATCH(LEFT(A103,3),'الإعدادات واللجنة'!$A$24:$A$32,0)),"")</f>
        <v>د. احمد بن عوض البشري</v>
      </c>
      <c r="I103" s="38"/>
      <c r="J103" s="38"/>
      <c r="K103" s="46" t="str">
        <f t="shared" si="1"/>
        <v/>
      </c>
      <c r="L103" s="48"/>
      <c r="M103" s="38"/>
      <c r="N103" s="48"/>
      <c r="O103" s="48"/>
      <c r="P103" s="38"/>
      <c r="Q103" s="48"/>
      <c r="R103" s="26" t="str">
        <f>IF($I103="","",$I103&amp;"#"&amp;COUNTIF($I$5:$I103,$I103))</f>
        <v/>
      </c>
    </row>
    <row r="104" spans="1:18" ht="44" x14ac:dyDescent="0.55000000000000004">
      <c r="A104" s="46" t="s">
        <v>339</v>
      </c>
      <c r="B104" s="63" t="s">
        <v>126</v>
      </c>
      <c r="C104" s="44"/>
      <c r="D104" s="45"/>
      <c r="E104" s="46">
        <v>3</v>
      </c>
      <c r="F104" s="44" t="s">
        <v>343</v>
      </c>
      <c r="G104" s="47" t="s">
        <v>202</v>
      </c>
      <c r="H104" s="46" t="str">
        <f>IFERROR(INDEX('الإعدادات واللجنة'!$C$24:$C$32,MATCH(LEFT(A104,3),'الإعدادات واللجنة'!$A$24:$A$32,0)),"")</f>
        <v>د. احمد بن عوض البشري</v>
      </c>
      <c r="I104" s="38"/>
      <c r="J104" s="38"/>
      <c r="K104" s="46" t="str">
        <f t="shared" si="1"/>
        <v/>
      </c>
      <c r="L104" s="48"/>
      <c r="M104" s="38"/>
      <c r="N104" s="48"/>
      <c r="O104" s="48"/>
      <c r="P104" s="38"/>
      <c r="Q104" s="48"/>
      <c r="R104" s="26" t="str">
        <f>IF($I104="","",$I104&amp;"#"&amp;COUNTIF($I$5:$I104,$I104))</f>
        <v/>
      </c>
    </row>
    <row r="105" spans="1:18" ht="66" x14ac:dyDescent="0.55000000000000004">
      <c r="A105" s="49" t="s">
        <v>344</v>
      </c>
      <c r="B105" s="64" t="s">
        <v>126</v>
      </c>
      <c r="C105" s="50" t="s">
        <v>345</v>
      </c>
      <c r="D105" s="51" t="s">
        <v>208</v>
      </c>
      <c r="E105" s="52">
        <v>1</v>
      </c>
      <c r="F105" s="50" t="s">
        <v>346</v>
      </c>
      <c r="G105" s="53" t="s">
        <v>202</v>
      </c>
      <c r="H105" s="54" t="str">
        <f>IFERROR(INDEX('الإعدادات واللجنة'!$C$24:$C$32,MATCH(LEFT(A105,3),'الإعدادات واللجنة'!$A$24:$A$32,0)),"")</f>
        <v>د. احمد بن عوض البشري</v>
      </c>
      <c r="I105" s="55"/>
      <c r="J105" s="55"/>
      <c r="K105" s="54" t="str">
        <f t="shared" si="1"/>
        <v/>
      </c>
      <c r="L105" s="56"/>
      <c r="M105" s="55"/>
      <c r="N105" s="56"/>
      <c r="O105" s="56"/>
      <c r="P105" s="55"/>
      <c r="Q105" s="56"/>
      <c r="R105" s="26" t="str">
        <f>IF($I105="","",$I105&amp;"#"&amp;COUNTIF($I$5:$I105,$I105))</f>
        <v/>
      </c>
    </row>
    <row r="106" spans="1:18" ht="44" x14ac:dyDescent="0.55000000000000004">
      <c r="A106" s="57" t="s">
        <v>344</v>
      </c>
      <c r="B106" s="65" t="s">
        <v>126</v>
      </c>
      <c r="C106" s="58"/>
      <c r="D106" s="59" t="s">
        <v>208</v>
      </c>
      <c r="E106" s="57">
        <v>2</v>
      </c>
      <c r="F106" s="58" t="s">
        <v>347</v>
      </c>
      <c r="G106" s="47" t="s">
        <v>202</v>
      </c>
      <c r="H106" s="46" t="str">
        <f>IFERROR(INDEX('الإعدادات واللجنة'!$C$24:$C$32,MATCH(LEFT(A106,3),'الإعدادات واللجنة'!$A$24:$A$32,0)),"")</f>
        <v>د. احمد بن عوض البشري</v>
      </c>
      <c r="I106" s="38"/>
      <c r="J106" s="38"/>
      <c r="K106" s="46" t="str">
        <f t="shared" si="1"/>
        <v/>
      </c>
      <c r="L106" s="48"/>
      <c r="M106" s="38"/>
      <c r="N106" s="48"/>
      <c r="O106" s="48"/>
      <c r="P106" s="38"/>
      <c r="Q106" s="48"/>
      <c r="R106" s="26" t="str">
        <f>IF($I106="","",$I106&amp;"#"&amp;COUNTIF($I$5:$I106,$I106))</f>
        <v/>
      </c>
    </row>
    <row r="107" spans="1:18" ht="66" x14ac:dyDescent="0.55000000000000004">
      <c r="A107" s="49" t="s">
        <v>348</v>
      </c>
      <c r="B107" s="64" t="s">
        <v>126</v>
      </c>
      <c r="C107" s="50" t="s">
        <v>349</v>
      </c>
      <c r="D107" s="51" t="s">
        <v>208</v>
      </c>
      <c r="E107" s="52">
        <v>1</v>
      </c>
      <c r="F107" s="50" t="s">
        <v>350</v>
      </c>
      <c r="G107" s="53" t="s">
        <v>202</v>
      </c>
      <c r="H107" s="54" t="str">
        <f>IFERROR(INDEX('الإعدادات واللجنة'!$C$24:$C$32,MATCH(LEFT(A107,3),'الإعدادات واللجنة'!$A$24:$A$32,0)),"")</f>
        <v>د. يثرب بنت سعد القحطاني</v>
      </c>
      <c r="I107" s="55"/>
      <c r="J107" s="55"/>
      <c r="K107" s="54" t="str">
        <f t="shared" si="1"/>
        <v/>
      </c>
      <c r="L107" s="56"/>
      <c r="M107" s="55"/>
      <c r="N107" s="56"/>
      <c r="O107" s="56"/>
      <c r="P107" s="55"/>
      <c r="Q107" s="56"/>
      <c r="R107" s="26" t="str">
        <f>IF($I107="","",$I107&amp;"#"&amp;COUNTIF($I$5:$I107,$I107))</f>
        <v/>
      </c>
    </row>
    <row r="108" spans="1:18" ht="44" x14ac:dyDescent="0.55000000000000004">
      <c r="A108" s="57" t="s">
        <v>348</v>
      </c>
      <c r="B108" s="65" t="s">
        <v>126</v>
      </c>
      <c r="C108" s="58"/>
      <c r="D108" s="59" t="s">
        <v>208</v>
      </c>
      <c r="E108" s="57">
        <v>2</v>
      </c>
      <c r="F108" s="58" t="s">
        <v>351</v>
      </c>
      <c r="G108" s="47" t="s">
        <v>202</v>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66" x14ac:dyDescent="0.55000000000000004">
      <c r="A109" s="57" t="s">
        <v>348</v>
      </c>
      <c r="B109" s="65" t="s">
        <v>126</v>
      </c>
      <c r="C109" s="58"/>
      <c r="D109" s="59" t="s">
        <v>208</v>
      </c>
      <c r="E109" s="57">
        <v>3</v>
      </c>
      <c r="F109" s="58" t="s">
        <v>352</v>
      </c>
      <c r="G109" s="47" t="s">
        <v>202</v>
      </c>
      <c r="H109" s="46" t="str">
        <f>IFERROR(INDEX('الإعدادات واللجنة'!$C$24:$C$32,MATCH(LEFT(A109,3),'الإعدادات واللجنة'!$A$24:$A$32,0)),"")</f>
        <v>د. يثرب بنت سعد القحطاني</v>
      </c>
      <c r="I109" s="38"/>
      <c r="J109" s="38"/>
      <c r="K109" s="46" t="str">
        <f t="shared" si="1"/>
        <v/>
      </c>
      <c r="L109" s="48"/>
      <c r="M109" s="38"/>
      <c r="N109" s="48"/>
      <c r="O109" s="48"/>
      <c r="P109" s="38"/>
      <c r="Q109" s="48"/>
      <c r="R109" s="26" t="str">
        <f>IF($I109="","",$I109&amp;"#"&amp;COUNTIF($I$5:$I109,$I109))</f>
        <v/>
      </c>
    </row>
    <row r="110" spans="1:18" ht="44" x14ac:dyDescent="0.55000000000000004">
      <c r="A110" s="57" t="s">
        <v>348</v>
      </c>
      <c r="B110" s="65" t="s">
        <v>126</v>
      </c>
      <c r="C110" s="58"/>
      <c r="D110" s="59" t="s">
        <v>208</v>
      </c>
      <c r="E110" s="57">
        <v>4</v>
      </c>
      <c r="F110" s="58" t="s">
        <v>353</v>
      </c>
      <c r="G110" s="47" t="s">
        <v>202</v>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x14ac:dyDescent="0.55000000000000004">
      <c r="A111" s="57" t="s">
        <v>348</v>
      </c>
      <c r="B111" s="65" t="s">
        <v>126</v>
      </c>
      <c r="C111" s="58"/>
      <c r="D111" s="59" t="s">
        <v>208</v>
      </c>
      <c r="E111" s="57">
        <v>5</v>
      </c>
      <c r="F111" s="58" t="s">
        <v>354</v>
      </c>
      <c r="G111" s="47" t="s">
        <v>202</v>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66" x14ac:dyDescent="0.55000000000000004">
      <c r="A112" s="60" t="s">
        <v>355</v>
      </c>
      <c r="B112" s="66" t="s">
        <v>126</v>
      </c>
      <c r="C112" s="61" t="s">
        <v>356</v>
      </c>
      <c r="D112" s="62"/>
      <c r="E112" s="54">
        <v>1</v>
      </c>
      <c r="F112" s="61" t="s">
        <v>357</v>
      </c>
      <c r="G112" s="53" t="s">
        <v>202</v>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x14ac:dyDescent="0.55000000000000004">
      <c r="A113" s="46" t="s">
        <v>355</v>
      </c>
      <c r="B113" s="63" t="s">
        <v>126</v>
      </c>
      <c r="C113" s="44"/>
      <c r="D113" s="45"/>
      <c r="E113" s="46">
        <v>2</v>
      </c>
      <c r="F113" s="44" t="s">
        <v>358</v>
      </c>
      <c r="G113" s="47" t="s">
        <v>202</v>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x14ac:dyDescent="0.55000000000000004">
      <c r="A114" s="46" t="s">
        <v>355</v>
      </c>
      <c r="B114" s="63" t="s">
        <v>126</v>
      </c>
      <c r="C114" s="44"/>
      <c r="D114" s="45"/>
      <c r="E114" s="46">
        <v>3</v>
      </c>
      <c r="F114" s="44" t="s">
        <v>359</v>
      </c>
      <c r="G114" s="47" t="s">
        <v>202</v>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x14ac:dyDescent="0.55000000000000004">
      <c r="A115" s="46" t="s">
        <v>355</v>
      </c>
      <c r="B115" s="63" t="s">
        <v>126</v>
      </c>
      <c r="C115" s="44"/>
      <c r="D115" s="45"/>
      <c r="E115" s="46">
        <v>4</v>
      </c>
      <c r="F115" s="44" t="s">
        <v>360</v>
      </c>
      <c r="G115" s="47" t="s">
        <v>202</v>
      </c>
      <c r="H115" s="46" t="str">
        <f>IFERROR(INDEX('الإعدادات واللجنة'!$C$24:$C$32,MATCH(LEFT(A115,3),'الإعدادات واللجنة'!$A$24:$A$32,0)),"")</f>
        <v>د. يثرب بنت سعد القحطاني</v>
      </c>
      <c r="I115" s="38"/>
      <c r="J115" s="38"/>
      <c r="K115" s="46" t="str">
        <f t="shared" si="1"/>
        <v/>
      </c>
      <c r="L115" s="48"/>
      <c r="M115" s="38"/>
      <c r="N115" s="48"/>
      <c r="O115" s="48"/>
      <c r="P115" s="38"/>
      <c r="Q115" s="48"/>
      <c r="R115" s="26" t="str">
        <f>IF($I115="","",$I115&amp;"#"&amp;COUNTIF($I$5:$I115,$I115))</f>
        <v/>
      </c>
    </row>
    <row r="116" spans="1:18" ht="88" x14ac:dyDescent="0.55000000000000004">
      <c r="A116" s="60" t="s">
        <v>361</v>
      </c>
      <c r="B116" s="66" t="s">
        <v>126</v>
      </c>
      <c r="C116" s="61" t="s">
        <v>362</v>
      </c>
      <c r="D116" s="62"/>
      <c r="E116" s="54">
        <v>1</v>
      </c>
      <c r="F116" s="61" t="s">
        <v>363</v>
      </c>
      <c r="G116" s="53" t="s">
        <v>202</v>
      </c>
      <c r="H116" s="54" t="str">
        <f>IFERROR(INDEX('الإعدادات واللجنة'!$C$24:$C$32,MATCH(LEFT(A116,3),'الإعدادات واللجنة'!$A$24:$A$32,0)),"")</f>
        <v>د. يثرب بنت سعد القحطاني</v>
      </c>
      <c r="I116" s="55"/>
      <c r="J116" s="55"/>
      <c r="K116" s="54" t="str">
        <f t="shared" si="1"/>
        <v/>
      </c>
      <c r="L116" s="56"/>
      <c r="M116" s="55"/>
      <c r="N116" s="56"/>
      <c r="O116" s="56"/>
      <c r="P116" s="55"/>
      <c r="Q116" s="56"/>
      <c r="R116" s="26" t="str">
        <f>IF($I116="","",$I116&amp;"#"&amp;COUNTIF($I$5:$I116,$I116))</f>
        <v/>
      </c>
    </row>
    <row r="117" spans="1:18" ht="66" x14ac:dyDescent="0.55000000000000004">
      <c r="A117" s="46" t="s">
        <v>361</v>
      </c>
      <c r="B117" s="63" t="s">
        <v>126</v>
      </c>
      <c r="C117" s="44"/>
      <c r="D117" s="45"/>
      <c r="E117" s="46">
        <v>2</v>
      </c>
      <c r="F117" s="44" t="s">
        <v>364</v>
      </c>
      <c r="G117" s="47" t="s">
        <v>202</v>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x14ac:dyDescent="0.55000000000000004">
      <c r="A118" s="46" t="s">
        <v>361</v>
      </c>
      <c r="B118" s="63" t="s">
        <v>126</v>
      </c>
      <c r="C118" s="44"/>
      <c r="D118" s="45"/>
      <c r="E118" s="46">
        <v>3</v>
      </c>
      <c r="F118" s="44" t="s">
        <v>365</v>
      </c>
      <c r="G118" s="47" t="s">
        <v>202</v>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x14ac:dyDescent="0.55000000000000004">
      <c r="A119" s="60" t="s">
        <v>366</v>
      </c>
      <c r="B119" s="66" t="s">
        <v>126</v>
      </c>
      <c r="C119" s="61" t="s">
        <v>367</v>
      </c>
      <c r="D119" s="62"/>
      <c r="E119" s="54">
        <v>1</v>
      </c>
      <c r="F119" s="61" t="s">
        <v>368</v>
      </c>
      <c r="G119" s="53" t="s">
        <v>202</v>
      </c>
      <c r="H119" s="54" t="str">
        <f>IFERROR(INDEX('الإعدادات واللجنة'!$C$24:$C$32,MATCH(LEFT(A119,3),'الإعدادات واللجنة'!$A$24:$A$32,0)),"")</f>
        <v>د. يثرب بنت سعد القحطاني</v>
      </c>
      <c r="I119" s="55"/>
      <c r="J119" s="55"/>
      <c r="K119" s="54" t="str">
        <f t="shared" si="1"/>
        <v/>
      </c>
      <c r="L119" s="56"/>
      <c r="M119" s="55"/>
      <c r="N119" s="56"/>
      <c r="O119" s="56"/>
      <c r="P119" s="55"/>
      <c r="Q119" s="56"/>
      <c r="R119" s="26" t="str">
        <f>IF($I119="","",$I119&amp;"#"&amp;COUNTIF($I$5:$I119,$I119))</f>
        <v/>
      </c>
    </row>
    <row r="120" spans="1:18" ht="44" x14ac:dyDescent="0.55000000000000004">
      <c r="A120" s="46" t="s">
        <v>366</v>
      </c>
      <c r="B120" s="63" t="s">
        <v>126</v>
      </c>
      <c r="C120" s="44"/>
      <c r="D120" s="45"/>
      <c r="E120" s="46">
        <v>2</v>
      </c>
      <c r="F120" s="44" t="s">
        <v>369</v>
      </c>
      <c r="G120" s="47" t="s">
        <v>202</v>
      </c>
      <c r="H120" s="46" t="str">
        <f>IFERROR(INDEX('الإعدادات واللجنة'!$C$24:$C$32,MATCH(LEFT(A120,3),'الإعدادات واللجنة'!$A$24:$A$32,0)),"")</f>
        <v>د. يثرب بنت سعد القحطاني</v>
      </c>
      <c r="I120" s="38"/>
      <c r="J120" s="38"/>
      <c r="K120" s="46" t="str">
        <f t="shared" si="1"/>
        <v/>
      </c>
      <c r="L120" s="48"/>
      <c r="M120" s="38"/>
      <c r="N120" s="48"/>
      <c r="O120" s="48"/>
      <c r="P120" s="38"/>
      <c r="Q120" s="48"/>
      <c r="R120" s="26" t="str">
        <f>IF($I120="","",$I120&amp;"#"&amp;COUNTIF($I$5:$I120,$I120))</f>
        <v/>
      </c>
    </row>
    <row r="121" spans="1:18" ht="44" x14ac:dyDescent="0.55000000000000004">
      <c r="A121" s="46" t="s">
        <v>366</v>
      </c>
      <c r="B121" s="63" t="s">
        <v>126</v>
      </c>
      <c r="C121" s="44"/>
      <c r="D121" s="45"/>
      <c r="E121" s="46">
        <v>3</v>
      </c>
      <c r="F121" s="44" t="s">
        <v>370</v>
      </c>
      <c r="G121" s="47" t="s">
        <v>202</v>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x14ac:dyDescent="0.55000000000000004">
      <c r="A122" s="60" t="s">
        <v>371</v>
      </c>
      <c r="B122" s="66" t="s">
        <v>126</v>
      </c>
      <c r="C122" s="61" t="s">
        <v>372</v>
      </c>
      <c r="D122" s="62"/>
      <c r="E122" s="54">
        <v>1</v>
      </c>
      <c r="F122" s="61" t="s">
        <v>373</v>
      </c>
      <c r="G122" s="53" t="s">
        <v>202</v>
      </c>
      <c r="H122" s="54" t="str">
        <f>IFERROR(INDEX('الإعدادات واللجنة'!$C$24:$C$32,MATCH(LEFT(A122,3),'الإعدادات واللجنة'!$A$24:$A$32,0)),"")</f>
        <v>د. يثرب بنت سعد القحطاني</v>
      </c>
      <c r="I122" s="55"/>
      <c r="J122" s="55"/>
      <c r="K122" s="54" t="str">
        <f t="shared" si="1"/>
        <v/>
      </c>
      <c r="L122" s="56"/>
      <c r="M122" s="55"/>
      <c r="N122" s="56"/>
      <c r="O122" s="56"/>
      <c r="P122" s="55"/>
      <c r="Q122" s="56"/>
      <c r="R122" s="26" t="str">
        <f>IF($I122="","",$I122&amp;"#"&amp;COUNTIF($I$5:$I122,$I122))</f>
        <v/>
      </c>
    </row>
    <row r="123" spans="1:18" ht="44" x14ac:dyDescent="0.55000000000000004">
      <c r="A123" s="46" t="s">
        <v>371</v>
      </c>
      <c r="B123" s="63" t="s">
        <v>126</v>
      </c>
      <c r="C123" s="44"/>
      <c r="D123" s="45"/>
      <c r="E123" s="46">
        <v>2</v>
      </c>
      <c r="F123" s="44" t="s">
        <v>374</v>
      </c>
      <c r="G123" s="47" t="s">
        <v>202</v>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x14ac:dyDescent="0.55000000000000004">
      <c r="A124" s="46" t="s">
        <v>371</v>
      </c>
      <c r="B124" s="63" t="s">
        <v>126</v>
      </c>
      <c r="C124" s="44"/>
      <c r="D124" s="45"/>
      <c r="E124" s="46">
        <v>3</v>
      </c>
      <c r="F124" s="44" t="s">
        <v>375</v>
      </c>
      <c r="G124" s="47" t="s">
        <v>202</v>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44" x14ac:dyDescent="0.55000000000000004">
      <c r="A125" s="46" t="s">
        <v>371</v>
      </c>
      <c r="B125" s="63" t="s">
        <v>126</v>
      </c>
      <c r="C125" s="44"/>
      <c r="D125" s="45"/>
      <c r="E125" s="46">
        <v>4</v>
      </c>
      <c r="F125" s="44" t="s">
        <v>376</v>
      </c>
      <c r="G125" s="47" t="s">
        <v>202</v>
      </c>
      <c r="H125" s="46" t="str">
        <f>IFERROR(INDEX('الإعدادات واللجنة'!$C$24:$C$32,MATCH(LEFT(A125,3),'الإعدادات واللجنة'!$A$24:$A$32,0)),"")</f>
        <v>د. يثرب بنت سعد القحطاني</v>
      </c>
      <c r="I125" s="38"/>
      <c r="J125" s="38"/>
      <c r="K125" s="46" t="str">
        <f t="shared" si="1"/>
        <v/>
      </c>
      <c r="L125" s="48"/>
      <c r="M125" s="38"/>
      <c r="N125" s="48"/>
      <c r="O125" s="48"/>
      <c r="P125" s="38"/>
      <c r="Q125" s="48"/>
      <c r="R125" s="26" t="str">
        <f>IF($I125="","",$I125&amp;"#"&amp;COUNTIF($I$5:$I125,$I125))</f>
        <v/>
      </c>
    </row>
    <row r="126" spans="1:18" ht="44" x14ac:dyDescent="0.55000000000000004">
      <c r="A126" s="46" t="s">
        <v>371</v>
      </c>
      <c r="B126" s="63" t="s">
        <v>126</v>
      </c>
      <c r="C126" s="44"/>
      <c r="D126" s="45"/>
      <c r="E126" s="46">
        <v>5</v>
      </c>
      <c r="F126" s="44" t="s">
        <v>377</v>
      </c>
      <c r="G126" s="47" t="s">
        <v>202</v>
      </c>
      <c r="H126" s="46" t="str">
        <f>IFERROR(INDEX('الإعدادات واللجنة'!$C$24:$C$32,MATCH(LEFT(A126,3),'الإعدادات واللجنة'!$A$24:$A$32,0)),"")</f>
        <v>د. يثرب بنت سعد القحطاني</v>
      </c>
      <c r="I126" s="38"/>
      <c r="J126" s="38"/>
      <c r="K126" s="46" t="str">
        <f t="shared" si="1"/>
        <v/>
      </c>
      <c r="L126" s="48"/>
      <c r="M126" s="38"/>
      <c r="N126" s="48"/>
      <c r="O126" s="48"/>
      <c r="P126" s="38"/>
      <c r="Q126" s="48"/>
      <c r="R126" s="26" t="str">
        <f>IF($I126="","",$I126&amp;"#"&amp;COUNTIF($I$5:$I126,$I126))</f>
        <v/>
      </c>
    </row>
    <row r="127" spans="1:18" ht="66" x14ac:dyDescent="0.55000000000000004">
      <c r="A127" s="49" t="s">
        <v>378</v>
      </c>
      <c r="B127" s="64" t="s">
        <v>126</v>
      </c>
      <c r="C127" s="50" t="s">
        <v>379</v>
      </c>
      <c r="D127" s="51" t="s">
        <v>208</v>
      </c>
      <c r="E127" s="52">
        <v>1</v>
      </c>
      <c r="F127" s="50" t="s">
        <v>380</v>
      </c>
      <c r="G127" s="53" t="s">
        <v>202</v>
      </c>
      <c r="H127" s="54" t="str">
        <f>IFERROR(INDEX('الإعدادات واللجنة'!$C$24:$C$32,MATCH(LEFT(A127,3),'الإعدادات واللجنة'!$A$24:$A$32,0)),"")</f>
        <v>د. يثرب بنت سعد القحطاني</v>
      </c>
      <c r="I127" s="55"/>
      <c r="J127" s="55"/>
      <c r="K127" s="54" t="str">
        <f t="shared" si="1"/>
        <v/>
      </c>
      <c r="L127" s="56"/>
      <c r="M127" s="55"/>
      <c r="N127" s="56"/>
      <c r="O127" s="56"/>
      <c r="P127" s="55"/>
      <c r="Q127" s="56"/>
      <c r="R127" s="26" t="str">
        <f>IF($I127="","",$I127&amp;"#"&amp;COUNTIF($I$5:$I127,$I127))</f>
        <v/>
      </c>
    </row>
    <row r="128" spans="1:18" ht="44" x14ac:dyDescent="0.55000000000000004">
      <c r="A128" s="57" t="s">
        <v>378</v>
      </c>
      <c r="B128" s="65" t="s">
        <v>126</v>
      </c>
      <c r="C128" s="58"/>
      <c r="D128" s="59" t="s">
        <v>208</v>
      </c>
      <c r="E128" s="57">
        <v>2</v>
      </c>
      <c r="F128" s="58" t="s">
        <v>381</v>
      </c>
      <c r="G128" s="47" t="s">
        <v>202</v>
      </c>
      <c r="H128" s="46" t="str">
        <f>IFERROR(INDEX('الإعدادات واللجنة'!$C$24:$C$32,MATCH(LEFT(A128,3),'الإعدادات واللجنة'!$A$24:$A$32,0)),"")</f>
        <v>د. يثرب بنت سعد القحطاني</v>
      </c>
      <c r="I128" s="38"/>
      <c r="J128" s="38"/>
      <c r="K128" s="46" t="str">
        <f t="shared" si="1"/>
        <v/>
      </c>
      <c r="L128" s="48"/>
      <c r="M128" s="38"/>
      <c r="N128" s="48"/>
      <c r="O128" s="48"/>
      <c r="P128" s="38"/>
      <c r="Q128" s="48"/>
      <c r="R128" s="26" t="str">
        <f>IF($I128="","",$I128&amp;"#"&amp;COUNTIF($I$5:$I128,$I128))</f>
        <v/>
      </c>
    </row>
    <row r="129" spans="1:18" ht="44" x14ac:dyDescent="0.55000000000000004">
      <c r="A129" s="57" t="s">
        <v>378</v>
      </c>
      <c r="B129" s="65" t="s">
        <v>126</v>
      </c>
      <c r="C129" s="58"/>
      <c r="D129" s="59" t="s">
        <v>208</v>
      </c>
      <c r="E129" s="57">
        <v>3</v>
      </c>
      <c r="F129" s="58" t="s">
        <v>382</v>
      </c>
      <c r="G129" s="47" t="s">
        <v>202</v>
      </c>
      <c r="H129" s="46" t="str">
        <f>IFERROR(INDEX('الإعدادات واللجنة'!$C$24:$C$32,MATCH(LEFT(A129,3),'الإعدادات واللجنة'!$A$24:$A$32,0)),"")</f>
        <v>د. يثرب بنت سعد القحطاني</v>
      </c>
      <c r="I129" s="38"/>
      <c r="J129" s="38"/>
      <c r="K129" s="46" t="str">
        <f t="shared" si="1"/>
        <v/>
      </c>
      <c r="L129" s="48"/>
      <c r="M129" s="38"/>
      <c r="N129" s="48"/>
      <c r="O129" s="48"/>
      <c r="P129" s="38"/>
      <c r="Q129" s="48"/>
      <c r="R129" s="26" t="str">
        <f>IF($I129="","",$I129&amp;"#"&amp;COUNTIF($I$5:$I129,$I129))</f>
        <v/>
      </c>
    </row>
    <row r="130" spans="1:18" ht="44" x14ac:dyDescent="0.55000000000000004">
      <c r="A130" s="57" t="s">
        <v>378</v>
      </c>
      <c r="B130" s="65" t="s">
        <v>126</v>
      </c>
      <c r="C130" s="58"/>
      <c r="D130" s="59" t="s">
        <v>208</v>
      </c>
      <c r="E130" s="57">
        <v>4</v>
      </c>
      <c r="F130" s="58" t="s">
        <v>383</v>
      </c>
      <c r="G130" s="47" t="s">
        <v>202</v>
      </c>
      <c r="H130" s="46" t="str">
        <f>IFERROR(INDEX('الإعدادات واللجنة'!$C$24:$C$32,MATCH(LEFT(A130,3),'الإعدادات واللجنة'!$A$24:$A$32,0)),"")</f>
        <v>د. يثرب بنت سعد القحطاني</v>
      </c>
      <c r="I130" s="38"/>
      <c r="J130" s="38"/>
      <c r="K130" s="46" t="str">
        <f t="shared" si="1"/>
        <v/>
      </c>
      <c r="L130" s="48"/>
      <c r="M130" s="38"/>
      <c r="N130" s="48"/>
      <c r="O130" s="48"/>
      <c r="P130" s="38"/>
      <c r="Q130" s="48"/>
      <c r="R130" s="26" t="str">
        <f>IF($I130="","",$I130&amp;"#"&amp;COUNTIF($I$5:$I130,$I130))</f>
        <v/>
      </c>
    </row>
    <row r="131" spans="1:18" ht="44" x14ac:dyDescent="0.55000000000000004">
      <c r="A131" s="57" t="s">
        <v>378</v>
      </c>
      <c r="B131" s="65" t="s">
        <v>126</v>
      </c>
      <c r="C131" s="58"/>
      <c r="D131" s="59" t="s">
        <v>208</v>
      </c>
      <c r="E131" s="57">
        <v>5</v>
      </c>
      <c r="F131" s="58" t="s">
        <v>384</v>
      </c>
      <c r="G131" s="47" t="s">
        <v>202</v>
      </c>
      <c r="H131" s="46" t="str">
        <f>IFERROR(INDEX('الإعدادات واللجنة'!$C$24:$C$32,MATCH(LEFT(A131,3),'الإعدادات واللجنة'!$A$24:$A$32,0)),"")</f>
        <v>د. يثرب بنت سعد القحطاني</v>
      </c>
      <c r="I131" s="38"/>
      <c r="J131" s="38"/>
      <c r="K131" s="46" t="str">
        <f t="shared" si="1"/>
        <v/>
      </c>
      <c r="L131" s="48"/>
      <c r="M131" s="38"/>
      <c r="N131" s="48"/>
      <c r="O131" s="48"/>
      <c r="P131" s="38"/>
      <c r="Q131" s="48"/>
      <c r="R131" s="26" t="str">
        <f>IF($I131="","",$I131&amp;"#"&amp;COUNTIF($I$5:$I131,$I131))</f>
        <v/>
      </c>
    </row>
    <row r="132" spans="1:18" ht="66" x14ac:dyDescent="0.55000000000000004">
      <c r="A132" s="60" t="s">
        <v>385</v>
      </c>
      <c r="B132" s="66" t="s">
        <v>127</v>
      </c>
      <c r="C132" s="61" t="s">
        <v>386</v>
      </c>
      <c r="D132" s="62"/>
      <c r="E132" s="54">
        <v>1</v>
      </c>
      <c r="F132" s="61" t="s">
        <v>387</v>
      </c>
      <c r="G132" s="53" t="s">
        <v>202</v>
      </c>
      <c r="H132" s="54" t="str">
        <f>IFERROR(INDEX('الإعدادات واللجنة'!$C$24:$C$32,MATCH(LEFT(A132,3),'الإعدادات واللجنة'!$A$24:$A$32,0)),"")</f>
        <v>د. عبدالله بن محمد البركاتي</v>
      </c>
      <c r="I132" s="55"/>
      <c r="J132" s="55"/>
      <c r="K132" s="54" t="str">
        <f t="shared" si="1"/>
        <v/>
      </c>
      <c r="L132" s="56"/>
      <c r="M132" s="55"/>
      <c r="N132" s="56"/>
      <c r="O132" s="56"/>
      <c r="P132" s="55"/>
      <c r="Q132" s="56"/>
      <c r="R132" s="26" t="str">
        <f>IF($I132="","",$I132&amp;"#"&amp;COUNTIF($I$5:$I132,$I132))</f>
        <v/>
      </c>
    </row>
    <row r="133" spans="1:18" ht="44" x14ac:dyDescent="0.55000000000000004">
      <c r="A133" s="46" t="s">
        <v>385</v>
      </c>
      <c r="B133" s="63" t="s">
        <v>127</v>
      </c>
      <c r="C133" s="44"/>
      <c r="D133" s="45"/>
      <c r="E133" s="46">
        <v>2</v>
      </c>
      <c r="F133" s="44" t="s">
        <v>388</v>
      </c>
      <c r="G133" s="47" t="s">
        <v>202</v>
      </c>
      <c r="H133" s="46" t="str">
        <f>IFERROR(INDEX('الإعدادات واللجنة'!$C$24:$C$32,MATCH(LEFT(A133,3),'الإعدادات واللجنة'!$A$24:$A$32,0)),"")</f>
        <v>د. عبدالله بن محمد البركاتي</v>
      </c>
      <c r="I133" s="38"/>
      <c r="J133" s="38"/>
      <c r="K133" s="46" t="str">
        <f t="shared" ref="K133:K196" si="2">IF(OR(I133="",I133="متوفر ومكتمل"),"",IF(OR(D133="★",I133="غير متوفر"),"عالية","متوسطة"))</f>
        <v/>
      </c>
      <c r="L133" s="48"/>
      <c r="M133" s="38"/>
      <c r="N133" s="48"/>
      <c r="O133" s="48"/>
      <c r="P133" s="38"/>
      <c r="Q133" s="48"/>
      <c r="R133" s="26" t="str">
        <f>IF($I133="","",$I133&amp;"#"&amp;COUNTIF($I$5:$I133,$I133))</f>
        <v/>
      </c>
    </row>
    <row r="134" spans="1:18" ht="44" x14ac:dyDescent="0.55000000000000004">
      <c r="A134" s="46" t="s">
        <v>385</v>
      </c>
      <c r="B134" s="63" t="s">
        <v>127</v>
      </c>
      <c r="C134" s="44"/>
      <c r="D134" s="45"/>
      <c r="E134" s="46">
        <v>3</v>
      </c>
      <c r="F134" s="44" t="s">
        <v>389</v>
      </c>
      <c r="G134" s="47" t="s">
        <v>202</v>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x14ac:dyDescent="0.55000000000000004">
      <c r="A135" s="46" t="s">
        <v>385</v>
      </c>
      <c r="B135" s="63" t="s">
        <v>127</v>
      </c>
      <c r="C135" s="44"/>
      <c r="D135" s="45"/>
      <c r="E135" s="46">
        <v>4</v>
      </c>
      <c r="F135" s="44" t="s">
        <v>390</v>
      </c>
      <c r="G135" s="47" t="s">
        <v>202</v>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x14ac:dyDescent="0.55000000000000004">
      <c r="A136" s="46" t="s">
        <v>385</v>
      </c>
      <c r="B136" s="63" t="s">
        <v>127</v>
      </c>
      <c r="C136" s="44"/>
      <c r="D136" s="45"/>
      <c r="E136" s="46">
        <v>5</v>
      </c>
      <c r="F136" s="44" t="s">
        <v>391</v>
      </c>
      <c r="G136" s="47" t="s">
        <v>202</v>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x14ac:dyDescent="0.55000000000000004">
      <c r="A137" s="60" t="s">
        <v>392</v>
      </c>
      <c r="B137" s="66" t="s">
        <v>127</v>
      </c>
      <c r="C137" s="61" t="s">
        <v>393</v>
      </c>
      <c r="D137" s="62"/>
      <c r="E137" s="54">
        <v>1</v>
      </c>
      <c r="F137" s="61" t="s">
        <v>394</v>
      </c>
      <c r="G137" s="53" t="s">
        <v>202</v>
      </c>
      <c r="H137" s="54" t="str">
        <f>IFERROR(INDEX('الإعدادات واللجنة'!$C$24:$C$32,MATCH(LEFT(A137,3),'الإعدادات واللجنة'!$A$24:$A$32,0)),"")</f>
        <v>د. عبدالله بن محمد البركاتي</v>
      </c>
      <c r="I137" s="55"/>
      <c r="J137" s="55"/>
      <c r="K137" s="54" t="str">
        <f t="shared" si="2"/>
        <v/>
      </c>
      <c r="L137" s="56"/>
      <c r="M137" s="55"/>
      <c r="N137" s="56"/>
      <c r="O137" s="56"/>
      <c r="P137" s="55"/>
      <c r="Q137" s="56"/>
      <c r="R137" s="26" t="str">
        <f>IF($I137="","",$I137&amp;"#"&amp;COUNTIF($I$5:$I137,$I137))</f>
        <v/>
      </c>
    </row>
    <row r="138" spans="1:18" ht="44" x14ac:dyDescent="0.55000000000000004">
      <c r="A138" s="46" t="s">
        <v>392</v>
      </c>
      <c r="B138" s="63" t="s">
        <v>127</v>
      </c>
      <c r="C138" s="44"/>
      <c r="D138" s="45"/>
      <c r="E138" s="46">
        <v>2</v>
      </c>
      <c r="F138" s="44" t="s">
        <v>395</v>
      </c>
      <c r="G138" s="47" t="s">
        <v>202</v>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x14ac:dyDescent="0.55000000000000004">
      <c r="A139" s="46" t="s">
        <v>392</v>
      </c>
      <c r="B139" s="63" t="s">
        <v>127</v>
      </c>
      <c r="C139" s="44"/>
      <c r="D139" s="45"/>
      <c r="E139" s="46">
        <v>3</v>
      </c>
      <c r="F139" s="44" t="s">
        <v>396</v>
      </c>
      <c r="G139" s="47" t="s">
        <v>202</v>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x14ac:dyDescent="0.55000000000000004">
      <c r="A140" s="49" t="s">
        <v>397</v>
      </c>
      <c r="B140" s="64" t="s">
        <v>127</v>
      </c>
      <c r="C140" s="50" t="s">
        <v>398</v>
      </c>
      <c r="D140" s="51" t="s">
        <v>208</v>
      </c>
      <c r="E140" s="52">
        <v>1</v>
      </c>
      <c r="F140" s="50" t="s">
        <v>399</v>
      </c>
      <c r="G140" s="53" t="s">
        <v>202</v>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x14ac:dyDescent="0.55000000000000004">
      <c r="A141" s="57" t="s">
        <v>397</v>
      </c>
      <c r="B141" s="65" t="s">
        <v>127</v>
      </c>
      <c r="C141" s="58"/>
      <c r="D141" s="59" t="s">
        <v>208</v>
      </c>
      <c r="E141" s="57">
        <v>2</v>
      </c>
      <c r="F141" s="58" t="s">
        <v>400</v>
      </c>
      <c r="G141" s="47" t="s">
        <v>202</v>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x14ac:dyDescent="0.55000000000000004">
      <c r="A142" s="57" t="s">
        <v>397</v>
      </c>
      <c r="B142" s="65" t="s">
        <v>127</v>
      </c>
      <c r="C142" s="58"/>
      <c r="D142" s="59" t="s">
        <v>208</v>
      </c>
      <c r="E142" s="57">
        <v>3</v>
      </c>
      <c r="F142" s="58" t="s">
        <v>401</v>
      </c>
      <c r="G142" s="47" t="s">
        <v>202</v>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x14ac:dyDescent="0.55000000000000004">
      <c r="A143" s="57" t="s">
        <v>397</v>
      </c>
      <c r="B143" s="65" t="s">
        <v>127</v>
      </c>
      <c r="C143" s="58"/>
      <c r="D143" s="59" t="s">
        <v>208</v>
      </c>
      <c r="E143" s="57">
        <v>4</v>
      </c>
      <c r="F143" s="58" t="s">
        <v>402</v>
      </c>
      <c r="G143" s="47" t="s">
        <v>202</v>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x14ac:dyDescent="0.55000000000000004">
      <c r="A144" s="57" t="s">
        <v>397</v>
      </c>
      <c r="B144" s="65" t="s">
        <v>127</v>
      </c>
      <c r="C144" s="58"/>
      <c r="D144" s="59" t="s">
        <v>208</v>
      </c>
      <c r="E144" s="57">
        <v>5</v>
      </c>
      <c r="F144" s="58" t="s">
        <v>403</v>
      </c>
      <c r="G144" s="47" t="s">
        <v>202</v>
      </c>
      <c r="H144" s="46" t="str">
        <f>IFERROR(INDEX('الإعدادات واللجنة'!$C$24:$C$32,MATCH(LEFT(A144,3),'الإعدادات واللجنة'!$A$24:$A$32,0)),"")</f>
        <v>د. عبدالله بن محمد البركاتي</v>
      </c>
      <c r="I144" s="38"/>
      <c r="J144" s="38"/>
      <c r="K144" s="46" t="str">
        <f t="shared" si="2"/>
        <v/>
      </c>
      <c r="L144" s="48"/>
      <c r="M144" s="38"/>
      <c r="N144" s="48"/>
      <c r="O144" s="48"/>
      <c r="P144" s="38"/>
      <c r="Q144" s="48"/>
      <c r="R144" s="26" t="str">
        <f>IF($I144="","",$I144&amp;"#"&amp;COUNTIF($I$5:$I144,$I144))</f>
        <v/>
      </c>
    </row>
    <row r="145" spans="1:18" ht="44" x14ac:dyDescent="0.55000000000000004">
      <c r="A145" s="57" t="s">
        <v>397</v>
      </c>
      <c r="B145" s="65" t="s">
        <v>127</v>
      </c>
      <c r="C145" s="58"/>
      <c r="D145" s="59" t="s">
        <v>208</v>
      </c>
      <c r="E145" s="57">
        <v>6</v>
      </c>
      <c r="F145" s="58" t="s">
        <v>404</v>
      </c>
      <c r="G145" s="47" t="s">
        <v>202</v>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x14ac:dyDescent="0.55000000000000004">
      <c r="A146" s="57" t="s">
        <v>397</v>
      </c>
      <c r="B146" s="65" t="s">
        <v>127</v>
      </c>
      <c r="C146" s="58"/>
      <c r="D146" s="59" t="s">
        <v>208</v>
      </c>
      <c r="E146" s="57">
        <v>7</v>
      </c>
      <c r="F146" s="58" t="s">
        <v>405</v>
      </c>
      <c r="G146" s="47" t="s">
        <v>202</v>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66" x14ac:dyDescent="0.55000000000000004">
      <c r="A147" s="60" t="s">
        <v>406</v>
      </c>
      <c r="B147" s="66" t="s">
        <v>127</v>
      </c>
      <c r="C147" s="61" t="s">
        <v>407</v>
      </c>
      <c r="D147" s="62"/>
      <c r="E147" s="54">
        <v>1</v>
      </c>
      <c r="F147" s="61" t="s">
        <v>408</v>
      </c>
      <c r="G147" s="53" t="s">
        <v>202</v>
      </c>
      <c r="H147" s="54" t="str">
        <f>IFERROR(INDEX('الإعدادات واللجنة'!$C$24:$C$32,MATCH(LEFT(A147,3),'الإعدادات واللجنة'!$A$24:$A$32,0)),"")</f>
        <v>د. عبدالله بن محمد البركاتي</v>
      </c>
      <c r="I147" s="55"/>
      <c r="J147" s="55"/>
      <c r="K147" s="54" t="str">
        <f t="shared" si="2"/>
        <v/>
      </c>
      <c r="L147" s="56"/>
      <c r="M147" s="55"/>
      <c r="N147" s="56"/>
      <c r="O147" s="56"/>
      <c r="P147" s="55"/>
      <c r="Q147" s="56"/>
      <c r="R147" s="26" t="str">
        <f>IF($I147="","",$I147&amp;"#"&amp;COUNTIF($I$5:$I147,$I147))</f>
        <v/>
      </c>
    </row>
    <row r="148" spans="1:18" ht="44" x14ac:dyDescent="0.55000000000000004">
      <c r="A148" s="46" t="s">
        <v>406</v>
      </c>
      <c r="B148" s="63" t="s">
        <v>127</v>
      </c>
      <c r="C148" s="44"/>
      <c r="D148" s="45"/>
      <c r="E148" s="46">
        <v>2</v>
      </c>
      <c r="F148" s="44" t="s">
        <v>409</v>
      </c>
      <c r="G148" s="47" t="s">
        <v>202</v>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x14ac:dyDescent="0.55000000000000004">
      <c r="A149" s="46" t="s">
        <v>406</v>
      </c>
      <c r="B149" s="63" t="s">
        <v>127</v>
      </c>
      <c r="C149" s="44"/>
      <c r="D149" s="45"/>
      <c r="E149" s="46">
        <v>3</v>
      </c>
      <c r="F149" s="44" t="s">
        <v>410</v>
      </c>
      <c r="G149" s="47" t="s">
        <v>202</v>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44" x14ac:dyDescent="0.55000000000000004">
      <c r="A150" s="46" t="s">
        <v>406</v>
      </c>
      <c r="B150" s="63" t="s">
        <v>127</v>
      </c>
      <c r="C150" s="44"/>
      <c r="D150" s="45"/>
      <c r="E150" s="46">
        <v>4</v>
      </c>
      <c r="F150" s="44" t="s">
        <v>411</v>
      </c>
      <c r="G150" s="47" t="s">
        <v>202</v>
      </c>
      <c r="H150" s="46" t="str">
        <f>IFERROR(INDEX('الإعدادات واللجنة'!$C$24:$C$32,MATCH(LEFT(A150,3),'الإعدادات واللجنة'!$A$24:$A$32,0)),"")</f>
        <v>د. عبدالله بن محمد البركاتي</v>
      </c>
      <c r="I150" s="38"/>
      <c r="J150" s="38"/>
      <c r="K150" s="46" t="str">
        <f t="shared" si="2"/>
        <v/>
      </c>
      <c r="L150" s="48"/>
      <c r="M150" s="38"/>
      <c r="N150" s="48"/>
      <c r="O150" s="48"/>
      <c r="P150" s="38"/>
      <c r="Q150" s="48"/>
      <c r="R150" s="26" t="str">
        <f>IF($I150="","",$I150&amp;"#"&amp;COUNTIF($I$5:$I150,$I150))</f>
        <v/>
      </c>
    </row>
    <row r="151" spans="1:18" ht="66" x14ac:dyDescent="0.55000000000000004">
      <c r="A151" s="60" t="s">
        <v>412</v>
      </c>
      <c r="B151" s="66" t="s">
        <v>127</v>
      </c>
      <c r="C151" s="61" t="s">
        <v>413</v>
      </c>
      <c r="D151" s="62"/>
      <c r="E151" s="54">
        <v>1</v>
      </c>
      <c r="F151" s="61" t="s">
        <v>414</v>
      </c>
      <c r="G151" s="53" t="s">
        <v>202</v>
      </c>
      <c r="H151" s="54" t="str">
        <f>IFERROR(INDEX('الإعدادات واللجنة'!$C$24:$C$32,MATCH(LEFT(A151,3),'الإعدادات واللجنة'!$A$24:$A$32,0)),"")</f>
        <v>د. عبدالله بن محمد البركاتي</v>
      </c>
      <c r="I151" s="55"/>
      <c r="J151" s="55"/>
      <c r="K151" s="54" t="str">
        <f t="shared" si="2"/>
        <v/>
      </c>
      <c r="L151" s="56"/>
      <c r="M151" s="55"/>
      <c r="N151" s="56"/>
      <c r="O151" s="56"/>
      <c r="P151" s="55"/>
      <c r="Q151" s="56"/>
      <c r="R151" s="26" t="str">
        <f>IF($I151="","",$I151&amp;"#"&amp;COUNTIF($I$5:$I151,$I151))</f>
        <v/>
      </c>
    </row>
    <row r="152" spans="1:18" ht="44" x14ac:dyDescent="0.55000000000000004">
      <c r="A152" s="46" t="s">
        <v>412</v>
      </c>
      <c r="B152" s="63" t="s">
        <v>127</v>
      </c>
      <c r="C152" s="44"/>
      <c r="D152" s="45"/>
      <c r="E152" s="46">
        <v>2</v>
      </c>
      <c r="F152" s="44" t="s">
        <v>415</v>
      </c>
      <c r="G152" s="47" t="s">
        <v>202</v>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44" x14ac:dyDescent="0.55000000000000004">
      <c r="A153" s="46" t="s">
        <v>412</v>
      </c>
      <c r="B153" s="63" t="s">
        <v>127</v>
      </c>
      <c r="C153" s="44"/>
      <c r="D153" s="45"/>
      <c r="E153" s="46">
        <v>3</v>
      </c>
      <c r="F153" s="44" t="s">
        <v>416</v>
      </c>
      <c r="G153" s="47" t="s">
        <v>202</v>
      </c>
      <c r="H153" s="46" t="str">
        <f>IFERROR(INDEX('الإعدادات واللجنة'!$C$24:$C$32,MATCH(LEFT(A153,3),'الإعدادات واللجنة'!$A$24:$A$32,0)),"")</f>
        <v>د. عبدالله بن محمد البركاتي</v>
      </c>
      <c r="I153" s="38"/>
      <c r="J153" s="38"/>
      <c r="K153" s="46" t="str">
        <f t="shared" si="2"/>
        <v/>
      </c>
      <c r="L153" s="48"/>
      <c r="M153" s="38"/>
      <c r="N153" s="48"/>
      <c r="O153" s="48"/>
      <c r="P153" s="38"/>
      <c r="Q153" s="48"/>
      <c r="R153" s="26" t="str">
        <f>IF($I153="","",$I153&amp;"#"&amp;COUNTIF($I$5:$I153,$I153))</f>
        <v/>
      </c>
    </row>
    <row r="154" spans="1:18" ht="44" x14ac:dyDescent="0.55000000000000004">
      <c r="A154" s="46" t="s">
        <v>412</v>
      </c>
      <c r="B154" s="63" t="s">
        <v>127</v>
      </c>
      <c r="C154" s="44"/>
      <c r="D154" s="45"/>
      <c r="E154" s="46">
        <v>4</v>
      </c>
      <c r="F154" s="44" t="s">
        <v>417</v>
      </c>
      <c r="G154" s="47" t="s">
        <v>202</v>
      </c>
      <c r="H154" s="46" t="str">
        <f>IFERROR(INDEX('الإعدادات واللجنة'!$C$24:$C$32,MATCH(LEFT(A154,3),'الإعدادات واللجنة'!$A$24:$A$32,0)),"")</f>
        <v>د. عبدالله بن محمد البركاتي</v>
      </c>
      <c r="I154" s="38"/>
      <c r="J154" s="38"/>
      <c r="K154" s="46" t="str">
        <f t="shared" si="2"/>
        <v/>
      </c>
      <c r="L154" s="48"/>
      <c r="M154" s="38"/>
      <c r="N154" s="48"/>
      <c r="O154" s="48"/>
      <c r="P154" s="38"/>
      <c r="Q154" s="48"/>
      <c r="R154" s="26" t="str">
        <f>IF($I154="","",$I154&amp;"#"&amp;COUNTIF($I$5:$I154,$I154))</f>
        <v/>
      </c>
    </row>
    <row r="155" spans="1:18" ht="66" x14ac:dyDescent="0.55000000000000004">
      <c r="A155" s="60" t="s">
        <v>418</v>
      </c>
      <c r="B155" s="66" t="s">
        <v>127</v>
      </c>
      <c r="C155" s="61" t="s">
        <v>419</v>
      </c>
      <c r="D155" s="62"/>
      <c r="E155" s="54">
        <v>1</v>
      </c>
      <c r="F155" s="61" t="s">
        <v>420</v>
      </c>
      <c r="G155" s="53" t="s">
        <v>202</v>
      </c>
      <c r="H155" s="54" t="str">
        <f>IFERROR(INDEX('الإعدادات واللجنة'!$C$24:$C$32,MATCH(LEFT(A155,3),'الإعدادات واللجنة'!$A$24:$A$32,0)),"")</f>
        <v>د. عبدالله بن محمد البركاتي</v>
      </c>
      <c r="I155" s="55"/>
      <c r="J155" s="55"/>
      <c r="K155" s="54" t="str">
        <f t="shared" si="2"/>
        <v/>
      </c>
      <c r="L155" s="56"/>
      <c r="M155" s="55"/>
      <c r="N155" s="56"/>
      <c r="O155" s="56"/>
      <c r="P155" s="55"/>
      <c r="Q155" s="56"/>
      <c r="R155" s="26" t="str">
        <f>IF($I155="","",$I155&amp;"#"&amp;COUNTIF($I$5:$I155,$I155))</f>
        <v/>
      </c>
    </row>
    <row r="156" spans="1:18" ht="44" x14ac:dyDescent="0.55000000000000004">
      <c r="A156" s="46" t="s">
        <v>418</v>
      </c>
      <c r="B156" s="63" t="s">
        <v>127</v>
      </c>
      <c r="C156" s="44"/>
      <c r="D156" s="45"/>
      <c r="E156" s="46">
        <v>2</v>
      </c>
      <c r="F156" s="44" t="s">
        <v>421</v>
      </c>
      <c r="G156" s="47" t="s">
        <v>202</v>
      </c>
      <c r="H156" s="46" t="str">
        <f>IFERROR(INDEX('الإعدادات واللجنة'!$C$24:$C$32,MATCH(LEFT(A156,3),'الإعدادات واللجنة'!$A$24:$A$32,0)),"")</f>
        <v>د. عبدالله بن محمد البركاتي</v>
      </c>
      <c r="I156" s="38"/>
      <c r="J156" s="38"/>
      <c r="K156" s="46" t="str">
        <f t="shared" si="2"/>
        <v/>
      </c>
      <c r="L156" s="48"/>
      <c r="M156" s="38"/>
      <c r="N156" s="48"/>
      <c r="O156" s="48"/>
      <c r="P156" s="38"/>
      <c r="Q156" s="48"/>
      <c r="R156" s="26" t="str">
        <f>IF($I156="","",$I156&amp;"#"&amp;COUNTIF($I$5:$I156,$I156))</f>
        <v/>
      </c>
    </row>
    <row r="157" spans="1:18" ht="44" x14ac:dyDescent="0.55000000000000004">
      <c r="A157" s="46" t="s">
        <v>418</v>
      </c>
      <c r="B157" s="63" t="s">
        <v>127</v>
      </c>
      <c r="C157" s="44"/>
      <c r="D157" s="45"/>
      <c r="E157" s="46">
        <v>3</v>
      </c>
      <c r="F157" s="44" t="s">
        <v>422</v>
      </c>
      <c r="G157" s="47" t="s">
        <v>202</v>
      </c>
      <c r="H157" s="46" t="str">
        <f>IFERROR(INDEX('الإعدادات واللجنة'!$C$24:$C$32,MATCH(LEFT(A157,3),'الإعدادات واللجنة'!$A$24:$A$32,0)),"")</f>
        <v>د. عبدالله بن محمد البركاتي</v>
      </c>
      <c r="I157" s="38"/>
      <c r="J157" s="38"/>
      <c r="K157" s="46" t="str">
        <f t="shared" si="2"/>
        <v/>
      </c>
      <c r="L157" s="48"/>
      <c r="M157" s="38"/>
      <c r="N157" s="48"/>
      <c r="O157" s="48"/>
      <c r="P157" s="38"/>
      <c r="Q157" s="48"/>
      <c r="R157" s="26" t="str">
        <f>IF($I157="","",$I157&amp;"#"&amp;COUNTIF($I$5:$I157,$I157))</f>
        <v/>
      </c>
    </row>
    <row r="158" spans="1:18" ht="44" x14ac:dyDescent="0.55000000000000004">
      <c r="A158" s="46" t="s">
        <v>418</v>
      </c>
      <c r="B158" s="63" t="s">
        <v>127</v>
      </c>
      <c r="C158" s="44"/>
      <c r="D158" s="45"/>
      <c r="E158" s="46">
        <v>4</v>
      </c>
      <c r="F158" s="44" t="s">
        <v>423</v>
      </c>
      <c r="G158" s="47" t="s">
        <v>202</v>
      </c>
      <c r="H158" s="46" t="str">
        <f>IFERROR(INDEX('الإعدادات واللجنة'!$C$24:$C$32,MATCH(LEFT(A158,3),'الإعدادات واللجنة'!$A$24:$A$32,0)),"")</f>
        <v>د. عبدالله بن محمد البركاتي</v>
      </c>
      <c r="I158" s="38"/>
      <c r="J158" s="38"/>
      <c r="K158" s="46" t="str">
        <f t="shared" si="2"/>
        <v/>
      </c>
      <c r="L158" s="48"/>
      <c r="M158" s="38"/>
      <c r="N158" s="48"/>
      <c r="O158" s="48"/>
      <c r="P158" s="38"/>
      <c r="Q158" s="48"/>
      <c r="R158" s="26" t="str">
        <f>IF($I158="","",$I158&amp;"#"&amp;COUNTIF($I$5:$I158,$I158))</f>
        <v/>
      </c>
    </row>
    <row r="159" spans="1:18" ht="44" x14ac:dyDescent="0.55000000000000004">
      <c r="A159" s="46" t="s">
        <v>418</v>
      </c>
      <c r="B159" s="63" t="s">
        <v>127</v>
      </c>
      <c r="C159" s="44"/>
      <c r="D159" s="45"/>
      <c r="E159" s="46">
        <v>5</v>
      </c>
      <c r="F159" s="44" t="s">
        <v>424</v>
      </c>
      <c r="G159" s="47" t="s">
        <v>202</v>
      </c>
      <c r="H159" s="46" t="str">
        <f>IFERROR(INDEX('الإعدادات واللجنة'!$C$24:$C$32,MATCH(LEFT(A159,3),'الإعدادات واللجنة'!$A$24:$A$32,0)),"")</f>
        <v>د. عبدالله بن محمد البركاتي</v>
      </c>
      <c r="I159" s="38"/>
      <c r="J159" s="38"/>
      <c r="K159" s="46" t="str">
        <f t="shared" si="2"/>
        <v/>
      </c>
      <c r="L159" s="48"/>
      <c r="M159" s="38"/>
      <c r="N159" s="48"/>
      <c r="O159" s="48"/>
      <c r="P159" s="38"/>
      <c r="Q159" s="48"/>
      <c r="R159" s="26" t="str">
        <f>IF($I159="","",$I159&amp;"#"&amp;COUNTIF($I$5:$I159,$I159))</f>
        <v/>
      </c>
    </row>
    <row r="160" spans="1:18" ht="44" x14ac:dyDescent="0.55000000000000004">
      <c r="A160" s="46" t="s">
        <v>418</v>
      </c>
      <c r="B160" s="63" t="s">
        <v>127</v>
      </c>
      <c r="C160" s="44"/>
      <c r="D160" s="45"/>
      <c r="E160" s="46">
        <v>6</v>
      </c>
      <c r="F160" s="44" t="s">
        <v>425</v>
      </c>
      <c r="G160" s="47" t="s">
        <v>202</v>
      </c>
      <c r="H160" s="46" t="str">
        <f>IFERROR(INDEX('الإعدادات واللجنة'!$C$24:$C$32,MATCH(LEFT(A160,3),'الإعدادات واللجنة'!$A$24:$A$32,0)),"")</f>
        <v>د. عبدالله بن محمد البركاتي</v>
      </c>
      <c r="I160" s="38"/>
      <c r="J160" s="38"/>
      <c r="K160" s="46" t="str">
        <f t="shared" si="2"/>
        <v/>
      </c>
      <c r="L160" s="48"/>
      <c r="M160" s="38"/>
      <c r="N160" s="48"/>
      <c r="O160" s="48"/>
      <c r="P160" s="38"/>
      <c r="Q160" s="48"/>
      <c r="R160" s="26" t="str">
        <f>IF($I160="","",$I160&amp;"#"&amp;COUNTIF($I$5:$I160,$I160))</f>
        <v/>
      </c>
    </row>
    <row r="161" spans="1:18" ht="66" x14ac:dyDescent="0.55000000000000004">
      <c r="A161" s="49" t="s">
        <v>426</v>
      </c>
      <c r="B161" s="64" t="s">
        <v>127</v>
      </c>
      <c r="C161" s="50" t="s">
        <v>427</v>
      </c>
      <c r="D161" s="51" t="s">
        <v>208</v>
      </c>
      <c r="E161" s="52">
        <v>1</v>
      </c>
      <c r="F161" s="50" t="s">
        <v>428</v>
      </c>
      <c r="G161" s="53" t="s">
        <v>202</v>
      </c>
      <c r="H161" s="54" t="str">
        <f>IFERROR(INDEX('الإعدادات واللجنة'!$C$24:$C$32,MATCH(LEFT(A161,3),'الإعدادات واللجنة'!$A$24:$A$32,0)),"")</f>
        <v>د. عبدالله بن محمد البركاتي</v>
      </c>
      <c r="I161" s="55"/>
      <c r="J161" s="55"/>
      <c r="K161" s="54" t="str">
        <f t="shared" si="2"/>
        <v/>
      </c>
      <c r="L161" s="56"/>
      <c r="M161" s="55"/>
      <c r="N161" s="56"/>
      <c r="O161" s="56"/>
      <c r="P161" s="55"/>
      <c r="Q161" s="56"/>
      <c r="R161" s="26" t="str">
        <f>IF($I161="","",$I161&amp;"#"&amp;COUNTIF($I$5:$I161,$I161))</f>
        <v/>
      </c>
    </row>
    <row r="162" spans="1:18" ht="44" x14ac:dyDescent="0.55000000000000004">
      <c r="A162" s="57" t="s">
        <v>426</v>
      </c>
      <c r="B162" s="65" t="s">
        <v>127</v>
      </c>
      <c r="C162" s="58"/>
      <c r="D162" s="59" t="s">
        <v>208</v>
      </c>
      <c r="E162" s="57">
        <v>2</v>
      </c>
      <c r="F162" s="58" t="s">
        <v>429</v>
      </c>
      <c r="G162" s="47" t="s">
        <v>202</v>
      </c>
      <c r="H162" s="46" t="str">
        <f>IFERROR(INDEX('الإعدادات واللجنة'!$C$24:$C$32,MATCH(LEFT(A162,3),'الإعدادات واللجنة'!$A$24:$A$32,0)),"")</f>
        <v>د. عبدالله بن محمد البركاتي</v>
      </c>
      <c r="I162" s="38"/>
      <c r="J162" s="38"/>
      <c r="K162" s="46" t="str">
        <f t="shared" si="2"/>
        <v/>
      </c>
      <c r="L162" s="48"/>
      <c r="M162" s="38"/>
      <c r="N162" s="48"/>
      <c r="O162" s="48"/>
      <c r="P162" s="38"/>
      <c r="Q162" s="48"/>
      <c r="R162" s="26" t="str">
        <f>IF($I162="","",$I162&amp;"#"&amp;COUNTIF($I$5:$I162,$I162))</f>
        <v/>
      </c>
    </row>
    <row r="163" spans="1:18" ht="44" x14ac:dyDescent="0.55000000000000004">
      <c r="A163" s="57" t="s">
        <v>426</v>
      </c>
      <c r="B163" s="65" t="s">
        <v>127</v>
      </c>
      <c r="C163" s="58"/>
      <c r="D163" s="59" t="s">
        <v>208</v>
      </c>
      <c r="E163" s="57">
        <v>3</v>
      </c>
      <c r="F163" s="58" t="s">
        <v>430</v>
      </c>
      <c r="G163" s="47" t="s">
        <v>202</v>
      </c>
      <c r="H163" s="46" t="str">
        <f>IFERROR(INDEX('الإعدادات واللجنة'!$C$24:$C$32,MATCH(LEFT(A163,3),'الإعدادات واللجنة'!$A$24:$A$32,0)),"")</f>
        <v>د. عبدالله بن محمد البركاتي</v>
      </c>
      <c r="I163" s="38"/>
      <c r="J163" s="38"/>
      <c r="K163" s="46" t="str">
        <f t="shared" si="2"/>
        <v/>
      </c>
      <c r="L163" s="48"/>
      <c r="M163" s="38"/>
      <c r="N163" s="48"/>
      <c r="O163" s="48"/>
      <c r="P163" s="38"/>
      <c r="Q163" s="48"/>
      <c r="R163" s="26" t="str">
        <f>IF($I163="","",$I163&amp;"#"&amp;COUNTIF($I$5:$I163,$I163))</f>
        <v/>
      </c>
    </row>
    <row r="164" spans="1:18" ht="66" x14ac:dyDescent="0.55000000000000004">
      <c r="A164" s="49" t="s">
        <v>431</v>
      </c>
      <c r="B164" s="64" t="s">
        <v>128</v>
      </c>
      <c r="C164" s="50" t="s">
        <v>432</v>
      </c>
      <c r="D164" s="51" t="s">
        <v>208</v>
      </c>
      <c r="E164" s="52">
        <v>1</v>
      </c>
      <c r="F164" s="50" t="s">
        <v>433</v>
      </c>
      <c r="G164" s="53" t="s">
        <v>202</v>
      </c>
      <c r="H164" s="54" t="str">
        <f>IFERROR(INDEX('الإعدادات واللجنة'!$C$24:$C$32,MATCH(LEFT(A164,3),'الإعدادات واللجنة'!$A$24:$A$32,0)),"")</f>
        <v>د. عمر بن محمد موسى</v>
      </c>
      <c r="I164" s="55"/>
      <c r="J164" s="55"/>
      <c r="K164" s="54" t="str">
        <f t="shared" si="2"/>
        <v/>
      </c>
      <c r="L164" s="56"/>
      <c r="M164" s="55"/>
      <c r="N164" s="56"/>
      <c r="O164" s="56"/>
      <c r="P164" s="55"/>
      <c r="Q164" s="56"/>
      <c r="R164" s="26" t="str">
        <f>IF($I164="","",$I164&amp;"#"&amp;COUNTIF($I$5:$I164,$I164))</f>
        <v/>
      </c>
    </row>
    <row r="165" spans="1:18" ht="26" x14ac:dyDescent="0.55000000000000004">
      <c r="A165" s="57" t="s">
        <v>431</v>
      </c>
      <c r="B165" s="65" t="s">
        <v>128</v>
      </c>
      <c r="C165" s="58"/>
      <c r="D165" s="59" t="s">
        <v>208</v>
      </c>
      <c r="E165" s="57">
        <v>2</v>
      </c>
      <c r="F165" s="58" t="s">
        <v>434</v>
      </c>
      <c r="G165" s="47" t="s">
        <v>202</v>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x14ac:dyDescent="0.55000000000000004">
      <c r="A166" s="57" t="s">
        <v>431</v>
      </c>
      <c r="B166" s="65" t="s">
        <v>128</v>
      </c>
      <c r="C166" s="58"/>
      <c r="D166" s="59" t="s">
        <v>208</v>
      </c>
      <c r="E166" s="57">
        <v>3</v>
      </c>
      <c r="F166" s="58" t="s">
        <v>435</v>
      </c>
      <c r="G166" s="47" t="s">
        <v>202</v>
      </c>
      <c r="H166" s="46" t="str">
        <f>IFERROR(INDEX('الإعدادات واللجنة'!$C$24:$C$32,MATCH(LEFT(A166,3),'الإعدادات واللجنة'!$A$24:$A$32,0)),"")</f>
        <v>د. عمر بن محمد موسى</v>
      </c>
      <c r="I166" s="38"/>
      <c r="J166" s="38"/>
      <c r="K166" s="46" t="str">
        <f t="shared" si="2"/>
        <v/>
      </c>
      <c r="L166" s="48"/>
      <c r="M166" s="38"/>
      <c r="N166" s="48"/>
      <c r="O166" s="48"/>
      <c r="P166" s="38"/>
      <c r="Q166" s="48"/>
      <c r="R166" s="26" t="str">
        <f>IF($I166="","",$I166&amp;"#"&amp;COUNTIF($I$5:$I166,$I166))</f>
        <v/>
      </c>
    </row>
    <row r="167" spans="1:18" ht="44" x14ac:dyDescent="0.55000000000000004">
      <c r="A167" s="57" t="s">
        <v>431</v>
      </c>
      <c r="B167" s="65" t="s">
        <v>128</v>
      </c>
      <c r="C167" s="58"/>
      <c r="D167" s="59" t="s">
        <v>208</v>
      </c>
      <c r="E167" s="57">
        <v>4</v>
      </c>
      <c r="F167" s="58" t="s">
        <v>436</v>
      </c>
      <c r="G167" s="47" t="s">
        <v>202</v>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x14ac:dyDescent="0.55000000000000004">
      <c r="A168" s="60" t="s">
        <v>437</v>
      </c>
      <c r="B168" s="66" t="s">
        <v>128</v>
      </c>
      <c r="C168" s="61" t="s">
        <v>438</v>
      </c>
      <c r="D168" s="62"/>
      <c r="E168" s="54">
        <v>1</v>
      </c>
      <c r="F168" s="61" t="s">
        <v>439</v>
      </c>
      <c r="G168" s="53" t="s">
        <v>202</v>
      </c>
      <c r="H168" s="54" t="str">
        <f>IFERROR(INDEX('الإعدادات واللجنة'!$C$24:$C$32,MATCH(LEFT(A168,3),'الإعدادات واللجنة'!$A$24:$A$32,0)),"")</f>
        <v>د. عمر بن محمد موسى</v>
      </c>
      <c r="I168" s="55"/>
      <c r="J168" s="55"/>
      <c r="K168" s="54" t="str">
        <f t="shared" si="2"/>
        <v/>
      </c>
      <c r="L168" s="56"/>
      <c r="M168" s="55"/>
      <c r="N168" s="56"/>
      <c r="O168" s="56"/>
      <c r="P168" s="55"/>
      <c r="Q168" s="56"/>
      <c r="R168" s="26" t="str">
        <f>IF($I168="","",$I168&amp;"#"&amp;COUNTIF($I$5:$I168,$I168))</f>
        <v/>
      </c>
    </row>
    <row r="169" spans="1:18" ht="44" x14ac:dyDescent="0.55000000000000004">
      <c r="A169" s="46" t="s">
        <v>437</v>
      </c>
      <c r="B169" s="63" t="s">
        <v>128</v>
      </c>
      <c r="C169" s="44"/>
      <c r="D169" s="45"/>
      <c r="E169" s="46">
        <v>2</v>
      </c>
      <c r="F169" s="44" t="s">
        <v>440</v>
      </c>
      <c r="G169" s="47" t="s">
        <v>202</v>
      </c>
      <c r="H169" s="46" t="str">
        <f>IFERROR(INDEX('الإعدادات واللجنة'!$C$24:$C$32,MATCH(LEFT(A169,3),'الإعدادات واللجنة'!$A$24:$A$32,0)),"")</f>
        <v>د. عمر بن محمد موسى</v>
      </c>
      <c r="I169" s="38"/>
      <c r="J169" s="38"/>
      <c r="K169" s="46" t="str">
        <f t="shared" si="2"/>
        <v/>
      </c>
      <c r="L169" s="48"/>
      <c r="M169" s="38"/>
      <c r="N169" s="48"/>
      <c r="O169" s="48"/>
      <c r="P169" s="38"/>
      <c r="Q169" s="48"/>
      <c r="R169" s="26" t="str">
        <f>IF($I169="","",$I169&amp;"#"&amp;COUNTIF($I$5:$I169,$I169))</f>
        <v/>
      </c>
    </row>
    <row r="170" spans="1:18" ht="66" x14ac:dyDescent="0.55000000000000004">
      <c r="A170" s="60" t="s">
        <v>441</v>
      </c>
      <c r="B170" s="66" t="s">
        <v>128</v>
      </c>
      <c r="C170" s="61" t="s">
        <v>442</v>
      </c>
      <c r="D170" s="62"/>
      <c r="E170" s="54">
        <v>1</v>
      </c>
      <c r="F170" s="61" t="s">
        <v>443</v>
      </c>
      <c r="G170" s="53" t="s">
        <v>202</v>
      </c>
      <c r="H170" s="54" t="str">
        <f>IFERROR(INDEX('الإعدادات واللجنة'!$C$24:$C$32,MATCH(LEFT(A170,3),'الإعدادات واللجنة'!$A$24:$A$32,0)),"")</f>
        <v>د. عمر بن محمد موسى</v>
      </c>
      <c r="I170" s="55"/>
      <c r="J170" s="55"/>
      <c r="K170" s="54" t="str">
        <f t="shared" si="2"/>
        <v/>
      </c>
      <c r="L170" s="56"/>
      <c r="M170" s="55"/>
      <c r="N170" s="56"/>
      <c r="O170" s="56"/>
      <c r="P170" s="55"/>
      <c r="Q170" s="56"/>
      <c r="R170" s="26" t="str">
        <f>IF($I170="","",$I170&amp;"#"&amp;COUNTIF($I$5:$I170,$I170))</f>
        <v/>
      </c>
    </row>
    <row r="171" spans="1:18" ht="66" x14ac:dyDescent="0.55000000000000004">
      <c r="A171" s="46" t="s">
        <v>441</v>
      </c>
      <c r="B171" s="63" t="s">
        <v>128</v>
      </c>
      <c r="C171" s="44"/>
      <c r="D171" s="45"/>
      <c r="E171" s="46">
        <v>2</v>
      </c>
      <c r="F171" s="44" t="s">
        <v>444</v>
      </c>
      <c r="G171" s="47" t="s">
        <v>202</v>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x14ac:dyDescent="0.55000000000000004">
      <c r="A172" s="46" t="s">
        <v>441</v>
      </c>
      <c r="B172" s="63" t="s">
        <v>128</v>
      </c>
      <c r="C172" s="44"/>
      <c r="D172" s="45"/>
      <c r="E172" s="46">
        <v>3</v>
      </c>
      <c r="F172" s="44" t="s">
        <v>445</v>
      </c>
      <c r="G172" s="47" t="s">
        <v>202</v>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44" x14ac:dyDescent="0.55000000000000004">
      <c r="A173" s="46" t="s">
        <v>441</v>
      </c>
      <c r="B173" s="63" t="s">
        <v>128</v>
      </c>
      <c r="C173" s="44"/>
      <c r="D173" s="45"/>
      <c r="E173" s="46">
        <v>4</v>
      </c>
      <c r="F173" s="44" t="s">
        <v>446</v>
      </c>
      <c r="G173" s="47" t="s">
        <v>202</v>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26" x14ac:dyDescent="0.55000000000000004">
      <c r="A174" s="46" t="s">
        <v>441</v>
      </c>
      <c r="B174" s="63" t="s">
        <v>128</v>
      </c>
      <c r="C174" s="44"/>
      <c r="D174" s="45"/>
      <c r="E174" s="46">
        <v>5</v>
      </c>
      <c r="F174" s="44" t="s">
        <v>447</v>
      </c>
      <c r="G174" s="47" t="s">
        <v>202</v>
      </c>
      <c r="H174" s="46" t="str">
        <f>IFERROR(INDEX('الإعدادات واللجنة'!$C$24:$C$32,MATCH(LEFT(A174,3),'الإعدادات واللجنة'!$A$24:$A$32,0)),"")</f>
        <v>د. عمر بن محمد موسى</v>
      </c>
      <c r="I174" s="38"/>
      <c r="J174" s="38"/>
      <c r="K174" s="46" t="str">
        <f t="shared" si="2"/>
        <v/>
      </c>
      <c r="L174" s="48"/>
      <c r="M174" s="38"/>
      <c r="N174" s="48"/>
      <c r="O174" s="48"/>
      <c r="P174" s="38"/>
      <c r="Q174" s="48"/>
      <c r="R174" s="26" t="str">
        <f>IF($I174="","",$I174&amp;"#"&amp;COUNTIF($I$5:$I174,$I174))</f>
        <v/>
      </c>
    </row>
    <row r="175" spans="1:18" ht="26" x14ac:dyDescent="0.55000000000000004">
      <c r="A175" s="46" t="s">
        <v>441</v>
      </c>
      <c r="B175" s="63" t="s">
        <v>128</v>
      </c>
      <c r="C175" s="44"/>
      <c r="D175" s="45"/>
      <c r="E175" s="46">
        <v>6</v>
      </c>
      <c r="F175" s="44" t="s">
        <v>448</v>
      </c>
      <c r="G175" s="47" t="s">
        <v>202</v>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44" x14ac:dyDescent="0.55000000000000004">
      <c r="A176" s="46" t="s">
        <v>441</v>
      </c>
      <c r="B176" s="63" t="s">
        <v>128</v>
      </c>
      <c r="C176" s="44"/>
      <c r="D176" s="45"/>
      <c r="E176" s="46">
        <v>7</v>
      </c>
      <c r="F176" s="44" t="s">
        <v>449</v>
      </c>
      <c r="G176" s="47" t="s">
        <v>202</v>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44" x14ac:dyDescent="0.55000000000000004">
      <c r="A177" s="60" t="s">
        <v>450</v>
      </c>
      <c r="B177" s="66" t="s">
        <v>128</v>
      </c>
      <c r="C177" s="61" t="s">
        <v>451</v>
      </c>
      <c r="D177" s="62"/>
      <c r="E177" s="54">
        <v>1</v>
      </c>
      <c r="F177" s="61" t="s">
        <v>452</v>
      </c>
      <c r="G177" s="53" t="s">
        <v>202</v>
      </c>
      <c r="H177" s="54" t="str">
        <f>IFERROR(INDEX('الإعدادات واللجنة'!$C$24:$C$32,MATCH(LEFT(A177,3),'الإعدادات واللجنة'!$A$24:$A$32,0)),"")</f>
        <v>د. عمر بن محمد موسى</v>
      </c>
      <c r="I177" s="55"/>
      <c r="J177" s="55"/>
      <c r="K177" s="54" t="str">
        <f t="shared" si="2"/>
        <v/>
      </c>
      <c r="L177" s="56"/>
      <c r="M177" s="55"/>
      <c r="N177" s="56"/>
      <c r="O177" s="56"/>
      <c r="P177" s="55"/>
      <c r="Q177" s="56"/>
      <c r="R177" s="26" t="str">
        <f>IF($I177="","",$I177&amp;"#"&amp;COUNTIF($I$5:$I177,$I177))</f>
        <v/>
      </c>
    </row>
    <row r="178" spans="1:18" ht="26" x14ac:dyDescent="0.55000000000000004">
      <c r="A178" s="46" t="s">
        <v>450</v>
      </c>
      <c r="B178" s="63" t="s">
        <v>128</v>
      </c>
      <c r="C178" s="44"/>
      <c r="D178" s="45"/>
      <c r="E178" s="46">
        <v>2</v>
      </c>
      <c r="F178" s="44" t="s">
        <v>453</v>
      </c>
      <c r="G178" s="47" t="s">
        <v>202</v>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44" x14ac:dyDescent="0.55000000000000004">
      <c r="A179" s="46" t="s">
        <v>450</v>
      </c>
      <c r="B179" s="63" t="s">
        <v>128</v>
      </c>
      <c r="C179" s="44"/>
      <c r="D179" s="45"/>
      <c r="E179" s="46">
        <v>3</v>
      </c>
      <c r="F179" s="44" t="s">
        <v>454</v>
      </c>
      <c r="G179" s="47" t="s">
        <v>202</v>
      </c>
      <c r="H179" s="46" t="str">
        <f>IFERROR(INDEX('الإعدادات واللجنة'!$C$24:$C$32,MATCH(LEFT(A179,3),'الإعدادات واللجنة'!$A$24:$A$32,0)),"")</f>
        <v>د. عمر بن محمد موسى</v>
      </c>
      <c r="I179" s="38"/>
      <c r="J179" s="38"/>
      <c r="K179" s="46" t="str">
        <f t="shared" si="2"/>
        <v/>
      </c>
      <c r="L179" s="48"/>
      <c r="M179" s="38"/>
      <c r="N179" s="48"/>
      <c r="O179" s="48"/>
      <c r="P179" s="38"/>
      <c r="Q179" s="48"/>
      <c r="R179" s="26" t="str">
        <f>IF($I179="","",$I179&amp;"#"&amp;COUNTIF($I$5:$I179,$I179))</f>
        <v/>
      </c>
    </row>
    <row r="180" spans="1:18" ht="66" x14ac:dyDescent="0.55000000000000004">
      <c r="A180" s="60" t="s">
        <v>455</v>
      </c>
      <c r="B180" s="66" t="s">
        <v>128</v>
      </c>
      <c r="C180" s="61" t="s">
        <v>456</v>
      </c>
      <c r="D180" s="62"/>
      <c r="E180" s="54">
        <v>1</v>
      </c>
      <c r="F180" s="61" t="s">
        <v>457</v>
      </c>
      <c r="G180" s="53" t="s">
        <v>202</v>
      </c>
      <c r="H180" s="54" t="str">
        <f>IFERROR(INDEX('الإعدادات واللجنة'!$C$24:$C$32,MATCH(LEFT(A180,3),'الإعدادات واللجنة'!$A$24:$A$32,0)),"")</f>
        <v>د. عمر بن محمد موسى</v>
      </c>
      <c r="I180" s="55"/>
      <c r="J180" s="55"/>
      <c r="K180" s="54" t="str">
        <f t="shared" si="2"/>
        <v/>
      </c>
      <c r="L180" s="56"/>
      <c r="M180" s="55"/>
      <c r="N180" s="56"/>
      <c r="O180" s="56"/>
      <c r="P180" s="55"/>
      <c r="Q180" s="56"/>
      <c r="R180" s="26" t="str">
        <f>IF($I180="","",$I180&amp;"#"&amp;COUNTIF($I$5:$I180,$I180))</f>
        <v/>
      </c>
    </row>
    <row r="181" spans="1:18" ht="26" x14ac:dyDescent="0.55000000000000004">
      <c r="A181" s="46" t="s">
        <v>455</v>
      </c>
      <c r="B181" s="63" t="s">
        <v>128</v>
      </c>
      <c r="C181" s="44"/>
      <c r="D181" s="45"/>
      <c r="E181" s="46">
        <v>2</v>
      </c>
      <c r="F181" s="44" t="s">
        <v>458</v>
      </c>
      <c r="G181" s="47" t="s">
        <v>202</v>
      </c>
      <c r="H181" s="46" t="str">
        <f>IFERROR(INDEX('الإعدادات واللجنة'!$C$24:$C$32,MATCH(LEFT(A181,3),'الإعدادات واللجنة'!$A$24:$A$32,0)),"")</f>
        <v>د. عمر بن محمد موسى</v>
      </c>
      <c r="I181" s="38"/>
      <c r="J181" s="38"/>
      <c r="K181" s="46" t="str">
        <f t="shared" si="2"/>
        <v/>
      </c>
      <c r="L181" s="48"/>
      <c r="M181" s="38"/>
      <c r="N181" s="48"/>
      <c r="O181" s="48"/>
      <c r="P181" s="38"/>
      <c r="Q181" s="48"/>
      <c r="R181" s="26" t="str">
        <f>IF($I181="","",$I181&amp;"#"&amp;COUNTIF($I$5:$I181,$I181))</f>
        <v/>
      </c>
    </row>
    <row r="182" spans="1:18" ht="44" x14ac:dyDescent="0.55000000000000004">
      <c r="A182" s="46" t="s">
        <v>455</v>
      </c>
      <c r="B182" s="63" t="s">
        <v>128</v>
      </c>
      <c r="C182" s="44"/>
      <c r="D182" s="45"/>
      <c r="E182" s="46">
        <v>3</v>
      </c>
      <c r="F182" s="44" t="s">
        <v>459</v>
      </c>
      <c r="G182" s="47" t="s">
        <v>202</v>
      </c>
      <c r="H182" s="46" t="str">
        <f>IFERROR(INDEX('الإعدادات واللجنة'!$C$24:$C$32,MATCH(LEFT(A182,3),'الإعدادات واللجنة'!$A$24:$A$32,0)),"")</f>
        <v>د. عمر بن محمد موسى</v>
      </c>
      <c r="I182" s="38"/>
      <c r="J182" s="38"/>
      <c r="K182" s="46" t="str">
        <f t="shared" si="2"/>
        <v/>
      </c>
      <c r="L182" s="48"/>
      <c r="M182" s="38"/>
      <c r="N182" s="48"/>
      <c r="O182" s="48"/>
      <c r="P182" s="38"/>
      <c r="Q182" s="48"/>
      <c r="R182" s="26" t="str">
        <f>IF($I182="","",$I182&amp;"#"&amp;COUNTIF($I$5:$I182,$I182))</f>
        <v/>
      </c>
    </row>
    <row r="183" spans="1:18" ht="44" x14ac:dyDescent="0.55000000000000004">
      <c r="A183" s="46" t="s">
        <v>455</v>
      </c>
      <c r="B183" s="63" t="s">
        <v>128</v>
      </c>
      <c r="C183" s="44"/>
      <c r="D183" s="45"/>
      <c r="E183" s="46">
        <v>4</v>
      </c>
      <c r="F183" s="44" t="s">
        <v>460</v>
      </c>
      <c r="G183" s="47" t="s">
        <v>202</v>
      </c>
      <c r="H183" s="46" t="str">
        <f>IFERROR(INDEX('الإعدادات واللجنة'!$C$24:$C$32,MATCH(LEFT(A183,3),'الإعدادات واللجنة'!$A$24:$A$32,0)),"")</f>
        <v>د. عمر بن محمد موسى</v>
      </c>
      <c r="I183" s="38"/>
      <c r="J183" s="38"/>
      <c r="K183" s="46" t="str">
        <f t="shared" si="2"/>
        <v/>
      </c>
      <c r="L183" s="48"/>
      <c r="M183" s="38"/>
      <c r="N183" s="48"/>
      <c r="O183" s="48"/>
      <c r="P183" s="38"/>
      <c r="Q183" s="48"/>
      <c r="R183" s="26" t="str">
        <f>IF($I183="","",$I183&amp;"#"&amp;COUNTIF($I$5:$I183,$I183))</f>
        <v/>
      </c>
    </row>
    <row r="184" spans="1:18" ht="26" x14ac:dyDescent="0.55000000000000004">
      <c r="A184" s="46" t="s">
        <v>455</v>
      </c>
      <c r="B184" s="63" t="s">
        <v>128</v>
      </c>
      <c r="C184" s="44"/>
      <c r="D184" s="45"/>
      <c r="E184" s="46">
        <v>5</v>
      </c>
      <c r="F184" s="44" t="s">
        <v>461</v>
      </c>
      <c r="G184" s="47" t="s">
        <v>202</v>
      </c>
      <c r="H184" s="46" t="str">
        <f>IFERROR(INDEX('الإعدادات واللجنة'!$C$24:$C$32,MATCH(LEFT(A184,3),'الإعدادات واللجنة'!$A$24:$A$32,0)),"")</f>
        <v>د. عمر بن محمد موسى</v>
      </c>
      <c r="I184" s="38"/>
      <c r="J184" s="38"/>
      <c r="K184" s="46" t="str">
        <f t="shared" si="2"/>
        <v/>
      </c>
      <c r="L184" s="48"/>
      <c r="M184" s="38"/>
      <c r="N184" s="48"/>
      <c r="O184" s="48"/>
      <c r="P184" s="38"/>
      <c r="Q184" s="48"/>
      <c r="R184" s="26" t="str">
        <f>IF($I184="","",$I184&amp;"#"&amp;COUNTIF($I$5:$I184,$I184))</f>
        <v/>
      </c>
    </row>
    <row r="185" spans="1:18" ht="66" x14ac:dyDescent="0.55000000000000004">
      <c r="A185" s="60" t="s">
        <v>462</v>
      </c>
      <c r="B185" s="66" t="s">
        <v>128</v>
      </c>
      <c r="C185" s="61" t="s">
        <v>463</v>
      </c>
      <c r="D185" s="62"/>
      <c r="E185" s="54">
        <v>1</v>
      </c>
      <c r="F185" s="61" t="s">
        <v>464</v>
      </c>
      <c r="G185" s="53" t="s">
        <v>202</v>
      </c>
      <c r="H185" s="54" t="str">
        <f>IFERROR(INDEX('الإعدادات واللجنة'!$C$24:$C$32,MATCH(LEFT(A185,3),'الإعدادات واللجنة'!$A$24:$A$32,0)),"")</f>
        <v>د. عمر بن محمد موسى</v>
      </c>
      <c r="I185" s="55"/>
      <c r="J185" s="55"/>
      <c r="K185" s="54" t="str">
        <f t="shared" si="2"/>
        <v/>
      </c>
      <c r="L185" s="56"/>
      <c r="M185" s="55"/>
      <c r="N185" s="56"/>
      <c r="O185" s="56"/>
      <c r="P185" s="55"/>
      <c r="Q185" s="56"/>
      <c r="R185" s="26" t="str">
        <f>IF($I185="","",$I185&amp;"#"&amp;COUNTIF($I$5:$I185,$I185))</f>
        <v/>
      </c>
    </row>
    <row r="186" spans="1:18" ht="26" x14ac:dyDescent="0.55000000000000004">
      <c r="A186" s="46" t="s">
        <v>462</v>
      </c>
      <c r="B186" s="63" t="s">
        <v>128</v>
      </c>
      <c r="C186" s="44"/>
      <c r="D186" s="45"/>
      <c r="E186" s="46">
        <v>2</v>
      </c>
      <c r="F186" s="44" t="s">
        <v>465</v>
      </c>
      <c r="G186" s="47" t="s">
        <v>202</v>
      </c>
      <c r="H186" s="46" t="str">
        <f>IFERROR(INDEX('الإعدادات واللجنة'!$C$24:$C$32,MATCH(LEFT(A186,3),'الإعدادات واللجنة'!$A$24:$A$32,0)),"")</f>
        <v>د. عمر بن محمد موسى</v>
      </c>
      <c r="I186" s="38"/>
      <c r="J186" s="38"/>
      <c r="K186" s="46" t="str">
        <f t="shared" si="2"/>
        <v/>
      </c>
      <c r="L186" s="48"/>
      <c r="M186" s="38"/>
      <c r="N186" s="48"/>
      <c r="O186" s="48"/>
      <c r="P186" s="38"/>
      <c r="Q186" s="48"/>
      <c r="R186" s="26" t="str">
        <f>IF($I186="","",$I186&amp;"#"&amp;COUNTIF($I$5:$I186,$I186))</f>
        <v/>
      </c>
    </row>
    <row r="187" spans="1:18" ht="26" x14ac:dyDescent="0.55000000000000004">
      <c r="A187" s="46" t="s">
        <v>462</v>
      </c>
      <c r="B187" s="63" t="s">
        <v>128</v>
      </c>
      <c r="C187" s="44"/>
      <c r="D187" s="45"/>
      <c r="E187" s="46">
        <v>3</v>
      </c>
      <c r="F187" s="44" t="s">
        <v>466</v>
      </c>
      <c r="G187" s="47" t="s">
        <v>202</v>
      </c>
      <c r="H187" s="46" t="str">
        <f>IFERROR(INDEX('الإعدادات واللجنة'!$C$24:$C$32,MATCH(LEFT(A187,3),'الإعدادات واللجنة'!$A$24:$A$32,0)),"")</f>
        <v>د. عمر بن محمد موسى</v>
      </c>
      <c r="I187" s="38"/>
      <c r="J187" s="38"/>
      <c r="K187" s="46" t="str">
        <f t="shared" si="2"/>
        <v/>
      </c>
      <c r="L187" s="48"/>
      <c r="M187" s="38"/>
      <c r="N187" s="48"/>
      <c r="O187" s="48"/>
      <c r="P187" s="38"/>
      <c r="Q187" s="48"/>
      <c r="R187" s="26" t="str">
        <f>IF($I187="","",$I187&amp;"#"&amp;COUNTIF($I$5:$I187,$I187))</f>
        <v/>
      </c>
    </row>
    <row r="188" spans="1:18" ht="88" x14ac:dyDescent="0.55000000000000004">
      <c r="A188" s="46" t="s">
        <v>462</v>
      </c>
      <c r="B188" s="63" t="s">
        <v>128</v>
      </c>
      <c r="C188" s="44"/>
      <c r="D188" s="45"/>
      <c r="E188" s="46">
        <v>4</v>
      </c>
      <c r="F188" s="44" t="s">
        <v>467</v>
      </c>
      <c r="G188" s="47" t="s">
        <v>202</v>
      </c>
      <c r="H188" s="46" t="str">
        <f>IFERROR(INDEX('الإعدادات واللجنة'!$C$24:$C$32,MATCH(LEFT(A188,3),'الإعدادات واللجنة'!$A$24:$A$32,0)),"")</f>
        <v>د. عمر بن محمد موسى</v>
      </c>
      <c r="I188" s="38"/>
      <c r="J188" s="38"/>
      <c r="K188" s="46" t="str">
        <f t="shared" si="2"/>
        <v/>
      </c>
      <c r="L188" s="48"/>
      <c r="M188" s="38"/>
      <c r="N188" s="48"/>
      <c r="O188" s="48"/>
      <c r="P188" s="38"/>
      <c r="Q188" s="48"/>
      <c r="R188" s="26" t="str">
        <f>IF($I188="","",$I188&amp;"#"&amp;COUNTIF($I$5:$I188,$I188))</f>
        <v/>
      </c>
    </row>
    <row r="189" spans="1:18" ht="26" x14ac:dyDescent="0.55000000000000004">
      <c r="A189" s="46" t="s">
        <v>462</v>
      </c>
      <c r="B189" s="63" t="s">
        <v>128</v>
      </c>
      <c r="C189" s="44"/>
      <c r="D189" s="45"/>
      <c r="E189" s="46">
        <v>5</v>
      </c>
      <c r="F189" s="44" t="s">
        <v>468</v>
      </c>
      <c r="G189" s="47" t="s">
        <v>202</v>
      </c>
      <c r="H189" s="46" t="str">
        <f>IFERROR(INDEX('الإعدادات واللجنة'!$C$24:$C$32,MATCH(LEFT(A189,3),'الإعدادات واللجنة'!$A$24:$A$32,0)),"")</f>
        <v>د. عمر بن محمد موسى</v>
      </c>
      <c r="I189" s="38"/>
      <c r="J189" s="38"/>
      <c r="K189" s="46" t="str">
        <f t="shared" si="2"/>
        <v/>
      </c>
      <c r="L189" s="48"/>
      <c r="M189" s="38"/>
      <c r="N189" s="48"/>
      <c r="O189" s="48"/>
      <c r="P189" s="38"/>
      <c r="Q189" s="48"/>
      <c r="R189" s="26" t="str">
        <f>IF($I189="","",$I189&amp;"#"&amp;COUNTIF($I$5:$I189,$I189))</f>
        <v/>
      </c>
    </row>
    <row r="190" spans="1:18" ht="66" x14ac:dyDescent="0.55000000000000004">
      <c r="A190" s="60" t="s">
        <v>469</v>
      </c>
      <c r="B190" s="66" t="s">
        <v>129</v>
      </c>
      <c r="C190" s="61" t="s">
        <v>470</v>
      </c>
      <c r="D190" s="62"/>
      <c r="E190" s="54">
        <v>1</v>
      </c>
      <c r="F190" s="61" t="s">
        <v>471</v>
      </c>
      <c r="G190" s="53" t="s">
        <v>202</v>
      </c>
      <c r="H190" s="54" t="str">
        <f>IFERROR(INDEX('الإعدادات واللجنة'!$C$24:$C$32,MATCH(LEFT(A190,3),'الإعدادات واللجنة'!$A$24:$A$32,0)),"")</f>
        <v>د. حسن بن سعد القحطاني</v>
      </c>
      <c r="I190" s="55"/>
      <c r="J190" s="55"/>
      <c r="K190" s="54" t="str">
        <f t="shared" si="2"/>
        <v/>
      </c>
      <c r="L190" s="56"/>
      <c r="M190" s="55"/>
      <c r="N190" s="56"/>
      <c r="O190" s="56"/>
      <c r="P190" s="55"/>
      <c r="Q190" s="56"/>
      <c r="R190" s="26" t="str">
        <f>IF($I190="","",$I190&amp;"#"&amp;COUNTIF($I$5:$I190,$I190))</f>
        <v/>
      </c>
    </row>
    <row r="191" spans="1:18" ht="44" x14ac:dyDescent="0.55000000000000004">
      <c r="A191" s="46" t="s">
        <v>469</v>
      </c>
      <c r="B191" s="63" t="s">
        <v>129</v>
      </c>
      <c r="C191" s="44"/>
      <c r="D191" s="45"/>
      <c r="E191" s="46">
        <v>2</v>
      </c>
      <c r="F191" s="44" t="s">
        <v>472</v>
      </c>
      <c r="G191" s="47" t="s">
        <v>202</v>
      </c>
      <c r="H191" s="46" t="str">
        <f>IFERROR(INDEX('الإعدادات واللجنة'!$C$24:$C$32,MATCH(LEFT(A191,3),'الإعدادات واللجنة'!$A$24:$A$32,0)),"")</f>
        <v>د. حسن بن سعد القحطاني</v>
      </c>
      <c r="I191" s="38"/>
      <c r="J191" s="38"/>
      <c r="K191" s="46" t="str">
        <f t="shared" si="2"/>
        <v/>
      </c>
      <c r="L191" s="48"/>
      <c r="M191" s="38"/>
      <c r="N191" s="48"/>
      <c r="O191" s="48"/>
      <c r="P191" s="38"/>
      <c r="Q191" s="48"/>
      <c r="R191" s="26" t="str">
        <f>IF($I191="","",$I191&amp;"#"&amp;COUNTIF($I$5:$I191,$I191))</f>
        <v/>
      </c>
    </row>
    <row r="192" spans="1:18" ht="44" x14ac:dyDescent="0.55000000000000004">
      <c r="A192" s="46" t="s">
        <v>469</v>
      </c>
      <c r="B192" s="63" t="s">
        <v>129</v>
      </c>
      <c r="C192" s="44"/>
      <c r="D192" s="45"/>
      <c r="E192" s="46">
        <v>3</v>
      </c>
      <c r="F192" s="44" t="s">
        <v>473</v>
      </c>
      <c r="G192" s="47" t="s">
        <v>202</v>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66" x14ac:dyDescent="0.55000000000000004">
      <c r="A193" s="60" t="s">
        <v>474</v>
      </c>
      <c r="B193" s="66" t="s">
        <v>129</v>
      </c>
      <c r="C193" s="61" t="s">
        <v>475</v>
      </c>
      <c r="D193" s="62"/>
      <c r="E193" s="54">
        <v>1</v>
      </c>
      <c r="F193" s="61" t="s">
        <v>476</v>
      </c>
      <c r="G193" s="53" t="s">
        <v>202</v>
      </c>
      <c r="H193" s="54" t="str">
        <f>IFERROR(INDEX('الإعدادات واللجنة'!$C$24:$C$32,MATCH(LEFT(A193,3),'الإعدادات واللجنة'!$A$24:$A$32,0)),"")</f>
        <v>د. حسن بن سعد القحطاني</v>
      </c>
      <c r="I193" s="55"/>
      <c r="J193" s="55"/>
      <c r="K193" s="54" t="str">
        <f t="shared" si="2"/>
        <v/>
      </c>
      <c r="L193" s="56"/>
      <c r="M193" s="55"/>
      <c r="N193" s="56"/>
      <c r="O193" s="56"/>
      <c r="P193" s="55"/>
      <c r="Q193" s="56"/>
      <c r="R193" s="26" t="str">
        <f>IF($I193="","",$I193&amp;"#"&amp;COUNTIF($I$5:$I193,$I193))</f>
        <v/>
      </c>
    </row>
    <row r="194" spans="1:18" ht="44" x14ac:dyDescent="0.55000000000000004">
      <c r="A194" s="46" t="s">
        <v>474</v>
      </c>
      <c r="B194" s="63" t="s">
        <v>129</v>
      </c>
      <c r="C194" s="44"/>
      <c r="D194" s="45"/>
      <c r="E194" s="46">
        <v>2</v>
      </c>
      <c r="F194" s="44" t="s">
        <v>477</v>
      </c>
      <c r="G194" s="47" t="s">
        <v>202</v>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x14ac:dyDescent="0.55000000000000004">
      <c r="A195" s="46" t="s">
        <v>474</v>
      </c>
      <c r="B195" s="63" t="s">
        <v>129</v>
      </c>
      <c r="C195" s="44"/>
      <c r="D195" s="45"/>
      <c r="E195" s="46">
        <v>3</v>
      </c>
      <c r="F195" s="44" t="s">
        <v>478</v>
      </c>
      <c r="G195" s="47" t="s">
        <v>202</v>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88" x14ac:dyDescent="0.55000000000000004">
      <c r="A196" s="49" t="s">
        <v>479</v>
      </c>
      <c r="B196" s="64" t="s">
        <v>129</v>
      </c>
      <c r="C196" s="50" t="s">
        <v>480</v>
      </c>
      <c r="D196" s="51" t="s">
        <v>208</v>
      </c>
      <c r="E196" s="52">
        <v>1</v>
      </c>
      <c r="F196" s="50" t="s">
        <v>481</v>
      </c>
      <c r="G196" s="53" t="s">
        <v>202</v>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x14ac:dyDescent="0.55000000000000004">
      <c r="A197" s="57" t="s">
        <v>479</v>
      </c>
      <c r="B197" s="65" t="s">
        <v>129</v>
      </c>
      <c r="C197" s="58"/>
      <c r="D197" s="59" t="s">
        <v>208</v>
      </c>
      <c r="E197" s="57">
        <v>2</v>
      </c>
      <c r="F197" s="58" t="s">
        <v>482</v>
      </c>
      <c r="G197" s="47" t="s">
        <v>202</v>
      </c>
      <c r="H197" s="46" t="str">
        <f>IFERROR(INDEX('الإعدادات واللجنة'!$C$24:$C$32,MATCH(LEFT(A197,3),'الإعدادات واللجنة'!$A$24:$A$32,0)),"")</f>
        <v>د. حسن بن سعد القحطاني</v>
      </c>
      <c r="I197" s="38"/>
      <c r="J197" s="38"/>
      <c r="K197" s="46" t="str">
        <f t="shared" ref="K197:K208" si="3">IF(OR(I197="",I197="متوفر ومكتمل"),"",IF(OR(D197="★",I197="غير متوفر"),"عالية","متوسطة"))</f>
        <v/>
      </c>
      <c r="L197" s="48"/>
      <c r="M197" s="38"/>
      <c r="N197" s="48"/>
      <c r="O197" s="48"/>
      <c r="P197" s="38"/>
      <c r="Q197" s="48"/>
      <c r="R197" s="26" t="str">
        <f>IF($I197="","",$I197&amp;"#"&amp;COUNTIF($I$5:$I197,$I197))</f>
        <v/>
      </c>
    </row>
    <row r="198" spans="1:18" ht="44" x14ac:dyDescent="0.55000000000000004">
      <c r="A198" s="57" t="s">
        <v>479</v>
      </c>
      <c r="B198" s="65" t="s">
        <v>129</v>
      </c>
      <c r="C198" s="58"/>
      <c r="D198" s="59" t="s">
        <v>208</v>
      </c>
      <c r="E198" s="57">
        <v>3</v>
      </c>
      <c r="F198" s="58" t="s">
        <v>483</v>
      </c>
      <c r="G198" s="47" t="s">
        <v>202</v>
      </c>
      <c r="H198" s="46" t="str">
        <f>IFERROR(INDEX('الإعدادات واللجنة'!$C$24:$C$32,MATCH(LEFT(A198,3),'الإعدادات واللجنة'!$A$24:$A$32,0)),"")</f>
        <v>د. حسن بن سعد القحطاني</v>
      </c>
      <c r="I198" s="38"/>
      <c r="J198" s="38"/>
      <c r="K198" s="46" t="str">
        <f t="shared" si="3"/>
        <v/>
      </c>
      <c r="L198" s="48"/>
      <c r="M198" s="38"/>
      <c r="N198" s="48"/>
      <c r="O198" s="48"/>
      <c r="P198" s="38"/>
      <c r="Q198" s="48"/>
      <c r="R198" s="26" t="str">
        <f>IF($I198="","",$I198&amp;"#"&amp;COUNTIF($I$5:$I198,$I198))</f>
        <v/>
      </c>
    </row>
    <row r="199" spans="1:18" ht="44" x14ac:dyDescent="0.55000000000000004">
      <c r="A199" s="57" t="s">
        <v>479</v>
      </c>
      <c r="B199" s="65" t="s">
        <v>129</v>
      </c>
      <c r="C199" s="58"/>
      <c r="D199" s="59" t="s">
        <v>208</v>
      </c>
      <c r="E199" s="57">
        <v>4</v>
      </c>
      <c r="F199" s="58" t="s">
        <v>484</v>
      </c>
      <c r="G199" s="47" t="s">
        <v>202</v>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x14ac:dyDescent="0.55000000000000004">
      <c r="A200" s="57" t="s">
        <v>479</v>
      </c>
      <c r="B200" s="65" t="s">
        <v>129</v>
      </c>
      <c r="C200" s="58"/>
      <c r="D200" s="59" t="s">
        <v>208</v>
      </c>
      <c r="E200" s="57">
        <v>5</v>
      </c>
      <c r="F200" s="58" t="s">
        <v>485</v>
      </c>
      <c r="G200" s="47" t="s">
        <v>202</v>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x14ac:dyDescent="0.55000000000000004">
      <c r="A201" s="57" t="s">
        <v>479</v>
      </c>
      <c r="B201" s="65" t="s">
        <v>129</v>
      </c>
      <c r="C201" s="58"/>
      <c r="D201" s="59" t="s">
        <v>208</v>
      </c>
      <c r="E201" s="57">
        <v>6</v>
      </c>
      <c r="F201" s="58" t="s">
        <v>486</v>
      </c>
      <c r="G201" s="47" t="s">
        <v>202</v>
      </c>
      <c r="H201" s="46" t="str">
        <f>IFERROR(INDEX('الإعدادات واللجنة'!$C$24:$C$32,MATCH(LEFT(A201,3),'الإعدادات واللجنة'!$A$24:$A$32,0)),"")</f>
        <v>د. حسن بن سعد القحطاني</v>
      </c>
      <c r="I201" s="38"/>
      <c r="J201" s="38"/>
      <c r="K201" s="46" t="str">
        <f t="shared" si="3"/>
        <v/>
      </c>
      <c r="L201" s="48"/>
      <c r="M201" s="38"/>
      <c r="N201" s="48"/>
      <c r="O201" s="48"/>
      <c r="P201" s="38"/>
      <c r="Q201" s="48"/>
      <c r="R201" s="26" t="str">
        <f>IF($I201="","",$I201&amp;"#"&amp;COUNTIF($I$5:$I201,$I201))</f>
        <v/>
      </c>
    </row>
    <row r="202" spans="1:18" ht="44" x14ac:dyDescent="0.55000000000000004">
      <c r="A202" s="60" t="s">
        <v>487</v>
      </c>
      <c r="B202" s="66" t="s">
        <v>129</v>
      </c>
      <c r="C202" s="61" t="s">
        <v>488</v>
      </c>
      <c r="D202" s="62"/>
      <c r="E202" s="54">
        <v>1</v>
      </c>
      <c r="F202" s="61" t="s">
        <v>489</v>
      </c>
      <c r="G202" s="53" t="s">
        <v>202</v>
      </c>
      <c r="H202" s="54" t="str">
        <f>IFERROR(INDEX('الإعدادات واللجنة'!$C$24:$C$32,MATCH(LEFT(A202,3),'الإعدادات واللجنة'!$A$24:$A$32,0)),"")</f>
        <v>د. حسن بن سعد القحطاني</v>
      </c>
      <c r="I202" s="55"/>
      <c r="J202" s="55"/>
      <c r="K202" s="54" t="str">
        <f t="shared" si="3"/>
        <v/>
      </c>
      <c r="L202" s="56"/>
      <c r="M202" s="55"/>
      <c r="N202" s="56"/>
      <c r="O202" s="56"/>
      <c r="P202" s="55"/>
      <c r="Q202" s="56"/>
      <c r="R202" s="26" t="str">
        <f>IF($I202="","",$I202&amp;"#"&amp;COUNTIF($I$5:$I202,$I202))</f>
        <v/>
      </c>
    </row>
    <row r="203" spans="1:18" ht="44" x14ac:dyDescent="0.55000000000000004">
      <c r="A203" s="46" t="s">
        <v>487</v>
      </c>
      <c r="B203" s="63" t="s">
        <v>129</v>
      </c>
      <c r="C203" s="44"/>
      <c r="D203" s="45"/>
      <c r="E203" s="46">
        <v>2</v>
      </c>
      <c r="F203" s="44" t="s">
        <v>490</v>
      </c>
      <c r="G203" s="47" t="s">
        <v>202</v>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x14ac:dyDescent="0.55000000000000004">
      <c r="A204" s="46" t="s">
        <v>487</v>
      </c>
      <c r="B204" s="63" t="s">
        <v>129</v>
      </c>
      <c r="C204" s="44"/>
      <c r="D204" s="45"/>
      <c r="E204" s="46">
        <v>3</v>
      </c>
      <c r="F204" s="44" t="s">
        <v>491</v>
      </c>
      <c r="G204" s="47" t="s">
        <v>202</v>
      </c>
      <c r="H204" s="46" t="str">
        <f>IFERROR(INDEX('الإعدادات واللجنة'!$C$24:$C$32,MATCH(LEFT(A204,3),'الإعدادات واللجنة'!$A$24:$A$32,0)),"")</f>
        <v>د. حسن بن سعد القحطاني</v>
      </c>
      <c r="I204" s="38"/>
      <c r="J204" s="38"/>
      <c r="K204" s="46" t="str">
        <f t="shared" si="3"/>
        <v/>
      </c>
      <c r="L204" s="48"/>
      <c r="M204" s="38"/>
      <c r="N204" s="48"/>
      <c r="O204" s="48"/>
      <c r="P204" s="38"/>
      <c r="Q204" s="48"/>
      <c r="R204" s="26" t="str">
        <f>IF($I204="","",$I204&amp;"#"&amp;COUNTIF($I$5:$I204,$I204))</f>
        <v/>
      </c>
    </row>
    <row r="205" spans="1:18" ht="44" x14ac:dyDescent="0.55000000000000004">
      <c r="A205" s="46" t="s">
        <v>487</v>
      </c>
      <c r="B205" s="63" t="s">
        <v>129</v>
      </c>
      <c r="C205" s="44"/>
      <c r="D205" s="45"/>
      <c r="E205" s="46">
        <v>4</v>
      </c>
      <c r="F205" s="44" t="s">
        <v>492</v>
      </c>
      <c r="G205" s="47" t="s">
        <v>202</v>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x14ac:dyDescent="0.55000000000000004">
      <c r="A206" s="46" t="s">
        <v>487</v>
      </c>
      <c r="B206" s="63" t="s">
        <v>129</v>
      </c>
      <c r="C206" s="44"/>
      <c r="D206" s="45"/>
      <c r="E206" s="46">
        <v>5</v>
      </c>
      <c r="F206" s="44" t="s">
        <v>493</v>
      </c>
      <c r="G206" s="47" t="s">
        <v>202</v>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44" x14ac:dyDescent="0.55000000000000004">
      <c r="A207" s="60" t="s">
        <v>494</v>
      </c>
      <c r="B207" s="66" t="s">
        <v>129</v>
      </c>
      <c r="C207" s="61" t="s">
        <v>495</v>
      </c>
      <c r="D207" s="62"/>
      <c r="E207" s="54">
        <v>1</v>
      </c>
      <c r="F207" s="61" t="s">
        <v>496</v>
      </c>
      <c r="G207" s="53" t="s">
        <v>202</v>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x14ac:dyDescent="0.55000000000000004">
      <c r="A208" s="46" t="s">
        <v>494</v>
      </c>
      <c r="B208" s="63" t="s">
        <v>129</v>
      </c>
      <c r="C208" s="44"/>
      <c r="D208" s="45"/>
      <c r="E208" s="46">
        <v>2</v>
      </c>
      <c r="F208" s="44" t="s">
        <v>497</v>
      </c>
      <c r="G208" s="47" t="s">
        <v>202</v>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sheetData>
  <mergeCells count="2">
    <mergeCell ref="A1:H1"/>
    <mergeCell ref="A2:Q2"/>
  </mergeCells>
  <conditionalFormatting sqref="I5:I208">
    <cfRule type="cellIs" dxfId="17" priority="2" operator="equal">
      <formula>"متوفر ومكتمل"</formula>
    </cfRule>
    <cfRule type="cellIs" dxfId="16" priority="3" operator="equal">
      <formula>"متوفر ويحتاج تحسين"</formula>
    </cfRule>
    <cfRule type="cellIs" dxfId="15" priority="4" operator="equal">
      <formula>"غير متوفر"</formula>
    </cfRule>
  </conditionalFormatting>
  <conditionalFormatting sqref="J5:J208 L5:M208">
    <cfRule type="expression" dxfId="14" priority="101">
      <formula>AND($I5="متوفر ومكتمل",J5&lt;&gt;"")</formula>
    </cfRule>
    <cfRule type="expression" dxfId="13" priority="102">
      <formula>$I5="متوفر ومكتمل"</formula>
    </cfRule>
  </conditionalFormatting>
  <conditionalFormatting sqref="J5:J208">
    <cfRule type="expression" dxfId="12" priority="103">
      <formula>AND(OR($I5="متوفر ويحتاج تحسين",$I5="غير متوفر"),J5="")</formula>
    </cfRule>
  </conditionalFormatting>
  <conditionalFormatting sqref="K5:K208">
    <cfRule type="cellIs" dxfId="11" priority="5" operator="equal">
      <formula>"عالية"</formula>
    </cfRule>
  </conditionalFormatting>
  <conditionalFormatting sqref="P5:P208">
    <cfRule type="cellIs" dxfId="10" priority="6" operator="equal">
      <formula>"تمت"</formula>
    </cfRule>
    <cfRule type="cellIs" dxfId="9" priority="7" operator="equal">
      <formula>"تحتاج تعديل"</formula>
    </cfRule>
  </conditionalFormatting>
  <dataValidations count="4">
    <dataValidation type="list" allowBlank="1" sqref="I5:I208" xr:uid="{00000000-0002-0000-0600-000000000000}">
      <formula1>"متوفر ومكتمل,متوفر ويحتاج تحسين,غير متوفر"</formula1>
      <formula2>0</formula2>
    </dataValidation>
    <dataValidation type="list" allowBlank="1" sqref="J5:J208" xr:uid="{00000000-0002-0000-0600-000001000000}">
      <formula1>"فجوة توثيق,فجوة تطبيق"</formula1>
      <formula2>0</formula2>
    </dataValidation>
    <dataValidation type="list" allowBlank="1" sqref="M5:M208" xr:uid="{00000000-0002-0000-0600-000002000000}">
      <formula1>"خلال المرحلة الأولى,خلال فصل دراسي,خلال سنة دراسية"</formula1>
      <formula2>0</formula2>
    </dataValidation>
    <dataValidation type="list" allowBlank="1" sqref="P5:P208" xr:uid="{00000000-0002-0000-06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488E9-49AF-E34B-BDFB-A5304AAA586A}">
  <sheetPr>
    <tabColor rgb="FF8EA9DB"/>
  </sheetPr>
  <dimension ref="A1:R230"/>
  <sheetViews>
    <sheetView rightToLeft="1" workbookViewId="0">
      <pane xSplit="6" ySplit="4" topLeftCell="G5" activePane="bottomRight" state="frozen"/>
      <selection pane="topRight"/>
      <selection pane="bottomLeft"/>
      <selection pane="bottomRight" activeCell="B8" sqref="A1:Q8"/>
    </sheetView>
  </sheetViews>
  <sheetFormatPr baseColWidth="10" defaultColWidth="8.6640625" defaultRowHeight="15" x14ac:dyDescent="0.2"/>
  <cols>
    <col min="1" max="1" width="8" customWidth="1"/>
    <col min="2" max="2" width="14" style="68"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واللجنة'!$B$7</f>
        <v>فحص الأدلة – ماجستير علوم البيانات</v>
      </c>
      <c r="B1" s="107"/>
      <c r="C1" s="107"/>
      <c r="D1" s="107"/>
      <c r="E1" s="107"/>
      <c r="F1" s="107"/>
      <c r="G1" s="107"/>
      <c r="H1" s="107"/>
    </row>
    <row r="2" spans="1:18" ht="15" customHeight="1" x14ac:dyDescent="0.2">
      <c r="A2" s="109"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67"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s">
        <v>498</v>
      </c>
      <c r="H5" s="46" t="str">
        <f>IFERROR(INDEX('الإعدادات واللجنة'!$C$24:$C$32,MATCH(LEFT(A5,3),'الإعدادات واللجنة'!$A$24:$A$32,0)),"")</f>
        <v>د. سلطان بن سعيد الشمراني</v>
      </c>
      <c r="I5" s="38"/>
      <c r="J5" s="38"/>
      <c r="K5" s="46" t="str">
        <f t="shared" ref="K5:K68" si="0">IF(OR(I5="",I5="متوفر ومكتمل"),"",IF(OR(D5="★",I5="غير متوفر"),"عالية","متوسطة"))</f>
        <v/>
      </c>
      <c r="L5" s="48"/>
      <c r="M5" s="38"/>
      <c r="N5" s="48"/>
      <c r="O5" s="48"/>
      <c r="P5" s="38"/>
      <c r="Q5" s="48"/>
      <c r="R5" s="26" t="str">
        <f>IF($I5="","",$I5&amp;"#"&amp;COUNTIF($I$5:$I5,$I5))</f>
        <v/>
      </c>
    </row>
    <row r="6" spans="1:18" ht="44" x14ac:dyDescent="0.55000000000000004">
      <c r="A6" s="46" t="s">
        <v>199</v>
      </c>
      <c r="B6" s="63" t="s">
        <v>125</v>
      </c>
      <c r="C6" s="44"/>
      <c r="D6" s="45"/>
      <c r="E6" s="46">
        <v>2</v>
      </c>
      <c r="F6" s="44" t="s">
        <v>203</v>
      </c>
      <c r="G6" s="47" t="s">
        <v>498</v>
      </c>
      <c r="H6" s="46" t="str">
        <f>IFERROR(INDEX('الإعدادات واللجنة'!$C$24:$C$32,MATCH(LEFT(A6,3),'الإعدادات واللجنة'!$A$24:$A$32,0)),"")</f>
        <v>د. سلطان بن سعيد الشمراني</v>
      </c>
      <c r="I6" s="38"/>
      <c r="J6" s="38"/>
      <c r="K6" s="46" t="str">
        <f t="shared" si="0"/>
        <v/>
      </c>
      <c r="L6" s="48"/>
      <c r="M6" s="38"/>
      <c r="N6" s="48"/>
      <c r="O6" s="48"/>
      <c r="P6" s="38"/>
      <c r="Q6" s="48"/>
      <c r="R6" s="26" t="str">
        <f>IF($I6="","",$I6&amp;"#"&amp;COUNTIF($I$5:$I6,$I6))</f>
        <v/>
      </c>
    </row>
    <row r="7" spans="1:18" ht="44" x14ac:dyDescent="0.55000000000000004">
      <c r="A7" s="46" t="s">
        <v>199</v>
      </c>
      <c r="B7" s="63" t="s">
        <v>125</v>
      </c>
      <c r="C7" s="44"/>
      <c r="D7" s="45"/>
      <c r="E7" s="46">
        <v>3</v>
      </c>
      <c r="F7" s="44" t="s">
        <v>204</v>
      </c>
      <c r="G7" s="47" t="s">
        <v>498</v>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s">
        <v>498</v>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s">
        <v>498</v>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s">
        <v>498</v>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s">
        <v>498</v>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s">
        <v>498</v>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s">
        <v>498</v>
      </c>
      <c r="H13" s="46" t="str">
        <f>IFERROR(INDEX('الإعدادات واللجنة'!$C$24:$C$32,MATCH(LEFT(A13,3),'الإعدادات واللجنة'!$A$24:$A$32,0)),"")</f>
        <v>د. سلطان بن سعيد الشمراني</v>
      </c>
      <c r="I13" s="38"/>
      <c r="J13" s="38"/>
      <c r="K13" s="46" t="str">
        <f t="shared" si="0"/>
        <v/>
      </c>
      <c r="L13" s="48"/>
      <c r="M13" s="38"/>
      <c r="N13" s="48"/>
      <c r="O13" s="48"/>
      <c r="P13" s="38"/>
      <c r="Q13" s="48"/>
      <c r="R13" s="26" t="str">
        <f>IF($I13="","",$I13&amp;"#"&amp;COUNTIF($I$5:$I13,$I13))</f>
        <v/>
      </c>
    </row>
    <row r="14" spans="1:18" ht="44" x14ac:dyDescent="0.55000000000000004">
      <c r="A14" s="60" t="s">
        <v>214</v>
      </c>
      <c r="B14" s="66" t="s">
        <v>125</v>
      </c>
      <c r="C14" s="61" t="s">
        <v>215</v>
      </c>
      <c r="D14" s="62"/>
      <c r="E14" s="54">
        <v>1</v>
      </c>
      <c r="F14" s="61" t="s">
        <v>216</v>
      </c>
      <c r="G14" s="53" t="s">
        <v>498</v>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s">
        <v>498</v>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s">
        <v>498</v>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s">
        <v>498</v>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s">
        <v>498</v>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s">
        <v>498</v>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s">
        <v>498</v>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s">
        <v>498</v>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s">
        <v>498</v>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s">
        <v>498</v>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s">
        <v>498</v>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s">
        <v>498</v>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s">
        <v>498</v>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s">
        <v>498</v>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s">
        <v>498</v>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s">
        <v>498</v>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s">
        <v>498</v>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s">
        <v>498</v>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s">
        <v>498</v>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s">
        <v>498</v>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s">
        <v>498</v>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s">
        <v>498</v>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s">
        <v>498</v>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s">
        <v>498</v>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s">
        <v>498</v>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s">
        <v>498</v>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s">
        <v>498</v>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s">
        <v>498</v>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s">
        <v>498</v>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s">
        <v>498</v>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x14ac:dyDescent="0.55000000000000004">
      <c r="A44" s="60" t="s">
        <v>258</v>
      </c>
      <c r="B44" s="66" t="s">
        <v>125</v>
      </c>
      <c r="C44" s="61" t="s">
        <v>259</v>
      </c>
      <c r="D44" s="62"/>
      <c r="E44" s="54">
        <v>1</v>
      </c>
      <c r="F44" s="61" t="s">
        <v>260</v>
      </c>
      <c r="G44" s="53" t="s">
        <v>498</v>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x14ac:dyDescent="0.55000000000000004">
      <c r="A45" s="46" t="s">
        <v>258</v>
      </c>
      <c r="B45" s="63" t="s">
        <v>125</v>
      </c>
      <c r="C45" s="44"/>
      <c r="D45" s="45"/>
      <c r="E45" s="46">
        <v>2</v>
      </c>
      <c r="F45" s="44" t="s">
        <v>261</v>
      </c>
      <c r="G45" s="47" t="s">
        <v>498</v>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x14ac:dyDescent="0.55000000000000004">
      <c r="A46" s="46" t="s">
        <v>258</v>
      </c>
      <c r="B46" s="63" t="s">
        <v>125</v>
      </c>
      <c r="C46" s="44"/>
      <c r="D46" s="45"/>
      <c r="E46" s="46">
        <v>3</v>
      </c>
      <c r="F46" s="44" t="s">
        <v>262</v>
      </c>
      <c r="G46" s="47" t="s">
        <v>498</v>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x14ac:dyDescent="0.55000000000000004">
      <c r="A47" s="46" t="s">
        <v>258</v>
      </c>
      <c r="B47" s="63" t="s">
        <v>125</v>
      </c>
      <c r="C47" s="44"/>
      <c r="D47" s="45"/>
      <c r="E47" s="46">
        <v>4</v>
      </c>
      <c r="F47" s="44" t="s">
        <v>263</v>
      </c>
      <c r="G47" s="47" t="s">
        <v>498</v>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x14ac:dyDescent="0.55000000000000004">
      <c r="A48" s="49" t="s">
        <v>264</v>
      </c>
      <c r="B48" s="64" t="s">
        <v>125</v>
      </c>
      <c r="C48" s="50" t="s">
        <v>265</v>
      </c>
      <c r="D48" s="51" t="s">
        <v>208</v>
      </c>
      <c r="E48" s="52">
        <v>1</v>
      </c>
      <c r="F48" s="50" t="s">
        <v>266</v>
      </c>
      <c r="G48" s="53" t="s">
        <v>498</v>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x14ac:dyDescent="0.55000000000000004">
      <c r="A49" s="57" t="s">
        <v>264</v>
      </c>
      <c r="B49" s="65" t="s">
        <v>125</v>
      </c>
      <c r="C49" s="58"/>
      <c r="D49" s="59" t="s">
        <v>208</v>
      </c>
      <c r="E49" s="57">
        <v>2</v>
      </c>
      <c r="F49" s="58" t="s">
        <v>267</v>
      </c>
      <c r="G49" s="47" t="s">
        <v>498</v>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x14ac:dyDescent="0.55000000000000004">
      <c r="A50" s="57" t="s">
        <v>264</v>
      </c>
      <c r="B50" s="65" t="s">
        <v>125</v>
      </c>
      <c r="C50" s="58"/>
      <c r="D50" s="59" t="s">
        <v>208</v>
      </c>
      <c r="E50" s="57">
        <v>3</v>
      </c>
      <c r="F50" s="58" t="s">
        <v>268</v>
      </c>
      <c r="G50" s="47" t="s">
        <v>498</v>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x14ac:dyDescent="0.55000000000000004">
      <c r="A51" s="60" t="s">
        <v>269</v>
      </c>
      <c r="B51" s="66" t="s">
        <v>125</v>
      </c>
      <c r="C51" s="61" t="s">
        <v>270</v>
      </c>
      <c r="D51" s="62"/>
      <c r="E51" s="54">
        <v>1</v>
      </c>
      <c r="F51" s="61" t="s">
        <v>271</v>
      </c>
      <c r="G51" s="53" t="s">
        <v>498</v>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x14ac:dyDescent="0.55000000000000004">
      <c r="A52" s="46" t="s">
        <v>269</v>
      </c>
      <c r="B52" s="63" t="s">
        <v>125</v>
      </c>
      <c r="C52" s="44"/>
      <c r="D52" s="45"/>
      <c r="E52" s="46">
        <v>2</v>
      </c>
      <c r="F52" s="44" t="s">
        <v>272</v>
      </c>
      <c r="G52" s="47" t="s">
        <v>498</v>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x14ac:dyDescent="0.55000000000000004">
      <c r="A53" s="46" t="s">
        <v>269</v>
      </c>
      <c r="B53" s="63" t="s">
        <v>125</v>
      </c>
      <c r="C53" s="44"/>
      <c r="D53" s="45"/>
      <c r="E53" s="46">
        <v>3</v>
      </c>
      <c r="F53" s="44" t="s">
        <v>273</v>
      </c>
      <c r="G53" s="47" t="s">
        <v>498</v>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x14ac:dyDescent="0.55000000000000004">
      <c r="A54" s="46" t="s">
        <v>269</v>
      </c>
      <c r="B54" s="63" t="s">
        <v>125</v>
      </c>
      <c r="C54" s="44"/>
      <c r="D54" s="45"/>
      <c r="E54" s="46">
        <v>4</v>
      </c>
      <c r="F54" s="44" t="s">
        <v>274</v>
      </c>
      <c r="G54" s="47" t="s">
        <v>498</v>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x14ac:dyDescent="0.55000000000000004">
      <c r="A55" s="46" t="s">
        <v>269</v>
      </c>
      <c r="B55" s="63" t="s">
        <v>125</v>
      </c>
      <c r="C55" s="44"/>
      <c r="D55" s="45"/>
      <c r="E55" s="46">
        <v>5</v>
      </c>
      <c r="F55" s="44" t="s">
        <v>275</v>
      </c>
      <c r="G55" s="47" t="s">
        <v>498</v>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x14ac:dyDescent="0.55000000000000004">
      <c r="A56" s="46" t="s">
        <v>269</v>
      </c>
      <c r="B56" s="63" t="s">
        <v>125</v>
      </c>
      <c r="C56" s="44"/>
      <c r="D56" s="45"/>
      <c r="E56" s="46">
        <v>6</v>
      </c>
      <c r="F56" s="44" t="s">
        <v>276</v>
      </c>
      <c r="G56" s="47" t="s">
        <v>498</v>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x14ac:dyDescent="0.55000000000000004">
      <c r="A57" s="60" t="s">
        <v>277</v>
      </c>
      <c r="B57" s="66" t="s">
        <v>126</v>
      </c>
      <c r="C57" s="61" t="s">
        <v>278</v>
      </c>
      <c r="D57" s="62"/>
      <c r="E57" s="54">
        <v>1</v>
      </c>
      <c r="F57" s="61" t="s">
        <v>279</v>
      </c>
      <c r="G57" s="53" t="s">
        <v>498</v>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x14ac:dyDescent="0.55000000000000004">
      <c r="A58" s="46" t="s">
        <v>277</v>
      </c>
      <c r="B58" s="63" t="s">
        <v>126</v>
      </c>
      <c r="C58" s="44"/>
      <c r="D58" s="45"/>
      <c r="E58" s="46">
        <v>2</v>
      </c>
      <c r="F58" s="44" t="s">
        <v>280</v>
      </c>
      <c r="G58" s="47" t="s">
        <v>498</v>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x14ac:dyDescent="0.55000000000000004">
      <c r="A59" s="46" t="s">
        <v>277</v>
      </c>
      <c r="B59" s="63" t="s">
        <v>126</v>
      </c>
      <c r="C59" s="44"/>
      <c r="D59" s="45"/>
      <c r="E59" s="46">
        <v>3</v>
      </c>
      <c r="F59" s="44" t="s">
        <v>281</v>
      </c>
      <c r="G59" s="47" t="s">
        <v>498</v>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x14ac:dyDescent="0.55000000000000004">
      <c r="A60" s="46" t="s">
        <v>277</v>
      </c>
      <c r="B60" s="63" t="s">
        <v>126</v>
      </c>
      <c r="C60" s="44"/>
      <c r="D60" s="45"/>
      <c r="E60" s="46">
        <v>4</v>
      </c>
      <c r="F60" s="44" t="s">
        <v>282</v>
      </c>
      <c r="G60" s="47" t="s">
        <v>498</v>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x14ac:dyDescent="0.55000000000000004">
      <c r="A61" s="46" t="s">
        <v>277</v>
      </c>
      <c r="B61" s="63" t="s">
        <v>126</v>
      </c>
      <c r="C61" s="44"/>
      <c r="D61" s="45"/>
      <c r="E61" s="46">
        <v>5</v>
      </c>
      <c r="F61" s="44" t="s">
        <v>283</v>
      </c>
      <c r="G61" s="47" t="s">
        <v>498</v>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x14ac:dyDescent="0.55000000000000004">
      <c r="A62" s="46" t="s">
        <v>277</v>
      </c>
      <c r="B62" s="63" t="s">
        <v>126</v>
      </c>
      <c r="C62" s="44"/>
      <c r="D62" s="45"/>
      <c r="E62" s="46">
        <v>6</v>
      </c>
      <c r="F62" s="44" t="s">
        <v>284</v>
      </c>
      <c r="G62" s="47" t="s">
        <v>498</v>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x14ac:dyDescent="0.55000000000000004">
      <c r="A63" s="46" t="s">
        <v>277</v>
      </c>
      <c r="B63" s="63" t="s">
        <v>126</v>
      </c>
      <c r="C63" s="44"/>
      <c r="D63" s="45"/>
      <c r="E63" s="46">
        <v>7</v>
      </c>
      <c r="F63" s="44" t="s">
        <v>285</v>
      </c>
      <c r="G63" s="47" t="s">
        <v>498</v>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x14ac:dyDescent="0.55000000000000004">
      <c r="A64" s="46" t="s">
        <v>277</v>
      </c>
      <c r="B64" s="63" t="s">
        <v>126</v>
      </c>
      <c r="C64" s="44"/>
      <c r="D64" s="45"/>
      <c r="E64" s="46">
        <v>8</v>
      </c>
      <c r="F64" s="44" t="s">
        <v>286</v>
      </c>
      <c r="G64" s="47" t="s">
        <v>498</v>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x14ac:dyDescent="0.55000000000000004">
      <c r="A65" s="46" t="s">
        <v>277</v>
      </c>
      <c r="B65" s="63" t="s">
        <v>126</v>
      </c>
      <c r="C65" s="44"/>
      <c r="D65" s="45"/>
      <c r="E65" s="46">
        <v>9</v>
      </c>
      <c r="F65" s="44" t="s">
        <v>287</v>
      </c>
      <c r="G65" s="47" t="s">
        <v>498</v>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x14ac:dyDescent="0.55000000000000004">
      <c r="A66" s="46" t="s">
        <v>277</v>
      </c>
      <c r="B66" s="63" t="s">
        <v>126</v>
      </c>
      <c r="C66" s="44"/>
      <c r="D66" s="45"/>
      <c r="E66" s="46">
        <v>10</v>
      </c>
      <c r="F66" s="44" t="s">
        <v>288</v>
      </c>
      <c r="G66" s="47" t="s">
        <v>498</v>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x14ac:dyDescent="0.55000000000000004">
      <c r="A67" s="49" t="s">
        <v>289</v>
      </c>
      <c r="B67" s="64" t="s">
        <v>126</v>
      </c>
      <c r="C67" s="50" t="s">
        <v>290</v>
      </c>
      <c r="D67" s="51" t="s">
        <v>208</v>
      </c>
      <c r="E67" s="52">
        <v>1</v>
      </c>
      <c r="F67" s="50" t="s">
        <v>291</v>
      </c>
      <c r="G67" s="53" t="s">
        <v>498</v>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x14ac:dyDescent="0.55000000000000004">
      <c r="A68" s="57" t="s">
        <v>289</v>
      </c>
      <c r="B68" s="65" t="s">
        <v>126</v>
      </c>
      <c r="C68" s="58"/>
      <c r="D68" s="59" t="s">
        <v>208</v>
      </c>
      <c r="E68" s="57">
        <v>2</v>
      </c>
      <c r="F68" s="58" t="s">
        <v>292</v>
      </c>
      <c r="G68" s="47" t="s">
        <v>498</v>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x14ac:dyDescent="0.55000000000000004">
      <c r="A69" s="57" t="s">
        <v>289</v>
      </c>
      <c r="B69" s="65" t="s">
        <v>126</v>
      </c>
      <c r="C69" s="58"/>
      <c r="D69" s="59" t="s">
        <v>208</v>
      </c>
      <c r="E69" s="57">
        <v>3</v>
      </c>
      <c r="F69" s="58" t="s">
        <v>293</v>
      </c>
      <c r="G69" s="47" t="s">
        <v>498</v>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x14ac:dyDescent="0.55000000000000004">
      <c r="A70" s="60" t="s">
        <v>294</v>
      </c>
      <c r="B70" s="66" t="s">
        <v>126</v>
      </c>
      <c r="C70" s="61" t="s">
        <v>295</v>
      </c>
      <c r="D70" s="62"/>
      <c r="E70" s="54">
        <v>1</v>
      </c>
      <c r="F70" s="61" t="s">
        <v>296</v>
      </c>
      <c r="G70" s="53" t="s">
        <v>498</v>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x14ac:dyDescent="0.55000000000000004">
      <c r="A71" s="46" t="s">
        <v>294</v>
      </c>
      <c r="B71" s="63" t="s">
        <v>126</v>
      </c>
      <c r="C71" s="44"/>
      <c r="D71" s="45"/>
      <c r="E71" s="46">
        <v>2</v>
      </c>
      <c r="F71" s="44" t="s">
        <v>297</v>
      </c>
      <c r="G71" s="47" t="s">
        <v>498</v>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x14ac:dyDescent="0.55000000000000004">
      <c r="A72" s="46" t="s">
        <v>294</v>
      </c>
      <c r="B72" s="63" t="s">
        <v>126</v>
      </c>
      <c r="C72" s="44"/>
      <c r="D72" s="45"/>
      <c r="E72" s="46">
        <v>3</v>
      </c>
      <c r="F72" s="44" t="s">
        <v>298</v>
      </c>
      <c r="G72" s="47" t="s">
        <v>498</v>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x14ac:dyDescent="0.55000000000000004">
      <c r="A73" s="46" t="s">
        <v>294</v>
      </c>
      <c r="B73" s="63" t="s">
        <v>126</v>
      </c>
      <c r="C73" s="44"/>
      <c r="D73" s="45"/>
      <c r="E73" s="46">
        <v>4</v>
      </c>
      <c r="F73" s="44" t="s">
        <v>299</v>
      </c>
      <c r="G73" s="47" t="s">
        <v>498</v>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x14ac:dyDescent="0.55000000000000004">
      <c r="A74" s="49" t="s">
        <v>300</v>
      </c>
      <c r="B74" s="64" t="s">
        <v>126</v>
      </c>
      <c r="C74" s="50" t="s">
        <v>301</v>
      </c>
      <c r="D74" s="51" t="s">
        <v>208</v>
      </c>
      <c r="E74" s="52">
        <v>1</v>
      </c>
      <c r="F74" s="50" t="s">
        <v>280</v>
      </c>
      <c r="G74" s="53" t="s">
        <v>498</v>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x14ac:dyDescent="0.55000000000000004">
      <c r="A75" s="57" t="s">
        <v>300</v>
      </c>
      <c r="B75" s="65" t="s">
        <v>126</v>
      </c>
      <c r="C75" s="58"/>
      <c r="D75" s="59" t="s">
        <v>208</v>
      </c>
      <c r="E75" s="57">
        <v>2</v>
      </c>
      <c r="F75" s="58" t="s">
        <v>302</v>
      </c>
      <c r="G75" s="47" t="s">
        <v>498</v>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x14ac:dyDescent="0.55000000000000004">
      <c r="A76" s="57" t="s">
        <v>300</v>
      </c>
      <c r="B76" s="65" t="s">
        <v>126</v>
      </c>
      <c r="C76" s="58"/>
      <c r="D76" s="59" t="s">
        <v>208</v>
      </c>
      <c r="E76" s="57">
        <v>3</v>
      </c>
      <c r="F76" s="58" t="s">
        <v>303</v>
      </c>
      <c r="G76" s="47" t="s">
        <v>498</v>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x14ac:dyDescent="0.55000000000000004">
      <c r="A77" s="57" t="s">
        <v>300</v>
      </c>
      <c r="B77" s="65" t="s">
        <v>126</v>
      </c>
      <c r="C77" s="58"/>
      <c r="D77" s="59" t="s">
        <v>208</v>
      </c>
      <c r="E77" s="57">
        <v>4</v>
      </c>
      <c r="F77" s="58" t="s">
        <v>304</v>
      </c>
      <c r="G77" s="47" t="s">
        <v>498</v>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x14ac:dyDescent="0.55000000000000004">
      <c r="A78" s="60" t="s">
        <v>305</v>
      </c>
      <c r="B78" s="66" t="s">
        <v>126</v>
      </c>
      <c r="C78" s="61" t="s">
        <v>306</v>
      </c>
      <c r="D78" s="62"/>
      <c r="E78" s="54">
        <v>1</v>
      </c>
      <c r="F78" s="61" t="s">
        <v>307</v>
      </c>
      <c r="G78" s="53" t="s">
        <v>498</v>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x14ac:dyDescent="0.55000000000000004">
      <c r="A79" s="46" t="s">
        <v>305</v>
      </c>
      <c r="B79" s="63" t="s">
        <v>126</v>
      </c>
      <c r="C79" s="44"/>
      <c r="D79" s="45"/>
      <c r="E79" s="46">
        <v>2</v>
      </c>
      <c r="F79" s="44" t="s">
        <v>308</v>
      </c>
      <c r="G79" s="47" t="s">
        <v>498</v>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x14ac:dyDescent="0.55000000000000004">
      <c r="A80" s="46" t="s">
        <v>305</v>
      </c>
      <c r="B80" s="63" t="s">
        <v>126</v>
      </c>
      <c r="C80" s="44"/>
      <c r="D80" s="45"/>
      <c r="E80" s="46">
        <v>3</v>
      </c>
      <c r="F80" s="44" t="s">
        <v>309</v>
      </c>
      <c r="G80" s="47" t="s">
        <v>498</v>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x14ac:dyDescent="0.55000000000000004">
      <c r="A81" s="46" t="s">
        <v>305</v>
      </c>
      <c r="B81" s="63" t="s">
        <v>126</v>
      </c>
      <c r="C81" s="44"/>
      <c r="D81" s="45"/>
      <c r="E81" s="46">
        <v>4</v>
      </c>
      <c r="F81" s="44" t="s">
        <v>310</v>
      </c>
      <c r="G81" s="47" t="s">
        <v>498</v>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x14ac:dyDescent="0.55000000000000004">
      <c r="A82" s="49" t="s">
        <v>311</v>
      </c>
      <c r="B82" s="64" t="s">
        <v>126</v>
      </c>
      <c r="C82" s="50" t="s">
        <v>312</v>
      </c>
      <c r="D82" s="51" t="s">
        <v>208</v>
      </c>
      <c r="E82" s="52">
        <v>1</v>
      </c>
      <c r="F82" s="50" t="s">
        <v>313</v>
      </c>
      <c r="G82" s="53" t="s">
        <v>498</v>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x14ac:dyDescent="0.55000000000000004">
      <c r="A83" s="57" t="s">
        <v>311</v>
      </c>
      <c r="B83" s="65" t="s">
        <v>126</v>
      </c>
      <c r="C83" s="58"/>
      <c r="D83" s="59" t="s">
        <v>208</v>
      </c>
      <c r="E83" s="57">
        <v>2</v>
      </c>
      <c r="F83" s="58" t="s">
        <v>314</v>
      </c>
      <c r="G83" s="47" t="s">
        <v>498</v>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x14ac:dyDescent="0.55000000000000004">
      <c r="A84" s="57" t="s">
        <v>311</v>
      </c>
      <c r="B84" s="65" t="s">
        <v>126</v>
      </c>
      <c r="C84" s="58"/>
      <c r="D84" s="59" t="s">
        <v>208</v>
      </c>
      <c r="E84" s="57">
        <v>3</v>
      </c>
      <c r="F84" s="58" t="s">
        <v>315</v>
      </c>
      <c r="G84" s="47" t="s">
        <v>498</v>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x14ac:dyDescent="0.55000000000000004">
      <c r="A85" s="57" t="s">
        <v>311</v>
      </c>
      <c r="B85" s="65" t="s">
        <v>126</v>
      </c>
      <c r="C85" s="58"/>
      <c r="D85" s="59" t="s">
        <v>208</v>
      </c>
      <c r="E85" s="57">
        <v>4</v>
      </c>
      <c r="F85" s="58" t="s">
        <v>316</v>
      </c>
      <c r="G85" s="47" t="s">
        <v>498</v>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x14ac:dyDescent="0.55000000000000004">
      <c r="A86" s="57" t="s">
        <v>311</v>
      </c>
      <c r="B86" s="65" t="s">
        <v>126</v>
      </c>
      <c r="C86" s="58"/>
      <c r="D86" s="59" t="s">
        <v>208</v>
      </c>
      <c r="E86" s="57">
        <v>5</v>
      </c>
      <c r="F86" s="58" t="s">
        <v>317</v>
      </c>
      <c r="G86" s="47" t="s">
        <v>498</v>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x14ac:dyDescent="0.55000000000000004">
      <c r="A87" s="57" t="s">
        <v>311</v>
      </c>
      <c r="B87" s="65" t="s">
        <v>126</v>
      </c>
      <c r="C87" s="58"/>
      <c r="D87" s="59" t="s">
        <v>208</v>
      </c>
      <c r="E87" s="57">
        <v>6</v>
      </c>
      <c r="F87" s="58" t="s">
        <v>318</v>
      </c>
      <c r="G87" s="47" t="s">
        <v>498</v>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x14ac:dyDescent="0.55000000000000004">
      <c r="A88" s="49" t="s">
        <v>319</v>
      </c>
      <c r="B88" s="64" t="s">
        <v>126</v>
      </c>
      <c r="C88" s="50" t="s">
        <v>320</v>
      </c>
      <c r="D88" s="51" t="s">
        <v>208</v>
      </c>
      <c r="E88" s="52">
        <v>1</v>
      </c>
      <c r="F88" s="50" t="s">
        <v>321</v>
      </c>
      <c r="G88" s="53" t="s">
        <v>498</v>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x14ac:dyDescent="0.55000000000000004">
      <c r="A89" s="57" t="s">
        <v>319</v>
      </c>
      <c r="B89" s="65" t="s">
        <v>126</v>
      </c>
      <c r="C89" s="58"/>
      <c r="D89" s="59" t="s">
        <v>208</v>
      </c>
      <c r="E89" s="57">
        <v>2</v>
      </c>
      <c r="F89" s="58" t="s">
        <v>322</v>
      </c>
      <c r="G89" s="47" t="s">
        <v>498</v>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x14ac:dyDescent="0.55000000000000004">
      <c r="A90" s="57" t="s">
        <v>319</v>
      </c>
      <c r="B90" s="65" t="s">
        <v>126</v>
      </c>
      <c r="C90" s="58"/>
      <c r="D90" s="59" t="s">
        <v>208</v>
      </c>
      <c r="E90" s="57">
        <v>3</v>
      </c>
      <c r="F90" s="58" t="s">
        <v>316</v>
      </c>
      <c r="G90" s="47" t="s">
        <v>498</v>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x14ac:dyDescent="0.55000000000000004">
      <c r="A91" s="57" t="s">
        <v>319</v>
      </c>
      <c r="B91" s="65" t="s">
        <v>126</v>
      </c>
      <c r="C91" s="58"/>
      <c r="D91" s="59" t="s">
        <v>208</v>
      </c>
      <c r="E91" s="57">
        <v>4</v>
      </c>
      <c r="F91" s="58" t="s">
        <v>323</v>
      </c>
      <c r="G91" s="47" t="s">
        <v>498</v>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x14ac:dyDescent="0.55000000000000004">
      <c r="A92" s="60" t="s">
        <v>324</v>
      </c>
      <c r="B92" s="66" t="s">
        <v>126</v>
      </c>
      <c r="C92" s="61" t="s">
        <v>331</v>
      </c>
      <c r="D92" s="62"/>
      <c r="E92" s="54">
        <v>1</v>
      </c>
      <c r="F92" s="61" t="s">
        <v>314</v>
      </c>
      <c r="G92" s="53" t="s">
        <v>498</v>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x14ac:dyDescent="0.55000000000000004">
      <c r="A93" s="46" t="s">
        <v>324</v>
      </c>
      <c r="B93" s="63" t="s">
        <v>126</v>
      </c>
      <c r="C93" s="44"/>
      <c r="D93" s="45"/>
      <c r="E93" s="46">
        <v>2</v>
      </c>
      <c r="F93" s="44" t="s">
        <v>332</v>
      </c>
      <c r="G93" s="47" t="s">
        <v>498</v>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x14ac:dyDescent="0.55000000000000004">
      <c r="A94" s="46" t="s">
        <v>324</v>
      </c>
      <c r="B94" s="63" t="s">
        <v>126</v>
      </c>
      <c r="C94" s="44"/>
      <c r="D94" s="45"/>
      <c r="E94" s="46">
        <v>3</v>
      </c>
      <c r="F94" s="44" t="s">
        <v>333</v>
      </c>
      <c r="G94" s="47" t="s">
        <v>498</v>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66" x14ac:dyDescent="0.55000000000000004">
      <c r="A95" s="46" t="s">
        <v>324</v>
      </c>
      <c r="B95" s="63" t="s">
        <v>126</v>
      </c>
      <c r="C95" s="44"/>
      <c r="D95" s="45"/>
      <c r="E95" s="46">
        <v>4</v>
      </c>
      <c r="F95" s="44" t="s">
        <v>334</v>
      </c>
      <c r="G95" s="47" t="s">
        <v>498</v>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66" x14ac:dyDescent="0.55000000000000004">
      <c r="A96" s="49" t="s">
        <v>330</v>
      </c>
      <c r="B96" s="64" t="s">
        <v>126</v>
      </c>
      <c r="C96" s="50" t="s">
        <v>345</v>
      </c>
      <c r="D96" s="51" t="s">
        <v>208</v>
      </c>
      <c r="E96" s="52">
        <v>1</v>
      </c>
      <c r="F96" s="50" t="s">
        <v>346</v>
      </c>
      <c r="G96" s="53" t="s">
        <v>498</v>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x14ac:dyDescent="0.55000000000000004">
      <c r="A97" s="57" t="s">
        <v>330</v>
      </c>
      <c r="B97" s="65" t="s">
        <v>126</v>
      </c>
      <c r="C97" s="58"/>
      <c r="D97" s="59" t="s">
        <v>208</v>
      </c>
      <c r="E97" s="57">
        <v>2</v>
      </c>
      <c r="F97" s="58" t="s">
        <v>347</v>
      </c>
      <c r="G97" s="47" t="s">
        <v>498</v>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66" x14ac:dyDescent="0.55000000000000004">
      <c r="A98" s="49" t="s">
        <v>348</v>
      </c>
      <c r="B98" s="64" t="s">
        <v>126</v>
      </c>
      <c r="C98" s="50" t="s">
        <v>499</v>
      </c>
      <c r="D98" s="51" t="s">
        <v>208</v>
      </c>
      <c r="E98" s="52">
        <v>1</v>
      </c>
      <c r="F98" s="50" t="s">
        <v>350</v>
      </c>
      <c r="G98" s="53" t="s">
        <v>498</v>
      </c>
      <c r="H98" s="54" t="str">
        <f>IFERROR(INDEX('الإعدادات واللجنة'!$C$24:$C$32,MATCH(LEFT(A98,3),'الإعدادات واللجنة'!$A$24:$A$32,0)),"")</f>
        <v>د. يثرب بنت سعد القحطاني</v>
      </c>
      <c r="I98" s="55"/>
      <c r="J98" s="55"/>
      <c r="K98" s="54" t="str">
        <f t="shared" si="1"/>
        <v/>
      </c>
      <c r="L98" s="56"/>
      <c r="M98" s="55"/>
      <c r="N98" s="56"/>
      <c r="O98" s="56"/>
      <c r="P98" s="55"/>
      <c r="Q98" s="56"/>
      <c r="R98" s="26" t="str">
        <f>IF($I98="","",$I98&amp;"#"&amp;COUNTIF($I$5:$I98,$I98))</f>
        <v/>
      </c>
    </row>
    <row r="99" spans="1:18" ht="44" x14ac:dyDescent="0.55000000000000004">
      <c r="A99" s="57" t="s">
        <v>348</v>
      </c>
      <c r="B99" s="65" t="s">
        <v>126</v>
      </c>
      <c r="C99" s="58"/>
      <c r="D99" s="59" t="s">
        <v>208</v>
      </c>
      <c r="E99" s="57">
        <v>2</v>
      </c>
      <c r="F99" s="58" t="s">
        <v>351</v>
      </c>
      <c r="G99" s="47" t="s">
        <v>498</v>
      </c>
      <c r="H99" s="46" t="str">
        <f>IFERROR(INDEX('الإعدادات واللجنة'!$C$24:$C$32,MATCH(LEFT(A99,3),'الإعدادات واللجنة'!$A$24:$A$32,0)),"")</f>
        <v>د. يثرب بنت سعد القحطاني</v>
      </c>
      <c r="I99" s="38"/>
      <c r="J99" s="38"/>
      <c r="K99" s="46" t="str">
        <f t="shared" si="1"/>
        <v/>
      </c>
      <c r="L99" s="48"/>
      <c r="M99" s="38"/>
      <c r="N99" s="48"/>
      <c r="O99" s="48"/>
      <c r="P99" s="38"/>
      <c r="Q99" s="48"/>
      <c r="R99" s="26" t="str">
        <f>IF($I99="","",$I99&amp;"#"&amp;COUNTIF($I$5:$I99,$I99))</f>
        <v/>
      </c>
    </row>
    <row r="100" spans="1:18" ht="66" x14ac:dyDescent="0.55000000000000004">
      <c r="A100" s="57" t="s">
        <v>348</v>
      </c>
      <c r="B100" s="65" t="s">
        <v>126</v>
      </c>
      <c r="C100" s="58"/>
      <c r="D100" s="59" t="s">
        <v>208</v>
      </c>
      <c r="E100" s="57">
        <v>3</v>
      </c>
      <c r="F100" s="58" t="s">
        <v>352</v>
      </c>
      <c r="G100" s="47" t="s">
        <v>498</v>
      </c>
      <c r="H100" s="46" t="str">
        <f>IFERROR(INDEX('الإعدادات واللجنة'!$C$24:$C$32,MATCH(LEFT(A100,3),'الإعدادات واللجنة'!$A$24:$A$32,0)),"")</f>
        <v>د. يثرب بنت سعد القحطاني</v>
      </c>
      <c r="I100" s="38"/>
      <c r="J100" s="38"/>
      <c r="K100" s="46" t="str">
        <f t="shared" si="1"/>
        <v/>
      </c>
      <c r="L100" s="48"/>
      <c r="M100" s="38"/>
      <c r="N100" s="48"/>
      <c r="O100" s="48"/>
      <c r="P100" s="38"/>
      <c r="Q100" s="48"/>
      <c r="R100" s="26" t="str">
        <f>IF($I100="","",$I100&amp;"#"&amp;COUNTIF($I$5:$I100,$I100))</f>
        <v/>
      </c>
    </row>
    <row r="101" spans="1:18" ht="44" x14ac:dyDescent="0.55000000000000004">
      <c r="A101" s="57" t="s">
        <v>348</v>
      </c>
      <c r="B101" s="65" t="s">
        <v>126</v>
      </c>
      <c r="C101" s="58"/>
      <c r="D101" s="59" t="s">
        <v>208</v>
      </c>
      <c r="E101" s="57">
        <v>4</v>
      </c>
      <c r="F101" s="58" t="s">
        <v>353</v>
      </c>
      <c r="G101" s="47" t="s">
        <v>498</v>
      </c>
      <c r="H101" s="46" t="str">
        <f>IFERROR(INDEX('الإعدادات واللجنة'!$C$24:$C$32,MATCH(LEFT(A101,3),'الإعدادات واللجنة'!$A$24:$A$32,0)),"")</f>
        <v>د. يثرب بنت سعد القحطاني</v>
      </c>
      <c r="I101" s="38"/>
      <c r="J101" s="38"/>
      <c r="K101" s="46" t="str">
        <f t="shared" si="1"/>
        <v/>
      </c>
      <c r="L101" s="48"/>
      <c r="M101" s="38"/>
      <c r="N101" s="48"/>
      <c r="O101" s="48"/>
      <c r="P101" s="38"/>
      <c r="Q101" s="48"/>
      <c r="R101" s="26" t="str">
        <f>IF($I101="","",$I101&amp;"#"&amp;COUNTIF($I$5:$I101,$I101))</f>
        <v/>
      </c>
    </row>
    <row r="102" spans="1:18" ht="44" x14ac:dyDescent="0.55000000000000004">
      <c r="A102" s="57" t="s">
        <v>348</v>
      </c>
      <c r="B102" s="65" t="s">
        <v>126</v>
      </c>
      <c r="C102" s="58"/>
      <c r="D102" s="59" t="s">
        <v>208</v>
      </c>
      <c r="E102" s="57">
        <v>5</v>
      </c>
      <c r="F102" s="58" t="s">
        <v>354</v>
      </c>
      <c r="G102" s="47" t="s">
        <v>498</v>
      </c>
      <c r="H102" s="46" t="str">
        <f>IFERROR(INDEX('الإعدادات واللجنة'!$C$24:$C$32,MATCH(LEFT(A102,3),'الإعدادات واللجنة'!$A$24:$A$32,0)),"")</f>
        <v>د. يثرب بنت سعد القحطاني</v>
      </c>
      <c r="I102" s="38"/>
      <c r="J102" s="38"/>
      <c r="K102" s="46" t="str">
        <f t="shared" si="1"/>
        <v/>
      </c>
      <c r="L102" s="48"/>
      <c r="M102" s="38"/>
      <c r="N102" s="48"/>
      <c r="O102" s="48"/>
      <c r="P102" s="38"/>
      <c r="Q102" s="48"/>
      <c r="R102" s="26" t="str">
        <f>IF($I102="","",$I102&amp;"#"&amp;COUNTIF($I$5:$I102,$I102))</f>
        <v/>
      </c>
    </row>
    <row r="103" spans="1:18" ht="66" x14ac:dyDescent="0.55000000000000004">
      <c r="A103" s="60" t="s">
        <v>355</v>
      </c>
      <c r="B103" s="66" t="s">
        <v>126</v>
      </c>
      <c r="C103" s="61" t="s">
        <v>336</v>
      </c>
      <c r="D103" s="62"/>
      <c r="E103" s="54">
        <v>1</v>
      </c>
      <c r="F103" s="61" t="s">
        <v>337</v>
      </c>
      <c r="G103" s="53" t="s">
        <v>498</v>
      </c>
      <c r="H103" s="54" t="str">
        <f>IFERROR(INDEX('الإعدادات واللجنة'!$C$24:$C$32,MATCH(LEFT(A103,3),'الإعدادات واللجنة'!$A$24:$A$32,0)),"")</f>
        <v>د. يثرب بنت سعد القحطاني</v>
      </c>
      <c r="I103" s="55"/>
      <c r="J103" s="55"/>
      <c r="K103" s="54" t="str">
        <f t="shared" si="1"/>
        <v/>
      </c>
      <c r="L103" s="56"/>
      <c r="M103" s="55"/>
      <c r="N103" s="56"/>
      <c r="O103" s="56"/>
      <c r="P103" s="55"/>
      <c r="Q103" s="56"/>
      <c r="R103" s="26" t="str">
        <f>IF($I103="","",$I103&amp;"#"&amp;COUNTIF($I$5:$I103,$I103))</f>
        <v/>
      </c>
    </row>
    <row r="104" spans="1:18" ht="44" x14ac:dyDescent="0.55000000000000004">
      <c r="A104" s="46" t="s">
        <v>355</v>
      </c>
      <c r="B104" s="63" t="s">
        <v>126</v>
      </c>
      <c r="C104" s="44"/>
      <c r="D104" s="45"/>
      <c r="E104" s="46">
        <v>2</v>
      </c>
      <c r="F104" s="44" t="s">
        <v>338</v>
      </c>
      <c r="G104" s="47" t="s">
        <v>498</v>
      </c>
      <c r="H104" s="46" t="str">
        <f>IFERROR(INDEX('الإعدادات واللجنة'!$C$24:$C$32,MATCH(LEFT(A104,3),'الإعدادات واللجنة'!$A$24:$A$32,0)),"")</f>
        <v>د. يثرب بنت سعد القحطاني</v>
      </c>
      <c r="I104" s="38"/>
      <c r="J104" s="38"/>
      <c r="K104" s="46" t="str">
        <f t="shared" si="1"/>
        <v/>
      </c>
      <c r="L104" s="48"/>
      <c r="M104" s="38"/>
      <c r="N104" s="48"/>
      <c r="O104" s="48"/>
      <c r="P104" s="38"/>
      <c r="Q104" s="48"/>
      <c r="R104" s="26" t="str">
        <f>IF($I104="","",$I104&amp;"#"&amp;COUNTIF($I$5:$I104,$I104))</f>
        <v/>
      </c>
    </row>
    <row r="105" spans="1:18" ht="66" x14ac:dyDescent="0.55000000000000004">
      <c r="A105" s="60" t="s">
        <v>361</v>
      </c>
      <c r="B105" s="66" t="s">
        <v>126</v>
      </c>
      <c r="C105" s="61" t="s">
        <v>356</v>
      </c>
      <c r="D105" s="62"/>
      <c r="E105" s="54">
        <v>1</v>
      </c>
      <c r="F105" s="61" t="s">
        <v>357</v>
      </c>
      <c r="G105" s="53" t="s">
        <v>498</v>
      </c>
      <c r="H105" s="54" t="str">
        <f>IFERROR(INDEX('الإعدادات واللجنة'!$C$24:$C$32,MATCH(LEFT(A105,3),'الإعدادات واللجنة'!$A$24:$A$32,0)),"")</f>
        <v>د. يثرب بنت سعد القحطاني</v>
      </c>
      <c r="I105" s="55"/>
      <c r="J105" s="55"/>
      <c r="K105" s="54" t="str">
        <f t="shared" si="1"/>
        <v/>
      </c>
      <c r="L105" s="56"/>
      <c r="M105" s="55"/>
      <c r="N105" s="56"/>
      <c r="O105" s="56"/>
      <c r="P105" s="55"/>
      <c r="Q105" s="56"/>
      <c r="R105" s="26" t="str">
        <f>IF($I105="","",$I105&amp;"#"&amp;COUNTIF($I$5:$I105,$I105))</f>
        <v/>
      </c>
    </row>
    <row r="106" spans="1:18" ht="44" x14ac:dyDescent="0.55000000000000004">
      <c r="A106" s="46" t="s">
        <v>361</v>
      </c>
      <c r="B106" s="63" t="s">
        <v>126</v>
      </c>
      <c r="C106" s="44"/>
      <c r="D106" s="45"/>
      <c r="E106" s="46">
        <v>2</v>
      </c>
      <c r="F106" s="44" t="s">
        <v>358</v>
      </c>
      <c r="G106" s="47" t="s">
        <v>498</v>
      </c>
      <c r="H106" s="46" t="str">
        <f>IFERROR(INDEX('الإعدادات واللجنة'!$C$24:$C$32,MATCH(LEFT(A106,3),'الإعدادات واللجنة'!$A$24:$A$32,0)),"")</f>
        <v>د. يثرب بنت سعد القحطاني</v>
      </c>
      <c r="I106" s="38"/>
      <c r="J106" s="38"/>
      <c r="K106" s="46" t="str">
        <f t="shared" si="1"/>
        <v/>
      </c>
      <c r="L106" s="48"/>
      <c r="M106" s="38"/>
      <c r="N106" s="48"/>
      <c r="O106" s="48"/>
      <c r="P106" s="38"/>
      <c r="Q106" s="48"/>
      <c r="R106" s="26" t="str">
        <f>IF($I106="","",$I106&amp;"#"&amp;COUNTIF($I$5:$I106,$I106))</f>
        <v/>
      </c>
    </row>
    <row r="107" spans="1:18" ht="44" x14ac:dyDescent="0.55000000000000004">
      <c r="A107" s="46" t="s">
        <v>361</v>
      </c>
      <c r="B107" s="63" t="s">
        <v>126</v>
      </c>
      <c r="C107" s="44"/>
      <c r="D107" s="45"/>
      <c r="E107" s="46">
        <v>3</v>
      </c>
      <c r="F107" s="44" t="s">
        <v>359</v>
      </c>
      <c r="G107" s="47" t="s">
        <v>498</v>
      </c>
      <c r="H107" s="46" t="str">
        <f>IFERROR(INDEX('الإعدادات واللجنة'!$C$24:$C$32,MATCH(LEFT(A107,3),'الإعدادات واللجنة'!$A$24:$A$32,0)),"")</f>
        <v>د. يثرب بنت سعد القحطاني</v>
      </c>
      <c r="I107" s="38"/>
      <c r="J107" s="38"/>
      <c r="K107" s="46" t="str">
        <f t="shared" si="1"/>
        <v/>
      </c>
      <c r="L107" s="48"/>
      <c r="M107" s="38"/>
      <c r="N107" s="48"/>
      <c r="O107" s="48"/>
      <c r="P107" s="38"/>
      <c r="Q107" s="48"/>
      <c r="R107" s="26" t="str">
        <f>IF($I107="","",$I107&amp;"#"&amp;COUNTIF($I$5:$I107,$I107))</f>
        <v/>
      </c>
    </row>
    <row r="108" spans="1:18" ht="44" x14ac:dyDescent="0.55000000000000004">
      <c r="A108" s="46" t="s">
        <v>361</v>
      </c>
      <c r="B108" s="63" t="s">
        <v>126</v>
      </c>
      <c r="C108" s="44"/>
      <c r="D108" s="45"/>
      <c r="E108" s="46">
        <v>4</v>
      </c>
      <c r="F108" s="44" t="s">
        <v>360</v>
      </c>
      <c r="G108" s="47" t="s">
        <v>498</v>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88" x14ac:dyDescent="0.55000000000000004">
      <c r="A109" s="60" t="s">
        <v>366</v>
      </c>
      <c r="B109" s="66" t="s">
        <v>126</v>
      </c>
      <c r="C109" s="61" t="s">
        <v>362</v>
      </c>
      <c r="D109" s="62"/>
      <c r="E109" s="54">
        <v>1</v>
      </c>
      <c r="F109" s="61" t="s">
        <v>363</v>
      </c>
      <c r="G109" s="53" t="s">
        <v>498</v>
      </c>
      <c r="H109" s="54" t="str">
        <f>IFERROR(INDEX('الإعدادات واللجنة'!$C$24:$C$32,MATCH(LEFT(A109,3),'الإعدادات واللجنة'!$A$24:$A$32,0)),"")</f>
        <v>د. يثرب بنت سعد القحطاني</v>
      </c>
      <c r="I109" s="55"/>
      <c r="J109" s="55"/>
      <c r="K109" s="54" t="str">
        <f t="shared" si="1"/>
        <v/>
      </c>
      <c r="L109" s="56"/>
      <c r="M109" s="55"/>
      <c r="N109" s="56"/>
      <c r="O109" s="56"/>
      <c r="P109" s="55"/>
      <c r="Q109" s="56"/>
      <c r="R109" s="26" t="str">
        <f>IF($I109="","",$I109&amp;"#"&amp;COUNTIF($I$5:$I109,$I109))</f>
        <v/>
      </c>
    </row>
    <row r="110" spans="1:18" ht="66" x14ac:dyDescent="0.55000000000000004">
      <c r="A110" s="46" t="s">
        <v>366</v>
      </c>
      <c r="B110" s="63" t="s">
        <v>126</v>
      </c>
      <c r="C110" s="44"/>
      <c r="D110" s="45"/>
      <c r="E110" s="46">
        <v>2</v>
      </c>
      <c r="F110" s="44" t="s">
        <v>364</v>
      </c>
      <c r="G110" s="47" t="s">
        <v>498</v>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x14ac:dyDescent="0.55000000000000004">
      <c r="A111" s="46" t="s">
        <v>366</v>
      </c>
      <c r="B111" s="63" t="s">
        <v>126</v>
      </c>
      <c r="C111" s="44"/>
      <c r="D111" s="45"/>
      <c r="E111" s="46">
        <v>3</v>
      </c>
      <c r="F111" s="44" t="s">
        <v>365</v>
      </c>
      <c r="G111" s="47" t="s">
        <v>498</v>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44" x14ac:dyDescent="0.55000000000000004">
      <c r="A112" s="60" t="s">
        <v>371</v>
      </c>
      <c r="B112" s="66" t="s">
        <v>126</v>
      </c>
      <c r="C112" s="61" t="s">
        <v>367</v>
      </c>
      <c r="D112" s="62"/>
      <c r="E112" s="54">
        <v>1</v>
      </c>
      <c r="F112" s="61" t="s">
        <v>368</v>
      </c>
      <c r="G112" s="53" t="s">
        <v>498</v>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x14ac:dyDescent="0.55000000000000004">
      <c r="A113" s="46" t="s">
        <v>371</v>
      </c>
      <c r="B113" s="63" t="s">
        <v>126</v>
      </c>
      <c r="C113" s="44"/>
      <c r="D113" s="45"/>
      <c r="E113" s="46">
        <v>2</v>
      </c>
      <c r="F113" s="44" t="s">
        <v>369</v>
      </c>
      <c r="G113" s="47" t="s">
        <v>498</v>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x14ac:dyDescent="0.55000000000000004">
      <c r="A114" s="46" t="s">
        <v>371</v>
      </c>
      <c r="B114" s="63" t="s">
        <v>126</v>
      </c>
      <c r="C114" s="44"/>
      <c r="D114" s="45"/>
      <c r="E114" s="46">
        <v>3</v>
      </c>
      <c r="F114" s="44" t="s">
        <v>370</v>
      </c>
      <c r="G114" s="47" t="s">
        <v>498</v>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x14ac:dyDescent="0.55000000000000004">
      <c r="A115" s="60" t="s">
        <v>378</v>
      </c>
      <c r="B115" s="66" t="s">
        <v>126</v>
      </c>
      <c r="C115" s="61" t="s">
        <v>372</v>
      </c>
      <c r="D115" s="62"/>
      <c r="E115" s="54">
        <v>1</v>
      </c>
      <c r="F115" s="61" t="s">
        <v>373</v>
      </c>
      <c r="G115" s="53" t="s">
        <v>498</v>
      </c>
      <c r="H115" s="54" t="str">
        <f>IFERROR(INDEX('الإعدادات واللجنة'!$C$24:$C$32,MATCH(LEFT(A115,3),'الإعدادات واللجنة'!$A$24:$A$32,0)),"")</f>
        <v>د. يثرب بنت سعد القحطاني</v>
      </c>
      <c r="I115" s="55"/>
      <c r="J115" s="55"/>
      <c r="K115" s="54" t="str">
        <f t="shared" si="1"/>
        <v/>
      </c>
      <c r="L115" s="56"/>
      <c r="M115" s="55"/>
      <c r="N115" s="56"/>
      <c r="O115" s="56"/>
      <c r="P115" s="55"/>
      <c r="Q115" s="56"/>
      <c r="R115" s="26" t="str">
        <f>IF($I115="","",$I115&amp;"#"&amp;COUNTIF($I$5:$I115,$I115))</f>
        <v/>
      </c>
    </row>
    <row r="116" spans="1:18" ht="44" x14ac:dyDescent="0.55000000000000004">
      <c r="A116" s="46" t="s">
        <v>378</v>
      </c>
      <c r="B116" s="63" t="s">
        <v>126</v>
      </c>
      <c r="C116" s="44"/>
      <c r="D116" s="45"/>
      <c r="E116" s="46">
        <v>2</v>
      </c>
      <c r="F116" s="44" t="s">
        <v>374</v>
      </c>
      <c r="G116" s="47" t="s">
        <v>498</v>
      </c>
      <c r="H116" s="46" t="str">
        <f>IFERROR(INDEX('الإعدادات واللجنة'!$C$24:$C$32,MATCH(LEFT(A116,3),'الإعدادات واللجنة'!$A$24:$A$32,0)),"")</f>
        <v>د. يثرب بنت سعد القحطاني</v>
      </c>
      <c r="I116" s="38"/>
      <c r="J116" s="38"/>
      <c r="K116" s="46" t="str">
        <f t="shared" si="1"/>
        <v/>
      </c>
      <c r="L116" s="48"/>
      <c r="M116" s="38"/>
      <c r="N116" s="48"/>
      <c r="O116" s="48"/>
      <c r="P116" s="38"/>
      <c r="Q116" s="48"/>
      <c r="R116" s="26" t="str">
        <f>IF($I116="","",$I116&amp;"#"&amp;COUNTIF($I$5:$I116,$I116))</f>
        <v/>
      </c>
    </row>
    <row r="117" spans="1:18" ht="44" x14ac:dyDescent="0.55000000000000004">
      <c r="A117" s="46" t="s">
        <v>378</v>
      </c>
      <c r="B117" s="63" t="s">
        <v>126</v>
      </c>
      <c r="C117" s="44"/>
      <c r="D117" s="45"/>
      <c r="E117" s="46">
        <v>3</v>
      </c>
      <c r="F117" s="44" t="s">
        <v>375</v>
      </c>
      <c r="G117" s="47" t="s">
        <v>498</v>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x14ac:dyDescent="0.55000000000000004">
      <c r="A118" s="46" t="s">
        <v>378</v>
      </c>
      <c r="B118" s="63" t="s">
        <v>126</v>
      </c>
      <c r="C118" s="44"/>
      <c r="D118" s="45"/>
      <c r="E118" s="46">
        <v>4</v>
      </c>
      <c r="F118" s="44" t="s">
        <v>376</v>
      </c>
      <c r="G118" s="47" t="s">
        <v>498</v>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x14ac:dyDescent="0.55000000000000004">
      <c r="A119" s="46" t="s">
        <v>378</v>
      </c>
      <c r="B119" s="63" t="s">
        <v>126</v>
      </c>
      <c r="C119" s="44"/>
      <c r="D119" s="45"/>
      <c r="E119" s="46">
        <v>5</v>
      </c>
      <c r="F119" s="44" t="s">
        <v>377</v>
      </c>
      <c r="G119" s="47" t="s">
        <v>498</v>
      </c>
      <c r="H119" s="46" t="str">
        <f>IFERROR(INDEX('الإعدادات واللجنة'!$C$24:$C$32,MATCH(LEFT(A119,3),'الإعدادات واللجنة'!$A$24:$A$32,0)),"")</f>
        <v>د. يثرب بنت سعد القحطاني</v>
      </c>
      <c r="I119" s="38"/>
      <c r="J119" s="38"/>
      <c r="K119" s="46" t="str">
        <f t="shared" si="1"/>
        <v/>
      </c>
      <c r="L119" s="48"/>
      <c r="M119" s="38"/>
      <c r="N119" s="48"/>
      <c r="O119" s="48"/>
      <c r="P119" s="38"/>
      <c r="Q119" s="48"/>
      <c r="R119" s="26" t="str">
        <f>IF($I119="","",$I119&amp;"#"&amp;COUNTIF($I$5:$I119,$I119))</f>
        <v/>
      </c>
    </row>
    <row r="120" spans="1:18" ht="66" x14ac:dyDescent="0.55000000000000004">
      <c r="A120" s="49" t="s">
        <v>500</v>
      </c>
      <c r="B120" s="64" t="s">
        <v>126</v>
      </c>
      <c r="C120" s="50" t="s">
        <v>379</v>
      </c>
      <c r="D120" s="51" t="s">
        <v>208</v>
      </c>
      <c r="E120" s="52">
        <v>1</v>
      </c>
      <c r="F120" s="50" t="s">
        <v>380</v>
      </c>
      <c r="G120" s="53" t="s">
        <v>498</v>
      </c>
      <c r="H120" s="54" t="str">
        <f>IFERROR(INDEX('الإعدادات واللجنة'!$C$24:$C$32,MATCH(LEFT(A120,3),'الإعدادات واللجنة'!$A$24:$A$32,0)),"")</f>
        <v>د. يثرب بنت سعد القحطاني</v>
      </c>
      <c r="I120" s="55"/>
      <c r="J120" s="55"/>
      <c r="K120" s="54" t="str">
        <f t="shared" si="1"/>
        <v/>
      </c>
      <c r="L120" s="56"/>
      <c r="M120" s="55"/>
      <c r="N120" s="56"/>
      <c r="O120" s="56"/>
      <c r="P120" s="55"/>
      <c r="Q120" s="56"/>
      <c r="R120" s="26" t="str">
        <f>IF($I120="","",$I120&amp;"#"&amp;COUNTIF($I$5:$I120,$I120))</f>
        <v/>
      </c>
    </row>
    <row r="121" spans="1:18" ht="44" x14ac:dyDescent="0.55000000000000004">
      <c r="A121" s="57" t="s">
        <v>500</v>
      </c>
      <c r="B121" s="65" t="s">
        <v>126</v>
      </c>
      <c r="C121" s="58"/>
      <c r="D121" s="59" t="s">
        <v>208</v>
      </c>
      <c r="E121" s="57">
        <v>2</v>
      </c>
      <c r="F121" s="58" t="s">
        <v>381</v>
      </c>
      <c r="G121" s="47" t="s">
        <v>498</v>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x14ac:dyDescent="0.55000000000000004">
      <c r="A122" s="57" t="s">
        <v>500</v>
      </c>
      <c r="B122" s="65" t="s">
        <v>126</v>
      </c>
      <c r="C122" s="58"/>
      <c r="D122" s="59" t="s">
        <v>208</v>
      </c>
      <c r="E122" s="57">
        <v>3</v>
      </c>
      <c r="F122" s="58" t="s">
        <v>382</v>
      </c>
      <c r="G122" s="47" t="s">
        <v>498</v>
      </c>
      <c r="H122" s="46" t="str">
        <f>IFERROR(INDEX('الإعدادات واللجنة'!$C$24:$C$32,MATCH(LEFT(A122,3),'الإعدادات واللجنة'!$A$24:$A$32,0)),"")</f>
        <v>د. يثرب بنت سعد القحطاني</v>
      </c>
      <c r="I122" s="38"/>
      <c r="J122" s="38"/>
      <c r="K122" s="46" t="str">
        <f t="shared" si="1"/>
        <v/>
      </c>
      <c r="L122" s="48"/>
      <c r="M122" s="38"/>
      <c r="N122" s="48"/>
      <c r="O122" s="48"/>
      <c r="P122" s="38"/>
      <c r="Q122" s="48"/>
      <c r="R122" s="26" t="str">
        <f>IF($I122="","",$I122&amp;"#"&amp;COUNTIF($I$5:$I122,$I122))</f>
        <v/>
      </c>
    </row>
    <row r="123" spans="1:18" ht="44" x14ac:dyDescent="0.55000000000000004">
      <c r="A123" s="57" t="s">
        <v>500</v>
      </c>
      <c r="B123" s="65" t="s">
        <v>126</v>
      </c>
      <c r="C123" s="58"/>
      <c r="D123" s="59" t="s">
        <v>208</v>
      </c>
      <c r="E123" s="57">
        <v>4</v>
      </c>
      <c r="F123" s="58" t="s">
        <v>383</v>
      </c>
      <c r="G123" s="47" t="s">
        <v>498</v>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x14ac:dyDescent="0.55000000000000004">
      <c r="A124" s="57" t="s">
        <v>500</v>
      </c>
      <c r="B124" s="65" t="s">
        <v>126</v>
      </c>
      <c r="C124" s="58"/>
      <c r="D124" s="59" t="s">
        <v>208</v>
      </c>
      <c r="E124" s="57">
        <v>5</v>
      </c>
      <c r="F124" s="58" t="s">
        <v>384</v>
      </c>
      <c r="G124" s="47" t="s">
        <v>498</v>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66" x14ac:dyDescent="0.55000000000000004">
      <c r="A125" s="60" t="s">
        <v>385</v>
      </c>
      <c r="B125" s="66" t="s">
        <v>127</v>
      </c>
      <c r="C125" s="61" t="s">
        <v>386</v>
      </c>
      <c r="D125" s="62"/>
      <c r="E125" s="54">
        <v>1</v>
      </c>
      <c r="F125" s="61" t="s">
        <v>387</v>
      </c>
      <c r="G125" s="53" t="s">
        <v>498</v>
      </c>
      <c r="H125" s="54" t="str">
        <f>IFERROR(INDEX('الإعدادات واللجنة'!$C$24:$C$32,MATCH(LEFT(A125,3),'الإعدادات واللجنة'!$A$24:$A$32,0)),"")</f>
        <v>د. عبدالله بن محمد البركاتي</v>
      </c>
      <c r="I125" s="55"/>
      <c r="J125" s="55"/>
      <c r="K125" s="54" t="str">
        <f t="shared" si="1"/>
        <v/>
      </c>
      <c r="L125" s="56"/>
      <c r="M125" s="55"/>
      <c r="N125" s="56"/>
      <c r="O125" s="56"/>
      <c r="P125" s="55"/>
      <c r="Q125" s="56"/>
      <c r="R125" s="26" t="str">
        <f>IF($I125="","",$I125&amp;"#"&amp;COUNTIF($I$5:$I125,$I125))</f>
        <v/>
      </c>
    </row>
    <row r="126" spans="1:18" ht="44" x14ac:dyDescent="0.55000000000000004">
      <c r="A126" s="46" t="s">
        <v>385</v>
      </c>
      <c r="B126" s="63" t="s">
        <v>127</v>
      </c>
      <c r="C126" s="44"/>
      <c r="D126" s="45"/>
      <c r="E126" s="46">
        <v>2</v>
      </c>
      <c r="F126" s="44" t="s">
        <v>388</v>
      </c>
      <c r="G126" s="47" t="s">
        <v>498</v>
      </c>
      <c r="H126" s="46" t="str">
        <f>IFERROR(INDEX('الإعدادات واللجنة'!$C$24:$C$32,MATCH(LEFT(A126,3),'الإعدادات واللجنة'!$A$24:$A$32,0)),"")</f>
        <v>د. عبدالله بن محمد البركاتي</v>
      </c>
      <c r="I126" s="38"/>
      <c r="J126" s="38"/>
      <c r="K126" s="46" t="str">
        <f t="shared" si="1"/>
        <v/>
      </c>
      <c r="L126" s="48"/>
      <c r="M126" s="38"/>
      <c r="N126" s="48"/>
      <c r="O126" s="48"/>
      <c r="P126" s="38"/>
      <c r="Q126" s="48"/>
      <c r="R126" s="26" t="str">
        <f>IF($I126="","",$I126&amp;"#"&amp;COUNTIF($I$5:$I126,$I126))</f>
        <v/>
      </c>
    </row>
    <row r="127" spans="1:18" ht="44" x14ac:dyDescent="0.55000000000000004">
      <c r="A127" s="46" t="s">
        <v>385</v>
      </c>
      <c r="B127" s="63" t="s">
        <v>127</v>
      </c>
      <c r="C127" s="44"/>
      <c r="D127" s="45"/>
      <c r="E127" s="46">
        <v>3</v>
      </c>
      <c r="F127" s="44" t="s">
        <v>389</v>
      </c>
      <c r="G127" s="47" t="s">
        <v>498</v>
      </c>
      <c r="H127" s="46" t="str">
        <f>IFERROR(INDEX('الإعدادات واللجنة'!$C$24:$C$32,MATCH(LEFT(A127,3),'الإعدادات واللجنة'!$A$24:$A$32,0)),"")</f>
        <v>د. عبدالله بن محمد البركاتي</v>
      </c>
      <c r="I127" s="38"/>
      <c r="J127" s="38"/>
      <c r="K127" s="46" t="str">
        <f t="shared" si="1"/>
        <v/>
      </c>
      <c r="L127" s="48"/>
      <c r="M127" s="38"/>
      <c r="N127" s="48"/>
      <c r="O127" s="48"/>
      <c r="P127" s="38"/>
      <c r="Q127" s="48"/>
      <c r="R127" s="26" t="str">
        <f>IF($I127="","",$I127&amp;"#"&amp;COUNTIF($I$5:$I127,$I127))</f>
        <v/>
      </c>
    </row>
    <row r="128" spans="1:18" ht="44" x14ac:dyDescent="0.55000000000000004">
      <c r="A128" s="46" t="s">
        <v>385</v>
      </c>
      <c r="B128" s="63" t="s">
        <v>127</v>
      </c>
      <c r="C128" s="44"/>
      <c r="D128" s="45"/>
      <c r="E128" s="46">
        <v>4</v>
      </c>
      <c r="F128" s="44" t="s">
        <v>390</v>
      </c>
      <c r="G128" s="47" t="s">
        <v>498</v>
      </c>
      <c r="H128" s="46" t="str">
        <f>IFERROR(INDEX('الإعدادات واللجنة'!$C$24:$C$32,MATCH(LEFT(A128,3),'الإعدادات واللجنة'!$A$24:$A$32,0)),"")</f>
        <v>د. عبدالله بن محمد البركاتي</v>
      </c>
      <c r="I128" s="38"/>
      <c r="J128" s="38"/>
      <c r="K128" s="46" t="str">
        <f t="shared" si="1"/>
        <v/>
      </c>
      <c r="L128" s="48"/>
      <c r="M128" s="38"/>
      <c r="N128" s="48"/>
      <c r="O128" s="48"/>
      <c r="P128" s="38"/>
      <c r="Q128" s="48"/>
      <c r="R128" s="26" t="str">
        <f>IF($I128="","",$I128&amp;"#"&amp;COUNTIF($I$5:$I128,$I128))</f>
        <v/>
      </c>
    </row>
    <row r="129" spans="1:18" ht="44" x14ac:dyDescent="0.55000000000000004">
      <c r="A129" s="46" t="s">
        <v>385</v>
      </c>
      <c r="B129" s="63" t="s">
        <v>127</v>
      </c>
      <c r="C129" s="44"/>
      <c r="D129" s="45"/>
      <c r="E129" s="46">
        <v>5</v>
      </c>
      <c r="F129" s="44" t="s">
        <v>391</v>
      </c>
      <c r="G129" s="47" t="s">
        <v>498</v>
      </c>
      <c r="H129" s="46" t="str">
        <f>IFERROR(INDEX('الإعدادات واللجنة'!$C$24:$C$32,MATCH(LEFT(A129,3),'الإعدادات واللجنة'!$A$24:$A$32,0)),"")</f>
        <v>د. عبدالله بن محمد البركاتي</v>
      </c>
      <c r="I129" s="38"/>
      <c r="J129" s="38"/>
      <c r="K129" s="46" t="str">
        <f t="shared" si="1"/>
        <v/>
      </c>
      <c r="L129" s="48"/>
      <c r="M129" s="38"/>
      <c r="N129" s="48"/>
      <c r="O129" s="48"/>
      <c r="P129" s="38"/>
      <c r="Q129" s="48"/>
      <c r="R129" s="26" t="str">
        <f>IF($I129="","",$I129&amp;"#"&amp;COUNTIF($I$5:$I129,$I129))</f>
        <v/>
      </c>
    </row>
    <row r="130" spans="1:18" ht="66" x14ac:dyDescent="0.55000000000000004">
      <c r="A130" s="60" t="s">
        <v>392</v>
      </c>
      <c r="B130" s="66" t="s">
        <v>127</v>
      </c>
      <c r="C130" s="61" t="s">
        <v>393</v>
      </c>
      <c r="D130" s="62"/>
      <c r="E130" s="54">
        <v>1</v>
      </c>
      <c r="F130" s="61" t="s">
        <v>394</v>
      </c>
      <c r="G130" s="53" t="s">
        <v>498</v>
      </c>
      <c r="H130" s="54" t="str">
        <f>IFERROR(INDEX('الإعدادات واللجنة'!$C$24:$C$32,MATCH(LEFT(A130,3),'الإعدادات واللجنة'!$A$24:$A$32,0)),"")</f>
        <v>د. عبدالله بن محمد البركاتي</v>
      </c>
      <c r="I130" s="55"/>
      <c r="J130" s="55"/>
      <c r="K130" s="54" t="str">
        <f t="shared" si="1"/>
        <v/>
      </c>
      <c r="L130" s="56"/>
      <c r="M130" s="55"/>
      <c r="N130" s="56"/>
      <c r="O130" s="56"/>
      <c r="P130" s="55"/>
      <c r="Q130" s="56"/>
      <c r="R130" s="26" t="str">
        <f>IF($I130="","",$I130&amp;"#"&amp;COUNTIF($I$5:$I130,$I130))</f>
        <v/>
      </c>
    </row>
    <row r="131" spans="1:18" ht="44" x14ac:dyDescent="0.55000000000000004">
      <c r="A131" s="46" t="s">
        <v>392</v>
      </c>
      <c r="B131" s="63" t="s">
        <v>127</v>
      </c>
      <c r="C131" s="44"/>
      <c r="D131" s="45"/>
      <c r="E131" s="46">
        <v>2</v>
      </c>
      <c r="F131" s="44" t="s">
        <v>395</v>
      </c>
      <c r="G131" s="47" t="s">
        <v>498</v>
      </c>
      <c r="H131" s="46" t="str">
        <f>IFERROR(INDEX('الإعدادات واللجنة'!$C$24:$C$32,MATCH(LEFT(A131,3),'الإعدادات واللجنة'!$A$24:$A$32,0)),"")</f>
        <v>د. عبدالله بن محمد البركاتي</v>
      </c>
      <c r="I131" s="38"/>
      <c r="J131" s="38"/>
      <c r="K131" s="46" t="str">
        <f t="shared" si="1"/>
        <v/>
      </c>
      <c r="L131" s="48"/>
      <c r="M131" s="38"/>
      <c r="N131" s="48"/>
      <c r="O131" s="48"/>
      <c r="P131" s="38"/>
      <c r="Q131" s="48"/>
      <c r="R131" s="26" t="str">
        <f>IF($I131="","",$I131&amp;"#"&amp;COUNTIF($I$5:$I131,$I131))</f>
        <v/>
      </c>
    </row>
    <row r="132" spans="1:18" ht="44" x14ac:dyDescent="0.55000000000000004">
      <c r="A132" s="46" t="s">
        <v>392</v>
      </c>
      <c r="B132" s="63" t="s">
        <v>127</v>
      </c>
      <c r="C132" s="44"/>
      <c r="D132" s="45"/>
      <c r="E132" s="46">
        <v>3</v>
      </c>
      <c r="F132" s="44" t="s">
        <v>396</v>
      </c>
      <c r="G132" s="47" t="s">
        <v>498</v>
      </c>
      <c r="H132" s="46" t="str">
        <f>IFERROR(INDEX('الإعدادات واللجنة'!$C$24:$C$32,MATCH(LEFT(A132,3),'الإعدادات واللجنة'!$A$24:$A$32,0)),"")</f>
        <v>د. عبدالله بن محمد البركاتي</v>
      </c>
      <c r="I132" s="38"/>
      <c r="J132" s="38"/>
      <c r="K132" s="46" t="str">
        <f t="shared" si="1"/>
        <v/>
      </c>
      <c r="L132" s="48"/>
      <c r="M132" s="38"/>
      <c r="N132" s="48"/>
      <c r="O132" s="48"/>
      <c r="P132" s="38"/>
      <c r="Q132" s="48"/>
      <c r="R132" s="26" t="str">
        <f>IF($I132="","",$I132&amp;"#"&amp;COUNTIF($I$5:$I132,$I132))</f>
        <v/>
      </c>
    </row>
    <row r="133" spans="1:18" ht="66" x14ac:dyDescent="0.55000000000000004">
      <c r="A133" s="49" t="s">
        <v>397</v>
      </c>
      <c r="B133" s="64" t="s">
        <v>127</v>
      </c>
      <c r="C133" s="50" t="s">
        <v>398</v>
      </c>
      <c r="D133" s="51" t="s">
        <v>208</v>
      </c>
      <c r="E133" s="52">
        <v>1</v>
      </c>
      <c r="F133" s="50" t="s">
        <v>399</v>
      </c>
      <c r="G133" s="53" t="s">
        <v>498</v>
      </c>
      <c r="H133" s="54" t="str">
        <f>IFERROR(INDEX('الإعدادات واللجنة'!$C$24:$C$32,MATCH(LEFT(A133,3),'الإعدادات واللجنة'!$A$24:$A$32,0)),"")</f>
        <v>د. عبدالله بن محمد البركاتي</v>
      </c>
      <c r="I133" s="55"/>
      <c r="J133" s="55"/>
      <c r="K133" s="54" t="str">
        <f t="shared" ref="K133:K196" si="2">IF(OR(I133="",I133="متوفر ومكتمل"),"",IF(OR(D133="★",I133="غير متوفر"),"عالية","متوسطة"))</f>
        <v/>
      </c>
      <c r="L133" s="56"/>
      <c r="M133" s="55"/>
      <c r="N133" s="56"/>
      <c r="O133" s="56"/>
      <c r="P133" s="55"/>
      <c r="Q133" s="56"/>
      <c r="R133" s="26" t="str">
        <f>IF($I133="","",$I133&amp;"#"&amp;COUNTIF($I$5:$I133,$I133))</f>
        <v/>
      </c>
    </row>
    <row r="134" spans="1:18" ht="44" x14ac:dyDescent="0.55000000000000004">
      <c r="A134" s="57" t="s">
        <v>397</v>
      </c>
      <c r="B134" s="65" t="s">
        <v>127</v>
      </c>
      <c r="C134" s="58"/>
      <c r="D134" s="59" t="s">
        <v>208</v>
      </c>
      <c r="E134" s="57">
        <v>2</v>
      </c>
      <c r="F134" s="58" t="s">
        <v>400</v>
      </c>
      <c r="G134" s="47" t="s">
        <v>498</v>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x14ac:dyDescent="0.55000000000000004">
      <c r="A135" s="57" t="s">
        <v>397</v>
      </c>
      <c r="B135" s="65" t="s">
        <v>127</v>
      </c>
      <c r="C135" s="58"/>
      <c r="D135" s="59" t="s">
        <v>208</v>
      </c>
      <c r="E135" s="57">
        <v>3</v>
      </c>
      <c r="F135" s="58" t="s">
        <v>401</v>
      </c>
      <c r="G135" s="47" t="s">
        <v>498</v>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x14ac:dyDescent="0.55000000000000004">
      <c r="A136" s="57" t="s">
        <v>397</v>
      </c>
      <c r="B136" s="65" t="s">
        <v>127</v>
      </c>
      <c r="C136" s="58"/>
      <c r="D136" s="59" t="s">
        <v>208</v>
      </c>
      <c r="E136" s="57">
        <v>4</v>
      </c>
      <c r="F136" s="58" t="s">
        <v>402</v>
      </c>
      <c r="G136" s="47" t="s">
        <v>498</v>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x14ac:dyDescent="0.55000000000000004">
      <c r="A137" s="57" t="s">
        <v>397</v>
      </c>
      <c r="B137" s="65" t="s">
        <v>127</v>
      </c>
      <c r="C137" s="58"/>
      <c r="D137" s="59" t="s">
        <v>208</v>
      </c>
      <c r="E137" s="57">
        <v>5</v>
      </c>
      <c r="F137" s="58" t="s">
        <v>403</v>
      </c>
      <c r="G137" s="47" t="s">
        <v>498</v>
      </c>
      <c r="H137" s="46" t="str">
        <f>IFERROR(INDEX('الإعدادات واللجنة'!$C$24:$C$32,MATCH(LEFT(A137,3),'الإعدادات واللجنة'!$A$24:$A$32,0)),"")</f>
        <v>د. عبدالله بن محمد البركاتي</v>
      </c>
      <c r="I137" s="38"/>
      <c r="J137" s="38"/>
      <c r="K137" s="46" t="str">
        <f t="shared" si="2"/>
        <v/>
      </c>
      <c r="L137" s="48"/>
      <c r="M137" s="38"/>
      <c r="N137" s="48"/>
      <c r="O137" s="48"/>
      <c r="P137" s="38"/>
      <c r="Q137" s="48"/>
      <c r="R137" s="26" t="str">
        <f>IF($I137="","",$I137&amp;"#"&amp;COUNTIF($I$5:$I137,$I137))</f>
        <v/>
      </c>
    </row>
    <row r="138" spans="1:18" ht="44" x14ac:dyDescent="0.55000000000000004">
      <c r="A138" s="57" t="s">
        <v>397</v>
      </c>
      <c r="B138" s="65" t="s">
        <v>127</v>
      </c>
      <c r="C138" s="58"/>
      <c r="D138" s="59" t="s">
        <v>208</v>
      </c>
      <c r="E138" s="57">
        <v>6</v>
      </c>
      <c r="F138" s="58" t="s">
        <v>404</v>
      </c>
      <c r="G138" s="47" t="s">
        <v>498</v>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x14ac:dyDescent="0.55000000000000004">
      <c r="A139" s="57" t="s">
        <v>397</v>
      </c>
      <c r="B139" s="65" t="s">
        <v>127</v>
      </c>
      <c r="C139" s="58"/>
      <c r="D139" s="59" t="s">
        <v>208</v>
      </c>
      <c r="E139" s="57">
        <v>7</v>
      </c>
      <c r="F139" s="58" t="s">
        <v>405</v>
      </c>
      <c r="G139" s="47" t="s">
        <v>498</v>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x14ac:dyDescent="0.55000000000000004">
      <c r="A140" s="60" t="s">
        <v>406</v>
      </c>
      <c r="B140" s="66" t="s">
        <v>127</v>
      </c>
      <c r="C140" s="61" t="s">
        <v>407</v>
      </c>
      <c r="D140" s="62"/>
      <c r="E140" s="54">
        <v>1</v>
      </c>
      <c r="F140" s="61" t="s">
        <v>408</v>
      </c>
      <c r="G140" s="53" t="s">
        <v>498</v>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x14ac:dyDescent="0.55000000000000004">
      <c r="A141" s="46" t="s">
        <v>406</v>
      </c>
      <c r="B141" s="63" t="s">
        <v>127</v>
      </c>
      <c r="C141" s="44"/>
      <c r="D141" s="45"/>
      <c r="E141" s="46">
        <v>2</v>
      </c>
      <c r="F141" s="44" t="s">
        <v>409</v>
      </c>
      <c r="G141" s="47" t="s">
        <v>498</v>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x14ac:dyDescent="0.55000000000000004">
      <c r="A142" s="46" t="s">
        <v>406</v>
      </c>
      <c r="B142" s="63" t="s">
        <v>127</v>
      </c>
      <c r="C142" s="44"/>
      <c r="D142" s="45"/>
      <c r="E142" s="46">
        <v>3</v>
      </c>
      <c r="F142" s="44" t="s">
        <v>410</v>
      </c>
      <c r="G142" s="47" t="s">
        <v>498</v>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x14ac:dyDescent="0.55000000000000004">
      <c r="A143" s="46" t="s">
        <v>406</v>
      </c>
      <c r="B143" s="63" t="s">
        <v>127</v>
      </c>
      <c r="C143" s="44"/>
      <c r="D143" s="45"/>
      <c r="E143" s="46">
        <v>4</v>
      </c>
      <c r="F143" s="44" t="s">
        <v>411</v>
      </c>
      <c r="G143" s="47" t="s">
        <v>498</v>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x14ac:dyDescent="0.55000000000000004">
      <c r="A144" s="60" t="s">
        <v>412</v>
      </c>
      <c r="B144" s="66" t="s">
        <v>127</v>
      </c>
      <c r="C144" s="61" t="s">
        <v>419</v>
      </c>
      <c r="D144" s="62"/>
      <c r="E144" s="54">
        <v>1</v>
      </c>
      <c r="F144" s="61" t="s">
        <v>420</v>
      </c>
      <c r="G144" s="53" t="s">
        <v>498</v>
      </c>
      <c r="H144" s="54" t="str">
        <f>IFERROR(INDEX('الإعدادات واللجنة'!$C$24:$C$32,MATCH(LEFT(A144,3),'الإعدادات واللجنة'!$A$24:$A$32,0)),"")</f>
        <v>د. عبدالله بن محمد البركاتي</v>
      </c>
      <c r="I144" s="55"/>
      <c r="J144" s="55"/>
      <c r="K144" s="54" t="str">
        <f t="shared" si="2"/>
        <v/>
      </c>
      <c r="L144" s="56"/>
      <c r="M144" s="55"/>
      <c r="N144" s="56"/>
      <c r="O144" s="56"/>
      <c r="P144" s="55"/>
      <c r="Q144" s="56"/>
      <c r="R144" s="26" t="str">
        <f>IF($I144="","",$I144&amp;"#"&amp;COUNTIF($I$5:$I144,$I144))</f>
        <v/>
      </c>
    </row>
    <row r="145" spans="1:18" ht="44" x14ac:dyDescent="0.55000000000000004">
      <c r="A145" s="46" t="s">
        <v>412</v>
      </c>
      <c r="B145" s="63" t="s">
        <v>127</v>
      </c>
      <c r="C145" s="44"/>
      <c r="D145" s="45"/>
      <c r="E145" s="46">
        <v>2</v>
      </c>
      <c r="F145" s="44" t="s">
        <v>421</v>
      </c>
      <c r="G145" s="47" t="s">
        <v>498</v>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x14ac:dyDescent="0.55000000000000004">
      <c r="A146" s="46" t="s">
        <v>412</v>
      </c>
      <c r="B146" s="63" t="s">
        <v>127</v>
      </c>
      <c r="C146" s="44"/>
      <c r="D146" s="45"/>
      <c r="E146" s="46">
        <v>3</v>
      </c>
      <c r="F146" s="44" t="s">
        <v>422</v>
      </c>
      <c r="G146" s="47" t="s">
        <v>498</v>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44" x14ac:dyDescent="0.55000000000000004">
      <c r="A147" s="46" t="s">
        <v>412</v>
      </c>
      <c r="B147" s="63" t="s">
        <v>127</v>
      </c>
      <c r="C147" s="44"/>
      <c r="D147" s="45"/>
      <c r="E147" s="46">
        <v>4</v>
      </c>
      <c r="F147" s="44" t="s">
        <v>423</v>
      </c>
      <c r="G147" s="47" t="s">
        <v>498</v>
      </c>
      <c r="H147" s="46" t="str">
        <f>IFERROR(INDEX('الإعدادات واللجنة'!$C$24:$C$32,MATCH(LEFT(A147,3),'الإعدادات واللجنة'!$A$24:$A$32,0)),"")</f>
        <v>د. عبدالله بن محمد البركاتي</v>
      </c>
      <c r="I147" s="38"/>
      <c r="J147" s="38"/>
      <c r="K147" s="46" t="str">
        <f t="shared" si="2"/>
        <v/>
      </c>
      <c r="L147" s="48"/>
      <c r="M147" s="38"/>
      <c r="N147" s="48"/>
      <c r="O147" s="48"/>
      <c r="P147" s="38"/>
      <c r="Q147" s="48"/>
      <c r="R147" s="26" t="str">
        <f>IF($I147="","",$I147&amp;"#"&amp;COUNTIF($I$5:$I147,$I147))</f>
        <v/>
      </c>
    </row>
    <row r="148" spans="1:18" ht="44" x14ac:dyDescent="0.55000000000000004">
      <c r="A148" s="46" t="s">
        <v>412</v>
      </c>
      <c r="B148" s="63" t="s">
        <v>127</v>
      </c>
      <c r="C148" s="44"/>
      <c r="D148" s="45"/>
      <c r="E148" s="46">
        <v>5</v>
      </c>
      <c r="F148" s="44" t="s">
        <v>424</v>
      </c>
      <c r="G148" s="47" t="s">
        <v>498</v>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x14ac:dyDescent="0.55000000000000004">
      <c r="A149" s="46" t="s">
        <v>412</v>
      </c>
      <c r="B149" s="63" t="s">
        <v>127</v>
      </c>
      <c r="C149" s="44"/>
      <c r="D149" s="45"/>
      <c r="E149" s="46">
        <v>6</v>
      </c>
      <c r="F149" s="44" t="s">
        <v>425</v>
      </c>
      <c r="G149" s="47" t="s">
        <v>498</v>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66" x14ac:dyDescent="0.55000000000000004">
      <c r="A150" s="49" t="s">
        <v>418</v>
      </c>
      <c r="B150" s="64" t="s">
        <v>127</v>
      </c>
      <c r="C150" s="50" t="s">
        <v>427</v>
      </c>
      <c r="D150" s="51" t="s">
        <v>208</v>
      </c>
      <c r="E150" s="52">
        <v>1</v>
      </c>
      <c r="F150" s="50" t="s">
        <v>428</v>
      </c>
      <c r="G150" s="53" t="s">
        <v>498</v>
      </c>
      <c r="H150" s="54" t="str">
        <f>IFERROR(INDEX('الإعدادات واللجنة'!$C$24:$C$32,MATCH(LEFT(A150,3),'الإعدادات واللجنة'!$A$24:$A$32,0)),"")</f>
        <v>د. عبدالله بن محمد البركاتي</v>
      </c>
      <c r="I150" s="55"/>
      <c r="J150" s="55"/>
      <c r="K150" s="54" t="str">
        <f t="shared" si="2"/>
        <v/>
      </c>
      <c r="L150" s="56"/>
      <c r="M150" s="55"/>
      <c r="N150" s="56"/>
      <c r="O150" s="56"/>
      <c r="P150" s="55"/>
      <c r="Q150" s="56"/>
      <c r="R150" s="26" t="str">
        <f>IF($I150="","",$I150&amp;"#"&amp;COUNTIF($I$5:$I150,$I150))</f>
        <v/>
      </c>
    </row>
    <row r="151" spans="1:18" ht="44" x14ac:dyDescent="0.55000000000000004">
      <c r="A151" s="57" t="s">
        <v>418</v>
      </c>
      <c r="B151" s="65" t="s">
        <v>127</v>
      </c>
      <c r="C151" s="58"/>
      <c r="D151" s="59" t="s">
        <v>208</v>
      </c>
      <c r="E151" s="57">
        <v>2</v>
      </c>
      <c r="F151" s="58" t="s">
        <v>429</v>
      </c>
      <c r="G151" s="47" t="s">
        <v>498</v>
      </c>
      <c r="H151" s="46" t="str">
        <f>IFERROR(INDEX('الإعدادات واللجنة'!$C$24:$C$32,MATCH(LEFT(A151,3),'الإعدادات واللجنة'!$A$24:$A$32,0)),"")</f>
        <v>د. عبدالله بن محمد البركاتي</v>
      </c>
      <c r="I151" s="38"/>
      <c r="J151" s="38"/>
      <c r="K151" s="46" t="str">
        <f t="shared" si="2"/>
        <v/>
      </c>
      <c r="L151" s="48"/>
      <c r="M151" s="38"/>
      <c r="N151" s="48"/>
      <c r="O151" s="48"/>
      <c r="P151" s="38"/>
      <c r="Q151" s="48"/>
      <c r="R151" s="26" t="str">
        <f>IF($I151="","",$I151&amp;"#"&amp;COUNTIF($I$5:$I151,$I151))</f>
        <v/>
      </c>
    </row>
    <row r="152" spans="1:18" ht="44" x14ac:dyDescent="0.55000000000000004">
      <c r="A152" s="57" t="s">
        <v>418</v>
      </c>
      <c r="B152" s="65" t="s">
        <v>127</v>
      </c>
      <c r="C152" s="58"/>
      <c r="D152" s="59" t="s">
        <v>208</v>
      </c>
      <c r="E152" s="57">
        <v>3</v>
      </c>
      <c r="F152" s="58" t="s">
        <v>430</v>
      </c>
      <c r="G152" s="47" t="s">
        <v>498</v>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66" x14ac:dyDescent="0.55000000000000004">
      <c r="A153" s="49" t="s">
        <v>431</v>
      </c>
      <c r="B153" s="64" t="s">
        <v>128</v>
      </c>
      <c r="C153" s="50" t="s">
        <v>432</v>
      </c>
      <c r="D153" s="51" t="s">
        <v>208</v>
      </c>
      <c r="E153" s="52">
        <v>1</v>
      </c>
      <c r="F153" s="50" t="s">
        <v>433</v>
      </c>
      <c r="G153" s="53" t="s">
        <v>498</v>
      </c>
      <c r="H153" s="54" t="str">
        <f>IFERROR(INDEX('الإعدادات واللجنة'!$C$24:$C$32,MATCH(LEFT(A153,3),'الإعدادات واللجنة'!$A$24:$A$32,0)),"")</f>
        <v>د. عمر بن محمد موسى</v>
      </c>
      <c r="I153" s="55"/>
      <c r="J153" s="55"/>
      <c r="K153" s="54" t="str">
        <f t="shared" si="2"/>
        <v/>
      </c>
      <c r="L153" s="56"/>
      <c r="M153" s="55"/>
      <c r="N153" s="56"/>
      <c r="O153" s="56"/>
      <c r="P153" s="55"/>
      <c r="Q153" s="56"/>
      <c r="R153" s="26" t="str">
        <f>IF($I153="","",$I153&amp;"#"&amp;COUNTIF($I$5:$I153,$I153))</f>
        <v/>
      </c>
    </row>
    <row r="154" spans="1:18" ht="26" x14ac:dyDescent="0.55000000000000004">
      <c r="A154" s="57" t="s">
        <v>431</v>
      </c>
      <c r="B154" s="65" t="s">
        <v>128</v>
      </c>
      <c r="C154" s="58"/>
      <c r="D154" s="59" t="s">
        <v>208</v>
      </c>
      <c r="E154" s="57">
        <v>2</v>
      </c>
      <c r="F154" s="58" t="s">
        <v>434</v>
      </c>
      <c r="G154" s="47" t="s">
        <v>498</v>
      </c>
      <c r="H154" s="46" t="str">
        <f>IFERROR(INDEX('الإعدادات واللجنة'!$C$24:$C$32,MATCH(LEFT(A154,3),'الإعدادات واللجنة'!$A$24:$A$32,0)),"")</f>
        <v>د. عمر بن محمد موسى</v>
      </c>
      <c r="I154" s="38"/>
      <c r="J154" s="38"/>
      <c r="K154" s="46" t="str">
        <f t="shared" si="2"/>
        <v/>
      </c>
      <c r="L154" s="48"/>
      <c r="M154" s="38"/>
      <c r="N154" s="48"/>
      <c r="O154" s="48"/>
      <c r="P154" s="38"/>
      <c r="Q154" s="48"/>
      <c r="R154" s="26" t="str">
        <f>IF($I154="","",$I154&amp;"#"&amp;COUNTIF($I$5:$I154,$I154))</f>
        <v/>
      </c>
    </row>
    <row r="155" spans="1:18" ht="44" x14ac:dyDescent="0.55000000000000004">
      <c r="A155" s="57" t="s">
        <v>431</v>
      </c>
      <c r="B155" s="65" t="s">
        <v>128</v>
      </c>
      <c r="C155" s="58"/>
      <c r="D155" s="59" t="s">
        <v>208</v>
      </c>
      <c r="E155" s="57">
        <v>3</v>
      </c>
      <c r="F155" s="58" t="s">
        <v>435</v>
      </c>
      <c r="G155" s="47" t="s">
        <v>498</v>
      </c>
      <c r="H155" s="46" t="str">
        <f>IFERROR(INDEX('الإعدادات واللجنة'!$C$24:$C$32,MATCH(LEFT(A155,3),'الإعدادات واللجنة'!$A$24:$A$32,0)),"")</f>
        <v>د. عمر بن محمد موسى</v>
      </c>
      <c r="I155" s="38"/>
      <c r="J155" s="38"/>
      <c r="K155" s="46" t="str">
        <f t="shared" si="2"/>
        <v/>
      </c>
      <c r="L155" s="48"/>
      <c r="M155" s="38"/>
      <c r="N155" s="48"/>
      <c r="O155" s="48"/>
      <c r="P155" s="38"/>
      <c r="Q155" s="48"/>
      <c r="R155" s="26" t="str">
        <f>IF($I155="","",$I155&amp;"#"&amp;COUNTIF($I$5:$I155,$I155))</f>
        <v/>
      </c>
    </row>
    <row r="156" spans="1:18" ht="44" x14ac:dyDescent="0.55000000000000004">
      <c r="A156" s="57" t="s">
        <v>431</v>
      </c>
      <c r="B156" s="65" t="s">
        <v>128</v>
      </c>
      <c r="C156" s="58"/>
      <c r="D156" s="59" t="s">
        <v>208</v>
      </c>
      <c r="E156" s="57">
        <v>4</v>
      </c>
      <c r="F156" s="58" t="s">
        <v>436</v>
      </c>
      <c r="G156" s="47" t="s">
        <v>498</v>
      </c>
      <c r="H156" s="46" t="str">
        <f>IFERROR(INDEX('الإعدادات واللجنة'!$C$24:$C$32,MATCH(LEFT(A156,3),'الإعدادات واللجنة'!$A$24:$A$32,0)),"")</f>
        <v>د. عمر بن محمد موسى</v>
      </c>
      <c r="I156" s="38"/>
      <c r="J156" s="38"/>
      <c r="K156" s="46" t="str">
        <f t="shared" si="2"/>
        <v/>
      </c>
      <c r="L156" s="48"/>
      <c r="M156" s="38"/>
      <c r="N156" s="48"/>
      <c r="O156" s="48"/>
      <c r="P156" s="38"/>
      <c r="Q156" s="48"/>
      <c r="R156" s="26" t="str">
        <f>IF($I156="","",$I156&amp;"#"&amp;COUNTIF($I$5:$I156,$I156))</f>
        <v/>
      </c>
    </row>
    <row r="157" spans="1:18" ht="44" x14ac:dyDescent="0.55000000000000004">
      <c r="A157" s="60" t="s">
        <v>437</v>
      </c>
      <c r="B157" s="66" t="s">
        <v>128</v>
      </c>
      <c r="C157" s="61" t="s">
        <v>438</v>
      </c>
      <c r="D157" s="62"/>
      <c r="E157" s="54">
        <v>1</v>
      </c>
      <c r="F157" s="61" t="s">
        <v>439</v>
      </c>
      <c r="G157" s="53" t="s">
        <v>498</v>
      </c>
      <c r="H157" s="54" t="str">
        <f>IFERROR(INDEX('الإعدادات واللجنة'!$C$24:$C$32,MATCH(LEFT(A157,3),'الإعدادات واللجنة'!$A$24:$A$32,0)),"")</f>
        <v>د. عمر بن محمد موسى</v>
      </c>
      <c r="I157" s="55"/>
      <c r="J157" s="55"/>
      <c r="K157" s="54" t="str">
        <f t="shared" si="2"/>
        <v/>
      </c>
      <c r="L157" s="56"/>
      <c r="M157" s="55"/>
      <c r="N157" s="56"/>
      <c r="O157" s="56"/>
      <c r="P157" s="55"/>
      <c r="Q157" s="56"/>
      <c r="R157" s="26" t="str">
        <f>IF($I157="","",$I157&amp;"#"&amp;COUNTIF($I$5:$I157,$I157))</f>
        <v/>
      </c>
    </row>
    <row r="158" spans="1:18" ht="44" x14ac:dyDescent="0.55000000000000004">
      <c r="A158" s="46" t="s">
        <v>437</v>
      </c>
      <c r="B158" s="63" t="s">
        <v>128</v>
      </c>
      <c r="C158" s="44"/>
      <c r="D158" s="45"/>
      <c r="E158" s="46">
        <v>2</v>
      </c>
      <c r="F158" s="44" t="s">
        <v>440</v>
      </c>
      <c r="G158" s="47" t="s">
        <v>498</v>
      </c>
      <c r="H158" s="46" t="str">
        <f>IFERROR(INDEX('الإعدادات واللجنة'!$C$24:$C$32,MATCH(LEFT(A158,3),'الإعدادات واللجنة'!$A$24:$A$32,0)),"")</f>
        <v>د. عمر بن محمد موسى</v>
      </c>
      <c r="I158" s="38"/>
      <c r="J158" s="38"/>
      <c r="K158" s="46" t="str">
        <f t="shared" si="2"/>
        <v/>
      </c>
      <c r="L158" s="48"/>
      <c r="M158" s="38"/>
      <c r="N158" s="48"/>
      <c r="O158" s="48"/>
      <c r="P158" s="38"/>
      <c r="Q158" s="48"/>
      <c r="R158" s="26" t="str">
        <f>IF($I158="","",$I158&amp;"#"&amp;COUNTIF($I$5:$I158,$I158))</f>
        <v/>
      </c>
    </row>
    <row r="159" spans="1:18" ht="66" x14ac:dyDescent="0.55000000000000004">
      <c r="A159" s="60" t="s">
        <v>441</v>
      </c>
      <c r="B159" s="66" t="s">
        <v>128</v>
      </c>
      <c r="C159" s="61" t="s">
        <v>442</v>
      </c>
      <c r="D159" s="62"/>
      <c r="E159" s="54">
        <v>1</v>
      </c>
      <c r="F159" s="61" t="s">
        <v>443</v>
      </c>
      <c r="G159" s="53" t="s">
        <v>498</v>
      </c>
      <c r="H159" s="54" t="str">
        <f>IFERROR(INDEX('الإعدادات واللجنة'!$C$24:$C$32,MATCH(LEFT(A159,3),'الإعدادات واللجنة'!$A$24:$A$32,0)),"")</f>
        <v>د. عمر بن محمد موسى</v>
      </c>
      <c r="I159" s="55"/>
      <c r="J159" s="55"/>
      <c r="K159" s="54" t="str">
        <f t="shared" si="2"/>
        <v/>
      </c>
      <c r="L159" s="56"/>
      <c r="M159" s="55"/>
      <c r="N159" s="56"/>
      <c r="O159" s="56"/>
      <c r="P159" s="55"/>
      <c r="Q159" s="56"/>
      <c r="R159" s="26" t="str">
        <f>IF($I159="","",$I159&amp;"#"&amp;COUNTIF($I$5:$I159,$I159))</f>
        <v/>
      </c>
    </row>
    <row r="160" spans="1:18" ht="66" x14ac:dyDescent="0.55000000000000004">
      <c r="A160" s="46" t="s">
        <v>441</v>
      </c>
      <c r="B160" s="63" t="s">
        <v>128</v>
      </c>
      <c r="C160" s="44"/>
      <c r="D160" s="45"/>
      <c r="E160" s="46">
        <v>2</v>
      </c>
      <c r="F160" s="44" t="s">
        <v>444</v>
      </c>
      <c r="G160" s="47" t="s">
        <v>498</v>
      </c>
      <c r="H160" s="46" t="str">
        <f>IFERROR(INDEX('الإعدادات واللجنة'!$C$24:$C$32,MATCH(LEFT(A160,3),'الإعدادات واللجنة'!$A$24:$A$32,0)),"")</f>
        <v>د. عمر بن محمد موسى</v>
      </c>
      <c r="I160" s="38"/>
      <c r="J160" s="38"/>
      <c r="K160" s="46" t="str">
        <f t="shared" si="2"/>
        <v/>
      </c>
      <c r="L160" s="48"/>
      <c r="M160" s="38"/>
      <c r="N160" s="48"/>
      <c r="O160" s="48"/>
      <c r="P160" s="38"/>
      <c r="Q160" s="48"/>
      <c r="R160" s="26" t="str">
        <f>IF($I160="","",$I160&amp;"#"&amp;COUNTIF($I$5:$I160,$I160))</f>
        <v/>
      </c>
    </row>
    <row r="161" spans="1:18" ht="44" x14ac:dyDescent="0.55000000000000004">
      <c r="A161" s="46" t="s">
        <v>441</v>
      </c>
      <c r="B161" s="63" t="s">
        <v>128</v>
      </c>
      <c r="C161" s="44"/>
      <c r="D161" s="45"/>
      <c r="E161" s="46">
        <v>3</v>
      </c>
      <c r="F161" s="44" t="s">
        <v>445</v>
      </c>
      <c r="G161" s="47" t="s">
        <v>498</v>
      </c>
      <c r="H161" s="46" t="str">
        <f>IFERROR(INDEX('الإعدادات واللجنة'!$C$24:$C$32,MATCH(LEFT(A161,3),'الإعدادات واللجنة'!$A$24:$A$32,0)),"")</f>
        <v>د. عمر بن محمد موسى</v>
      </c>
      <c r="I161" s="38"/>
      <c r="J161" s="38"/>
      <c r="K161" s="46" t="str">
        <f t="shared" si="2"/>
        <v/>
      </c>
      <c r="L161" s="48"/>
      <c r="M161" s="38"/>
      <c r="N161" s="48"/>
      <c r="O161" s="48"/>
      <c r="P161" s="38"/>
      <c r="Q161" s="48"/>
      <c r="R161" s="26" t="str">
        <f>IF($I161="","",$I161&amp;"#"&amp;COUNTIF($I$5:$I161,$I161))</f>
        <v/>
      </c>
    </row>
    <row r="162" spans="1:18" ht="44" x14ac:dyDescent="0.55000000000000004">
      <c r="A162" s="46" t="s">
        <v>441</v>
      </c>
      <c r="B162" s="63" t="s">
        <v>128</v>
      </c>
      <c r="C162" s="44"/>
      <c r="D162" s="45"/>
      <c r="E162" s="46">
        <v>4</v>
      </c>
      <c r="F162" s="44" t="s">
        <v>446</v>
      </c>
      <c r="G162" s="47" t="s">
        <v>498</v>
      </c>
      <c r="H162" s="46" t="str">
        <f>IFERROR(INDEX('الإعدادات واللجنة'!$C$24:$C$32,MATCH(LEFT(A162,3),'الإعدادات واللجنة'!$A$24:$A$32,0)),"")</f>
        <v>د. عمر بن محمد موسى</v>
      </c>
      <c r="I162" s="38"/>
      <c r="J162" s="38"/>
      <c r="K162" s="46" t="str">
        <f t="shared" si="2"/>
        <v/>
      </c>
      <c r="L162" s="48"/>
      <c r="M162" s="38"/>
      <c r="N162" s="48"/>
      <c r="O162" s="48"/>
      <c r="P162" s="38"/>
      <c r="Q162" s="48"/>
      <c r="R162" s="26" t="str">
        <f>IF($I162="","",$I162&amp;"#"&amp;COUNTIF($I$5:$I162,$I162))</f>
        <v/>
      </c>
    </row>
    <row r="163" spans="1:18" ht="26" x14ac:dyDescent="0.55000000000000004">
      <c r="A163" s="46" t="s">
        <v>441</v>
      </c>
      <c r="B163" s="63" t="s">
        <v>128</v>
      </c>
      <c r="C163" s="44"/>
      <c r="D163" s="45"/>
      <c r="E163" s="46">
        <v>5</v>
      </c>
      <c r="F163" s="44" t="s">
        <v>447</v>
      </c>
      <c r="G163" s="47" t="s">
        <v>498</v>
      </c>
      <c r="H163" s="46" t="str">
        <f>IFERROR(INDEX('الإعدادات واللجنة'!$C$24:$C$32,MATCH(LEFT(A163,3),'الإعدادات واللجنة'!$A$24:$A$32,0)),"")</f>
        <v>د. عمر بن محمد موسى</v>
      </c>
      <c r="I163" s="38"/>
      <c r="J163" s="38"/>
      <c r="K163" s="46" t="str">
        <f t="shared" si="2"/>
        <v/>
      </c>
      <c r="L163" s="48"/>
      <c r="M163" s="38"/>
      <c r="N163" s="48"/>
      <c r="O163" s="48"/>
      <c r="P163" s="38"/>
      <c r="Q163" s="48"/>
      <c r="R163" s="26" t="str">
        <f>IF($I163="","",$I163&amp;"#"&amp;COUNTIF($I$5:$I163,$I163))</f>
        <v/>
      </c>
    </row>
    <row r="164" spans="1:18" ht="26" x14ac:dyDescent="0.55000000000000004">
      <c r="A164" s="46" t="s">
        <v>441</v>
      </c>
      <c r="B164" s="63" t="s">
        <v>128</v>
      </c>
      <c r="C164" s="44"/>
      <c r="D164" s="45"/>
      <c r="E164" s="46">
        <v>6</v>
      </c>
      <c r="F164" s="44" t="s">
        <v>448</v>
      </c>
      <c r="G164" s="47" t="s">
        <v>498</v>
      </c>
      <c r="H164" s="46" t="str">
        <f>IFERROR(INDEX('الإعدادات واللجنة'!$C$24:$C$32,MATCH(LEFT(A164,3),'الإعدادات واللجنة'!$A$24:$A$32,0)),"")</f>
        <v>د. عمر بن محمد موسى</v>
      </c>
      <c r="I164" s="38"/>
      <c r="J164" s="38"/>
      <c r="K164" s="46" t="str">
        <f t="shared" si="2"/>
        <v/>
      </c>
      <c r="L164" s="48"/>
      <c r="M164" s="38"/>
      <c r="N164" s="48"/>
      <c r="O164" s="48"/>
      <c r="P164" s="38"/>
      <c r="Q164" s="48"/>
      <c r="R164" s="26" t="str">
        <f>IF($I164="","",$I164&amp;"#"&amp;COUNTIF($I$5:$I164,$I164))</f>
        <v/>
      </c>
    </row>
    <row r="165" spans="1:18" ht="44" x14ac:dyDescent="0.55000000000000004">
      <c r="A165" s="46" t="s">
        <v>441</v>
      </c>
      <c r="B165" s="63" t="s">
        <v>128</v>
      </c>
      <c r="C165" s="44"/>
      <c r="D165" s="45"/>
      <c r="E165" s="46">
        <v>7</v>
      </c>
      <c r="F165" s="44" t="s">
        <v>449</v>
      </c>
      <c r="G165" s="47" t="s">
        <v>498</v>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x14ac:dyDescent="0.55000000000000004">
      <c r="A166" s="60" t="s">
        <v>450</v>
      </c>
      <c r="B166" s="66" t="s">
        <v>128</v>
      </c>
      <c r="C166" s="61" t="s">
        <v>451</v>
      </c>
      <c r="D166" s="62"/>
      <c r="E166" s="54">
        <v>1</v>
      </c>
      <c r="F166" s="61" t="s">
        <v>452</v>
      </c>
      <c r="G166" s="53" t="s">
        <v>498</v>
      </c>
      <c r="H166" s="54" t="str">
        <f>IFERROR(INDEX('الإعدادات واللجنة'!$C$24:$C$32,MATCH(LEFT(A166,3),'الإعدادات واللجنة'!$A$24:$A$32,0)),"")</f>
        <v>د. عمر بن محمد موسى</v>
      </c>
      <c r="I166" s="55"/>
      <c r="J166" s="55"/>
      <c r="K166" s="54" t="str">
        <f t="shared" si="2"/>
        <v/>
      </c>
      <c r="L166" s="56"/>
      <c r="M166" s="55"/>
      <c r="N166" s="56"/>
      <c r="O166" s="56"/>
      <c r="P166" s="55"/>
      <c r="Q166" s="56"/>
      <c r="R166" s="26" t="str">
        <f>IF($I166="","",$I166&amp;"#"&amp;COUNTIF($I$5:$I166,$I166))</f>
        <v/>
      </c>
    </row>
    <row r="167" spans="1:18" ht="26" x14ac:dyDescent="0.55000000000000004">
      <c r="A167" s="46" t="s">
        <v>450</v>
      </c>
      <c r="B167" s="63" t="s">
        <v>128</v>
      </c>
      <c r="C167" s="44"/>
      <c r="D167" s="45"/>
      <c r="E167" s="46">
        <v>2</v>
      </c>
      <c r="F167" s="44" t="s">
        <v>453</v>
      </c>
      <c r="G167" s="47" t="s">
        <v>498</v>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x14ac:dyDescent="0.55000000000000004">
      <c r="A168" s="46" t="s">
        <v>450</v>
      </c>
      <c r="B168" s="63" t="s">
        <v>128</v>
      </c>
      <c r="C168" s="44"/>
      <c r="D168" s="45"/>
      <c r="E168" s="46">
        <v>3</v>
      </c>
      <c r="F168" s="44" t="s">
        <v>454</v>
      </c>
      <c r="G168" s="47" t="s">
        <v>498</v>
      </c>
      <c r="H168" s="46" t="str">
        <f>IFERROR(INDEX('الإعدادات واللجنة'!$C$24:$C$32,MATCH(LEFT(A168,3),'الإعدادات واللجنة'!$A$24:$A$32,0)),"")</f>
        <v>د. عمر بن محمد موسى</v>
      </c>
      <c r="I168" s="38"/>
      <c r="J168" s="38"/>
      <c r="K168" s="46" t="str">
        <f t="shared" si="2"/>
        <v/>
      </c>
      <c r="L168" s="48"/>
      <c r="M168" s="38"/>
      <c r="N168" s="48"/>
      <c r="O168" s="48"/>
      <c r="P168" s="38"/>
      <c r="Q168" s="48"/>
      <c r="R168" s="26" t="str">
        <f>IF($I168="","",$I168&amp;"#"&amp;COUNTIF($I$5:$I168,$I168))</f>
        <v/>
      </c>
    </row>
    <row r="169" spans="1:18" ht="66" x14ac:dyDescent="0.55000000000000004">
      <c r="A169" s="60" t="s">
        <v>455</v>
      </c>
      <c r="B169" s="66" t="s">
        <v>128</v>
      </c>
      <c r="C169" s="61" t="s">
        <v>456</v>
      </c>
      <c r="D169" s="62"/>
      <c r="E169" s="54">
        <v>1</v>
      </c>
      <c r="F169" s="61" t="s">
        <v>457</v>
      </c>
      <c r="G169" s="53" t="s">
        <v>498</v>
      </c>
      <c r="H169" s="54" t="str">
        <f>IFERROR(INDEX('الإعدادات واللجنة'!$C$24:$C$32,MATCH(LEFT(A169,3),'الإعدادات واللجنة'!$A$24:$A$32,0)),"")</f>
        <v>د. عمر بن محمد موسى</v>
      </c>
      <c r="I169" s="55"/>
      <c r="J169" s="55"/>
      <c r="K169" s="54" t="str">
        <f t="shared" si="2"/>
        <v/>
      </c>
      <c r="L169" s="56"/>
      <c r="M169" s="55"/>
      <c r="N169" s="56"/>
      <c r="O169" s="56"/>
      <c r="P169" s="55"/>
      <c r="Q169" s="56"/>
      <c r="R169" s="26" t="str">
        <f>IF($I169="","",$I169&amp;"#"&amp;COUNTIF($I$5:$I169,$I169))</f>
        <v/>
      </c>
    </row>
    <row r="170" spans="1:18" ht="26" x14ac:dyDescent="0.55000000000000004">
      <c r="A170" s="46" t="s">
        <v>455</v>
      </c>
      <c r="B170" s="63" t="s">
        <v>128</v>
      </c>
      <c r="C170" s="44"/>
      <c r="D170" s="45"/>
      <c r="E170" s="46">
        <v>2</v>
      </c>
      <c r="F170" s="44" t="s">
        <v>458</v>
      </c>
      <c r="G170" s="47" t="s">
        <v>498</v>
      </c>
      <c r="H170" s="46" t="str">
        <f>IFERROR(INDEX('الإعدادات واللجنة'!$C$24:$C$32,MATCH(LEFT(A170,3),'الإعدادات واللجنة'!$A$24:$A$32,0)),"")</f>
        <v>د. عمر بن محمد موسى</v>
      </c>
      <c r="I170" s="38"/>
      <c r="J170" s="38"/>
      <c r="K170" s="46" t="str">
        <f t="shared" si="2"/>
        <v/>
      </c>
      <c r="L170" s="48"/>
      <c r="M170" s="38"/>
      <c r="N170" s="48"/>
      <c r="O170" s="48"/>
      <c r="P170" s="38"/>
      <c r="Q170" s="48"/>
      <c r="R170" s="26" t="str">
        <f>IF($I170="","",$I170&amp;"#"&amp;COUNTIF($I$5:$I170,$I170))</f>
        <v/>
      </c>
    </row>
    <row r="171" spans="1:18" ht="44" x14ac:dyDescent="0.55000000000000004">
      <c r="A171" s="46" t="s">
        <v>455</v>
      </c>
      <c r="B171" s="63" t="s">
        <v>128</v>
      </c>
      <c r="C171" s="44"/>
      <c r="D171" s="45"/>
      <c r="E171" s="46">
        <v>3</v>
      </c>
      <c r="F171" s="44" t="s">
        <v>459</v>
      </c>
      <c r="G171" s="47" t="s">
        <v>498</v>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x14ac:dyDescent="0.55000000000000004">
      <c r="A172" s="46" t="s">
        <v>455</v>
      </c>
      <c r="B172" s="63" t="s">
        <v>128</v>
      </c>
      <c r="C172" s="44"/>
      <c r="D172" s="45"/>
      <c r="E172" s="46">
        <v>4</v>
      </c>
      <c r="F172" s="44" t="s">
        <v>460</v>
      </c>
      <c r="G172" s="47" t="s">
        <v>498</v>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26" x14ac:dyDescent="0.55000000000000004">
      <c r="A173" s="46" t="s">
        <v>455</v>
      </c>
      <c r="B173" s="63" t="s">
        <v>128</v>
      </c>
      <c r="C173" s="44"/>
      <c r="D173" s="45"/>
      <c r="E173" s="46">
        <v>5</v>
      </c>
      <c r="F173" s="44" t="s">
        <v>461</v>
      </c>
      <c r="G173" s="47" t="s">
        <v>498</v>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66" x14ac:dyDescent="0.55000000000000004">
      <c r="A174" s="60" t="s">
        <v>462</v>
      </c>
      <c r="B174" s="66" t="s">
        <v>128</v>
      </c>
      <c r="C174" s="61" t="s">
        <v>463</v>
      </c>
      <c r="D174" s="62"/>
      <c r="E174" s="54">
        <v>1</v>
      </c>
      <c r="F174" s="61" t="s">
        <v>464</v>
      </c>
      <c r="G174" s="53" t="s">
        <v>498</v>
      </c>
      <c r="H174" s="54" t="str">
        <f>IFERROR(INDEX('الإعدادات واللجنة'!$C$24:$C$32,MATCH(LEFT(A174,3),'الإعدادات واللجنة'!$A$24:$A$32,0)),"")</f>
        <v>د. عمر بن محمد موسى</v>
      </c>
      <c r="I174" s="55"/>
      <c r="J174" s="55"/>
      <c r="K174" s="54" t="str">
        <f t="shared" si="2"/>
        <v/>
      </c>
      <c r="L174" s="56"/>
      <c r="M174" s="55"/>
      <c r="N174" s="56"/>
      <c r="O174" s="56"/>
      <c r="P174" s="55"/>
      <c r="Q174" s="56"/>
      <c r="R174" s="26" t="str">
        <f>IF($I174="","",$I174&amp;"#"&amp;COUNTIF($I$5:$I174,$I174))</f>
        <v/>
      </c>
    </row>
    <row r="175" spans="1:18" ht="26" x14ac:dyDescent="0.55000000000000004">
      <c r="A175" s="46" t="s">
        <v>462</v>
      </c>
      <c r="B175" s="63" t="s">
        <v>128</v>
      </c>
      <c r="C175" s="44"/>
      <c r="D175" s="45"/>
      <c r="E175" s="46">
        <v>2</v>
      </c>
      <c r="F175" s="44" t="s">
        <v>465</v>
      </c>
      <c r="G175" s="47" t="s">
        <v>498</v>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26" x14ac:dyDescent="0.55000000000000004">
      <c r="A176" s="46" t="s">
        <v>462</v>
      </c>
      <c r="B176" s="63" t="s">
        <v>128</v>
      </c>
      <c r="C176" s="44"/>
      <c r="D176" s="45"/>
      <c r="E176" s="46">
        <v>3</v>
      </c>
      <c r="F176" s="44" t="s">
        <v>466</v>
      </c>
      <c r="G176" s="47" t="s">
        <v>498</v>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88" x14ac:dyDescent="0.55000000000000004">
      <c r="A177" s="46" t="s">
        <v>462</v>
      </c>
      <c r="B177" s="63" t="s">
        <v>128</v>
      </c>
      <c r="C177" s="44"/>
      <c r="D177" s="45"/>
      <c r="E177" s="46">
        <v>4</v>
      </c>
      <c r="F177" s="44" t="s">
        <v>467</v>
      </c>
      <c r="G177" s="47" t="s">
        <v>498</v>
      </c>
      <c r="H177" s="46" t="str">
        <f>IFERROR(INDEX('الإعدادات واللجنة'!$C$24:$C$32,MATCH(LEFT(A177,3),'الإعدادات واللجنة'!$A$24:$A$32,0)),"")</f>
        <v>د. عمر بن محمد موسى</v>
      </c>
      <c r="I177" s="38"/>
      <c r="J177" s="38"/>
      <c r="K177" s="46" t="str">
        <f t="shared" si="2"/>
        <v/>
      </c>
      <c r="L177" s="48"/>
      <c r="M177" s="38"/>
      <c r="N177" s="48"/>
      <c r="O177" s="48"/>
      <c r="P177" s="38"/>
      <c r="Q177" s="48"/>
      <c r="R177" s="26" t="str">
        <f>IF($I177="","",$I177&amp;"#"&amp;COUNTIF($I$5:$I177,$I177))</f>
        <v/>
      </c>
    </row>
    <row r="178" spans="1:18" ht="26" x14ac:dyDescent="0.55000000000000004">
      <c r="A178" s="46" t="s">
        <v>462</v>
      </c>
      <c r="B178" s="63" t="s">
        <v>128</v>
      </c>
      <c r="C178" s="44"/>
      <c r="D178" s="45"/>
      <c r="E178" s="46">
        <v>5</v>
      </c>
      <c r="F178" s="44" t="s">
        <v>468</v>
      </c>
      <c r="G178" s="47" t="s">
        <v>498</v>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66" x14ac:dyDescent="0.55000000000000004">
      <c r="A179" s="60" t="s">
        <v>469</v>
      </c>
      <c r="B179" s="66" t="s">
        <v>129</v>
      </c>
      <c r="C179" s="61" t="s">
        <v>470</v>
      </c>
      <c r="D179" s="62"/>
      <c r="E179" s="54">
        <v>1</v>
      </c>
      <c r="F179" s="61" t="s">
        <v>471</v>
      </c>
      <c r="G179" s="53" t="s">
        <v>498</v>
      </c>
      <c r="H179" s="54" t="str">
        <f>IFERROR(INDEX('الإعدادات واللجنة'!$C$24:$C$32,MATCH(LEFT(A179,3),'الإعدادات واللجنة'!$A$24:$A$32,0)),"")</f>
        <v>د. حسن بن سعد القحطاني</v>
      </c>
      <c r="I179" s="55"/>
      <c r="J179" s="55"/>
      <c r="K179" s="54" t="str">
        <f t="shared" si="2"/>
        <v/>
      </c>
      <c r="L179" s="56"/>
      <c r="M179" s="55"/>
      <c r="N179" s="56"/>
      <c r="O179" s="56"/>
      <c r="P179" s="55"/>
      <c r="Q179" s="56"/>
      <c r="R179" s="26" t="str">
        <f>IF($I179="","",$I179&amp;"#"&amp;COUNTIF($I$5:$I179,$I179))</f>
        <v/>
      </c>
    </row>
    <row r="180" spans="1:18" ht="44" x14ac:dyDescent="0.55000000000000004">
      <c r="A180" s="46" t="s">
        <v>469</v>
      </c>
      <c r="B180" s="63" t="s">
        <v>129</v>
      </c>
      <c r="C180" s="44"/>
      <c r="D180" s="45"/>
      <c r="E180" s="46">
        <v>2</v>
      </c>
      <c r="F180" s="44" t="s">
        <v>472</v>
      </c>
      <c r="G180" s="47" t="s">
        <v>498</v>
      </c>
      <c r="H180" s="46" t="str">
        <f>IFERROR(INDEX('الإعدادات واللجنة'!$C$24:$C$32,MATCH(LEFT(A180,3),'الإعدادات واللجنة'!$A$24:$A$32,0)),"")</f>
        <v>د. حسن بن سعد القحطاني</v>
      </c>
      <c r="I180" s="38"/>
      <c r="J180" s="38"/>
      <c r="K180" s="46" t="str">
        <f t="shared" si="2"/>
        <v/>
      </c>
      <c r="L180" s="48"/>
      <c r="M180" s="38"/>
      <c r="N180" s="48"/>
      <c r="O180" s="48"/>
      <c r="P180" s="38"/>
      <c r="Q180" s="48"/>
      <c r="R180" s="26" t="str">
        <f>IF($I180="","",$I180&amp;"#"&amp;COUNTIF($I$5:$I180,$I180))</f>
        <v/>
      </c>
    </row>
    <row r="181" spans="1:18" ht="44" x14ac:dyDescent="0.55000000000000004">
      <c r="A181" s="46" t="s">
        <v>469</v>
      </c>
      <c r="B181" s="63" t="s">
        <v>129</v>
      </c>
      <c r="C181" s="44"/>
      <c r="D181" s="45"/>
      <c r="E181" s="46">
        <v>3</v>
      </c>
      <c r="F181" s="44" t="s">
        <v>473</v>
      </c>
      <c r="G181" s="47" t="s">
        <v>498</v>
      </c>
      <c r="H181" s="46" t="str">
        <f>IFERROR(INDEX('الإعدادات واللجنة'!$C$24:$C$32,MATCH(LEFT(A181,3),'الإعدادات واللجنة'!$A$24:$A$32,0)),"")</f>
        <v>د. حسن بن سعد القحطاني</v>
      </c>
      <c r="I181" s="38"/>
      <c r="J181" s="38"/>
      <c r="K181" s="46" t="str">
        <f t="shared" si="2"/>
        <v/>
      </c>
      <c r="L181" s="48"/>
      <c r="M181" s="38"/>
      <c r="N181" s="48"/>
      <c r="O181" s="48"/>
      <c r="P181" s="38"/>
      <c r="Q181" s="48"/>
      <c r="R181" s="26" t="str">
        <f>IF($I181="","",$I181&amp;"#"&amp;COUNTIF($I$5:$I181,$I181))</f>
        <v/>
      </c>
    </row>
    <row r="182" spans="1:18" ht="66" x14ac:dyDescent="0.55000000000000004">
      <c r="A182" s="60" t="s">
        <v>474</v>
      </c>
      <c r="B182" s="66" t="s">
        <v>129</v>
      </c>
      <c r="C182" s="61" t="s">
        <v>475</v>
      </c>
      <c r="D182" s="62"/>
      <c r="E182" s="54">
        <v>1</v>
      </c>
      <c r="F182" s="61" t="s">
        <v>476</v>
      </c>
      <c r="G182" s="53" t="s">
        <v>498</v>
      </c>
      <c r="H182" s="54" t="str">
        <f>IFERROR(INDEX('الإعدادات واللجنة'!$C$24:$C$32,MATCH(LEFT(A182,3),'الإعدادات واللجنة'!$A$24:$A$32,0)),"")</f>
        <v>د. حسن بن سعد القحطاني</v>
      </c>
      <c r="I182" s="55"/>
      <c r="J182" s="55"/>
      <c r="K182" s="54" t="str">
        <f t="shared" si="2"/>
        <v/>
      </c>
      <c r="L182" s="56"/>
      <c r="M182" s="55"/>
      <c r="N182" s="56"/>
      <c r="O182" s="56"/>
      <c r="P182" s="55"/>
      <c r="Q182" s="56"/>
      <c r="R182" s="26" t="str">
        <f>IF($I182="","",$I182&amp;"#"&amp;COUNTIF($I$5:$I182,$I182))</f>
        <v/>
      </c>
    </row>
    <row r="183" spans="1:18" ht="44" x14ac:dyDescent="0.55000000000000004">
      <c r="A183" s="46" t="s">
        <v>474</v>
      </c>
      <c r="B183" s="63" t="s">
        <v>129</v>
      </c>
      <c r="C183" s="44"/>
      <c r="D183" s="45"/>
      <c r="E183" s="46">
        <v>2</v>
      </c>
      <c r="F183" s="44" t="s">
        <v>477</v>
      </c>
      <c r="G183" s="47" t="s">
        <v>498</v>
      </c>
      <c r="H183" s="46" t="str">
        <f>IFERROR(INDEX('الإعدادات واللجنة'!$C$24:$C$32,MATCH(LEFT(A183,3),'الإعدادات واللجنة'!$A$24:$A$32,0)),"")</f>
        <v>د. حسن بن سعد القحطاني</v>
      </c>
      <c r="I183" s="38"/>
      <c r="J183" s="38"/>
      <c r="K183" s="46" t="str">
        <f t="shared" si="2"/>
        <v/>
      </c>
      <c r="L183" s="48"/>
      <c r="M183" s="38"/>
      <c r="N183" s="48"/>
      <c r="O183" s="48"/>
      <c r="P183" s="38"/>
      <c r="Q183" s="48"/>
      <c r="R183" s="26" t="str">
        <f>IF($I183="","",$I183&amp;"#"&amp;COUNTIF($I$5:$I183,$I183))</f>
        <v/>
      </c>
    </row>
    <row r="184" spans="1:18" ht="44" x14ac:dyDescent="0.55000000000000004">
      <c r="A184" s="46" t="s">
        <v>474</v>
      </c>
      <c r="B184" s="63" t="s">
        <v>129</v>
      </c>
      <c r="C184" s="44"/>
      <c r="D184" s="45"/>
      <c r="E184" s="46">
        <v>3</v>
      </c>
      <c r="F184" s="44" t="s">
        <v>478</v>
      </c>
      <c r="G184" s="47" t="s">
        <v>498</v>
      </c>
      <c r="H184" s="46" t="str">
        <f>IFERROR(INDEX('الإعدادات واللجنة'!$C$24:$C$32,MATCH(LEFT(A184,3),'الإعدادات واللجنة'!$A$24:$A$32,0)),"")</f>
        <v>د. حسن بن سعد القحطاني</v>
      </c>
      <c r="I184" s="38"/>
      <c r="J184" s="38"/>
      <c r="K184" s="46" t="str">
        <f t="shared" si="2"/>
        <v/>
      </c>
      <c r="L184" s="48"/>
      <c r="M184" s="38"/>
      <c r="N184" s="48"/>
      <c r="O184" s="48"/>
      <c r="P184" s="38"/>
      <c r="Q184" s="48"/>
      <c r="R184" s="26" t="str">
        <f>IF($I184="","",$I184&amp;"#"&amp;COUNTIF($I$5:$I184,$I184))</f>
        <v/>
      </c>
    </row>
    <row r="185" spans="1:18" ht="88" x14ac:dyDescent="0.55000000000000004">
      <c r="A185" s="49" t="s">
        <v>479</v>
      </c>
      <c r="B185" s="64" t="s">
        <v>129</v>
      </c>
      <c r="C185" s="50" t="s">
        <v>480</v>
      </c>
      <c r="D185" s="51" t="s">
        <v>208</v>
      </c>
      <c r="E185" s="52">
        <v>1</v>
      </c>
      <c r="F185" s="50" t="s">
        <v>481</v>
      </c>
      <c r="G185" s="53" t="s">
        <v>498</v>
      </c>
      <c r="H185" s="54" t="str">
        <f>IFERROR(INDEX('الإعدادات واللجنة'!$C$24:$C$32,MATCH(LEFT(A185,3),'الإعدادات واللجنة'!$A$24:$A$32,0)),"")</f>
        <v>د. حسن بن سعد القحطاني</v>
      </c>
      <c r="I185" s="55"/>
      <c r="J185" s="55"/>
      <c r="K185" s="54" t="str">
        <f t="shared" si="2"/>
        <v/>
      </c>
      <c r="L185" s="56"/>
      <c r="M185" s="55"/>
      <c r="N185" s="56"/>
      <c r="O185" s="56"/>
      <c r="P185" s="55"/>
      <c r="Q185" s="56"/>
      <c r="R185" s="26" t="str">
        <f>IF($I185="","",$I185&amp;"#"&amp;COUNTIF($I$5:$I185,$I185))</f>
        <v/>
      </c>
    </row>
    <row r="186" spans="1:18" ht="44" x14ac:dyDescent="0.55000000000000004">
      <c r="A186" s="57" t="s">
        <v>479</v>
      </c>
      <c r="B186" s="65" t="s">
        <v>129</v>
      </c>
      <c r="C186" s="58"/>
      <c r="D186" s="59" t="s">
        <v>208</v>
      </c>
      <c r="E186" s="57">
        <v>2</v>
      </c>
      <c r="F186" s="58" t="s">
        <v>482</v>
      </c>
      <c r="G186" s="47" t="s">
        <v>498</v>
      </c>
      <c r="H186" s="46" t="str">
        <f>IFERROR(INDEX('الإعدادات واللجنة'!$C$24:$C$32,MATCH(LEFT(A186,3),'الإعدادات واللجنة'!$A$24:$A$32,0)),"")</f>
        <v>د. حسن بن سعد القحطاني</v>
      </c>
      <c r="I186" s="38"/>
      <c r="J186" s="38"/>
      <c r="K186" s="46" t="str">
        <f t="shared" si="2"/>
        <v/>
      </c>
      <c r="L186" s="48"/>
      <c r="M186" s="38"/>
      <c r="N186" s="48"/>
      <c r="O186" s="48"/>
      <c r="P186" s="38"/>
      <c r="Q186" s="48"/>
      <c r="R186" s="26" t="str">
        <f>IF($I186="","",$I186&amp;"#"&amp;COUNTIF($I$5:$I186,$I186))</f>
        <v/>
      </c>
    </row>
    <row r="187" spans="1:18" ht="44" x14ac:dyDescent="0.55000000000000004">
      <c r="A187" s="57" t="s">
        <v>479</v>
      </c>
      <c r="B187" s="65" t="s">
        <v>129</v>
      </c>
      <c r="C187" s="58"/>
      <c r="D187" s="59" t="s">
        <v>208</v>
      </c>
      <c r="E187" s="57">
        <v>3</v>
      </c>
      <c r="F187" s="58" t="s">
        <v>483</v>
      </c>
      <c r="G187" s="47" t="s">
        <v>498</v>
      </c>
      <c r="H187" s="46" t="str">
        <f>IFERROR(INDEX('الإعدادات واللجنة'!$C$24:$C$32,MATCH(LEFT(A187,3),'الإعدادات واللجنة'!$A$24:$A$32,0)),"")</f>
        <v>د. حسن بن سعد القحطاني</v>
      </c>
      <c r="I187" s="38"/>
      <c r="J187" s="38"/>
      <c r="K187" s="46" t="str">
        <f t="shared" si="2"/>
        <v/>
      </c>
      <c r="L187" s="48"/>
      <c r="M187" s="38"/>
      <c r="N187" s="48"/>
      <c r="O187" s="48"/>
      <c r="P187" s="38"/>
      <c r="Q187" s="48"/>
      <c r="R187" s="26" t="str">
        <f>IF($I187="","",$I187&amp;"#"&amp;COUNTIF($I$5:$I187,$I187))</f>
        <v/>
      </c>
    </row>
    <row r="188" spans="1:18" ht="44" x14ac:dyDescent="0.55000000000000004">
      <c r="A188" s="57" t="s">
        <v>479</v>
      </c>
      <c r="B188" s="65" t="s">
        <v>129</v>
      </c>
      <c r="C188" s="58"/>
      <c r="D188" s="59" t="s">
        <v>208</v>
      </c>
      <c r="E188" s="57">
        <v>4</v>
      </c>
      <c r="F188" s="58" t="s">
        <v>484</v>
      </c>
      <c r="G188" s="47" t="s">
        <v>498</v>
      </c>
      <c r="H188" s="46" t="str">
        <f>IFERROR(INDEX('الإعدادات واللجنة'!$C$24:$C$32,MATCH(LEFT(A188,3),'الإعدادات واللجنة'!$A$24:$A$32,0)),"")</f>
        <v>د. حسن بن سعد القحطاني</v>
      </c>
      <c r="I188" s="38"/>
      <c r="J188" s="38"/>
      <c r="K188" s="46" t="str">
        <f t="shared" si="2"/>
        <v/>
      </c>
      <c r="L188" s="48"/>
      <c r="M188" s="38"/>
      <c r="N188" s="48"/>
      <c r="O188" s="48"/>
      <c r="P188" s="38"/>
      <c r="Q188" s="48"/>
      <c r="R188" s="26" t="str">
        <f>IF($I188="","",$I188&amp;"#"&amp;COUNTIF($I$5:$I188,$I188))</f>
        <v/>
      </c>
    </row>
    <row r="189" spans="1:18" ht="44" x14ac:dyDescent="0.55000000000000004">
      <c r="A189" s="57" t="s">
        <v>479</v>
      </c>
      <c r="B189" s="65" t="s">
        <v>129</v>
      </c>
      <c r="C189" s="58"/>
      <c r="D189" s="59" t="s">
        <v>208</v>
      </c>
      <c r="E189" s="57">
        <v>5</v>
      </c>
      <c r="F189" s="58" t="s">
        <v>485</v>
      </c>
      <c r="G189" s="47" t="s">
        <v>498</v>
      </c>
      <c r="H189" s="46" t="str">
        <f>IFERROR(INDEX('الإعدادات واللجنة'!$C$24:$C$32,MATCH(LEFT(A189,3),'الإعدادات واللجنة'!$A$24:$A$32,0)),"")</f>
        <v>د. حسن بن سعد القحطاني</v>
      </c>
      <c r="I189" s="38"/>
      <c r="J189" s="38"/>
      <c r="K189" s="46" t="str">
        <f t="shared" si="2"/>
        <v/>
      </c>
      <c r="L189" s="48"/>
      <c r="M189" s="38"/>
      <c r="N189" s="48"/>
      <c r="O189" s="48"/>
      <c r="P189" s="38"/>
      <c r="Q189" s="48"/>
      <c r="R189" s="26" t="str">
        <f>IF($I189="","",$I189&amp;"#"&amp;COUNTIF($I$5:$I189,$I189))</f>
        <v/>
      </c>
    </row>
    <row r="190" spans="1:18" ht="44" x14ac:dyDescent="0.55000000000000004">
      <c r="A190" s="57" t="s">
        <v>479</v>
      </c>
      <c r="B190" s="65" t="s">
        <v>129</v>
      </c>
      <c r="C190" s="58"/>
      <c r="D190" s="59" t="s">
        <v>208</v>
      </c>
      <c r="E190" s="57">
        <v>6</v>
      </c>
      <c r="F190" s="58" t="s">
        <v>486</v>
      </c>
      <c r="G190" s="47" t="s">
        <v>498</v>
      </c>
      <c r="H190" s="46" t="str">
        <f>IFERROR(INDEX('الإعدادات واللجنة'!$C$24:$C$32,MATCH(LEFT(A190,3),'الإعدادات واللجنة'!$A$24:$A$32,0)),"")</f>
        <v>د. حسن بن سعد القحطاني</v>
      </c>
      <c r="I190" s="38"/>
      <c r="J190" s="38"/>
      <c r="K190" s="46" t="str">
        <f t="shared" si="2"/>
        <v/>
      </c>
      <c r="L190" s="48"/>
      <c r="M190" s="38"/>
      <c r="N190" s="48"/>
      <c r="O190" s="48"/>
      <c r="P190" s="38"/>
      <c r="Q190" s="48"/>
      <c r="R190" s="26" t="str">
        <f>IF($I190="","",$I190&amp;"#"&amp;COUNTIF($I$5:$I190,$I190))</f>
        <v/>
      </c>
    </row>
    <row r="191" spans="1:18" ht="44" x14ac:dyDescent="0.55000000000000004">
      <c r="A191" s="60" t="s">
        <v>487</v>
      </c>
      <c r="B191" s="66" t="s">
        <v>129</v>
      </c>
      <c r="C191" s="61" t="s">
        <v>488</v>
      </c>
      <c r="D191" s="62"/>
      <c r="E191" s="54">
        <v>1</v>
      </c>
      <c r="F191" s="61" t="s">
        <v>489</v>
      </c>
      <c r="G191" s="53" t="s">
        <v>498</v>
      </c>
      <c r="H191" s="54" t="str">
        <f>IFERROR(INDEX('الإعدادات واللجنة'!$C$24:$C$32,MATCH(LEFT(A191,3),'الإعدادات واللجنة'!$A$24:$A$32,0)),"")</f>
        <v>د. حسن بن سعد القحطاني</v>
      </c>
      <c r="I191" s="55"/>
      <c r="J191" s="55"/>
      <c r="K191" s="54" t="str">
        <f t="shared" si="2"/>
        <v/>
      </c>
      <c r="L191" s="56"/>
      <c r="M191" s="55"/>
      <c r="N191" s="56"/>
      <c r="O191" s="56"/>
      <c r="P191" s="55"/>
      <c r="Q191" s="56"/>
      <c r="R191" s="26" t="str">
        <f>IF($I191="","",$I191&amp;"#"&amp;COUNTIF($I$5:$I191,$I191))</f>
        <v/>
      </c>
    </row>
    <row r="192" spans="1:18" ht="44" x14ac:dyDescent="0.55000000000000004">
      <c r="A192" s="46" t="s">
        <v>487</v>
      </c>
      <c r="B192" s="63" t="s">
        <v>129</v>
      </c>
      <c r="C192" s="44"/>
      <c r="D192" s="45"/>
      <c r="E192" s="46">
        <v>2</v>
      </c>
      <c r="F192" s="44" t="s">
        <v>490</v>
      </c>
      <c r="G192" s="47" t="s">
        <v>498</v>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44" x14ac:dyDescent="0.55000000000000004">
      <c r="A193" s="46" t="s">
        <v>487</v>
      </c>
      <c r="B193" s="63" t="s">
        <v>129</v>
      </c>
      <c r="C193" s="44"/>
      <c r="D193" s="45"/>
      <c r="E193" s="46">
        <v>3</v>
      </c>
      <c r="F193" s="44" t="s">
        <v>491</v>
      </c>
      <c r="G193" s="47" t="s">
        <v>498</v>
      </c>
      <c r="H193" s="46" t="str">
        <f>IFERROR(INDEX('الإعدادات واللجنة'!$C$24:$C$32,MATCH(LEFT(A193,3),'الإعدادات واللجنة'!$A$24:$A$32,0)),"")</f>
        <v>د. حسن بن سعد القحطاني</v>
      </c>
      <c r="I193" s="38"/>
      <c r="J193" s="38"/>
      <c r="K193" s="46" t="str">
        <f t="shared" si="2"/>
        <v/>
      </c>
      <c r="L193" s="48"/>
      <c r="M193" s="38"/>
      <c r="N193" s="48"/>
      <c r="O193" s="48"/>
      <c r="P193" s="38"/>
      <c r="Q193" s="48"/>
      <c r="R193" s="26" t="str">
        <f>IF($I193="","",$I193&amp;"#"&amp;COUNTIF($I$5:$I193,$I193))</f>
        <v/>
      </c>
    </row>
    <row r="194" spans="1:18" ht="44" x14ac:dyDescent="0.55000000000000004">
      <c r="A194" s="46" t="s">
        <v>487</v>
      </c>
      <c r="B194" s="63" t="s">
        <v>129</v>
      </c>
      <c r="C194" s="44"/>
      <c r="D194" s="45"/>
      <c r="E194" s="46">
        <v>4</v>
      </c>
      <c r="F194" s="44" t="s">
        <v>492</v>
      </c>
      <c r="G194" s="47" t="s">
        <v>498</v>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x14ac:dyDescent="0.55000000000000004">
      <c r="A195" s="46" t="s">
        <v>487</v>
      </c>
      <c r="B195" s="63" t="s">
        <v>129</v>
      </c>
      <c r="C195" s="44"/>
      <c r="D195" s="45"/>
      <c r="E195" s="46">
        <v>5</v>
      </c>
      <c r="F195" s="44" t="s">
        <v>493</v>
      </c>
      <c r="G195" s="47" t="s">
        <v>498</v>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44" x14ac:dyDescent="0.55000000000000004">
      <c r="A196" s="60" t="s">
        <v>494</v>
      </c>
      <c r="B196" s="66" t="s">
        <v>129</v>
      </c>
      <c r="C196" s="61" t="s">
        <v>495</v>
      </c>
      <c r="D196" s="62"/>
      <c r="E196" s="54">
        <v>1</v>
      </c>
      <c r="F196" s="61" t="s">
        <v>496</v>
      </c>
      <c r="G196" s="53" t="s">
        <v>498</v>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x14ac:dyDescent="0.55000000000000004">
      <c r="A197" s="46" t="s">
        <v>494</v>
      </c>
      <c r="B197" s="63" t="s">
        <v>129</v>
      </c>
      <c r="C197" s="44"/>
      <c r="D197" s="45"/>
      <c r="E197" s="46">
        <v>2</v>
      </c>
      <c r="F197" s="44" t="s">
        <v>497</v>
      </c>
      <c r="G197" s="47" t="s">
        <v>498</v>
      </c>
      <c r="H197" s="46" t="str">
        <f>IFERROR(INDEX('الإعدادات واللجنة'!$C$24:$C$32,MATCH(LEFT(A197,3),'الإعدادات واللجنة'!$A$24:$A$32,0)),"")</f>
        <v>د. حسن بن سعد القحطاني</v>
      </c>
      <c r="I197" s="38"/>
      <c r="J197" s="38"/>
      <c r="K197" s="46" t="str">
        <f t="shared" ref="K197:K230" si="3">IF(OR(I197="",I197="متوفر ومكتمل"),"",IF(OR(D197="★",I197="غير متوفر"),"عالية","متوسطة"))</f>
        <v/>
      </c>
      <c r="L197" s="48"/>
      <c r="M197" s="38"/>
      <c r="N197" s="48"/>
      <c r="O197" s="48"/>
      <c r="P197" s="38"/>
      <c r="Q197" s="48"/>
      <c r="R197" s="26" t="str">
        <f>IF($I197="","",$I197&amp;"#"&amp;COUNTIF($I$5:$I197,$I197))</f>
        <v/>
      </c>
    </row>
    <row r="198" spans="1:18" ht="66" x14ac:dyDescent="0.55000000000000004">
      <c r="A198" s="49" t="s">
        <v>501</v>
      </c>
      <c r="B198" s="64" t="s">
        <v>132</v>
      </c>
      <c r="C198" s="50" t="s">
        <v>502</v>
      </c>
      <c r="D198" s="51" t="s">
        <v>208</v>
      </c>
      <c r="E198" s="52">
        <v>1</v>
      </c>
      <c r="F198" s="50" t="s">
        <v>503</v>
      </c>
      <c r="G198" s="69" t="s">
        <v>504</v>
      </c>
      <c r="H198" s="54" t="str">
        <f>IFERROR(INDEX('الإعدادات واللجنة'!$C$24:$C$32,MATCH(LEFT(A198,3),'الإعدادات واللجنة'!$A$24:$A$32,0)),"")</f>
        <v>د. حسن بن سعد القحطاني</v>
      </c>
      <c r="I198" s="55"/>
      <c r="J198" s="55"/>
      <c r="K198" s="54" t="str">
        <f t="shared" si="3"/>
        <v/>
      </c>
      <c r="L198" s="56"/>
      <c r="M198" s="55"/>
      <c r="N198" s="56"/>
      <c r="O198" s="56"/>
      <c r="P198" s="55"/>
      <c r="Q198" s="56"/>
      <c r="R198" s="26" t="str">
        <f>IF($I198="","",$I198&amp;"#"&amp;COUNTIF($I$5:$I198,$I198))</f>
        <v/>
      </c>
    </row>
    <row r="199" spans="1:18" ht="44" x14ac:dyDescent="0.55000000000000004">
      <c r="A199" s="57" t="s">
        <v>501</v>
      </c>
      <c r="B199" s="65" t="s">
        <v>132</v>
      </c>
      <c r="C199" s="58"/>
      <c r="D199" s="59" t="s">
        <v>208</v>
      </c>
      <c r="E199" s="57">
        <v>2</v>
      </c>
      <c r="F199" s="58" t="s">
        <v>505</v>
      </c>
      <c r="G199" s="70" t="s">
        <v>504</v>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x14ac:dyDescent="0.55000000000000004">
      <c r="A200" s="57" t="s">
        <v>501</v>
      </c>
      <c r="B200" s="65" t="s">
        <v>132</v>
      </c>
      <c r="C200" s="58"/>
      <c r="D200" s="59" t="s">
        <v>208</v>
      </c>
      <c r="E200" s="57">
        <v>3</v>
      </c>
      <c r="F200" s="58" t="s">
        <v>506</v>
      </c>
      <c r="G200" s="70" t="s">
        <v>504</v>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x14ac:dyDescent="0.55000000000000004">
      <c r="A201" s="60" t="s">
        <v>507</v>
      </c>
      <c r="B201" s="66" t="s">
        <v>132</v>
      </c>
      <c r="C201" s="61" t="s">
        <v>508</v>
      </c>
      <c r="D201" s="62"/>
      <c r="E201" s="54">
        <v>1</v>
      </c>
      <c r="F201" s="61" t="s">
        <v>509</v>
      </c>
      <c r="G201" s="69" t="s">
        <v>504</v>
      </c>
      <c r="H201" s="54" t="str">
        <f>IFERROR(INDEX('الإعدادات واللجنة'!$C$24:$C$32,MATCH(LEFT(A201,3),'الإعدادات واللجنة'!$A$24:$A$32,0)),"")</f>
        <v>د. حسن بن سعد القحطاني</v>
      </c>
      <c r="I201" s="55"/>
      <c r="J201" s="55"/>
      <c r="K201" s="54" t="str">
        <f t="shared" si="3"/>
        <v/>
      </c>
      <c r="L201" s="56"/>
      <c r="M201" s="55"/>
      <c r="N201" s="56"/>
      <c r="O201" s="56"/>
      <c r="P201" s="55"/>
      <c r="Q201" s="56"/>
      <c r="R201" s="26" t="str">
        <f>IF($I201="","",$I201&amp;"#"&amp;COUNTIF($I$5:$I201,$I201))</f>
        <v/>
      </c>
    </row>
    <row r="202" spans="1:18" ht="44" x14ac:dyDescent="0.55000000000000004">
      <c r="A202" s="46" t="s">
        <v>507</v>
      </c>
      <c r="B202" s="63" t="s">
        <v>132</v>
      </c>
      <c r="C202" s="44"/>
      <c r="D202" s="45"/>
      <c r="E202" s="46">
        <v>2</v>
      </c>
      <c r="F202" s="44" t="s">
        <v>510</v>
      </c>
      <c r="G202" s="70" t="s">
        <v>504</v>
      </c>
      <c r="H202" s="46" t="str">
        <f>IFERROR(INDEX('الإعدادات واللجنة'!$C$24:$C$32,MATCH(LEFT(A202,3),'الإعدادات واللجنة'!$A$24:$A$32,0)),"")</f>
        <v>د. حسن بن سعد القحطاني</v>
      </c>
      <c r="I202" s="38"/>
      <c r="J202" s="38"/>
      <c r="K202" s="46" t="str">
        <f t="shared" si="3"/>
        <v/>
      </c>
      <c r="L202" s="48"/>
      <c r="M202" s="38"/>
      <c r="N202" s="48"/>
      <c r="O202" s="48"/>
      <c r="P202" s="38"/>
      <c r="Q202" s="48"/>
      <c r="R202" s="26" t="str">
        <f>IF($I202="","",$I202&amp;"#"&amp;COUNTIF($I$5:$I202,$I202))</f>
        <v/>
      </c>
    </row>
    <row r="203" spans="1:18" ht="44" x14ac:dyDescent="0.55000000000000004">
      <c r="A203" s="46" t="s">
        <v>507</v>
      </c>
      <c r="B203" s="63" t="s">
        <v>132</v>
      </c>
      <c r="C203" s="44"/>
      <c r="D203" s="45"/>
      <c r="E203" s="46">
        <v>3</v>
      </c>
      <c r="F203" s="44" t="s">
        <v>511</v>
      </c>
      <c r="G203" s="70" t="s">
        <v>504</v>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x14ac:dyDescent="0.55000000000000004">
      <c r="A204" s="60" t="s">
        <v>512</v>
      </c>
      <c r="B204" s="66" t="s">
        <v>132</v>
      </c>
      <c r="C204" s="61" t="s">
        <v>513</v>
      </c>
      <c r="D204" s="62"/>
      <c r="E204" s="54">
        <v>1</v>
      </c>
      <c r="F204" s="61" t="s">
        <v>514</v>
      </c>
      <c r="G204" s="69" t="s">
        <v>504</v>
      </c>
      <c r="H204" s="54" t="str">
        <f>IFERROR(INDEX('الإعدادات واللجنة'!$C$24:$C$32,MATCH(LEFT(A204,3),'الإعدادات واللجنة'!$A$24:$A$32,0)),"")</f>
        <v>د. حسن بن سعد القحطاني</v>
      </c>
      <c r="I204" s="55"/>
      <c r="J204" s="55"/>
      <c r="K204" s="54" t="str">
        <f t="shared" si="3"/>
        <v/>
      </c>
      <c r="L204" s="56"/>
      <c r="M204" s="55"/>
      <c r="N204" s="56"/>
      <c r="O204" s="56"/>
      <c r="P204" s="55"/>
      <c r="Q204" s="56"/>
      <c r="R204" s="26" t="str">
        <f>IF($I204="","",$I204&amp;"#"&amp;COUNTIF($I$5:$I204,$I204))</f>
        <v/>
      </c>
    </row>
    <row r="205" spans="1:18" ht="44" x14ac:dyDescent="0.55000000000000004">
      <c r="A205" s="46" t="s">
        <v>512</v>
      </c>
      <c r="B205" s="63" t="s">
        <v>132</v>
      </c>
      <c r="C205" s="44"/>
      <c r="D205" s="45"/>
      <c r="E205" s="46">
        <v>2</v>
      </c>
      <c r="F205" s="44" t="s">
        <v>515</v>
      </c>
      <c r="G205" s="70" t="s">
        <v>504</v>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x14ac:dyDescent="0.55000000000000004">
      <c r="A206" s="46" t="s">
        <v>512</v>
      </c>
      <c r="B206" s="63" t="s">
        <v>132</v>
      </c>
      <c r="C206" s="44"/>
      <c r="D206" s="45"/>
      <c r="E206" s="46">
        <v>3</v>
      </c>
      <c r="F206" s="44" t="s">
        <v>516</v>
      </c>
      <c r="G206" s="70" t="s">
        <v>504</v>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66" x14ac:dyDescent="0.55000000000000004">
      <c r="A207" s="60" t="s">
        <v>517</v>
      </c>
      <c r="B207" s="66" t="s">
        <v>132</v>
      </c>
      <c r="C207" s="61" t="s">
        <v>518</v>
      </c>
      <c r="D207" s="62"/>
      <c r="E207" s="54">
        <v>1</v>
      </c>
      <c r="F207" s="61" t="s">
        <v>519</v>
      </c>
      <c r="G207" s="69" t="s">
        <v>504</v>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x14ac:dyDescent="0.55000000000000004">
      <c r="A208" s="46" t="s">
        <v>517</v>
      </c>
      <c r="B208" s="63" t="s">
        <v>132</v>
      </c>
      <c r="C208" s="44"/>
      <c r="D208" s="45"/>
      <c r="E208" s="46">
        <v>2</v>
      </c>
      <c r="F208" s="44" t="s">
        <v>520</v>
      </c>
      <c r="G208" s="70" t="s">
        <v>504</v>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row r="209" spans="1:18" ht="44" x14ac:dyDescent="0.55000000000000004">
      <c r="A209" s="46" t="s">
        <v>517</v>
      </c>
      <c r="B209" s="63" t="s">
        <v>132</v>
      </c>
      <c r="C209" s="44"/>
      <c r="D209" s="45"/>
      <c r="E209" s="46">
        <v>3</v>
      </c>
      <c r="F209" s="44" t="s">
        <v>521</v>
      </c>
      <c r="G209" s="70" t="s">
        <v>504</v>
      </c>
      <c r="H209" s="46" t="str">
        <f>IFERROR(INDEX('الإعدادات واللجنة'!$C$24:$C$32,MATCH(LEFT(A209,3),'الإعدادات واللجنة'!$A$24:$A$32,0)),"")</f>
        <v>د. حسن بن سعد القحطاني</v>
      </c>
      <c r="I209" s="38"/>
      <c r="J209" s="38"/>
      <c r="K209" s="46" t="str">
        <f t="shared" si="3"/>
        <v/>
      </c>
      <c r="L209" s="48"/>
      <c r="M209" s="38"/>
      <c r="N209" s="48"/>
      <c r="O209" s="48"/>
      <c r="P209" s="38"/>
      <c r="Q209" s="48"/>
      <c r="R209" s="26" t="str">
        <f>IF($I209="","",$I209&amp;"#"&amp;COUNTIF($I$5:$I209,$I209))</f>
        <v/>
      </c>
    </row>
    <row r="210" spans="1:18" ht="44" x14ac:dyDescent="0.55000000000000004">
      <c r="A210" s="60" t="s">
        <v>522</v>
      </c>
      <c r="B210" s="66" t="s">
        <v>132</v>
      </c>
      <c r="C210" s="61" t="s">
        <v>523</v>
      </c>
      <c r="D210" s="62"/>
      <c r="E210" s="54">
        <v>1</v>
      </c>
      <c r="F210" s="61" t="s">
        <v>524</v>
      </c>
      <c r="G210" s="69" t="s">
        <v>504</v>
      </c>
      <c r="H210" s="54" t="str">
        <f>IFERROR(INDEX('الإعدادات واللجنة'!$C$24:$C$32,MATCH(LEFT(A210,3),'الإعدادات واللجنة'!$A$24:$A$32,0)),"")</f>
        <v>د. حسن بن سعد القحطاني</v>
      </c>
      <c r="I210" s="55"/>
      <c r="J210" s="55"/>
      <c r="K210" s="54" t="str">
        <f t="shared" si="3"/>
        <v/>
      </c>
      <c r="L210" s="56"/>
      <c r="M210" s="55"/>
      <c r="N210" s="56"/>
      <c r="O210" s="56"/>
      <c r="P210" s="55"/>
      <c r="Q210" s="56"/>
      <c r="R210" s="26" t="str">
        <f>IF($I210="","",$I210&amp;"#"&amp;COUNTIF($I$5:$I210,$I210))</f>
        <v/>
      </c>
    </row>
    <row r="211" spans="1:18" ht="44" x14ac:dyDescent="0.55000000000000004">
      <c r="A211" s="46" t="s">
        <v>522</v>
      </c>
      <c r="B211" s="63" t="s">
        <v>132</v>
      </c>
      <c r="C211" s="44"/>
      <c r="D211" s="45"/>
      <c r="E211" s="46">
        <v>2</v>
      </c>
      <c r="F211" s="44" t="s">
        <v>525</v>
      </c>
      <c r="G211" s="70" t="s">
        <v>504</v>
      </c>
      <c r="H211" s="46" t="str">
        <f>IFERROR(INDEX('الإعدادات واللجنة'!$C$24:$C$32,MATCH(LEFT(A211,3),'الإعدادات واللجنة'!$A$24:$A$32,0)),"")</f>
        <v>د. حسن بن سعد القحطاني</v>
      </c>
      <c r="I211" s="38"/>
      <c r="J211" s="38"/>
      <c r="K211" s="46" t="str">
        <f t="shared" si="3"/>
        <v/>
      </c>
      <c r="L211" s="48"/>
      <c r="M211" s="38"/>
      <c r="N211" s="48"/>
      <c r="O211" s="48"/>
      <c r="P211" s="38"/>
      <c r="Q211" s="48"/>
      <c r="R211" s="26" t="str">
        <f>IF($I211="","",$I211&amp;"#"&amp;COUNTIF($I$5:$I211,$I211))</f>
        <v/>
      </c>
    </row>
    <row r="212" spans="1:18" ht="44" x14ac:dyDescent="0.55000000000000004">
      <c r="A212" s="46" t="s">
        <v>522</v>
      </c>
      <c r="B212" s="63" t="s">
        <v>132</v>
      </c>
      <c r="C212" s="44"/>
      <c r="D212" s="45"/>
      <c r="E212" s="46">
        <v>3</v>
      </c>
      <c r="F212" s="44" t="s">
        <v>526</v>
      </c>
      <c r="G212" s="70" t="s">
        <v>504</v>
      </c>
      <c r="H212" s="46" t="str">
        <f>IFERROR(INDEX('الإعدادات واللجنة'!$C$24:$C$32,MATCH(LEFT(A212,3),'الإعدادات واللجنة'!$A$24:$A$32,0)),"")</f>
        <v>د. حسن بن سعد القحطاني</v>
      </c>
      <c r="I212" s="38"/>
      <c r="J212" s="38"/>
      <c r="K212" s="46" t="str">
        <f t="shared" si="3"/>
        <v/>
      </c>
      <c r="L212" s="48"/>
      <c r="M212" s="38"/>
      <c r="N212" s="48"/>
      <c r="O212" s="48"/>
      <c r="P212" s="38"/>
      <c r="Q212" s="48"/>
      <c r="R212" s="26" t="str">
        <f>IF($I212="","",$I212&amp;"#"&amp;COUNTIF($I$5:$I212,$I212))</f>
        <v/>
      </c>
    </row>
    <row r="213" spans="1:18" ht="44" x14ac:dyDescent="0.55000000000000004">
      <c r="A213" s="60" t="s">
        <v>527</v>
      </c>
      <c r="B213" s="66" t="s">
        <v>132</v>
      </c>
      <c r="C213" s="61" t="s">
        <v>528</v>
      </c>
      <c r="D213" s="62"/>
      <c r="E213" s="54">
        <v>1</v>
      </c>
      <c r="F213" s="61" t="s">
        <v>529</v>
      </c>
      <c r="G213" s="69" t="s">
        <v>504</v>
      </c>
      <c r="H213" s="54" t="str">
        <f>IFERROR(INDEX('الإعدادات واللجنة'!$C$24:$C$32,MATCH(LEFT(A213,3),'الإعدادات واللجنة'!$A$24:$A$32,0)),"")</f>
        <v>د. حسن بن سعد القحطاني</v>
      </c>
      <c r="I213" s="55"/>
      <c r="J213" s="55"/>
      <c r="K213" s="54" t="str">
        <f t="shared" si="3"/>
        <v/>
      </c>
      <c r="L213" s="56"/>
      <c r="M213" s="55"/>
      <c r="N213" s="56"/>
      <c r="O213" s="56"/>
      <c r="P213" s="55"/>
      <c r="Q213" s="56"/>
      <c r="R213" s="26" t="str">
        <f>IF($I213="","",$I213&amp;"#"&amp;COUNTIF($I$5:$I213,$I213))</f>
        <v/>
      </c>
    </row>
    <row r="214" spans="1:18" ht="44" x14ac:dyDescent="0.55000000000000004">
      <c r="A214" s="46" t="s">
        <v>527</v>
      </c>
      <c r="B214" s="63" t="s">
        <v>132</v>
      </c>
      <c r="C214" s="44"/>
      <c r="D214" s="45"/>
      <c r="E214" s="46">
        <v>2</v>
      </c>
      <c r="F214" s="44" t="s">
        <v>530</v>
      </c>
      <c r="G214" s="70" t="s">
        <v>504</v>
      </c>
      <c r="H214" s="46" t="str">
        <f>IFERROR(INDEX('الإعدادات واللجنة'!$C$24:$C$32,MATCH(LEFT(A214,3),'الإعدادات واللجنة'!$A$24:$A$32,0)),"")</f>
        <v>د. حسن بن سعد القحطاني</v>
      </c>
      <c r="I214" s="38"/>
      <c r="J214" s="38"/>
      <c r="K214" s="46" t="str">
        <f t="shared" si="3"/>
        <v/>
      </c>
      <c r="L214" s="48"/>
      <c r="M214" s="38"/>
      <c r="N214" s="48"/>
      <c r="O214" s="48"/>
      <c r="P214" s="38"/>
      <c r="Q214" s="48"/>
      <c r="R214" s="26" t="str">
        <f>IF($I214="","",$I214&amp;"#"&amp;COUNTIF($I$5:$I214,$I214))</f>
        <v/>
      </c>
    </row>
    <row r="215" spans="1:18" ht="44" x14ac:dyDescent="0.55000000000000004">
      <c r="A215" s="46" t="s">
        <v>527</v>
      </c>
      <c r="B215" s="63" t="s">
        <v>132</v>
      </c>
      <c r="C215" s="44"/>
      <c r="D215" s="45"/>
      <c r="E215" s="46">
        <v>3</v>
      </c>
      <c r="F215" s="44" t="s">
        <v>531</v>
      </c>
      <c r="G215" s="70" t="s">
        <v>504</v>
      </c>
      <c r="H215" s="46" t="str">
        <f>IFERROR(INDEX('الإعدادات واللجنة'!$C$24:$C$32,MATCH(LEFT(A215,3),'الإعدادات واللجنة'!$A$24:$A$32,0)),"")</f>
        <v>د. حسن بن سعد القحطاني</v>
      </c>
      <c r="I215" s="38"/>
      <c r="J215" s="38"/>
      <c r="K215" s="46" t="str">
        <f t="shared" si="3"/>
        <v/>
      </c>
      <c r="L215" s="48"/>
      <c r="M215" s="38"/>
      <c r="N215" s="48"/>
      <c r="O215" s="48"/>
      <c r="P215" s="38"/>
      <c r="Q215" s="48"/>
      <c r="R215" s="26" t="str">
        <f>IF($I215="","",$I215&amp;"#"&amp;COUNTIF($I$5:$I215,$I215))</f>
        <v/>
      </c>
    </row>
    <row r="216" spans="1:18" ht="44" x14ac:dyDescent="0.55000000000000004">
      <c r="A216" s="60" t="s">
        <v>532</v>
      </c>
      <c r="B216" s="66" t="s">
        <v>132</v>
      </c>
      <c r="C216" s="61" t="s">
        <v>533</v>
      </c>
      <c r="D216" s="62"/>
      <c r="E216" s="54">
        <v>1</v>
      </c>
      <c r="F216" s="61" t="s">
        <v>534</v>
      </c>
      <c r="G216" s="69" t="s">
        <v>504</v>
      </c>
      <c r="H216" s="54" t="str">
        <f>IFERROR(INDEX('الإعدادات واللجنة'!$C$24:$C$32,MATCH(LEFT(A216,3),'الإعدادات واللجنة'!$A$24:$A$32,0)),"")</f>
        <v>د. حسن بن سعد القحطاني</v>
      </c>
      <c r="I216" s="55"/>
      <c r="J216" s="55"/>
      <c r="K216" s="54" t="str">
        <f t="shared" si="3"/>
        <v/>
      </c>
      <c r="L216" s="56"/>
      <c r="M216" s="55"/>
      <c r="N216" s="56"/>
      <c r="O216" s="56"/>
      <c r="P216" s="55"/>
      <c r="Q216" s="56"/>
      <c r="R216" s="26" t="str">
        <f>IF($I216="","",$I216&amp;"#"&amp;COUNTIF($I$5:$I216,$I216))</f>
        <v/>
      </c>
    </row>
    <row r="217" spans="1:18" ht="44" x14ac:dyDescent="0.55000000000000004">
      <c r="A217" s="46" t="s">
        <v>532</v>
      </c>
      <c r="B217" s="63" t="s">
        <v>132</v>
      </c>
      <c r="C217" s="44"/>
      <c r="D217" s="45"/>
      <c r="E217" s="46">
        <v>2</v>
      </c>
      <c r="F217" s="44" t="s">
        <v>535</v>
      </c>
      <c r="G217" s="70" t="s">
        <v>504</v>
      </c>
      <c r="H217" s="46" t="str">
        <f>IFERROR(INDEX('الإعدادات واللجنة'!$C$24:$C$32,MATCH(LEFT(A217,3),'الإعدادات واللجنة'!$A$24:$A$32,0)),"")</f>
        <v>د. حسن بن سعد القحطاني</v>
      </c>
      <c r="I217" s="38"/>
      <c r="J217" s="38"/>
      <c r="K217" s="46" t="str">
        <f t="shared" si="3"/>
        <v/>
      </c>
      <c r="L217" s="48"/>
      <c r="M217" s="38"/>
      <c r="N217" s="48"/>
      <c r="O217" s="48"/>
      <c r="P217" s="38"/>
      <c r="Q217" s="48"/>
      <c r="R217" s="26" t="str">
        <f>IF($I217="","",$I217&amp;"#"&amp;COUNTIF($I$5:$I217,$I217))</f>
        <v/>
      </c>
    </row>
    <row r="218" spans="1:18" ht="44" x14ac:dyDescent="0.55000000000000004">
      <c r="A218" s="46" t="s">
        <v>532</v>
      </c>
      <c r="B218" s="63" t="s">
        <v>132</v>
      </c>
      <c r="C218" s="44"/>
      <c r="D218" s="45"/>
      <c r="E218" s="46">
        <v>3</v>
      </c>
      <c r="F218" s="44" t="s">
        <v>536</v>
      </c>
      <c r="G218" s="70" t="s">
        <v>504</v>
      </c>
      <c r="H218" s="46" t="str">
        <f>IFERROR(INDEX('الإعدادات واللجنة'!$C$24:$C$32,MATCH(LEFT(A218,3),'الإعدادات واللجنة'!$A$24:$A$32,0)),"")</f>
        <v>د. حسن بن سعد القحطاني</v>
      </c>
      <c r="I218" s="38"/>
      <c r="J218" s="38"/>
      <c r="K218" s="46" t="str">
        <f t="shared" si="3"/>
        <v/>
      </c>
      <c r="L218" s="48"/>
      <c r="M218" s="38"/>
      <c r="N218" s="48"/>
      <c r="O218" s="48"/>
      <c r="P218" s="38"/>
      <c r="Q218" s="48"/>
      <c r="R218" s="26" t="str">
        <f>IF($I218="","",$I218&amp;"#"&amp;COUNTIF($I$5:$I218,$I218))</f>
        <v/>
      </c>
    </row>
    <row r="219" spans="1:18" ht="66" x14ac:dyDescent="0.55000000000000004">
      <c r="A219" s="60" t="s">
        <v>537</v>
      </c>
      <c r="B219" s="66" t="s">
        <v>132</v>
      </c>
      <c r="C219" s="61" t="s">
        <v>538</v>
      </c>
      <c r="D219" s="62"/>
      <c r="E219" s="54">
        <v>1</v>
      </c>
      <c r="F219" s="61" t="s">
        <v>539</v>
      </c>
      <c r="G219" s="69" t="s">
        <v>504</v>
      </c>
      <c r="H219" s="54" t="str">
        <f>IFERROR(INDEX('الإعدادات واللجنة'!$C$24:$C$32,MATCH(LEFT(A219,3),'الإعدادات واللجنة'!$A$24:$A$32,0)),"")</f>
        <v>د. حسن بن سعد القحطاني</v>
      </c>
      <c r="I219" s="55"/>
      <c r="J219" s="55"/>
      <c r="K219" s="54" t="str">
        <f t="shared" si="3"/>
        <v/>
      </c>
      <c r="L219" s="56"/>
      <c r="M219" s="55"/>
      <c r="N219" s="56"/>
      <c r="O219" s="56"/>
      <c r="P219" s="55"/>
      <c r="Q219" s="56"/>
      <c r="R219" s="26" t="str">
        <f>IF($I219="","",$I219&amp;"#"&amp;COUNTIF($I$5:$I219,$I219))</f>
        <v/>
      </c>
    </row>
    <row r="220" spans="1:18" ht="44" x14ac:dyDescent="0.55000000000000004">
      <c r="A220" s="46" t="s">
        <v>537</v>
      </c>
      <c r="B220" s="63" t="s">
        <v>132</v>
      </c>
      <c r="C220" s="44"/>
      <c r="D220" s="45"/>
      <c r="E220" s="46">
        <v>2</v>
      </c>
      <c r="F220" s="44" t="s">
        <v>540</v>
      </c>
      <c r="G220" s="70" t="s">
        <v>504</v>
      </c>
      <c r="H220" s="46" t="str">
        <f>IFERROR(INDEX('الإعدادات واللجنة'!$C$24:$C$32,MATCH(LEFT(A220,3),'الإعدادات واللجنة'!$A$24:$A$32,0)),"")</f>
        <v>د. حسن بن سعد القحطاني</v>
      </c>
      <c r="I220" s="38"/>
      <c r="J220" s="38"/>
      <c r="K220" s="46" t="str">
        <f t="shared" si="3"/>
        <v/>
      </c>
      <c r="L220" s="48"/>
      <c r="M220" s="38"/>
      <c r="N220" s="48"/>
      <c r="O220" s="48"/>
      <c r="P220" s="38"/>
      <c r="Q220" s="48"/>
      <c r="R220" s="26" t="str">
        <f>IF($I220="","",$I220&amp;"#"&amp;COUNTIF($I$5:$I220,$I220))</f>
        <v/>
      </c>
    </row>
    <row r="221" spans="1:18" ht="44" x14ac:dyDescent="0.55000000000000004">
      <c r="A221" s="46" t="s">
        <v>537</v>
      </c>
      <c r="B221" s="63" t="s">
        <v>132</v>
      </c>
      <c r="C221" s="44"/>
      <c r="D221" s="45"/>
      <c r="E221" s="46">
        <v>3</v>
      </c>
      <c r="F221" s="44" t="s">
        <v>541</v>
      </c>
      <c r="G221" s="70" t="s">
        <v>504</v>
      </c>
      <c r="H221" s="46" t="str">
        <f>IFERROR(INDEX('الإعدادات واللجنة'!$C$24:$C$32,MATCH(LEFT(A221,3),'الإعدادات واللجنة'!$A$24:$A$32,0)),"")</f>
        <v>د. حسن بن سعد القحطاني</v>
      </c>
      <c r="I221" s="38"/>
      <c r="J221" s="38"/>
      <c r="K221" s="46" t="str">
        <f t="shared" si="3"/>
        <v/>
      </c>
      <c r="L221" s="48"/>
      <c r="M221" s="38"/>
      <c r="N221" s="48"/>
      <c r="O221" s="48"/>
      <c r="P221" s="38"/>
      <c r="Q221" s="48"/>
      <c r="R221" s="26" t="str">
        <f>IF($I221="","",$I221&amp;"#"&amp;COUNTIF($I$5:$I221,$I221))</f>
        <v/>
      </c>
    </row>
    <row r="222" spans="1:18" ht="44" x14ac:dyDescent="0.55000000000000004">
      <c r="A222" s="60" t="s">
        <v>542</v>
      </c>
      <c r="B222" s="66" t="s">
        <v>132</v>
      </c>
      <c r="C222" s="61" t="s">
        <v>543</v>
      </c>
      <c r="D222" s="62"/>
      <c r="E222" s="54">
        <v>1</v>
      </c>
      <c r="F222" s="61" t="s">
        <v>544</v>
      </c>
      <c r="G222" s="69" t="s">
        <v>504</v>
      </c>
      <c r="H222" s="54" t="str">
        <f>IFERROR(INDEX('الإعدادات واللجنة'!$C$24:$C$32,MATCH(LEFT(A222,3),'الإعدادات واللجنة'!$A$24:$A$32,0)),"")</f>
        <v>د. حسن بن سعد القحطاني</v>
      </c>
      <c r="I222" s="55"/>
      <c r="J222" s="55"/>
      <c r="K222" s="54" t="str">
        <f t="shared" si="3"/>
        <v/>
      </c>
      <c r="L222" s="56"/>
      <c r="M222" s="55"/>
      <c r="N222" s="56"/>
      <c r="O222" s="56"/>
      <c r="P222" s="55"/>
      <c r="Q222" s="56"/>
      <c r="R222" s="26" t="str">
        <f>IF($I222="","",$I222&amp;"#"&amp;COUNTIF($I$5:$I222,$I222))</f>
        <v/>
      </c>
    </row>
    <row r="223" spans="1:18" ht="44" x14ac:dyDescent="0.55000000000000004">
      <c r="A223" s="46" t="s">
        <v>542</v>
      </c>
      <c r="B223" s="63" t="s">
        <v>132</v>
      </c>
      <c r="C223" s="44"/>
      <c r="D223" s="45"/>
      <c r="E223" s="46">
        <v>2</v>
      </c>
      <c r="F223" s="44" t="s">
        <v>545</v>
      </c>
      <c r="G223" s="70" t="s">
        <v>504</v>
      </c>
      <c r="H223" s="46" t="str">
        <f>IFERROR(INDEX('الإعدادات واللجنة'!$C$24:$C$32,MATCH(LEFT(A223,3),'الإعدادات واللجنة'!$A$24:$A$32,0)),"")</f>
        <v>د. حسن بن سعد القحطاني</v>
      </c>
      <c r="I223" s="38"/>
      <c r="J223" s="38"/>
      <c r="K223" s="46" t="str">
        <f t="shared" si="3"/>
        <v/>
      </c>
      <c r="L223" s="48"/>
      <c r="M223" s="38"/>
      <c r="N223" s="48"/>
      <c r="O223" s="48"/>
      <c r="P223" s="38"/>
      <c r="Q223" s="48"/>
      <c r="R223" s="26" t="str">
        <f>IF($I223="","",$I223&amp;"#"&amp;COUNTIF($I$5:$I223,$I223))</f>
        <v/>
      </c>
    </row>
    <row r="224" spans="1:18" ht="44" x14ac:dyDescent="0.55000000000000004">
      <c r="A224" s="46" t="s">
        <v>542</v>
      </c>
      <c r="B224" s="63" t="s">
        <v>132</v>
      </c>
      <c r="C224" s="44"/>
      <c r="D224" s="45"/>
      <c r="E224" s="46">
        <v>3</v>
      </c>
      <c r="F224" s="44" t="s">
        <v>546</v>
      </c>
      <c r="G224" s="70" t="s">
        <v>504</v>
      </c>
      <c r="H224" s="46" t="str">
        <f>IFERROR(INDEX('الإعدادات واللجنة'!$C$24:$C$32,MATCH(LEFT(A224,3),'الإعدادات واللجنة'!$A$24:$A$32,0)),"")</f>
        <v>د. حسن بن سعد القحطاني</v>
      </c>
      <c r="I224" s="38"/>
      <c r="J224" s="38"/>
      <c r="K224" s="46" t="str">
        <f t="shared" si="3"/>
        <v/>
      </c>
      <c r="L224" s="48"/>
      <c r="M224" s="38"/>
      <c r="N224" s="48"/>
      <c r="O224" s="48"/>
      <c r="P224" s="38"/>
      <c r="Q224" s="48"/>
      <c r="R224" s="26" t="str">
        <f>IF($I224="","",$I224&amp;"#"&amp;COUNTIF($I$5:$I224,$I224))</f>
        <v/>
      </c>
    </row>
    <row r="225" spans="1:18" ht="66" x14ac:dyDescent="0.55000000000000004">
      <c r="A225" s="60" t="s">
        <v>547</v>
      </c>
      <c r="B225" s="66" t="s">
        <v>132</v>
      </c>
      <c r="C225" s="61" t="s">
        <v>548</v>
      </c>
      <c r="D225" s="62"/>
      <c r="E225" s="54">
        <v>1</v>
      </c>
      <c r="F225" s="61" t="s">
        <v>549</v>
      </c>
      <c r="G225" s="69" t="s">
        <v>504</v>
      </c>
      <c r="H225" s="54" t="str">
        <f>IFERROR(INDEX('الإعدادات واللجنة'!$C$24:$C$32,MATCH(LEFT(A225,3),'الإعدادات واللجنة'!$A$24:$A$32,0)),"")</f>
        <v>د. حسن بن سعد القحطاني</v>
      </c>
      <c r="I225" s="55"/>
      <c r="J225" s="55"/>
      <c r="K225" s="54" t="str">
        <f t="shared" si="3"/>
        <v/>
      </c>
      <c r="L225" s="56"/>
      <c r="M225" s="55"/>
      <c r="N225" s="56"/>
      <c r="O225" s="56"/>
      <c r="P225" s="55"/>
      <c r="Q225" s="56"/>
      <c r="R225" s="26" t="str">
        <f>IF($I225="","",$I225&amp;"#"&amp;COUNTIF($I$5:$I225,$I225))</f>
        <v/>
      </c>
    </row>
    <row r="226" spans="1:18" ht="44" x14ac:dyDescent="0.55000000000000004">
      <c r="A226" s="46" t="s">
        <v>547</v>
      </c>
      <c r="B226" s="63" t="s">
        <v>132</v>
      </c>
      <c r="C226" s="44"/>
      <c r="D226" s="45"/>
      <c r="E226" s="46">
        <v>2</v>
      </c>
      <c r="F226" s="44" t="s">
        <v>550</v>
      </c>
      <c r="G226" s="70" t="s">
        <v>504</v>
      </c>
      <c r="H226" s="46" t="str">
        <f>IFERROR(INDEX('الإعدادات واللجنة'!$C$24:$C$32,MATCH(LEFT(A226,3),'الإعدادات واللجنة'!$A$24:$A$32,0)),"")</f>
        <v>د. حسن بن سعد القحطاني</v>
      </c>
      <c r="I226" s="38"/>
      <c r="J226" s="38"/>
      <c r="K226" s="46" t="str">
        <f t="shared" si="3"/>
        <v/>
      </c>
      <c r="L226" s="48"/>
      <c r="M226" s="38"/>
      <c r="N226" s="48"/>
      <c r="O226" s="48"/>
      <c r="P226" s="38"/>
      <c r="Q226" s="48"/>
      <c r="R226" s="26" t="str">
        <f>IF($I226="","",$I226&amp;"#"&amp;COUNTIF($I$5:$I226,$I226))</f>
        <v/>
      </c>
    </row>
    <row r="227" spans="1:18" ht="44" x14ac:dyDescent="0.55000000000000004">
      <c r="A227" s="46" t="s">
        <v>547</v>
      </c>
      <c r="B227" s="63" t="s">
        <v>132</v>
      </c>
      <c r="C227" s="44"/>
      <c r="D227" s="45"/>
      <c r="E227" s="46">
        <v>3</v>
      </c>
      <c r="F227" s="44" t="s">
        <v>551</v>
      </c>
      <c r="G227" s="70" t="s">
        <v>504</v>
      </c>
      <c r="H227" s="46" t="str">
        <f>IFERROR(INDEX('الإعدادات واللجنة'!$C$24:$C$32,MATCH(LEFT(A227,3),'الإعدادات واللجنة'!$A$24:$A$32,0)),"")</f>
        <v>د. حسن بن سعد القحطاني</v>
      </c>
      <c r="I227" s="38"/>
      <c r="J227" s="38"/>
      <c r="K227" s="46" t="str">
        <f t="shared" si="3"/>
        <v/>
      </c>
      <c r="L227" s="48"/>
      <c r="M227" s="38"/>
      <c r="N227" s="48"/>
      <c r="O227" s="48"/>
      <c r="P227" s="38"/>
      <c r="Q227" s="48"/>
      <c r="R227" s="26" t="str">
        <f>IF($I227="","",$I227&amp;"#"&amp;COUNTIF($I$5:$I227,$I227))</f>
        <v/>
      </c>
    </row>
    <row r="228" spans="1:18" ht="44" x14ac:dyDescent="0.55000000000000004">
      <c r="A228" s="49" t="s">
        <v>552</v>
      </c>
      <c r="B228" s="64" t="s">
        <v>132</v>
      </c>
      <c r="C228" s="50" t="s">
        <v>553</v>
      </c>
      <c r="D228" s="51" t="s">
        <v>208</v>
      </c>
      <c r="E228" s="52">
        <v>1</v>
      </c>
      <c r="F228" s="50" t="s">
        <v>554</v>
      </c>
      <c r="G228" s="69" t="s">
        <v>504</v>
      </c>
      <c r="H228" s="54" t="str">
        <f>IFERROR(INDEX('الإعدادات واللجنة'!$C$24:$C$32,MATCH(LEFT(A228,3),'الإعدادات واللجنة'!$A$24:$A$32,0)),"")</f>
        <v>د. حسن بن سعد القحطاني</v>
      </c>
      <c r="I228" s="55"/>
      <c r="J228" s="55"/>
      <c r="K228" s="54" t="str">
        <f t="shared" si="3"/>
        <v/>
      </c>
      <c r="L228" s="56"/>
      <c r="M228" s="55"/>
      <c r="N228" s="56"/>
      <c r="O228" s="56"/>
      <c r="P228" s="55"/>
      <c r="Q228" s="56"/>
      <c r="R228" s="26" t="str">
        <f>IF($I228="","",$I228&amp;"#"&amp;COUNTIF($I$5:$I228,$I228))</f>
        <v/>
      </c>
    </row>
    <row r="229" spans="1:18" ht="44" x14ac:dyDescent="0.55000000000000004">
      <c r="A229" s="57" t="s">
        <v>552</v>
      </c>
      <c r="B229" s="65" t="s">
        <v>132</v>
      </c>
      <c r="C229" s="58"/>
      <c r="D229" s="59" t="s">
        <v>208</v>
      </c>
      <c r="E229" s="57">
        <v>2</v>
      </c>
      <c r="F229" s="58" t="s">
        <v>555</v>
      </c>
      <c r="G229" s="70" t="s">
        <v>504</v>
      </c>
      <c r="H229" s="46" t="str">
        <f>IFERROR(INDEX('الإعدادات واللجنة'!$C$24:$C$32,MATCH(LEFT(A229,3),'الإعدادات واللجنة'!$A$24:$A$32,0)),"")</f>
        <v>د. حسن بن سعد القحطاني</v>
      </c>
      <c r="I229" s="38"/>
      <c r="J229" s="38"/>
      <c r="K229" s="46" t="str">
        <f t="shared" si="3"/>
        <v/>
      </c>
      <c r="L229" s="48"/>
      <c r="M229" s="38"/>
      <c r="N229" s="48"/>
      <c r="O229" s="48"/>
      <c r="P229" s="38"/>
      <c r="Q229" s="48"/>
      <c r="R229" s="26" t="str">
        <f>IF($I229="","",$I229&amp;"#"&amp;COUNTIF($I$5:$I229,$I229))</f>
        <v/>
      </c>
    </row>
    <row r="230" spans="1:18" ht="44" x14ac:dyDescent="0.55000000000000004">
      <c r="A230" s="57" t="s">
        <v>552</v>
      </c>
      <c r="B230" s="65" t="s">
        <v>132</v>
      </c>
      <c r="C230" s="58"/>
      <c r="D230" s="59" t="s">
        <v>208</v>
      </c>
      <c r="E230" s="57">
        <v>3</v>
      </c>
      <c r="F230" s="58" t="s">
        <v>556</v>
      </c>
      <c r="G230" s="70" t="s">
        <v>504</v>
      </c>
      <c r="H230" s="46" t="str">
        <f>IFERROR(INDEX('الإعدادات واللجنة'!$C$24:$C$32,MATCH(LEFT(A230,3),'الإعدادات واللجنة'!$A$24:$A$32,0)),"")</f>
        <v>د. حسن بن سعد القحطاني</v>
      </c>
      <c r="I230" s="38"/>
      <c r="J230" s="38"/>
      <c r="K230" s="46" t="str">
        <f t="shared" si="3"/>
        <v/>
      </c>
      <c r="L230" s="48"/>
      <c r="M230" s="38"/>
      <c r="N230" s="48"/>
      <c r="O230" s="48"/>
      <c r="P230" s="38"/>
      <c r="Q230" s="48"/>
      <c r="R230" s="26" t="str">
        <f>IF($I230="","",$I230&amp;"#"&amp;COUNTIF($I$5:$I230,$I230))</f>
        <v/>
      </c>
    </row>
  </sheetData>
  <mergeCells count="2">
    <mergeCell ref="A1:H1"/>
    <mergeCell ref="A2:Q2"/>
  </mergeCells>
  <conditionalFormatting sqref="I5:I230">
    <cfRule type="cellIs" dxfId="8" priority="2" operator="equal">
      <formula>"متوفر ومكتمل"</formula>
    </cfRule>
    <cfRule type="cellIs" dxfId="7" priority="3" operator="equal">
      <formula>"متوفر ويحتاج تحسين"</formula>
    </cfRule>
    <cfRule type="cellIs" dxfId="6" priority="4" operator="equal">
      <formula>"غير متوفر"</formula>
    </cfRule>
  </conditionalFormatting>
  <conditionalFormatting sqref="J5:J230 L5:M230">
    <cfRule type="expression" dxfId="5" priority="101">
      <formula>AND($I5="متوفر ومكتمل",J5&lt;&gt;"")</formula>
    </cfRule>
    <cfRule type="expression" dxfId="4" priority="102">
      <formula>$I5="متوفر ومكتمل"</formula>
    </cfRule>
  </conditionalFormatting>
  <conditionalFormatting sqref="J5:J230">
    <cfRule type="expression" dxfId="3" priority="103">
      <formula>AND(OR($I5="متوفر ويحتاج تحسين",$I5="غير متوفر"),J5="")</formula>
    </cfRule>
  </conditionalFormatting>
  <conditionalFormatting sqref="K5:K230">
    <cfRule type="cellIs" dxfId="2" priority="5" operator="equal">
      <formula>"عالية"</formula>
    </cfRule>
  </conditionalFormatting>
  <conditionalFormatting sqref="P5:P230">
    <cfRule type="cellIs" dxfId="1" priority="6" operator="equal">
      <formula>"تمت"</formula>
    </cfRule>
    <cfRule type="cellIs" dxfId="0" priority="7" operator="equal">
      <formula>"تحتاج تعديل"</formula>
    </cfRule>
  </conditionalFormatting>
  <dataValidations count="4">
    <dataValidation type="list" allowBlank="1" sqref="I5:I230" xr:uid="{00000000-0002-0000-0700-000000000000}">
      <formula1>"متوفر ومكتمل,متوفر ويحتاج تحسين,غير متوفر"</formula1>
      <formula2>0</formula2>
    </dataValidation>
    <dataValidation type="list" allowBlank="1" sqref="J5:J230" xr:uid="{00000000-0002-0000-0700-000001000000}">
      <formula1>"فجوة توثيق,فجوة تطبيق"</formula1>
      <formula2>0</formula2>
    </dataValidation>
    <dataValidation type="list" allowBlank="1" sqref="M5:M230" xr:uid="{00000000-0002-0000-0700-000002000000}">
      <formula1>"خلال المرحلة الأولى,خلال فصل دراسي,خلال سنة دراسية"</formula1>
      <formula2>0</formula2>
    </dataValidation>
    <dataValidation type="list" allowBlank="1" sqref="P5:P230" xr:uid="{00000000-0002-0000-07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خطة العمل</vt:lpstr>
      <vt:lpstr>الإعدادات واللجنة</vt:lpstr>
      <vt:lpstr>لوحة المتابعة</vt:lpstr>
      <vt:lpstr>تقرير الأدلة</vt:lpstr>
      <vt:lpstr>متطلبات التقدم للاعتماد</vt:lpstr>
      <vt:lpstr>أمثلة التصنيف</vt:lpstr>
      <vt:lpstr>فحص-حاسب-بكالوريوس</vt:lpstr>
      <vt:lpstr>فحص-بيانات-بكالوريوس</vt:lpstr>
      <vt:lpstr>فحص-بيانات-ماجستير</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Nahlah Algethami</dc:creator>
  <cp:keywords/>
  <dc:description/>
  <cp:lastModifiedBy>نهلة سعد عويض القثامي</cp:lastModifiedBy>
  <dcterms:created xsi:type="dcterms:W3CDTF">2026-10-22T09:30:40Z</dcterms:created>
  <dcterms:modified xsi:type="dcterms:W3CDTF">2026-10-27T08:00:36Z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437834d-a884-421a-b14d-4e9522201396_Enabled">
    <vt:lpwstr>true</vt:lpwstr>
  </property>
  <property fmtid="{D5CDD505-2E9C-101B-9397-08002B2CF9AE}" pid="3" name="MSIP_Label_b437834d-a884-421a-b14d-4e9522201396_SetDate">
    <vt:lpwstr>2026-10-21T12:10:33Z</vt:lpwstr>
  </property>
  <property fmtid="{D5CDD505-2E9C-101B-9397-08002B2CF9AE}" pid="4" name="MSIP_Label_b437834d-a884-421a-b14d-4e9522201396_Method">
    <vt:lpwstr>Standard</vt:lpwstr>
  </property>
  <property fmtid="{D5CDD505-2E9C-101B-9397-08002B2CF9AE}" pid="5" name="MSIP_Label_b437834d-a884-421a-b14d-4e9522201396_Name">
    <vt:lpwstr>Data classification -not allowed</vt:lpwstr>
  </property>
  <property fmtid="{D5CDD505-2E9C-101B-9397-08002B2CF9AE}" pid="6" name="MSIP_Label_b437834d-a884-421a-b14d-4e9522201396_SiteId">
    <vt:lpwstr>1f00763a-1f87-473b-bba1-b6c746af03e4</vt:lpwstr>
  </property>
  <property fmtid="{D5CDD505-2E9C-101B-9397-08002B2CF9AE}" pid="7" name="MSIP_Label_b437834d-a884-421a-b14d-4e9522201396_ActionId">
    <vt:lpwstr>dd306bc3-ed3a-441a-9373-6893e39acae9</vt:lpwstr>
  </property>
  <property fmtid="{D5CDD505-2E9C-101B-9397-08002B2CF9AE}" pid="8" name="MSIP_Label_b437834d-a884-421a-b14d-4e9522201396_ContentBits">
    <vt:lpwstr>2</vt:lpwstr>
  </property>
  <property fmtid="{D5CDD505-2E9C-101B-9397-08002B2CF9AE}" pid="9" name="MSIP_Label_b437834d-a884-421a-b14d-4e9522201396_Tag">
    <vt:lpwstr>50, 3, 0, 1</vt:lpwstr>
  </property>
</Properties>
</file>