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خطة واللجنة" sheetId="1" state="visible" r:id="rId3"/>
    <sheet name="الملخص" sheetId="2" state="visible" r:id="rId4"/>
    <sheet name="فحص-البرنامج1" sheetId="3" state="visible" r:id="rId5"/>
    <sheet name="فحص-البرنامج2" sheetId="4" state="visible" r:id="rId6"/>
  </sheets>
  <definedNames>
    <definedName function="false" hidden="true" localSheetId="2" name="_xlnm._FilterDatabase" vbProcedure="false">'فحص-البرنامج1'!$A$3:$L$207</definedName>
    <definedName function="false" hidden="true" localSheetId="3" name="_xlnm._FilterDatabase" vbProcedure="false">'فحص-البرنامج2'!$A$3:$L$207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<sst xmlns="http://schemas.openxmlformats.org/spreadsheetml/2006/main" count="1186" uniqueCount="401">
  <si>
    <t xml:space="preserve">خطة المرحلة الأولى للاعتماد البرامجي: التحقق من الأدلة وتحديد الفجوات</t>
  </si>
  <si>
    <t xml:space="preserve">الهدف: التحقق من وجود أدلة كل معيار وجودتها في البرنامجين، وتحديد الفجوات وخطة معالجتها خلال 6 أسابيع.</t>
  </si>
  <si>
    <t xml:space="preserve">البرنامج الأول</t>
  </si>
  <si>
    <t xml:space="preserve">بكالوريوس علوم البيانات</t>
  </si>
  <si>
    <t xml:space="preserve">البرنامج الثاني</t>
  </si>
  <si>
    <t xml:space="preserve">بكالوريوس علوم الحاسب</t>
  </si>
  <si>
    <t xml:space="preserve">① الخطة الزمنية</t>
  </si>
  <si>
    <t xml:space="preserve">الأسبوع</t>
  </si>
  <si>
    <t xml:space="preserve">العمل</t>
  </si>
  <si>
    <t xml:space="preserve">المسؤول</t>
  </si>
  <si>
    <t xml:space="preserve">المخرج</t>
  </si>
  <si>
    <t xml:space="preserve">تم ✓</t>
  </si>
  <si>
    <t xml:space="preserve">1</t>
  </si>
  <si>
    <t xml:space="preserve">اجتماع الانطلاق: شرح الدليل وطريقة التقييم، توزيع المهام، إنشاء مجلد الأدلة (مجلد لكل برنامج ← لكل معيار)، وتقييم 3 أدلة معاً لتوحيد الحكم</t>
  </si>
  <si>
    <t xml:space="preserve">رئيس اللجنة + المنسق</t>
  </si>
  <si>
    <t xml:space="preserve">توزيع معتمد + مجلد أدلة جاهز</t>
  </si>
  <si>
    <t xml:space="preserve">2 – 3</t>
  </si>
  <si>
    <t xml:space="preserve">جمع الأدلة للبرنامجين معاً وتعبئة "حالة الدليل" و"سبب النقص" في ورقتي الفحص، ومخاطبة الجهات المساندة للأدلة المؤسسية</t>
  </si>
  <si>
    <t xml:space="preserve">كل عضو في معاييره</t>
  </si>
  <si>
    <t xml:space="preserve">ورقتا الفحص معبأتان</t>
  </si>
  <si>
    <t xml:space="preserve">4</t>
  </si>
  <si>
    <t xml:space="preserve">مراجعة متقاطعة: يراجع كل عضو عمل زميله في البرنامج الآخر، ويراجع الرئيس المعايير الأساسية ★</t>
  </si>
  <si>
    <t xml:space="preserve">الأعضاء + رئيس اللجنة</t>
  </si>
  <si>
    <t xml:space="preserve">نتائج مراجَعة ومعتمدة</t>
  </si>
  <si>
    <t xml:space="preserve">5</t>
  </si>
  <si>
    <t xml:space="preserve">كتابة الإجراء المطلوب والموعد لكل دليل ناقص، وتمييز الفجوات المشتركة بين البرنامجين لمعالجتها مرة واحدة</t>
  </si>
  <si>
    <t xml:space="preserve">خطة معالجة الفجوات</t>
  </si>
  <si>
    <t xml:space="preserve">6</t>
  </si>
  <si>
    <t xml:space="preserve">إعداد تقرير الجاهزية من ورقة الملخص وعرضه على مجلس القسم/الكلية لاعتماد خطة المعالجة</t>
  </si>
  <si>
    <t xml:space="preserve">تقرير جاهزية معتمد</t>
  </si>
  <si>
    <t xml:space="preserve">اجتماع متابعة أسبوعي قصير (45 دقيقة) يراجع ورقة الملخص والعوائق.</t>
  </si>
  <si>
    <t xml:space="preserve">② توزيع اللجنة (اكتب الأسماء في الخلايا الصفراء)</t>
  </si>
  <si>
    <t xml:space="preserve">م</t>
  </si>
  <si>
    <t xml:space="preserve">الاسم</t>
  </si>
  <si>
    <t xml:space="preserve">الدور</t>
  </si>
  <si>
    <t xml:space="preserve">المعايير المكلّف بها</t>
  </si>
  <si>
    <t xml:space="preserve">عدد الأدلة</t>
  </si>
  <si>
    <t xml:space="preserve">عضو 1</t>
  </si>
  <si>
    <t xml:space="preserve">رئيس اللجنة</t>
  </si>
  <si>
    <t xml:space="preserve">محور جودة التدريس وتقييم الطالب (2-3) للبرنامجين + مراجعة المعايير الأساسية ★</t>
  </si>
  <si>
    <t xml:space="preserve">عضو 2</t>
  </si>
  <si>
    <t xml:space="preserve">منسق اللجنة (مسؤول الأدلة والملخص)</t>
  </si>
  <si>
    <t xml:space="preserve">مجال مصادر التعلم والمرافق (5) للبرنامجين + تنظيم مجلد الأدلة</t>
  </si>
  <si>
    <t xml:space="preserve">عضو 3</t>
  </si>
  <si>
    <t xml:space="preserve">عضو</t>
  </si>
  <si>
    <t xml:space="preserve">مجال إدارة البرنامج وضمان الجودة (1) – البرنامج الأول</t>
  </si>
  <si>
    <t xml:space="preserve">عضو 4</t>
  </si>
  <si>
    <t xml:space="preserve">مجال إدارة البرنامج وضمان الجودة (1) – البرنامج الثاني</t>
  </si>
  <si>
    <t xml:space="preserve">عضو 5</t>
  </si>
  <si>
    <t xml:space="preserve">نواتج التعلم والمنهج الدراسي (2-1، 2-2) – البرنامج الأول</t>
  </si>
  <si>
    <t xml:space="preserve">عضو 6</t>
  </si>
  <si>
    <t xml:space="preserve">نواتج التعلم والمنهج الدراسي (2-1، 2-2) – البرنامج الثاني</t>
  </si>
  <si>
    <t xml:space="preserve">عضو 7</t>
  </si>
  <si>
    <t xml:space="preserve">مجالا الطالب (3) وهيئة التدريس (4) – البرنامج الأول</t>
  </si>
  <si>
    <t xml:space="preserve">عضو 8</t>
  </si>
  <si>
    <t xml:space="preserve">مجالا الطالب (3) وهيئة التدريس (4) – البرنامج الثاني</t>
  </si>
  <si>
    <t xml:space="preserve">المراجعة المتقاطعة (الأسبوع 4): العضو 3 ↔ 4، العضو 5 ↔ 6، العضو 7 ↔ 8، ويراجع الرئيس عمل المنسق، ويراجع العضوان 5 و6 عمل الرئيس.</t>
  </si>
  <si>
    <t xml:space="preserve">③ طريقة التقييم (لكل دليل خانتان فقط)</t>
  </si>
  <si>
    <t xml:space="preserve">الخانة</t>
  </si>
  <si>
    <t xml:space="preserve">الاختيارات</t>
  </si>
  <si>
    <t xml:space="preserve">حالة الدليل</t>
  </si>
  <si>
    <t xml:space="preserve">متوفر ومكتمل  •  متوفر ويحتاج تحسين  •  غير متوفر</t>
  </si>
  <si>
    <t xml:space="preserve">سبب النقص (إن وُجد)</t>
  </si>
  <si>
    <t xml:space="preserve">غير معتمد  •  غير محدّث  •  لا يغطي المعيار كاملاً  •  لا يثبت التطبيق الفعلي  •  لا توجد نتائج وتحسين</t>
  </si>
  <si>
    <t xml:space="preserve">الدليل "المكتمل"</t>
  </si>
  <si>
    <t xml:space="preserve">هو الدليل المعتمد رسمياً، المحدَّث، الذي يغطي المعيار كاملاً، ويثبت التطبيق الفعلي، ويتضمن نتائج وتحسيناً مبنياً عليها</t>
  </si>
  <si>
    <t xml:space="preserve">الأولوية (تلقائية)</t>
  </si>
  <si>
    <t xml:space="preserve">عالية: إذا كان الدليل غير متوفر أو كان المعيار أساسياً ★  •  متوسطة: بقية الأدلة التي تحتاج تحسيناً</t>
  </si>
  <si>
    <t xml:space="preserve">المعايير الأساسية ★</t>
  </si>
  <si>
    <t xml:space="preserve">15 معياراً مظللة بالأصفر في ورقتي الفحص – نبدأ بها لأنها تؤثر مباشرة في قرار الاعتماد</t>
  </si>
  <si>
    <t xml:space="preserve">ملخص الجاهزية (يتحدث تلقائياً)</t>
  </si>
  <si>
    <t xml:space="preserve">نسبة الاكتمال = الأدلة المتوفرة والمكتملة ÷ إجمالي الأدلة. استخدم الفلتر في ورقة الفحص على عمود "حالة الدليل" لعرض الفجوات.</t>
  </si>
  <si>
    <t xml:space="preserve">المجال</t>
  </si>
  <si>
    <t xml:space="preserve">مكتمل</t>
  </si>
  <si>
    <t xml:space="preserve">يحتاج تحسين</t>
  </si>
  <si>
    <t xml:space="preserve">غير متوفر</t>
  </si>
  <si>
    <t xml:space="preserve">لم يُقيَّم بعد</t>
  </si>
  <si>
    <t xml:space="preserve">نسبة الاكتمال</t>
  </si>
  <si>
    <t xml:space="preserve">فجوات عالية الأولوية</t>
  </si>
  <si>
    <t xml:space="preserve">1. إدارة البرنامج وضمان جودته</t>
  </si>
  <si>
    <t xml:space="preserve">2. التعليم والتعلم</t>
  </si>
  <si>
    <t xml:space="preserve">3. الطالب</t>
  </si>
  <si>
    <t xml:space="preserve">4. هيئة التدريس</t>
  </si>
  <si>
    <t xml:space="preserve">5. مصادر التعلم والمرافق والتجهيزات</t>
  </si>
  <si>
    <t xml:space="preserve">المعايير الأساسية ★ (15)</t>
  </si>
  <si>
    <t xml:space="preserve">الإجمالي</t>
  </si>
  <si>
    <t xml:space="preserve">أكثر أسباب النقص</t>
  </si>
  <si>
    <t xml:space="preserve">سبب النقص</t>
  </si>
  <si>
    <t xml:space="preserve">غير معتمد</t>
  </si>
  <si>
    <t xml:space="preserve">غير محدّث</t>
  </si>
  <si>
    <t xml:space="preserve">لا يغطي المعيار كاملاً</t>
  </si>
  <si>
    <t xml:space="preserve">لا يثبت التطبيق الفعلي</t>
  </si>
  <si>
    <t xml:space="preserve">لا توجد نتائج وتحسين</t>
  </si>
  <si>
    <t xml:space="preserve">عبّئ الخلايا الصفراء فقط: اختر حالة الدليل، وإن كان ناقصاً اختر السبب واكتب الإجراء والموعد. الصفوف المظللة = معايير أساسية ★</t>
  </si>
  <si>
    <t xml:space="preserve">الرمز</t>
  </si>
  <si>
    <t xml:space="preserve">نص المعيار</t>
  </si>
  <si>
    <t xml:space="preserve">أساسي</t>
  </si>
  <si>
    <t xml:space="preserve">الدليل / الشاهد المقترح</t>
  </si>
  <si>
    <t xml:space="preserve">الأولوية</t>
  </si>
  <si>
    <t xml:space="preserve">الإجراء المطلوب</t>
  </si>
  <si>
    <t xml:space="preserve">الموعد</t>
  </si>
  <si>
    <t xml:space="preserve">رابط / مسار الدليل</t>
  </si>
  <si>
    <t xml:space="preserve">ملاحظات</t>
  </si>
  <si>
    <t xml:space="preserve">1-1-1</t>
  </si>
  <si>
    <t xml:space="preserve">تتسق رسالة البرنامج وأهدافه مع رسالة المؤسسة/الكلية وتوجّه جميع عملياته وأنشطته.</t>
  </si>
  <si>
    <t xml:space="preserve">مصفوفة اتساق رسالة وأهداف البرنامج مع رسالة وأهداف الجامعة والكلية.</t>
  </si>
  <si>
    <t xml:space="preserve">إعلان رسالة وأهداف البرنامج على الموقع الإلكتروني للبرنامج.</t>
  </si>
  <si>
    <t xml:space="preserve">الخطة التشغيلية للبرنامج وتقاريرها وتشمل البحث العلمي وخدمة المجتمع.</t>
  </si>
  <si>
    <t xml:space="preserve">تقرير استطلاع رأي المستفيدين حول وضوح ونشر الرسالة والأهداف.</t>
  </si>
  <si>
    <t xml:space="preserve">2-1-1</t>
  </si>
  <si>
    <t xml:space="preserve">يتوفر لدى البرنامج العدد الكافي من الكوادر المؤهلة للقيام بالمهام الإدارية والمهنية والفنية، ولهم مهام وصلاحيات محددة.</t>
  </si>
  <si>
    <t xml:space="preserve">★</t>
  </si>
  <si>
    <t xml:space="preserve">قاعدة بيانات محدثة لأعضاء هيئة التدريس بالبرنامج والإداريين والفنيين.</t>
  </si>
  <si>
    <t xml:space="preserve">السير الذاتية لأعضاء هيئة التدريس، وقيادات البرنامج، والإداريين، والفنيين.</t>
  </si>
  <si>
    <t xml:space="preserve">نماذج من تشكيلات اللجان بالبرنامج محددة المهام.</t>
  </si>
  <si>
    <t xml:space="preserve">معايير اختيار القيادات الأكاديمية والإدارية.</t>
  </si>
  <si>
    <t xml:space="preserve">استبانة تقييم القيادات الأكاديمية والإدارية بالبرنامج.</t>
  </si>
  <si>
    <t xml:space="preserve">3-1-1</t>
  </si>
  <si>
    <t xml:space="preserve">يتوفر للبرنامج منظومة تحفيزية وبيئة أكاديمية داعمة.</t>
  </si>
  <si>
    <t xml:space="preserve">دليل جوائز التميز بالكلية/الجامعة.</t>
  </si>
  <si>
    <t xml:space="preserve">نماذج من شهادات (تميز/تقدير) منسوبي البرنامج والإداريين والفنيين.</t>
  </si>
  <si>
    <t xml:space="preserve">قائمة بالمرافق والتجهيزات التعليمية والبحثية للبرنامج.</t>
  </si>
  <si>
    <t xml:space="preserve">قائمة بالمرافق والتجهيزات الخاصة بالأنشطة اللاصفية بالبرنامج.</t>
  </si>
  <si>
    <t xml:space="preserve">تقييمات أعضاء هيئة التدريس والإداريين والفنيين والطلاب للمناخ التنظيمي والبيئة الأكاديمية.</t>
  </si>
  <si>
    <t xml:space="preserve">4-1-1</t>
  </si>
  <si>
    <t xml:space="preserve">يتم القياس المستمر لمؤشرات أداء البرنامج الرئيسة، وتُتخذ الإجراءات اللازمة للتحسين.</t>
  </si>
  <si>
    <t xml:space="preserve">تقرير مؤشرات الأداء الرئيسة للبرنامج.</t>
  </si>
  <si>
    <t xml:space="preserve">تقرير إنجاز الخطة التشغيلية للبرنامج مع خطة التحسين.</t>
  </si>
  <si>
    <t xml:space="preserve">5-1-1</t>
  </si>
  <si>
    <t xml:space="preserve">يوثّق البرنامج وينشر السياسات والحقوق والواجبات الخاصة بمنسوبيه بصورة معلنة، ويطبق آليات تضمن النزاهة والعدالة والمساواة في جميع ممارساته الأكاديمية والإدارية بين شطري الطلاب والطالبات والفروع (إن وجدت).</t>
  </si>
  <si>
    <t xml:space="preserve">لوحة/دليل موضح فيه السياسات والحقوق والواجبات وتكون معلنة.</t>
  </si>
  <si>
    <t xml:space="preserve">استطلاع رأي أعضاء هيئة التدريس والطلبة عن تطبيق إدارة البرنامج لآليات النزاهة والعدالة والمساواة.</t>
  </si>
  <si>
    <t xml:space="preserve">الشواهد على مدى تكافؤ الإمكانيات المادية والبشرية بين شطري الطالب والطالبات.</t>
  </si>
  <si>
    <t xml:space="preserve">تشكيل اللجان والمجالس العاملة بالقسم بما يتضمن إشراك الجنسين والفروع (إن وجدت)، وكذا تمويل الأبحاث والمشاريع وحضور المؤتمرات.</t>
  </si>
  <si>
    <t xml:space="preserve">6-1-1</t>
  </si>
  <si>
    <t xml:space="preserve">تستفيد إدارة البرنامج من آراء المختصين والخبراء في تشكيل لجنة استشارية متنوعة الأعضاء وموضحة المهام، وتخصص البرنامج في تقييم وتطوير وتحسين أدائه.</t>
  </si>
  <si>
    <t xml:space="preserve">قرار تشكيل اللجنة الاستشارية للبرنامج المتنوعة الأعضاء والموضح مهامها.</t>
  </si>
  <si>
    <t xml:space="preserve">نماذج من محاضر اللجنة الاستشارية للبرنامج متضمنة التوصيات وخطط تفعيلها.</t>
  </si>
  <si>
    <t xml:space="preserve">تقرير استطلاع رأي جهات التوظيف حول الخريجين وتوصيات وخطط التحسين.</t>
  </si>
  <si>
    <t xml:space="preserve">محاضر مجلس القسم متضمنة مناقشة توصيات اللجنة الاستشارية واستطلاع رأي جهات التوظيف وأي مقترحات تطوير من خبراء التخصص.</t>
  </si>
  <si>
    <t xml:space="preserve">7-1-1</t>
  </si>
  <si>
    <t xml:space="preserve">تتيح إدارة البرنامج معلومات موثوقة ومحدّثة تُبرز إنجازات البرنامج بما يتناسب مع احتياجات المستفيدين.</t>
  </si>
  <si>
    <t xml:space="preserve">الدليل التعريفي للبرنامج.</t>
  </si>
  <si>
    <t xml:space="preserve">الموقع الإلكتروني للبرنامج متضمناً توصيف البرنامج والمقررات الدراسية وأنشطته وإنجازاته محدّثاً.</t>
  </si>
  <si>
    <t xml:space="preserve">أنشطة لجنة خدمة المجتمع للتعريف بالبرنامج وإمكاناته والخدمات التي يقدمها للمجتمع.</t>
  </si>
  <si>
    <t xml:space="preserve">نماذج من إعلانات ولقاءات التعريف بالبرنامج مع المستفيدين.</t>
  </si>
  <si>
    <t xml:space="preserve">نتائج استطلاع رأي المستفيدين حول إتاحة المعلومات الخاصة بالبرنامج.</t>
  </si>
  <si>
    <t xml:space="preserve">8-1-1</t>
  </si>
  <si>
    <t xml:space="preserve">تلتزم إدارة البرنامج بتفعيل قيم الأمانة العلمية وحقوق الملكية الفكرية وقواعد الممارسات الأخلاقية والسلوك القويم في جميع المجالات والأنشطة الأكاديمية والبحثية والإدارية والخدمية.</t>
  </si>
  <si>
    <t xml:space="preserve">السياسات والإجراءات الموثقة التي يطبقها البرنامج بشأن عمليات الاقتباس والملكية الفكرية للطلبة وأعضاء هيئة التدريس.</t>
  </si>
  <si>
    <t xml:space="preserve">دليل الإطار الأخلاقي للطلبة ومنسوبي الجامعة.</t>
  </si>
  <si>
    <t xml:space="preserve">دليل أخلاقيات البحث العلمي.</t>
  </si>
  <si>
    <t xml:space="preserve">قائمة بالدورات التدريبية المتعلقة بقيم الأمانة العلمية وحقوق الملكية الفكرية وقواعد الممارسات الأخلاقية.</t>
  </si>
  <si>
    <t xml:space="preserve">نماذج من تعميمات رئيس القسم على ضرورة الالتزام بقيم الأمانة العلمية وحقوق الملكية الفكرية.</t>
  </si>
  <si>
    <t xml:space="preserve">عينات من تقارير فحص الاستلال العلمي لأعمال الطلبة.</t>
  </si>
  <si>
    <t xml:space="preserve">9-1-1</t>
  </si>
  <si>
    <t xml:space="preserve">تتبنى إدارة البرنامج آلية واضحة وإجراءات معتمدة من قِبل المؤسسة/الكلية للشكاوى والتظلم والقضايا التأديبية.</t>
  </si>
  <si>
    <t xml:space="preserve">سياسات وآليات الشكاوى والتظلم المعتمدة سواء للطالب أو أعضاء هيئة التدريس.</t>
  </si>
  <si>
    <t xml:space="preserve">نماذج من محاضر الرفع بالشكاوى والتظلمات وقرارات الرد عليها.</t>
  </si>
  <si>
    <t xml:space="preserve">نماذج من قرارات لجان التأديب.</t>
  </si>
  <si>
    <t xml:space="preserve">استطلاعات رأي المستفيدين حول عدالة التعامل مع الشكاوى والتظلمات.</t>
  </si>
  <si>
    <t xml:space="preserve">1-2-1</t>
  </si>
  <si>
    <t xml:space="preserve">تتبنى إدارة البرنامج نظاماً إدارياً كاملاً ومعلناً لضمان الجودة، ينسجم مع نظام الجودة المؤسسي.</t>
  </si>
  <si>
    <t xml:space="preserve">دليل ضمان الجودة بالبرنامج.</t>
  </si>
  <si>
    <t xml:space="preserve">دليل ضمان الجودة بالجامعة.</t>
  </si>
  <si>
    <t xml:space="preserve">الهيكل التنظيمي الموثق والمعلن للبرنامج متضمناً اللجان العاملة به.</t>
  </si>
  <si>
    <t xml:space="preserve">قرارات تشكيل لجان الجودة بالبرنامج.</t>
  </si>
  <si>
    <t xml:space="preserve">2-2-1</t>
  </si>
  <si>
    <t xml:space="preserve">يقوم البرنامج بتحليل مؤشرات الأداء الرئيسة وبيانات التقويم سنوياً، ويُستفاد منها في عمليات التخطيط والتطوير واتخاذ القرارات.</t>
  </si>
  <si>
    <t xml:space="preserve">تقارير قياس مؤشرات الأداء الرئيسة وتشمل المقارنات المرجعية.</t>
  </si>
  <si>
    <t xml:space="preserve">مناقشة تقارير قياس مؤشرات الأداء في مجلس القسم والخطط التحسينية والقرارات المبنية عليها.</t>
  </si>
  <si>
    <t xml:space="preserve">معايير البرنامج/المؤسسة لاختيار جهات المقارنة المرجعية.</t>
  </si>
  <si>
    <t xml:space="preserve">3-2-1</t>
  </si>
  <si>
    <t xml:space="preserve">يُجري البرنامج تقويماً دورياً شاملاً ووفق خطة للتحسين ويتابع تنفيذها.</t>
  </si>
  <si>
    <t xml:space="preserve">سياسات إجراء التقويم الدوري الشامل للبرنامج.</t>
  </si>
  <si>
    <t xml:space="preserve">تشكيلات لجان تنفيذ عمليات التقويم الدوري الشامل للبرنامج.</t>
  </si>
  <si>
    <t xml:space="preserve">تقارير التقويم الدوري الشامل للبرنامج مع الخطط التحسينية.</t>
  </si>
  <si>
    <t xml:space="preserve">مناقشة نتائج عملية التقويم الشامل في مجلس القسم.</t>
  </si>
  <si>
    <t xml:space="preserve">تقرير الدراسة الذاتية السابقة (إن وجد).</t>
  </si>
  <si>
    <t xml:space="preserve">تقارير متابعة الخطط التحسينية للبرنامج.</t>
  </si>
  <si>
    <t xml:space="preserve">1-1-2</t>
  </si>
  <si>
    <t xml:space="preserve">تُحدَّد نواتج تعلم البرنامج المستهدفة وتتواءم مع خصائص الخريجين على المستوى المؤسسي، ويتم اعتمادها من مجلس القسم والكلية ومراجعتها دورياً.</t>
  </si>
  <si>
    <t xml:space="preserve">توصيف البرنامج (يشمل نواتج تعلم البرنامج) معتمد من مجلس القسم والكلية.</t>
  </si>
  <si>
    <t xml:space="preserve">الدليل الإجرائي لصياغة وقياس نواتج التعلم على مستوى البرنامج / المؤسسة.</t>
  </si>
  <si>
    <t xml:space="preserve">مصفوفة الاتساق بين نواتج تعلم البرنامج والمعايير الأكاديمية التخصصية (الاختبارات المعيارية – جاهزية أو ما يكافئها).</t>
  </si>
  <si>
    <t xml:space="preserve">مصفوفة الاتساق بين نواتج تعلم البرنامج ورسالته.</t>
  </si>
  <si>
    <t xml:space="preserve">مصفوفة الاتساق بين نواتج تعلم البرنامج وخصائص خريجي الجامعة.</t>
  </si>
  <si>
    <t xml:space="preserve">استطلاعات رأي الطلاب والخريجين وجهات التوظيف حول مدى وضوح نواتج التعلم.</t>
  </si>
  <si>
    <t xml:space="preserve">تقارير اللجان المعنية التي تفيد مراجعة نواتج التعلم.</t>
  </si>
  <si>
    <t xml:space="preserve">عينة من وسائل إعلان نواتج التعلم مثل الموقع الإلكتروني للبرنامج وكتيب البرنامج.</t>
  </si>
  <si>
    <t xml:space="preserve">سياسات إجراء التقويم الدوري الشامل للبرنامج (وتشمل السياسات والإجراءات المعتمدة للمراجعة الدورية لنواتج تعلم البرنامج).</t>
  </si>
  <si>
    <t xml:space="preserve">تقرير توافق نواتج تعلم البرنامج مع الإطار الوطني للمؤهلات (نموذج الاتساق مع الإطار الوطني للمؤهلات).</t>
  </si>
  <si>
    <t xml:space="preserve">2-1-2</t>
  </si>
  <si>
    <t xml:space="preserve">تتوافق نواتج التعلم مع متطلبات الإطار الوطني للمؤهلات والمعايير التخصصية ومتطلبات سوق العمل.</t>
  </si>
  <si>
    <t xml:space="preserve">مصفوفة الاتساق بين نواتج تعلم البرنامج والمعايير التخصصية.</t>
  </si>
  <si>
    <t xml:space="preserve">تقارير استطلاعات رأي جهات التوظيف حول توافق نواتج التعلم مع متطلبات سوق العمل.</t>
  </si>
  <si>
    <t xml:space="preserve">نماذج من محاضر لجان ومجلس القسم لمناقشة توافق خصائص الخريجين ونواتج التعلم مع متطلبات سوق العمل.</t>
  </si>
  <si>
    <t xml:space="preserve">3-1-2</t>
  </si>
  <si>
    <t xml:space="preserve">يحدد البرنامج نواتج تعلم للمسارات المختلفة (إن وجدت).</t>
  </si>
  <si>
    <t xml:space="preserve">توصيف البرنامج (يشمل نواتج تعلم المسارات المختلفة بالبرنامج إن وجدت) معتمد من مجلس القسم والكلية.</t>
  </si>
  <si>
    <t xml:space="preserve">مصفوفة الاتساق بين نواتج التعلم المحددة بالمسارات المختلفة (إن وجدت) وخصائص خريجي الجامعة.</t>
  </si>
  <si>
    <t xml:space="preserve">استطلاعات الرأي المتعلقة بإشراك المستفيدين في تحديد نواتج التعلم في المسارات المختلفة.</t>
  </si>
  <si>
    <t xml:space="preserve">تقرير استطلاعات الرأي حول رضا المستفيدين عن مدى وضوح نواتج التعلم في المسارات المحددة بالبرنامج.</t>
  </si>
  <si>
    <t xml:space="preserve">4-1-2</t>
  </si>
  <si>
    <t xml:space="preserve">يطبق البرنامج آليات وأدوات مناسبة لقياس نواتج التعلم والتحقق من استيفائها وفق مستويات أداء وخطط تقييم محددة.</t>
  </si>
  <si>
    <t xml:space="preserve">خطة قياس نواتج تعلم البرنامج.</t>
  </si>
  <si>
    <t xml:space="preserve">تقرير البرنامج لآخر عامين موضحاً به تقييم نواتج التعلم وخطط التحسين المرتبطة بتقييم نواتج التعلم.</t>
  </si>
  <si>
    <t xml:space="preserve">تقارير قياس نواتج تعلم البرنامج والخطة التحسينية.</t>
  </si>
  <si>
    <t xml:space="preserve">5-1-2</t>
  </si>
  <si>
    <t xml:space="preserve">يتبنى البرنامج استراتيجيات واضحة ومعتمدة للتعليم والتعلم والتقييم تحقق فلسفته التعليمية وتكفل تحقيق نواتج التعلم في البرنامج.</t>
  </si>
  <si>
    <t xml:space="preserve">توصيف البرنامج (يشمل استراتيجيات التعليم والتعلم وطرق تقويم نواتج التعلم للبرنامج) معتمد من مجلس القسم والكلية.</t>
  </si>
  <si>
    <t xml:space="preserve">نماذج من تقارير المقررات والبرنامج تظهر الخطط التطويرية بها والمبنية على نتائج تقييم تحقق نواتج التعلم.</t>
  </si>
  <si>
    <t xml:space="preserve">الدورات التدريبية المقدمة لأعضاء هيئة التدريس حول استراتيجيات التدريس وأساليب التقويم.</t>
  </si>
  <si>
    <t xml:space="preserve">استطلاع رأي الطلاب حول استراتيجيات التعليم والتعلم وأساليب التقييم.</t>
  </si>
  <si>
    <t xml:space="preserve">1-2-2</t>
  </si>
  <si>
    <t xml:space="preserve">يراعي المنهج الدراسي تحقيق أهداف البرنامج ونواتجه التعليمية والتطورات العلمية والتقنية والمهنية في مجال التخصص، ويُراجع بصورة دورية.</t>
  </si>
  <si>
    <t xml:space="preserve">الدليل الإجرائي لاستحداث وتطوير البرامج والخطط الدراسية.</t>
  </si>
  <si>
    <t xml:space="preserve">توصيف البرنامج (يشمل مصفوفة الربط بين كل من نواتج تعلم البرنامج والمقررات) معتمد من مجلس القسم والكلية.</t>
  </si>
  <si>
    <t xml:space="preserve">توصيفات المقررات موضحاً بها أحدث الكتب والمراجع المقررة في مجال التخصص.</t>
  </si>
  <si>
    <t xml:space="preserve">محاضر اجتماع اللجنة الاستشارية واللجان المعنية ومجلس القسم التي ناقشت تطوير الخطة الدراسية.</t>
  </si>
  <si>
    <t xml:space="preserve">استطلاعات رأي الخريجين وأرباب العمل حول مواكبة نواتج تعلم البرنامج للتطورات العلمية والتقنية والمهنية.</t>
  </si>
  <si>
    <t xml:space="preserve">نماذج من محاضر مراجعة توصيف البرنامج وتوصيف المقررات متضمنة التطورات التي تم إقرارها.</t>
  </si>
  <si>
    <t xml:space="preserve">2-2-2</t>
  </si>
  <si>
    <t xml:space="preserve">تحقق الخطة الدراسية التوازن بين المتطلبات العامة ومتطلبات التخصص، وبين الجوانب النظرية والتطبيقية، كما تراعي التتابع والتكامل بين المقررات الدراسية.</t>
  </si>
  <si>
    <t xml:space="preserve">مصفوفة التوازن بين المتطلبات العامة (الكلية) ومتطلبات التخصص في الخطة الدراسية للبرنامج.</t>
  </si>
  <si>
    <t xml:space="preserve">مصفوفة التوازن بين الجوانب النظرية والتطبيقية في الخطة الدراسية للبرنامج وفق المقارنة المرجعية الخارجية.</t>
  </si>
  <si>
    <t xml:space="preserve">تقييم مراجع مستقل حول التوازن والتتابع والتكامل في الخطة الدراسية للبرنامج.</t>
  </si>
  <si>
    <t xml:space="preserve">3-2-2</t>
  </si>
  <si>
    <t xml:space="preserve">يراعى في بناء الخطة الدراسية للبرنامج تحديد متطلبات نقاط الخروج (إن وجدت) طبقاً للممارسات العالمية والبرامج المناظرة.</t>
  </si>
  <si>
    <t xml:space="preserve">تقرير مختصر معتمد يوضح نسب التوازن بين الجوانب النظرية والتطبيقية في خطة البرنامج.</t>
  </si>
  <si>
    <t xml:space="preserve">دليل البرنامج موضحاً به مسارات البرنامج ونقاط التخرج.</t>
  </si>
  <si>
    <t xml:space="preserve">المقارنات المرجعية التي تم الاستناد عليها في بناء نقاط الخروج.</t>
  </si>
  <si>
    <t xml:space="preserve">توصيف البرنامج موضحاً به نقاط الخروج (إن وجدت).</t>
  </si>
  <si>
    <t xml:space="preserve">4-2-2</t>
  </si>
  <si>
    <t xml:space="preserve">ترتبط نواتج التعلم بالمقررات بنواتج التعلم بالبرنامج (مصفوفة توزيع نواتج تعلم البرنامج على المقررات).</t>
  </si>
  <si>
    <t xml:space="preserve">توصيف الخبرة الميدانية (إن وجد).</t>
  </si>
  <si>
    <t xml:space="preserve">دليل التدريب الميداني/التعاوني (إن وجد).</t>
  </si>
  <si>
    <t xml:space="preserve">توصيف البرنامج المعتمد (جزئية استراتيجيات التدريس وطرق التقويم) مع آراء المحكمين له (إن وجدت) حول توافق ومناسبة استراتيجيات التعليم والتعلم وطرق التقييم.</t>
  </si>
  <si>
    <t xml:space="preserve">5-2-2</t>
  </si>
  <si>
    <t xml:space="preserve">تتنوع استراتيجيات التعليم والتعلم وطرق التقييم في البرنامج بما يتناسب مع طبيعته ومستواه وتتوافق مع نواتج التعلم المستهدفة على مستوى البرنامج والمقررات.</t>
  </si>
  <si>
    <t xml:space="preserve">نماذج من محاضر اللجان الاستشارية التي ناقشت توافق ومناسبة استراتيجيات التعليم والتعلم وطرق التقييم.</t>
  </si>
  <si>
    <t xml:space="preserve">تقرير استطلاع رأي الطلبة والخريجين حول استراتيجيات التعليم والتعلم وطرق التقييم.</t>
  </si>
  <si>
    <t xml:space="preserve">6-2-2</t>
  </si>
  <si>
    <t xml:space="preserve">يتحقق البرنامج من فاعلية التدريب الميداني وجودة الإشراف عليه، ويتابع البرنامج قدرته على تحقيق المخرجات الموكلة إليه بآليات محددة.</t>
  </si>
  <si>
    <t xml:space="preserve">نماذج من توزيع الطالب وهيئة التدريس على التدريب الميداني.</t>
  </si>
  <si>
    <t xml:space="preserve">نماذج من تقارير التدريب الميداني.</t>
  </si>
  <si>
    <t xml:space="preserve">استطلاعات وتقارير رضا الطلاب وهيئة التدريس عن أنشطة التدريب الميداني.</t>
  </si>
  <si>
    <t xml:space="preserve">7-2-2</t>
  </si>
  <si>
    <t xml:space="preserve">يتأكد البرنامج من تطبيق موحد للخطة الدراسية وتوصيف البرنامج والمقررات التي تُقدم في أكثر من موقع (أقسام الطلاب والطالبات وفي الفروع المختلفة).</t>
  </si>
  <si>
    <t xml:space="preserve">أدلة تثبت التطبيق الموحد (مثل التعميمات والتقارير) في الشطرين والفروع للخطة الدراسية وتوصيف البرنامج والمقررات والاختبارات.</t>
  </si>
  <si>
    <t xml:space="preserve">نماذج من تقارير المقررات والبرنامج موضحاً بها توحيد الخطة بين البنين والبنات والفروع المختلفة.</t>
  </si>
  <si>
    <t xml:space="preserve">1-3-2</t>
  </si>
  <si>
    <t xml:space="preserve">يتحقق البرنامج من فعالية استراتيجيات التعليم والتعلم وطرق التقييم الواردة في توصيفات البرنامج والمقررات، ومدى التزام هيئة التدريس بها من خلال آليات محددة.</t>
  </si>
  <si>
    <t xml:space="preserve">التعاميم الواردة من إدارة البرنامج بضرورة الالتزام باستراتيجيات التعليم والتعلم وطرق التقييم الواردة في توصيفات البرنامج والمقررات.</t>
  </si>
  <si>
    <t xml:space="preserve">نماذج من ملف المقرر.</t>
  </si>
  <si>
    <t xml:space="preserve">تقرير تقييم الطلبة للمقرر وخاصة حول مدى التزام أعضاء هيئة التدريس باستراتيجيات التعليم والتعلم وأساليب التقويم المحددة في توصيف البرنامج والمقررات الدراسية.</t>
  </si>
  <si>
    <t xml:space="preserve">تقارير الزيارات المتبادلة بين أعضاء هيئة التدريس حول الالتزام باستراتيجيات التعليم والتعلم وطرق التقييم.</t>
  </si>
  <si>
    <t xml:space="preserve">قائمة دورات تدريب أعضاء هيئة التدريس على استراتيجيات التعليم والتعلم وطرق التقييم واستخدام التقنيات في التعليم.</t>
  </si>
  <si>
    <t xml:space="preserve">2-3-2</t>
  </si>
  <si>
    <t xml:space="preserve">يُقدم التدريب اللازم لهيئة التدريس على استراتيجيات التعليم والتعلم وطرق التقييم المحددة لتحقيق تميز البرنامج والمقررات والاستخدام الفعال للتقنية الحديثة والمتطورة.</t>
  </si>
  <si>
    <t xml:space="preserve">قائمة حضور أعضاء هيئة التدريس بالبرنامج للدورات التدريبية، ونماذج من شهادات الحضور.</t>
  </si>
  <si>
    <t xml:space="preserve">تقييم رضا أعضاء هيئة التدريس عن الدورات التدريبية المقدمة لهم.</t>
  </si>
  <si>
    <t xml:space="preserve">تقرير عمادة التعليم الإلكتروني للبرنامج حول تفعيل تقنيات التعليم في التدريس.</t>
  </si>
  <si>
    <t xml:space="preserve">مناقشة مجلس القسم لتقرير عمادة التعليم الإلكتروني للبرنامج حول تفعيل تقنيات التعليم في التدريس.</t>
  </si>
  <si>
    <t xml:space="preserve">3-3-2</t>
  </si>
  <si>
    <t xml:space="preserve">يُزوَّد الطالب في بداية تدريس كل مقرر بمعلومات شاملة عن نواتج التعلم واستراتيجيات التعليم والتعلم وطرق التقييم ومواعيدها وما يتوقع منهم خلال دراسة المقرر، ويُقدم لهم تغذية راجعة عن أدائهم.</t>
  </si>
  <si>
    <t xml:space="preserve">نماذج من إعلان توصيف المقررات الدراسية للطلبة إلكترونياً.</t>
  </si>
  <si>
    <t xml:space="preserve">تقرير تقييم الطلبة للمقرر حول تزويدهم بمعلومات شاملة تتضمن: نواتج التعلم، واستراتيجيات التعليم والتعلم وطرق التقييم، ومواعيدها، وتزويدهم بتغذية راجعة عن أدائهم.</t>
  </si>
  <si>
    <t xml:space="preserve">عينات من التغذية الراجعة المقدمة للطلبة.</t>
  </si>
  <si>
    <t xml:space="preserve">4-3-2</t>
  </si>
  <si>
    <t xml:space="preserve">يتبنى البرنامج آليات لدعم وتحفيز التميز في التدريس وتشجيع الإبداع والابتكار لدى هيئة التدريس.</t>
  </si>
  <si>
    <t xml:space="preserve">جوائز التميز على مستوى البرنامج/المؤسسة حول التميز في التدريس والإبداع والابتكار.</t>
  </si>
  <si>
    <t xml:space="preserve">نماذج من التقييم الدوري لأداء أعضاء هيئة التدريس (ويشمل مجالات التدريس والبحث العلمي وخدمة المجتمع).</t>
  </si>
  <si>
    <t xml:space="preserve">تقرير استطلاعات رأي أعضاء هيئة التدريس حول رضاهم عن الدعم والتحفيز للتميز والإبداع والابتكار المقدم لهم.</t>
  </si>
  <si>
    <t xml:space="preserve">5-3-2</t>
  </si>
  <si>
    <t xml:space="preserve">يتبنى البرنامج إجراءات واضحة ومعلنة للتحقق من جودة طرق التقييم ومصداقيتها والتأكد من مستوى تحصيل الطالب.</t>
  </si>
  <si>
    <t xml:space="preserve">خطة قياس نواتج تعلم البرنامج وتقاريرها.</t>
  </si>
  <si>
    <t xml:space="preserve">نماذج من تحليل نتائج الاختبارات لبعض المقررات في البرنامج.</t>
  </si>
  <si>
    <t xml:space="preserve">تقييمات الطالب والخريجين لأساليب التقويم والاختبارات في البرنامج.</t>
  </si>
  <si>
    <t xml:space="preserve">نماذج من مواصفات إعداد الورقة الاختبارية، وطرق التصحيح.</t>
  </si>
  <si>
    <t xml:space="preserve">نماذج لكراسات إجابة موقع عليها مقيّم آخر.</t>
  </si>
  <si>
    <t xml:space="preserve">6-3-2</t>
  </si>
  <si>
    <t xml:space="preserve">تُستخدم إجراءات فعّالة لضبط النزاهة الأكاديمية على مستوى البرنامج للتحقق من أن الأعمال والواجبات التي يقدمها الطالب هي من إنتاجهم.</t>
  </si>
  <si>
    <t xml:space="preserve">دليل الطالب موضحاً به ميثاق الأخلاقيات ومعايير الاقتباس.</t>
  </si>
  <si>
    <t xml:space="preserve">النظام الإلكتروني المستخدم في كشف الاستلال العلمي.</t>
  </si>
  <si>
    <t xml:space="preserve">الدورات التدريبية المقدمة والمتعلقة بتعريف الطلبة وأعضاء هيئة التدريس حول استخدام برامج الاستلال العلمي.</t>
  </si>
  <si>
    <t xml:space="preserve">نماذج من لقاءات التهيئة للطلاب الجدد متضمناً توعية الطالب بمقتضيات النزاهة الأكاديمية.</t>
  </si>
  <si>
    <t xml:space="preserve">نماذج من تقارير الاستلال العلمي في الأعمال والواجبات التي يقدمها الطلبة.</t>
  </si>
  <si>
    <t xml:space="preserve">1-0-3</t>
  </si>
  <si>
    <t xml:space="preserve">يطبق البرنامج معايير وشروطاً معتمدة ومعلنة لقبول الطالب وتسجيله وتخرجه، والانتقال إلى البرنامج، ومعادلة ما تعلمه الطالب سابقاً بما يتناسب مع طبيعة البرنامج، وتُطبق بعدالة.</t>
  </si>
  <si>
    <t xml:space="preserve">شروط القبول محددة ومعتمدة في توصيف البرنامج، ومتضمنة في دليل البرنامج.</t>
  </si>
  <si>
    <t xml:space="preserve">شروط القبول معلنة على الموقع الإلكتروني للبرنامج.</t>
  </si>
  <si>
    <t xml:space="preserve">شروط الانتقال إلى البرنامج (التحويل) معلنة ومحددة في دليل البرنامج.</t>
  </si>
  <si>
    <t xml:space="preserve">نماذج معادلة الدراسة السابقة / آلية المعادلة لاستقبال الطلاب المحولين.</t>
  </si>
  <si>
    <t xml:space="preserve">نماذج من قرارات مجلس القسم بقبول أو رفض انتقال طلبة إلى البرنامج.</t>
  </si>
  <si>
    <t xml:space="preserve">2-0-3</t>
  </si>
  <si>
    <t xml:space="preserve">يوفر البرنامج المعلومات الأساسية للطالب مثل: متطلبات الدراسة، الخدمات، والتكاليف المالية (إن وجدت)، بوسائل متنوعة.</t>
  </si>
  <si>
    <t xml:space="preserve">دليل الطالب للخدمات الإلكترونية.</t>
  </si>
  <si>
    <t xml:space="preserve">دليل الطالب أو البرنامج متضمناً متطلبات الدراسة، الخدمات، والتكاليف المالية (إن وجدت).</t>
  </si>
  <si>
    <t xml:space="preserve">الموقع الإلكتروني للبرنامج.</t>
  </si>
  <si>
    <t xml:space="preserve">3-0-3</t>
  </si>
  <si>
    <t xml:space="preserve">يتوفر لطالب البرنامج خدمات فعالة للإرشاد والتوجيه الأكاديمي والمهني والنفسي والاجتماعي، من خلال كوادر مؤهلة وكافية.</t>
  </si>
  <si>
    <t xml:space="preserve">قرار إنشاء لجنة أو وحدة الإرشاد الأكاديمي بالبرنامج أو الكلية.</t>
  </si>
  <si>
    <t xml:space="preserve">دليل الإرشاد والتوجيه الأكاديمي والمهني والنفسي والاجتماعي للطالب.</t>
  </si>
  <si>
    <t xml:space="preserve">السير الذاتية للعاملين بوحدة الإرشاد الأكاديمي.</t>
  </si>
  <si>
    <t xml:space="preserve">نماذج من البرامج التوجيهية لاستقبال الطلاب الجدد على مستوى البرنامج/الكلية.</t>
  </si>
  <si>
    <t xml:space="preserve">الخدمات المقدمة من جهة تقديم الإرشاد المهني للطالب (مثل الدورات المقدمة من وحدة التدريب أو وحدة الخريجين الخاصة بالجانب المهني).</t>
  </si>
  <si>
    <t xml:space="preserve">الخدمات المقدمة من جهة تقديم الإرشاد والدعم النفسي والاجتماعي للطالب (وحدة الإرشاد والتوجيه في الكلية والجامعة).</t>
  </si>
  <si>
    <t xml:space="preserve">استطلاعات الرأي الشاملة التحليل للطلبة والخريجين عن رضاهم حول جودة الإرشاد المقدم إليهم من البرنامج.</t>
  </si>
  <si>
    <t xml:space="preserve">4-0-3</t>
  </si>
  <si>
    <t xml:space="preserve">تُطبَّق آلية ملائمة للتعرف على الطلاب الموهوبين والمبدعين والمتفوقين والمتعثرين في البرنامج، وتتوفر برامج مناسبة لرعاية وتحفيز ودعم كل فئة منهم.</t>
  </si>
  <si>
    <t xml:space="preserve">الإجراءات الموثقة في البرنامج/المؤسسة للكشف عن الطلاب الموهوبين.</t>
  </si>
  <si>
    <t xml:space="preserve">قائمة بالخدمات والبرامج المقدمة من الجهة المسؤولة عن رعاية الطلبة الموهوبين والمبدعين في البرنامج/المؤسسة.</t>
  </si>
  <si>
    <t xml:space="preserve">آليات دعم الطلبة المتفوقين والمتعثرين بالبرنامج.</t>
  </si>
  <si>
    <t xml:space="preserve">آليات الإعلان عن الأنشطة اللاصفية وتحفيز الطلبة على المشاركة فيها.</t>
  </si>
  <si>
    <t xml:space="preserve">5-0-3</t>
  </si>
  <si>
    <t xml:space="preserve">تتوفر لطالب البرنامج أنشطة لا صفية في العديد من المجالات لتنمية قدراتهم ومهاراتهم، ويتخذ البرنامج الإجراءات المناسبة لدعم وتحفيز مشاركتهم.</t>
  </si>
  <si>
    <t xml:space="preserve">آليات الإعلان عن الأنشطة اللاصفية وتحفيز الطلاب على المشاركة فيها.</t>
  </si>
  <si>
    <t xml:space="preserve">بيان بالخدمات اللاصفية المقدمة للطالب.</t>
  </si>
  <si>
    <t xml:space="preserve">تقرير رضا الطلبة عن الأنشطة اللاصفية المقدمة لهم من قبل البرنامج.</t>
  </si>
  <si>
    <t xml:space="preserve">خطة البرنامج فيما يتعلق بالأنشطة اللاصفية وعلاقتها بنواتج تعلم البرنامج وبتنمية قدرات ومهارات الطالب.</t>
  </si>
  <si>
    <t xml:space="preserve">6-0-3</t>
  </si>
  <si>
    <t xml:space="preserve">يطبق البرنامج آلية فعالة للتواصل مع الخريجين وإشراكهم في مناسباته وأنشطته، واستطلاع آرائهم والاستفادة من خبراتهم، ودعمهم، ويوفر قواعد بيانات محدثة وشاملة عنهم.</t>
  </si>
  <si>
    <t xml:space="preserve">قرار إنشاء وحدة/لجنة تعنى بالخريجين بالبرنامج/المؤسسة وأهدافها ومهامها.</t>
  </si>
  <si>
    <t xml:space="preserve">آليات التواصل مع خريجي البرنامج، وقاعدة البيانات الموثقة الخاصة بالخريجين.</t>
  </si>
  <si>
    <t xml:space="preserve">قائمة بالخدمات التي يقدمها البرنامج لخريجيه.</t>
  </si>
  <si>
    <t xml:space="preserve">تقرير موثق حول مشاركة الخريجين في فعاليات البرنامج مثل محاضر الاجتماعات أو اللجنة الاستشارية للبرنامج أو يوم المهنة.</t>
  </si>
  <si>
    <t xml:space="preserve">تقرير استطلاع رأي الخريجين حول البرنامج.</t>
  </si>
  <si>
    <t xml:space="preserve">قرار تشكيل اللجنة الاستشارية للبرنامج متضمناً في التشكيل خريجي البرنامج ضمن أعضاء اللجنة.</t>
  </si>
  <si>
    <t xml:space="preserve">7-0-3</t>
  </si>
  <si>
    <t xml:space="preserve">تُطبَّق آلية فعالة لتقويم كفاية وجودة الخدمات المقدمة للطالب وقياس رضاهم عنها، والاستفادة من النتائج في التحسين.</t>
  </si>
  <si>
    <t xml:space="preserve">قرار تشكيل المجلس الطلابي ومهامه.</t>
  </si>
  <si>
    <t xml:space="preserve">تقرير استطلاعات رأي الطلبة حول جودة الخدمات المقدمة لهم.</t>
  </si>
  <si>
    <t xml:space="preserve">التقرير السنوي للبرنامج متضمناً خطط التحسين والتطوير بناءً على نتائج استطلاعات رأي الطلبة.</t>
  </si>
  <si>
    <t xml:space="preserve">1-0-4</t>
  </si>
  <si>
    <t xml:space="preserve">يتوافر في البرنامج العدد الكافي من أعضاء هيئة التدريس، في جميع المواقع التي يقدم فيها البرنامج، وتُطبَّق آليات مناسبة للتحقق منها.</t>
  </si>
  <si>
    <t xml:space="preserve">قائمة مفصلة لأعضاء هيئة التدريس في كل موقع يقدم فيه البرنامج مثل: (شطري الطالب والطالبات والفروع إن وجدت).</t>
  </si>
  <si>
    <t xml:space="preserve">نسبة أعضاء هيئة التدريس إلى الطلبة/في كل موقع.</t>
  </si>
  <si>
    <t xml:space="preserve">التقرير السنوي للبرنامج متضمناً مناقشة مؤشر نسبة عدد الطالب إلى عدد أعضاء هيئة التدريس.</t>
  </si>
  <si>
    <t xml:space="preserve">الخطة المستقبلية لتحديد الاحتياجات من أعضاء هيئة التدريس والمقدمة من قِبل البرنامج.</t>
  </si>
  <si>
    <t xml:space="preserve">2-0-4</t>
  </si>
  <si>
    <t xml:space="preserve">تضم هيئة التدريس أو المتعاونين في البرامج المهنية من ذوي الخبرة والمهارة العالية في مجال البرنامج.</t>
  </si>
  <si>
    <t xml:space="preserve">السير الذاتية لأعضاء هيئة التدريس أو المتعاونين من ذوي الخبرة في مجال البرنامج.</t>
  </si>
  <si>
    <t xml:space="preserve">محضر مجلس القسم الخاص بمناقشة احتياجات البرنامج المستقبلية من أعضاء هيئة التدريس المهنيين.</t>
  </si>
  <si>
    <t xml:space="preserve">3-0-4</t>
  </si>
  <si>
    <t xml:space="preserve">يشارك أعضاء هيئة التدريس في الأنشطة الأكاديمية والبحثية والإنتاج العلمي بكفاءة وانتظام، وتُعد مشاركتهم في هذه الأنشطة أحد محكات تقييمهم.</t>
  </si>
  <si>
    <t xml:space="preserve">نماذج من مشاركات أعضاء هيئة التدريس في فعاليات البرنامج الأكاديمية مثل: ورش العمل، والمؤتمرات العلمية، والندوات.</t>
  </si>
  <si>
    <t xml:space="preserve">نماذج من مشاركة أعضاء هيئة التدريس بالبرنامج (مثل القرارات والشهادات وصور المشاركة) في اللجان على مستوى البرنامج والكلية والجامعة.</t>
  </si>
  <si>
    <t xml:space="preserve">نماذج من مشاركة أعضاء هيئة التدريس بالبرنامج في الإشراف العلمي على الرسائل والمشاريع البحثية.</t>
  </si>
  <si>
    <t xml:space="preserve">أمثلة من تحكيم المقترحات البحثية والمقالات العلمية من قبل أعضاء هيئة التدريس في البرنامج.</t>
  </si>
  <si>
    <t xml:space="preserve">قاعدة بيانات الإنتاج البحثي لأعضاء هيئة التدريس في البرنامج.</t>
  </si>
  <si>
    <t xml:space="preserve">تقرير مؤشرات الأداء المتعلقة بمجالات البحث العلمي.</t>
  </si>
  <si>
    <t xml:space="preserve">نموذج ملف تقييم أداء أعضاء هيئة التدريس الذي يتضمن أنشطة بحثية وأكاديمية للأعضاء.</t>
  </si>
  <si>
    <t xml:space="preserve">4-0-4</t>
  </si>
  <si>
    <t xml:space="preserve">تشارك هيئة التدريس في أنشطة الشراكة المجتمعية، وتُعد مشاركتهم في هذه الأنشطة أحد محكات تقييمهم.</t>
  </si>
  <si>
    <t xml:space="preserve">قائمة بمشاركات أعضاء هيئة التدريس في فعاليات خدمة المجتمع.</t>
  </si>
  <si>
    <t xml:space="preserve">تقرير الشراكة المجتمعية للبرنامج.</t>
  </si>
  <si>
    <t xml:space="preserve">نموذج ملف تقييم أداء أعضاء هيئة التدريس الذي يتضمن أنشطة خدمة المجتمع للأعضاء.</t>
  </si>
  <si>
    <t xml:space="preserve">5-0-4</t>
  </si>
  <si>
    <t xml:space="preserve">يتلقى أعضاء هيئة التدريس برامج في التطوير المهني والأكاديمي، وفق خطة تلبي احتياجاتهم وتسهم في تطوير أدائهم.</t>
  </si>
  <si>
    <t xml:space="preserve">تقرير تحديد الاحتياجات التدريبية لأعضاء هيئة التدريس بالبرنامج.</t>
  </si>
  <si>
    <t xml:space="preserve">خطة التطوير المهني لأعضاء هيئة التدريس بالبرنامج.</t>
  </si>
  <si>
    <t xml:space="preserve">قائمة بالدورات التدريبية المقدمة لأعضاء هيئة التدريس، ونماذج من شهادات الحضور.</t>
  </si>
  <si>
    <t xml:space="preserve">تقرير استطلاعات رأي أعضاء هيئة التدريس عن برامج التدريب وأنشطة التطوير المهني.</t>
  </si>
  <si>
    <t xml:space="preserve">تقرير قياس أثر الدورات التدريبية المقدمة.</t>
  </si>
  <si>
    <t xml:space="preserve">6-0-4</t>
  </si>
  <si>
    <t xml:space="preserve">يُقيَّم أداء هيئة التدريس بانتظام وفق معايير محددة ومعلنة، وتُقدَّم التغذية الراجعة لهم، ويُستفاد من النتائج في تحسين الأداء.</t>
  </si>
  <si>
    <t xml:space="preserve">نموذج تقييم أداء أعضاء هيئة التدريس السنوي.</t>
  </si>
  <si>
    <t xml:space="preserve">تقرير تقييم الطلبة للمقرر.</t>
  </si>
  <si>
    <t xml:space="preserve">نماذج من التغذية الراجعة المقدمة عن أداء أعضاء التدريس.</t>
  </si>
  <si>
    <t xml:space="preserve">استطلاعات رأي أعضاء هيئة التدريس عن مدى رضاهم عن طرق تقييم أدائهم، وعن مدى تقديم التغذية الراجعة لهم عن نتائج تقييمهم، ومدى إمكانية التظلم من نتائج التقييم إذا كانت غير مرضية لهم مع التحليل الكامل ووضع خطط التحسين.</t>
  </si>
  <si>
    <t xml:space="preserve">خطة تحسين أداء أعضاء هيئة التدريس في ضوء عمليات التقييم.</t>
  </si>
  <si>
    <t xml:space="preserve">1-0-5</t>
  </si>
  <si>
    <t xml:space="preserve">يتحقق البرنامج من كفاية ومناسبة مصادر التعلم والخدمات المقدمة بما يتناسب مع احتياجاته وأعداد الطالب، ويتم تحديثها بصورة دورية.</t>
  </si>
  <si>
    <t xml:space="preserve">قائمة بالكتب المقررة والمراجع مع عدد النسخ المتوفرة بالمكتبة.</t>
  </si>
  <si>
    <t xml:space="preserve">رابط المكتبة الرقمية السعودية.</t>
  </si>
  <si>
    <t xml:space="preserve">تقرير تقييم الطلبة وأعضاء هيئة التدريس عن كفاية ومناسبة مصادر التعلم والخدمات المقدمة.</t>
  </si>
  <si>
    <t xml:space="preserve">2-0-5</t>
  </si>
  <si>
    <t xml:space="preserve">يتوفر لهيئة التدريس والطالب والموظفين في البرنامج التهيئة والدعم الفني المناسبين للاستخدام الفعال لمصادر ووسائل التعلم.</t>
  </si>
  <si>
    <t xml:space="preserve">قائمة بخدمات التدريب والتهيئة المقدمة من المكتبة المركزية والمكتبة الرقمية السعودية لهيئة التدريس والطلبة والموظفين بالبرنامج حول الاستخدام الفعال لمصادر التعلم.</t>
  </si>
  <si>
    <t xml:space="preserve">حصر خدمات الدعم الفني المتوفرة في المكتبة المركزية للطلبة وأعضاء هيئة التدريس في البرنامج.</t>
  </si>
  <si>
    <t xml:space="preserve">تقرير رضا المستفيدين (طلبة، أعضاء هيئة تدريس، موظفين) عن خدمات التدريب والتهيئة حول الاستخدام الفعال لمصادر التعلم.</t>
  </si>
  <si>
    <t xml:space="preserve">3-0-5</t>
  </si>
  <si>
    <t xml:space="preserve">تُطبَّق معايير السلامة والحفاظ على البيئة والتخلص من النفايات الخطرة بكفاءة وفاعلية، مع توفر جميع متطلبات الصحة والسلامة العامة والمهنية في المرافق والتجهيزات، والأنشطة التعليمية والبحثية.</t>
  </si>
  <si>
    <t xml:space="preserve">دليل إدارة المخاطر بالبرنامج / المؤسسة.</t>
  </si>
  <si>
    <t xml:space="preserve">قائمة بمتطلبات الصحة والسلامة العامة والمهنية في المرافق والتجهيزات، والأنشطة التعليمية والبحثية في البرنامج/الكلية.</t>
  </si>
  <si>
    <t xml:space="preserve">صور توضيحية لمتطلبات الصحة والسلامة العامة والمهنية في المرافق والتجهيزات، والأنشطة التعليمية والبحثية في البرنامج/الكلية.</t>
  </si>
  <si>
    <t xml:space="preserve">نماذج من تقارير مراجعة كفاءة وسائل الصحة، والسلامة العامة، والمهنية.</t>
  </si>
  <si>
    <t xml:space="preserve">عقد الشركة المسؤولة عن التخلص من النفايات الخطرة.</t>
  </si>
  <si>
    <t xml:space="preserve">سجل التخلص الآمن من النفايات الخطرة.</t>
  </si>
  <si>
    <t xml:space="preserve">4-0-5</t>
  </si>
  <si>
    <t xml:space="preserve">يتوفر للبرنامج التقنيات والخدمات والبيئة المناسبة للمقررات التي تُقدَّم إلكترونياً أو عن بُعد وفق المعايير الخاصة بها.</t>
  </si>
  <si>
    <t xml:space="preserve">قائمة بالخدمات التقنية ووسائل الاستخدام التي يقدمها نظام التعلم الإلكتروني للطلبة وأعضاء هيئة التدريس.</t>
  </si>
  <si>
    <t xml:space="preserve">أمثلة من تقارير حضور الطلبة من خلال نظام التعلم الإلكتروني ونماذج من تكليفات الطلبة والمنتديات.</t>
  </si>
  <si>
    <t xml:space="preserve">بيان بالمعامل الإلكترونية بالبرنامج / الكلية.</t>
  </si>
  <si>
    <t xml:space="preserve">الخدمات التي تقدمها المكتبة الرقمية لطلبة البرنامج وأعضاء هيئة التدريس.</t>
  </si>
  <si>
    <t xml:space="preserve">استطلاع رأي الطلبة حول التقنيات والخدمات والبيئة المناسبة للمقررات التي تقدم إلكترونياً أو عن بُعد.</t>
  </si>
  <si>
    <t xml:space="preserve">5-0-5</t>
  </si>
  <si>
    <t xml:space="preserve">يعمل البرنامج على تقويم فاعلية وكفاءة مصادر التعلم والمرافق والتجهيزات بأنواعها، ويُستفاد من ذلك في التحسين.</t>
  </si>
  <si>
    <t xml:space="preserve">تقارير استطلاعات رأي الطلبة وأعضاء هيئة التدريس حول فاعلية وكفاءة مصادر التعلم والمرافق والتجهيزات.</t>
  </si>
  <si>
    <t xml:space="preserve">مناقشة مجلس القسم للتقرير السنوي للبرنامج وخطط التحسين والقرارات المبنية عليها.</t>
  </si>
</sst>
</file>

<file path=xl/styles.xml><?xml version="1.0" encoding="utf-8"?>
<styleSheet xmlns="http://schemas.openxmlformats.org/spreadsheetml/2006/main">
  <numFmts count="4">
    <numFmt numFmtId="164" formatCode="General"/>
    <numFmt numFmtId="165" formatCode="0%"/>
    <numFmt numFmtId="166" formatCode="General"/>
    <numFmt numFmtId="167" formatCode="yyyy\-mm\-dd"/>
  </numFmts>
  <fonts count="15">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sz val="10"/>
      <name val="Arial"/>
      <family val="0"/>
      <charset val="1"/>
    </font>
    <font>
      <b val="true"/>
      <sz val="10"/>
      <name val="Arial"/>
      <family val="0"/>
      <charset val="1"/>
    </font>
    <font>
      <b val="true"/>
      <sz val="12"/>
      <color rgb="FF1F3864"/>
      <name val="Arial"/>
      <family val="0"/>
      <charset val="1"/>
    </font>
    <font>
      <b val="true"/>
      <sz val="10"/>
      <color rgb="FFFFFFFF"/>
      <name val="Arial"/>
      <family val="0"/>
      <charset val="1"/>
    </font>
    <font>
      <b val="true"/>
      <sz val="12"/>
      <color rgb="FFFFFFFF"/>
      <name val="Arial"/>
      <family val="0"/>
      <charset val="1"/>
    </font>
    <font>
      <b val="true"/>
      <sz val="14"/>
      <color rgb="FF1F3864"/>
      <name val="Arial"/>
      <family val="0"/>
      <charset val="1"/>
    </font>
    <font>
      <i val="true"/>
      <sz val="9"/>
      <color rgb="FF595959"/>
      <name val="Arial"/>
      <family val="0"/>
      <charset val="1"/>
    </font>
    <font>
      <b val="true"/>
      <sz val="9"/>
      <name val="Arial"/>
      <family val="0"/>
      <charset val="1"/>
    </font>
    <font>
      <sz val="9"/>
      <name val="Arial"/>
      <family val="0"/>
      <charset val="1"/>
    </font>
    <font>
      <b val="true"/>
      <sz val="9"/>
      <color rgb="FFC00000"/>
      <name val="Arial"/>
      <family val="0"/>
      <charset val="1"/>
    </font>
  </fonts>
  <fills count="8">
    <fill>
      <patternFill patternType="none"/>
    </fill>
    <fill>
      <patternFill patternType="gray125"/>
    </fill>
    <fill>
      <patternFill patternType="solid">
        <fgColor rgb="FFD9E2F3"/>
        <bgColor rgb="FFF2F2F2"/>
      </patternFill>
    </fill>
    <fill>
      <patternFill patternType="solid">
        <fgColor rgb="FFFFF9DB"/>
        <bgColor rgb="FFFFF2CC"/>
      </patternFill>
    </fill>
    <fill>
      <patternFill patternType="solid">
        <fgColor rgb="FF1F3864"/>
        <bgColor rgb="FF333333"/>
      </patternFill>
    </fill>
    <fill>
      <patternFill patternType="solid">
        <fgColor rgb="FFF2F2F2"/>
        <bgColor rgb="FFFFF9DB"/>
      </patternFill>
    </fill>
    <fill>
      <patternFill patternType="solid">
        <fgColor rgb="FF2E5395"/>
        <bgColor rgb="FF1F3864"/>
      </patternFill>
    </fill>
    <fill>
      <patternFill patternType="solid">
        <fgColor rgb="FFFFF2CC"/>
        <bgColor rgb="FFFFF9DB"/>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EA9DB"/>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center" textRotation="0" wrapText="true" indent="0" shrinkToFit="false"/>
      <protection locked="true" hidden="false"/>
    </xf>
    <xf numFmtId="164" fontId="6" fillId="2" borderId="1" xfId="0" applyFont="true" applyBorder="true" applyAlignment="true" applyProtection="false">
      <alignment horizontal="right" vertical="center" textRotation="0" wrapText="true" indent="0" shrinkToFit="false"/>
      <protection locked="true" hidden="false"/>
    </xf>
    <xf numFmtId="164" fontId="6" fillId="3" borderId="1" xfId="0" applyFont="true" applyBorder="true" applyAlignment="true" applyProtection="false">
      <alignment horizontal="right"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right" vertical="center" textRotation="0" wrapText="true" indent="0" shrinkToFit="false"/>
      <protection locked="true" hidden="false"/>
    </xf>
    <xf numFmtId="164" fontId="9" fillId="6"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righ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5" fillId="2" borderId="1" xfId="0" applyFont="true" applyBorder="true" applyAlignment="true" applyProtection="false">
      <alignment horizontal="center" vertical="center" textRotation="0" wrapText="tru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righ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right" vertical="center" textRotation="0" wrapText="true" indent="0" shrinkToFit="false"/>
      <protection locked="true" hidden="false"/>
    </xf>
    <xf numFmtId="167" fontId="13" fillId="3" borderId="1" xfId="0" applyFont="true" applyBorder="true" applyAlignment="true" applyProtection="false">
      <alignment horizontal="center" vertical="center" textRotation="0" wrapText="tru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right" vertical="center" textRotation="0" wrapText="true" indent="0" shrinkToFit="false"/>
      <protection locked="true" hidden="false"/>
    </xf>
    <xf numFmtId="164" fontId="14" fillId="7"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right" vertical="center" textRotation="0" wrapText="true" indent="0" shrinkToFit="false"/>
      <protection locked="true" hidden="false"/>
    </xf>
    <xf numFmtId="167" fontId="13" fillId="3" borderId="2"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right"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right"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FFF9DB"/>
          <bgColor rgb="FF00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8EA9DB"/>
      <rgbColor rgb="FF993366"/>
      <rgbColor rgb="FFFFF9DB"/>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FF2CC"/>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E36"/>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30"/>
    <col collapsed="false" customWidth="true" hidden="false" outlineLevel="0" max="4" min="4" style="0" width="62"/>
    <col collapsed="false" customWidth="true" hidden="false" outlineLevel="0" max="5" min="5" style="0" width="12"/>
  </cols>
  <sheetData>
    <row r="1" customFormat="false" ht="17.9" hidden="false" customHeight="false" outlineLevel="0" collapsed="false">
      <c r="A1" s="1" t="s">
        <v>0</v>
      </c>
      <c r="B1" s="1"/>
      <c r="C1" s="1"/>
      <c r="D1" s="1"/>
      <c r="E1" s="1"/>
    </row>
    <row r="2" customFormat="false" ht="15" hidden="false" customHeight="true" outlineLevel="0" collapsed="false">
      <c r="A2" s="2" t="s">
        <v>1</v>
      </c>
      <c r="B2" s="2"/>
      <c r="C2" s="2"/>
      <c r="D2" s="2"/>
      <c r="E2" s="2"/>
    </row>
    <row r="4" customFormat="false" ht="15" hidden="false" customHeight="false" outlineLevel="0" collapsed="false">
      <c r="A4" s="3" t="s">
        <v>2</v>
      </c>
      <c r="B4" s="4" t="s">
        <v>3</v>
      </c>
    </row>
    <row r="5" customFormat="false" ht="15" hidden="false" customHeight="false" outlineLevel="0" collapsed="false">
      <c r="A5" s="3" t="s">
        <v>4</v>
      </c>
      <c r="B5" s="4" t="s">
        <v>5</v>
      </c>
    </row>
    <row r="7" customFormat="false" ht="15" hidden="false" customHeight="false" outlineLevel="0" collapsed="false">
      <c r="A7" s="5" t="s">
        <v>6</v>
      </c>
      <c r="B7" s="5"/>
      <c r="C7" s="5"/>
      <c r="D7" s="5"/>
      <c r="E7" s="5"/>
    </row>
    <row r="8" customFormat="false" ht="15" hidden="false" customHeight="false" outlineLevel="0" collapsed="false">
      <c r="A8" s="6" t="s">
        <v>7</v>
      </c>
      <c r="B8" s="6" t="s">
        <v>8</v>
      </c>
      <c r="C8" s="6" t="s">
        <v>9</v>
      </c>
      <c r="D8" s="6" t="s">
        <v>10</v>
      </c>
      <c r="E8" s="6" t="s">
        <v>11</v>
      </c>
    </row>
    <row r="9" customFormat="false" ht="42" hidden="false" customHeight="true" outlineLevel="0" collapsed="false">
      <c r="A9" s="7" t="s">
        <v>12</v>
      </c>
      <c r="B9" s="8" t="s">
        <v>13</v>
      </c>
      <c r="C9" s="9" t="s">
        <v>14</v>
      </c>
      <c r="D9" s="8" t="s">
        <v>15</v>
      </c>
      <c r="E9" s="10"/>
    </row>
    <row r="10" customFormat="false" ht="42" hidden="false" customHeight="true" outlineLevel="0" collapsed="false">
      <c r="A10" s="7" t="s">
        <v>16</v>
      </c>
      <c r="B10" s="8" t="s">
        <v>17</v>
      </c>
      <c r="C10" s="9" t="s">
        <v>18</v>
      </c>
      <c r="D10" s="8" t="s">
        <v>19</v>
      </c>
      <c r="E10" s="10"/>
    </row>
    <row r="11" customFormat="false" ht="42" hidden="false" customHeight="true" outlineLevel="0" collapsed="false">
      <c r="A11" s="7" t="s">
        <v>20</v>
      </c>
      <c r="B11" s="8" t="s">
        <v>21</v>
      </c>
      <c r="C11" s="9" t="s">
        <v>22</v>
      </c>
      <c r="D11" s="8" t="s">
        <v>23</v>
      </c>
      <c r="E11" s="10"/>
    </row>
    <row r="12" customFormat="false" ht="42" hidden="false" customHeight="true" outlineLevel="0" collapsed="false">
      <c r="A12" s="7" t="s">
        <v>24</v>
      </c>
      <c r="B12" s="8" t="s">
        <v>25</v>
      </c>
      <c r="C12" s="9" t="s">
        <v>18</v>
      </c>
      <c r="D12" s="8" t="s">
        <v>26</v>
      </c>
      <c r="E12" s="10"/>
    </row>
    <row r="13" customFormat="false" ht="42" hidden="false" customHeight="true" outlineLevel="0" collapsed="false">
      <c r="A13" s="7" t="s">
        <v>27</v>
      </c>
      <c r="B13" s="8" t="s">
        <v>28</v>
      </c>
      <c r="C13" s="9" t="s">
        <v>14</v>
      </c>
      <c r="D13" s="8" t="s">
        <v>29</v>
      </c>
      <c r="E13" s="10"/>
    </row>
    <row r="15" customFormat="false" ht="15" hidden="false" customHeight="true" outlineLevel="0" collapsed="false">
      <c r="A15" s="2" t="s">
        <v>30</v>
      </c>
      <c r="B15" s="2"/>
      <c r="C15" s="2"/>
      <c r="D15" s="2"/>
      <c r="E15" s="2"/>
    </row>
    <row r="17" customFormat="false" ht="14.15" hidden="false" customHeight="false" outlineLevel="0" collapsed="false">
      <c r="A17" s="5" t="s">
        <v>31</v>
      </c>
      <c r="B17" s="5"/>
      <c r="C17" s="5"/>
      <c r="D17" s="5"/>
      <c r="E17" s="5"/>
    </row>
    <row r="18" customFormat="false" ht="15" hidden="false" customHeight="false" outlineLevel="0" collapsed="false">
      <c r="A18" s="6" t="s">
        <v>32</v>
      </c>
      <c r="B18" s="6" t="s">
        <v>33</v>
      </c>
      <c r="C18" s="6" t="s">
        <v>34</v>
      </c>
      <c r="D18" s="6" t="s">
        <v>35</v>
      </c>
      <c r="E18" s="6" t="s">
        <v>36</v>
      </c>
    </row>
    <row r="19" customFormat="false" ht="30" hidden="false" customHeight="true" outlineLevel="0" collapsed="false">
      <c r="A19" s="9" t="n">
        <v>1</v>
      </c>
      <c r="B19" s="4" t="s">
        <v>37</v>
      </c>
      <c r="C19" s="8" t="s">
        <v>38</v>
      </c>
      <c r="D19" s="8" t="s">
        <v>39</v>
      </c>
      <c r="E19" s="9" t="n">
        <f aca="false">COUNTIF('فحص-البرنامج1'!$E:$E,B19)+COUNTIF('فحص-البرنامج2'!$E:$E,B19)</f>
        <v>50</v>
      </c>
    </row>
    <row r="20" customFormat="false" ht="30" hidden="false" customHeight="true" outlineLevel="0" collapsed="false">
      <c r="A20" s="9" t="n">
        <v>2</v>
      </c>
      <c r="B20" s="4" t="s">
        <v>40</v>
      </c>
      <c r="C20" s="8" t="s">
        <v>41</v>
      </c>
      <c r="D20" s="8" t="s">
        <v>42</v>
      </c>
      <c r="E20" s="9" t="n">
        <f aca="false">COUNTIF('فحص-البرنامج1'!$E:$E,B20)+COUNTIF('فحص-البرنامج2'!$E:$E,B20)</f>
        <v>38</v>
      </c>
    </row>
    <row r="21" customFormat="false" ht="30" hidden="false" customHeight="true" outlineLevel="0" collapsed="false">
      <c r="A21" s="9" t="n">
        <v>3</v>
      </c>
      <c r="B21" s="4" t="s">
        <v>43</v>
      </c>
      <c r="C21" s="8" t="s">
        <v>44</v>
      </c>
      <c r="D21" s="8" t="s">
        <v>45</v>
      </c>
      <c r="E21" s="9" t="n">
        <f aca="false">COUNTIF('فحص-البرنامج1'!$E:$E,B21)+COUNTIF('فحص-البرنامج2'!$E:$E,B21)</f>
        <v>52</v>
      </c>
    </row>
    <row r="22" customFormat="false" ht="30" hidden="false" customHeight="true" outlineLevel="0" collapsed="false">
      <c r="A22" s="9" t="n">
        <v>4</v>
      </c>
      <c r="B22" s="4" t="s">
        <v>46</v>
      </c>
      <c r="C22" s="8" t="s">
        <v>44</v>
      </c>
      <c r="D22" s="8" t="s">
        <v>47</v>
      </c>
      <c r="E22" s="9" t="n">
        <f aca="false">COUNTIF('فحص-البرنامج1'!$E:$E,B22)+COUNTIF('فحص-البرنامج2'!$E:$E,B22)</f>
        <v>52</v>
      </c>
    </row>
    <row r="23" customFormat="false" ht="30" hidden="false" customHeight="true" outlineLevel="0" collapsed="false">
      <c r="A23" s="9" t="n">
        <v>5</v>
      </c>
      <c r="B23" s="4" t="s">
        <v>48</v>
      </c>
      <c r="C23" s="8" t="s">
        <v>44</v>
      </c>
      <c r="D23" s="8" t="s">
        <v>49</v>
      </c>
      <c r="E23" s="9" t="n">
        <f aca="false">COUNTIF('فحص-البرنامج1'!$E:$E,B23)+COUNTIF('فحص-البرنامج2'!$E:$E,B23)</f>
        <v>50</v>
      </c>
    </row>
    <row r="24" customFormat="false" ht="30" hidden="false" customHeight="true" outlineLevel="0" collapsed="false">
      <c r="A24" s="9" t="n">
        <v>6</v>
      </c>
      <c r="B24" s="4" t="s">
        <v>50</v>
      </c>
      <c r="C24" s="8" t="s">
        <v>44</v>
      </c>
      <c r="D24" s="8" t="s">
        <v>51</v>
      </c>
      <c r="E24" s="9" t="n">
        <f aca="false">COUNTIF('فحص-البرنامج1'!$E:$E,B24)+COUNTIF('فحص-البرنامج2'!$E:$E,B24)</f>
        <v>50</v>
      </c>
    </row>
    <row r="25" customFormat="false" ht="30" hidden="false" customHeight="true" outlineLevel="0" collapsed="false">
      <c r="A25" s="9" t="n">
        <v>7</v>
      </c>
      <c r="B25" s="4" t="s">
        <v>52</v>
      </c>
      <c r="C25" s="8" t="s">
        <v>44</v>
      </c>
      <c r="D25" s="8" t="s">
        <v>53</v>
      </c>
      <c r="E25" s="9" t="n">
        <f aca="false">COUNTIF('فحص-البرنامج1'!$E:$E,B25)+COUNTIF('فحص-البرنامج2'!$E:$E,B25)</f>
        <v>58</v>
      </c>
    </row>
    <row r="26" customFormat="false" ht="30" hidden="false" customHeight="true" outlineLevel="0" collapsed="false">
      <c r="A26" s="9" t="n">
        <v>8</v>
      </c>
      <c r="B26" s="4" t="s">
        <v>54</v>
      </c>
      <c r="C26" s="8" t="s">
        <v>44</v>
      </c>
      <c r="D26" s="8" t="s">
        <v>55</v>
      </c>
      <c r="E26" s="9" t="n">
        <f aca="false">COUNTIF('فحص-البرنامج1'!$E:$E,B26)+COUNTIF('فحص-البرنامج2'!$E:$E,B26)</f>
        <v>58</v>
      </c>
    </row>
    <row r="27" customFormat="false" ht="15" hidden="false" customHeight="true" outlineLevel="0" collapsed="false">
      <c r="A27" s="2" t="s">
        <v>56</v>
      </c>
      <c r="B27" s="2"/>
      <c r="C27" s="2"/>
      <c r="D27" s="2"/>
      <c r="E27" s="2"/>
    </row>
    <row r="30" customFormat="false" ht="14.15" hidden="false" customHeight="false" outlineLevel="0" collapsed="false">
      <c r="A30" s="5" t="s">
        <v>57</v>
      </c>
      <c r="B30" s="5"/>
      <c r="C30" s="5"/>
      <c r="D30" s="5"/>
      <c r="E30" s="5"/>
    </row>
    <row r="31" customFormat="false" ht="15" hidden="false" customHeight="true" outlineLevel="0" collapsed="false">
      <c r="A31" s="6" t="s">
        <v>58</v>
      </c>
      <c r="B31" s="6" t="s">
        <v>59</v>
      </c>
      <c r="C31" s="6"/>
      <c r="D31" s="6"/>
      <c r="E31" s="6"/>
    </row>
    <row r="32" customFormat="false" ht="30" hidden="false" customHeight="true" outlineLevel="0" collapsed="false">
      <c r="A32" s="11" t="s">
        <v>60</v>
      </c>
      <c r="B32" s="8" t="s">
        <v>61</v>
      </c>
      <c r="C32" s="8"/>
      <c r="D32" s="8"/>
      <c r="E32" s="8"/>
    </row>
    <row r="33" customFormat="false" ht="30" hidden="false" customHeight="true" outlineLevel="0" collapsed="false">
      <c r="A33" s="11" t="s">
        <v>62</v>
      </c>
      <c r="B33" s="8" t="s">
        <v>63</v>
      </c>
      <c r="C33" s="8"/>
      <c r="D33" s="8"/>
      <c r="E33" s="8"/>
    </row>
    <row r="34" customFormat="false" ht="30" hidden="false" customHeight="true" outlineLevel="0" collapsed="false">
      <c r="A34" s="11" t="s">
        <v>64</v>
      </c>
      <c r="B34" s="8" t="s">
        <v>65</v>
      </c>
      <c r="C34" s="8"/>
      <c r="D34" s="8"/>
      <c r="E34" s="8"/>
    </row>
    <row r="35" customFormat="false" ht="30" hidden="false" customHeight="true" outlineLevel="0" collapsed="false">
      <c r="A35" s="11" t="s">
        <v>66</v>
      </c>
      <c r="B35" s="8" t="s">
        <v>67</v>
      </c>
      <c r="C35" s="8"/>
      <c r="D35" s="8"/>
      <c r="E35" s="8"/>
    </row>
    <row r="36" customFormat="false" ht="30" hidden="false" customHeight="true" outlineLevel="0" collapsed="false">
      <c r="A36" s="11" t="s">
        <v>68</v>
      </c>
      <c r="B36" s="8" t="s">
        <v>69</v>
      </c>
      <c r="C36" s="8"/>
      <c r="D36" s="8"/>
      <c r="E36" s="8"/>
    </row>
  </sheetData>
  <mergeCells count="13">
    <mergeCell ref="A1:E1"/>
    <mergeCell ref="A2:E2"/>
    <mergeCell ref="A7:E7"/>
    <mergeCell ref="A15:E15"/>
    <mergeCell ref="A17:E17"/>
    <mergeCell ref="A27:E27"/>
    <mergeCell ref="A30:E30"/>
    <mergeCell ref="B31:E31"/>
    <mergeCell ref="B32:E32"/>
    <mergeCell ref="B33:E33"/>
    <mergeCell ref="B34:E34"/>
    <mergeCell ref="B35:E35"/>
    <mergeCell ref="B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3" min="2" style="0" width="22"/>
    <col collapsed="false" customWidth="true" hidden="false" outlineLevel="0" max="4" min="4" style="0" width="13"/>
    <col collapsed="false" customWidth="true" hidden="false" outlineLevel="0" max="5" min="5" style="0" width="11"/>
    <col collapsed="false" customWidth="true" hidden="false" outlineLevel="0" max="7" min="6" style="0" width="13"/>
    <col collapsed="false" customWidth="true" hidden="false" outlineLevel="0" max="8" min="8" style="0" width="18"/>
  </cols>
  <sheetData>
    <row r="1" customFormat="false" ht="17.9" hidden="false" customHeight="false" outlineLevel="0" collapsed="false">
      <c r="A1" s="1" t="s">
        <v>70</v>
      </c>
      <c r="B1" s="1"/>
      <c r="C1" s="1"/>
      <c r="D1" s="1"/>
      <c r="E1" s="1"/>
      <c r="F1" s="1"/>
      <c r="G1" s="1"/>
      <c r="H1" s="1"/>
    </row>
    <row r="2" customFormat="false" ht="15" hidden="false" customHeight="true" outlineLevel="0" collapsed="false">
      <c r="A2" s="2" t="s">
        <v>71</v>
      </c>
      <c r="B2" s="2"/>
      <c r="C2" s="2"/>
      <c r="D2" s="2"/>
      <c r="E2" s="2"/>
      <c r="F2" s="2"/>
      <c r="G2" s="2"/>
      <c r="H2" s="2"/>
    </row>
    <row r="4" customFormat="false" ht="15" hidden="false" customHeight="false" outlineLevel="0" collapsed="false">
      <c r="A4" s="12" t="str">
        <f aca="false">'الخطة واللجنة'!$B$4</f>
        <v>بكالوريوس علوم البيانات</v>
      </c>
      <c r="B4" s="12"/>
      <c r="C4" s="12"/>
      <c r="D4" s="12"/>
      <c r="E4" s="12"/>
      <c r="F4" s="12"/>
      <c r="G4" s="12"/>
      <c r="H4" s="12"/>
    </row>
    <row r="5" customFormat="false" ht="15" hidden="false" customHeight="false" outlineLevel="0" collapsed="false">
      <c r="A5" s="6" t="s">
        <v>72</v>
      </c>
      <c r="B5" s="6" t="s">
        <v>36</v>
      </c>
      <c r="C5" s="6" t="s">
        <v>73</v>
      </c>
      <c r="D5" s="6" t="s">
        <v>74</v>
      </c>
      <c r="E5" s="6" t="s">
        <v>75</v>
      </c>
      <c r="F5" s="6" t="s">
        <v>76</v>
      </c>
      <c r="G5" s="6" t="s">
        <v>77</v>
      </c>
      <c r="H5" s="6" t="s">
        <v>78</v>
      </c>
    </row>
    <row r="6" customFormat="false" ht="15" hidden="false" customHeight="false" outlineLevel="0" collapsed="false">
      <c r="A6" s="13" t="s">
        <v>79</v>
      </c>
      <c r="B6" s="9" t="n">
        <f aca="false">COUNTIF('فحص-البرنامج1'!$A$4:$A$207,"*1")</f>
        <v>52</v>
      </c>
      <c r="C6" s="9" t="n">
        <f aca="false">COUNTIFS('فحص-البرنامج1'!$A$4:$A$207,"*1",'فحص-البرنامج1'!$F$4:$F$207,"متوفر ومكتمل")</f>
        <v>0</v>
      </c>
      <c r="D6" s="9" t="n">
        <f aca="false">COUNTIFS('فحص-البرنامج1'!$A$4:$A$207,"*1",'فحص-البرنامج1'!$F$4:$F$207,"متوفر ويحتاج تحسين")</f>
        <v>0</v>
      </c>
      <c r="E6" s="9" t="n">
        <f aca="false">COUNTIFS('فحص-البرنامج1'!$A$4:$A$207,"*1",'فحص-البرنامج1'!$F$4:$F$207,"غير متوفر")</f>
        <v>0</v>
      </c>
      <c r="F6" s="9" t="n">
        <f aca="false">B6-SUM(C6:E6)</f>
        <v>52</v>
      </c>
      <c r="G6" s="14" t="n">
        <f aca="false">IF(B6=0,0,C6/B6)</f>
        <v>0</v>
      </c>
      <c r="H6" s="9" t="n">
        <f aca="false">COUNTIFS('فحص-البرنامج1'!$A$4:$A$207,"*1",'فحص-البرنامج1'!$H$4:$H$207,"عالية")</f>
        <v>0</v>
      </c>
    </row>
    <row r="7" customFormat="false" ht="15" hidden="false" customHeight="false" outlineLevel="0" collapsed="false">
      <c r="A7" s="13" t="s">
        <v>80</v>
      </c>
      <c r="B7" s="9" t="n">
        <f aca="false">COUNTIF('فحص-البرنامج1'!$A$4:$A$207,"*2")</f>
        <v>75</v>
      </c>
      <c r="C7" s="9" t="n">
        <f aca="false">COUNTIFS('فحص-البرنامج1'!$A$4:$A$207,"*2",'فحص-البرنامج1'!$F$4:$F$207,"متوفر ومكتمل")</f>
        <v>0</v>
      </c>
      <c r="D7" s="9" t="n">
        <f aca="false">COUNTIFS('فحص-البرنامج1'!$A$4:$A$207,"*2",'فحص-البرنامج1'!$F$4:$F$207,"متوفر ويحتاج تحسين")</f>
        <v>0</v>
      </c>
      <c r="E7" s="9" t="n">
        <f aca="false">COUNTIFS('فحص-البرنامج1'!$A$4:$A$207,"*2",'فحص-البرنامج1'!$F$4:$F$207,"غير متوفر")</f>
        <v>0</v>
      </c>
      <c r="F7" s="9" t="n">
        <f aca="false">B7-SUM(C7:E7)</f>
        <v>75</v>
      </c>
      <c r="G7" s="14" t="n">
        <f aca="false">IF(B7=0,0,C7/B7)</f>
        <v>0</v>
      </c>
      <c r="H7" s="9" t="n">
        <f aca="false">COUNTIFS('فحص-البرنامج1'!$A$4:$A$207,"*2",'فحص-البرنامج1'!$H$4:$H$207,"عالية")</f>
        <v>0</v>
      </c>
    </row>
    <row r="8" customFormat="false" ht="15" hidden="false" customHeight="false" outlineLevel="0" collapsed="false">
      <c r="A8" s="13" t="s">
        <v>81</v>
      </c>
      <c r="B8" s="9" t="n">
        <f aca="false">COUNTIF('فحص-البرنامج1'!$A$4:$A$207,"*3")</f>
        <v>32</v>
      </c>
      <c r="C8" s="9" t="n">
        <f aca="false">COUNTIFS('فحص-البرنامج1'!$A$4:$A$207,"*3",'فحص-البرنامج1'!$F$4:$F$207,"متوفر ومكتمل")</f>
        <v>0</v>
      </c>
      <c r="D8" s="9" t="n">
        <f aca="false">COUNTIFS('فحص-البرنامج1'!$A$4:$A$207,"*3",'فحص-البرنامج1'!$F$4:$F$207,"متوفر ويحتاج تحسين")</f>
        <v>0</v>
      </c>
      <c r="E8" s="9" t="n">
        <f aca="false">COUNTIFS('فحص-البرنامج1'!$A$4:$A$207,"*3",'فحص-البرنامج1'!$F$4:$F$207,"غير متوفر")</f>
        <v>0</v>
      </c>
      <c r="F8" s="9" t="n">
        <f aca="false">B8-SUM(C8:E8)</f>
        <v>32</v>
      </c>
      <c r="G8" s="14" t="n">
        <f aca="false">IF(B8=0,0,C8/B8)</f>
        <v>0</v>
      </c>
      <c r="H8" s="9" t="n">
        <f aca="false">COUNTIFS('فحص-البرنامج1'!$A$4:$A$207,"*3",'فحص-البرنامج1'!$H$4:$H$207,"عالية")</f>
        <v>0</v>
      </c>
    </row>
    <row r="9" customFormat="false" ht="15" hidden="false" customHeight="false" outlineLevel="0" collapsed="false">
      <c r="A9" s="13" t="s">
        <v>82</v>
      </c>
      <c r="B9" s="9" t="n">
        <f aca="false">COUNTIF('فحص-البرنامج1'!$A$4:$A$207,"*4")</f>
        <v>26</v>
      </c>
      <c r="C9" s="9" t="n">
        <f aca="false">COUNTIFS('فحص-البرنامج1'!$A$4:$A$207,"*4",'فحص-البرنامج1'!$F$4:$F$207,"متوفر ومكتمل")</f>
        <v>0</v>
      </c>
      <c r="D9" s="9" t="n">
        <f aca="false">COUNTIFS('فحص-البرنامج1'!$A$4:$A$207,"*4",'فحص-البرنامج1'!$F$4:$F$207,"متوفر ويحتاج تحسين")</f>
        <v>0</v>
      </c>
      <c r="E9" s="9" t="n">
        <f aca="false">COUNTIFS('فحص-البرنامج1'!$A$4:$A$207,"*4",'فحص-البرنامج1'!$F$4:$F$207,"غير متوفر")</f>
        <v>0</v>
      </c>
      <c r="F9" s="9" t="n">
        <f aca="false">B9-SUM(C9:E9)</f>
        <v>26</v>
      </c>
      <c r="G9" s="14" t="n">
        <f aca="false">IF(B9=0,0,C9/B9)</f>
        <v>0</v>
      </c>
      <c r="H9" s="9" t="n">
        <f aca="false">COUNTIFS('فحص-البرنامج1'!$A$4:$A$207,"*4",'فحص-البرنامج1'!$H$4:$H$207,"عالية")</f>
        <v>0</v>
      </c>
    </row>
    <row r="10" customFormat="false" ht="15" hidden="false" customHeight="false" outlineLevel="0" collapsed="false">
      <c r="A10" s="13" t="s">
        <v>83</v>
      </c>
      <c r="B10" s="9" t="n">
        <f aca="false">COUNTIF('فحص-البرنامج1'!$A$4:$A$207,"*5")</f>
        <v>19</v>
      </c>
      <c r="C10" s="9" t="n">
        <f aca="false">COUNTIFS('فحص-البرنامج1'!$A$4:$A$207,"*5",'فحص-البرنامج1'!$F$4:$F$207,"متوفر ومكتمل")</f>
        <v>0</v>
      </c>
      <c r="D10" s="9" t="n">
        <f aca="false">COUNTIFS('فحص-البرنامج1'!$A$4:$A$207,"*5",'فحص-البرنامج1'!$F$4:$F$207,"متوفر ويحتاج تحسين")</f>
        <v>0</v>
      </c>
      <c r="E10" s="9" t="n">
        <f aca="false">COUNTIFS('فحص-البرنامج1'!$A$4:$A$207,"*5",'فحص-البرنامج1'!$F$4:$F$207,"غير متوفر")</f>
        <v>0</v>
      </c>
      <c r="F10" s="9" t="n">
        <f aca="false">B10-SUM(C10:E10)</f>
        <v>19</v>
      </c>
      <c r="G10" s="14" t="n">
        <f aca="false">IF(B10=0,0,C10/B10)</f>
        <v>0</v>
      </c>
      <c r="H10" s="9" t="n">
        <f aca="false">COUNTIFS('فحص-البرنامج1'!$A$4:$A$207,"*5",'فحص-البرنامج1'!$H$4:$H$207,"عالية")</f>
        <v>0</v>
      </c>
    </row>
    <row r="11" customFormat="false" ht="15" hidden="false" customHeight="false" outlineLevel="0" collapsed="false">
      <c r="A11" s="3" t="s">
        <v>84</v>
      </c>
      <c r="B11" s="15" t="n">
        <f aca="false">COUNTIF('فحص-البرنامج1'!$C$4:$C$207,"★")</f>
        <v>66</v>
      </c>
      <c r="C11" s="15" t="n">
        <f aca="false">COUNTIFS('فحص-البرنامج1'!$C$4:$C$207,"★",'فحص-البرنامج1'!$F$4:$F$207,"متوفر ومكتمل")</f>
        <v>0</v>
      </c>
      <c r="D11" s="15" t="n">
        <f aca="false">COUNTIFS('فحص-البرنامج1'!$C$4:$C$207,"★",'فحص-البرنامج1'!$F$4:$F$207,"متوفر ويحتاج تحسين")</f>
        <v>0</v>
      </c>
      <c r="E11" s="15" t="n">
        <f aca="false">COUNTIFS('فحص-البرنامج1'!$C$4:$C$207,"★",'فحص-البرنامج1'!$F$4:$F$207,"غير متوفر")</f>
        <v>0</v>
      </c>
      <c r="F11" s="15" t="n">
        <f aca="false">B11-SUM(C11:E11)</f>
        <v>66</v>
      </c>
      <c r="G11" s="16" t="n">
        <f aca="false">IF(B11=0,0,C11/B11)</f>
        <v>0</v>
      </c>
      <c r="H11" s="15" t="n">
        <f aca="false">COUNTIFS('فحص-البرنامج1'!$C$4:$C$207,"★",'فحص-البرنامج1'!$H$4:$H$207,"عالية")</f>
        <v>0</v>
      </c>
    </row>
    <row r="12" customFormat="false" ht="15" hidden="false" customHeight="false" outlineLevel="0" collapsed="false">
      <c r="A12" s="3" t="s">
        <v>85</v>
      </c>
      <c r="B12" s="15" t="n">
        <f aca="false">COUNTIF('فحص-البرنامج1'!$A$4:$A$207,"*")</f>
        <v>204</v>
      </c>
      <c r="C12" s="15" t="n">
        <f aca="false">COUNTIFS('فحص-البرنامج1'!$A$4:$A$207,"*",'فحص-البرنامج1'!$F$4:$F$207,"متوفر ومكتمل")</f>
        <v>0</v>
      </c>
      <c r="D12" s="15" t="n">
        <f aca="false">COUNTIFS('فحص-البرنامج1'!$A$4:$A$207,"*",'فحص-البرنامج1'!$F$4:$F$207,"متوفر ويحتاج تحسين")</f>
        <v>0</v>
      </c>
      <c r="E12" s="15" t="n">
        <f aca="false">COUNTIFS('فحص-البرنامج1'!$A$4:$A$207,"*",'فحص-البرنامج1'!$F$4:$F$207,"غير متوفر")</f>
        <v>0</v>
      </c>
      <c r="F12" s="15" t="n">
        <f aca="false">B12-SUM(C12:E12)</f>
        <v>204</v>
      </c>
      <c r="G12" s="16" t="n">
        <f aca="false">IF(B12=0,0,C12/B12)</f>
        <v>0</v>
      </c>
      <c r="H12" s="15" t="n">
        <f aca="false">COUNTIFS('فحص-البرنامج1'!$A$4:$A$207,"*",'فحص-البرنامج1'!$H$4:$H$207,"عالية")</f>
        <v>0</v>
      </c>
    </row>
    <row r="14" customFormat="false" ht="15" hidden="false" customHeight="false" outlineLevel="0" collapsed="false">
      <c r="A14" s="12" t="str">
        <f aca="false">'الخطة واللجنة'!$B$5</f>
        <v>بكالوريوس علوم الحاسب</v>
      </c>
      <c r="B14" s="12"/>
      <c r="C14" s="12"/>
      <c r="D14" s="12"/>
      <c r="E14" s="12"/>
      <c r="F14" s="12"/>
      <c r="G14" s="12"/>
      <c r="H14" s="12"/>
    </row>
    <row r="15" customFormat="false" ht="15" hidden="false" customHeight="false" outlineLevel="0" collapsed="false">
      <c r="A15" s="6" t="s">
        <v>72</v>
      </c>
      <c r="B15" s="6" t="s">
        <v>36</v>
      </c>
      <c r="C15" s="6" t="s">
        <v>73</v>
      </c>
      <c r="D15" s="6" t="s">
        <v>74</v>
      </c>
      <c r="E15" s="6" t="s">
        <v>75</v>
      </c>
      <c r="F15" s="6" t="s">
        <v>76</v>
      </c>
      <c r="G15" s="6" t="s">
        <v>77</v>
      </c>
      <c r="H15" s="6" t="s">
        <v>78</v>
      </c>
    </row>
    <row r="16" customFormat="false" ht="15" hidden="false" customHeight="false" outlineLevel="0" collapsed="false">
      <c r="A16" s="13" t="s">
        <v>79</v>
      </c>
      <c r="B16" s="9" t="n">
        <f aca="false">COUNTIF('فحص-البرنامج2'!$A$4:$A$207,"*1")</f>
        <v>52</v>
      </c>
      <c r="C16" s="9" t="n">
        <f aca="false">COUNTIFS('فحص-البرنامج2'!$A$4:$A$207,"*1",'فحص-البرنامج2'!$F$4:$F$207,"متوفر ومكتمل")</f>
        <v>0</v>
      </c>
      <c r="D16" s="9" t="n">
        <f aca="false">COUNTIFS('فحص-البرنامج2'!$A$4:$A$207,"*1",'فحص-البرنامج2'!$F$4:$F$207,"متوفر ويحتاج تحسين")</f>
        <v>0</v>
      </c>
      <c r="E16" s="9" t="n">
        <f aca="false">COUNTIFS('فحص-البرنامج2'!$A$4:$A$207,"*1",'فحص-البرنامج2'!$F$4:$F$207,"غير متوفر")</f>
        <v>0</v>
      </c>
      <c r="F16" s="9" t="n">
        <f aca="false">B16-SUM(C16:E16)</f>
        <v>52</v>
      </c>
      <c r="G16" s="14" t="n">
        <f aca="false">IF(B16=0,0,C16/B16)</f>
        <v>0</v>
      </c>
      <c r="H16" s="9" t="n">
        <f aca="false">COUNTIFS('فحص-البرنامج2'!$A$4:$A$207,"*1",'فحص-البرنامج2'!$H$4:$H$207,"عالية")</f>
        <v>0</v>
      </c>
    </row>
    <row r="17" customFormat="false" ht="15" hidden="false" customHeight="false" outlineLevel="0" collapsed="false">
      <c r="A17" s="13" t="s">
        <v>80</v>
      </c>
      <c r="B17" s="9" t="n">
        <f aca="false">COUNTIF('فحص-البرنامج2'!$A$4:$A$207,"*2")</f>
        <v>75</v>
      </c>
      <c r="C17" s="9" t="n">
        <f aca="false">COUNTIFS('فحص-البرنامج2'!$A$4:$A$207,"*2",'فحص-البرنامج2'!$F$4:$F$207,"متوفر ومكتمل")</f>
        <v>0</v>
      </c>
      <c r="D17" s="9" t="n">
        <f aca="false">COUNTIFS('فحص-البرنامج2'!$A$4:$A$207,"*2",'فحص-البرنامج2'!$F$4:$F$207,"متوفر ويحتاج تحسين")</f>
        <v>0</v>
      </c>
      <c r="E17" s="9" t="n">
        <f aca="false">COUNTIFS('فحص-البرنامج2'!$A$4:$A$207,"*2",'فحص-البرنامج2'!$F$4:$F$207,"غير متوفر")</f>
        <v>0</v>
      </c>
      <c r="F17" s="9" t="n">
        <f aca="false">B17-SUM(C17:E17)</f>
        <v>75</v>
      </c>
      <c r="G17" s="14" t="n">
        <f aca="false">IF(B17=0,0,C17/B17)</f>
        <v>0</v>
      </c>
      <c r="H17" s="9" t="n">
        <f aca="false">COUNTIFS('فحص-البرنامج2'!$A$4:$A$207,"*2",'فحص-البرنامج2'!$H$4:$H$207,"عالية")</f>
        <v>0</v>
      </c>
    </row>
    <row r="18" customFormat="false" ht="15" hidden="false" customHeight="false" outlineLevel="0" collapsed="false">
      <c r="A18" s="13" t="s">
        <v>81</v>
      </c>
      <c r="B18" s="9" t="n">
        <f aca="false">COUNTIF('فحص-البرنامج2'!$A$4:$A$207,"*3")</f>
        <v>32</v>
      </c>
      <c r="C18" s="9" t="n">
        <f aca="false">COUNTIFS('فحص-البرنامج2'!$A$4:$A$207,"*3",'فحص-البرنامج2'!$F$4:$F$207,"متوفر ومكتمل")</f>
        <v>0</v>
      </c>
      <c r="D18" s="9" t="n">
        <f aca="false">COUNTIFS('فحص-البرنامج2'!$A$4:$A$207,"*3",'فحص-البرنامج2'!$F$4:$F$207,"متوفر ويحتاج تحسين")</f>
        <v>0</v>
      </c>
      <c r="E18" s="9" t="n">
        <f aca="false">COUNTIFS('فحص-البرنامج2'!$A$4:$A$207,"*3",'فحص-البرنامج2'!$F$4:$F$207,"غير متوفر")</f>
        <v>0</v>
      </c>
      <c r="F18" s="9" t="n">
        <f aca="false">B18-SUM(C18:E18)</f>
        <v>32</v>
      </c>
      <c r="G18" s="14" t="n">
        <f aca="false">IF(B18=0,0,C18/B18)</f>
        <v>0</v>
      </c>
      <c r="H18" s="9" t="n">
        <f aca="false">COUNTIFS('فحص-البرنامج2'!$A$4:$A$207,"*3",'فحص-البرنامج2'!$H$4:$H$207,"عالية")</f>
        <v>0</v>
      </c>
    </row>
    <row r="19" customFormat="false" ht="15" hidden="false" customHeight="false" outlineLevel="0" collapsed="false">
      <c r="A19" s="13" t="s">
        <v>82</v>
      </c>
      <c r="B19" s="9" t="n">
        <f aca="false">COUNTIF('فحص-البرنامج2'!$A$4:$A$207,"*4")</f>
        <v>26</v>
      </c>
      <c r="C19" s="9" t="n">
        <f aca="false">COUNTIFS('فحص-البرنامج2'!$A$4:$A$207,"*4",'فحص-البرنامج2'!$F$4:$F$207,"متوفر ومكتمل")</f>
        <v>0</v>
      </c>
      <c r="D19" s="9" t="n">
        <f aca="false">COUNTIFS('فحص-البرنامج2'!$A$4:$A$207,"*4",'فحص-البرنامج2'!$F$4:$F$207,"متوفر ويحتاج تحسين")</f>
        <v>0</v>
      </c>
      <c r="E19" s="9" t="n">
        <f aca="false">COUNTIFS('فحص-البرنامج2'!$A$4:$A$207,"*4",'فحص-البرنامج2'!$F$4:$F$207,"غير متوفر")</f>
        <v>0</v>
      </c>
      <c r="F19" s="9" t="n">
        <f aca="false">B19-SUM(C19:E19)</f>
        <v>26</v>
      </c>
      <c r="G19" s="14" t="n">
        <f aca="false">IF(B19=0,0,C19/B19)</f>
        <v>0</v>
      </c>
      <c r="H19" s="9" t="n">
        <f aca="false">COUNTIFS('فحص-البرنامج2'!$A$4:$A$207,"*4",'فحص-البرنامج2'!$H$4:$H$207,"عالية")</f>
        <v>0</v>
      </c>
    </row>
    <row r="20" customFormat="false" ht="15" hidden="false" customHeight="false" outlineLevel="0" collapsed="false">
      <c r="A20" s="13" t="s">
        <v>83</v>
      </c>
      <c r="B20" s="9" t="n">
        <f aca="false">COUNTIF('فحص-البرنامج2'!$A$4:$A$207,"*5")</f>
        <v>19</v>
      </c>
      <c r="C20" s="9" t="n">
        <f aca="false">COUNTIFS('فحص-البرنامج2'!$A$4:$A$207,"*5",'فحص-البرنامج2'!$F$4:$F$207,"متوفر ومكتمل")</f>
        <v>0</v>
      </c>
      <c r="D20" s="9" t="n">
        <f aca="false">COUNTIFS('فحص-البرنامج2'!$A$4:$A$207,"*5",'فحص-البرنامج2'!$F$4:$F$207,"متوفر ويحتاج تحسين")</f>
        <v>0</v>
      </c>
      <c r="E20" s="9" t="n">
        <f aca="false">COUNTIFS('فحص-البرنامج2'!$A$4:$A$207,"*5",'فحص-البرنامج2'!$F$4:$F$207,"غير متوفر")</f>
        <v>0</v>
      </c>
      <c r="F20" s="9" t="n">
        <f aca="false">B20-SUM(C20:E20)</f>
        <v>19</v>
      </c>
      <c r="G20" s="14" t="n">
        <f aca="false">IF(B20=0,0,C20/B20)</f>
        <v>0</v>
      </c>
      <c r="H20" s="9" t="n">
        <f aca="false">COUNTIFS('فحص-البرنامج2'!$A$4:$A$207,"*5",'فحص-البرنامج2'!$H$4:$H$207,"عالية")</f>
        <v>0</v>
      </c>
    </row>
    <row r="21" customFormat="false" ht="15" hidden="false" customHeight="false" outlineLevel="0" collapsed="false">
      <c r="A21" s="3" t="s">
        <v>84</v>
      </c>
      <c r="B21" s="15" t="n">
        <f aca="false">COUNTIF('فحص-البرنامج2'!$C$4:$C$207,"★")</f>
        <v>66</v>
      </c>
      <c r="C21" s="15" t="n">
        <f aca="false">COUNTIFS('فحص-البرنامج2'!$C$4:$C$207,"★",'فحص-البرنامج2'!$F$4:$F$207,"متوفر ومكتمل")</f>
        <v>0</v>
      </c>
      <c r="D21" s="15" t="n">
        <f aca="false">COUNTIFS('فحص-البرنامج2'!$C$4:$C$207,"★",'فحص-البرنامج2'!$F$4:$F$207,"متوفر ويحتاج تحسين")</f>
        <v>0</v>
      </c>
      <c r="E21" s="15" t="n">
        <f aca="false">COUNTIFS('فحص-البرنامج2'!$C$4:$C$207,"★",'فحص-البرنامج2'!$F$4:$F$207,"غير متوفر")</f>
        <v>0</v>
      </c>
      <c r="F21" s="15" t="n">
        <f aca="false">B21-SUM(C21:E21)</f>
        <v>66</v>
      </c>
      <c r="G21" s="16" t="n">
        <f aca="false">IF(B21=0,0,C21/B21)</f>
        <v>0</v>
      </c>
      <c r="H21" s="15" t="n">
        <f aca="false">COUNTIFS('فحص-البرنامج2'!$C$4:$C$207,"★",'فحص-البرنامج2'!$H$4:$H$207,"عالية")</f>
        <v>0</v>
      </c>
    </row>
    <row r="22" customFormat="false" ht="15" hidden="false" customHeight="false" outlineLevel="0" collapsed="false">
      <c r="A22" s="3" t="s">
        <v>85</v>
      </c>
      <c r="B22" s="15" t="n">
        <f aca="false">COUNTIF('فحص-البرنامج2'!$A$4:$A$207,"*")</f>
        <v>204</v>
      </c>
      <c r="C22" s="15" t="n">
        <f aca="false">COUNTIFS('فحص-البرنامج2'!$A$4:$A$207,"*",'فحص-البرنامج2'!$F$4:$F$207,"متوفر ومكتمل")</f>
        <v>0</v>
      </c>
      <c r="D22" s="15" t="n">
        <f aca="false">COUNTIFS('فحص-البرنامج2'!$A$4:$A$207,"*",'فحص-البرنامج2'!$F$4:$F$207,"متوفر ويحتاج تحسين")</f>
        <v>0</v>
      </c>
      <c r="E22" s="15" t="n">
        <f aca="false">COUNTIFS('فحص-البرنامج2'!$A$4:$A$207,"*",'فحص-البرنامج2'!$F$4:$F$207,"غير متوفر")</f>
        <v>0</v>
      </c>
      <c r="F22" s="15" t="n">
        <f aca="false">B22-SUM(C22:E22)</f>
        <v>204</v>
      </c>
      <c r="G22" s="16" t="n">
        <f aca="false">IF(B22=0,0,C22/B22)</f>
        <v>0</v>
      </c>
      <c r="H22" s="15" t="n">
        <f aca="false">COUNTIFS('فحص-البرنامج2'!$A$4:$A$207,"*",'فحص-البرنامج2'!$H$4:$H$207,"عالية")</f>
        <v>0</v>
      </c>
    </row>
    <row r="24" customFormat="false" ht="15" hidden="false" customHeight="false" outlineLevel="0" collapsed="false">
      <c r="A24" s="5" t="s">
        <v>86</v>
      </c>
      <c r="B24" s="5"/>
      <c r="C24" s="5"/>
      <c r="D24" s="5"/>
      <c r="E24" s="5"/>
      <c r="F24" s="5"/>
      <c r="G24" s="5"/>
      <c r="H24" s="5"/>
    </row>
    <row r="25" customFormat="false" ht="15" hidden="false" customHeight="false" outlineLevel="0" collapsed="false">
      <c r="A25" s="6" t="s">
        <v>87</v>
      </c>
      <c r="B25" s="6" t="str">
        <f aca="false">'الخطة واللجنة'!$B$4</f>
        <v>بكالوريوس علوم البيانات</v>
      </c>
      <c r="C25" s="6" t="str">
        <f aca="false">'الخطة واللجنة'!$B$5</f>
        <v>بكالوريوس علوم الحاسب</v>
      </c>
    </row>
    <row r="26" customFormat="false" ht="15" hidden="false" customHeight="false" outlineLevel="0" collapsed="false">
      <c r="A26" s="13" t="s">
        <v>88</v>
      </c>
      <c r="B26" s="9" t="n">
        <f aca="false">COUNTIF('فحص-البرنامج1'!$G$4:$G$207,"غير معتمد")</f>
        <v>0</v>
      </c>
      <c r="C26" s="9" t="n">
        <f aca="false">COUNTIF('فحص-البرنامج2'!$G$4:$G$207,"غير معتمد")</f>
        <v>0</v>
      </c>
    </row>
    <row r="27" customFormat="false" ht="15" hidden="false" customHeight="false" outlineLevel="0" collapsed="false">
      <c r="A27" s="13" t="s">
        <v>89</v>
      </c>
      <c r="B27" s="9" t="n">
        <f aca="false">COUNTIF('فحص-البرنامج1'!$G$4:$G$207,"غير محدّث")</f>
        <v>0</v>
      </c>
      <c r="C27" s="9" t="n">
        <f aca="false">COUNTIF('فحص-البرنامج2'!$G$4:$G$207,"غير محدّث")</f>
        <v>0</v>
      </c>
    </row>
    <row r="28" customFormat="false" ht="15" hidden="false" customHeight="false" outlineLevel="0" collapsed="false">
      <c r="A28" s="13" t="s">
        <v>90</v>
      </c>
      <c r="B28" s="9" t="n">
        <f aca="false">COUNTIF('فحص-البرنامج1'!$G$4:$G$207,"لا يغطي المعيار كاملاً")</f>
        <v>0</v>
      </c>
      <c r="C28" s="9" t="n">
        <f aca="false">COUNTIF('فحص-البرنامج2'!$G$4:$G$207,"لا يغطي المعيار كاملاً")</f>
        <v>0</v>
      </c>
    </row>
    <row r="29" customFormat="false" ht="15" hidden="false" customHeight="false" outlineLevel="0" collapsed="false">
      <c r="A29" s="13" t="s">
        <v>91</v>
      </c>
      <c r="B29" s="9" t="n">
        <f aca="false">COUNTIF('فحص-البرنامج1'!$G$4:$G$207,"لا يثبت التطبيق الفعلي")</f>
        <v>0</v>
      </c>
      <c r="C29" s="9" t="n">
        <f aca="false">COUNTIF('فحص-البرنامج2'!$G$4:$G$207,"لا يثبت التطبيق الفعلي")</f>
        <v>0</v>
      </c>
    </row>
    <row r="30" customFormat="false" ht="15" hidden="false" customHeight="false" outlineLevel="0" collapsed="false">
      <c r="A30" s="13" t="s">
        <v>92</v>
      </c>
      <c r="B30" s="9" t="n">
        <f aca="false">COUNTIF('فحص-البرنامج1'!$G$4:$G$207,"لا توجد نتائج وتحسين")</f>
        <v>0</v>
      </c>
      <c r="C30" s="9" t="n">
        <f aca="false">COUNTIF('فحص-البرنامج2'!$G$4:$G$207,"لا توجد نتائج وتحسين")</f>
        <v>0</v>
      </c>
    </row>
  </sheetData>
  <mergeCells count="5">
    <mergeCell ref="A1:H1"/>
    <mergeCell ref="A2:H2"/>
    <mergeCell ref="A4:H4"/>
    <mergeCell ref="A14:H14"/>
    <mergeCell ref="A24:H24"/>
  </mergeCells>
  <conditionalFormatting sqref="G6:G12">
    <cfRule type="dataBar" priority="2">
      <dataBar showValue="1" minLength="10" maxLength="90">
        <cfvo type="num" val="0"/>
        <cfvo type="num" val="1"/>
        <color rgb="FF5B9BD5"/>
      </dataBar>
      <extLst>
        <ext xmlns:x14="http://schemas.microsoft.com/office/spreadsheetml/2009/9/main" uri="{B025F937-C7B1-47D3-B67F-A62EFF666E3E}">
          <x14:id>{35382AD4-D319-4757-A1C0-A6EB1144AD3B}</x14:id>
        </ext>
      </extLst>
    </cfRule>
  </conditionalFormatting>
  <conditionalFormatting sqref="G16:G22">
    <cfRule type="dataBar" priority="3">
      <dataBar showValue="1" minLength="10" maxLength="90">
        <cfvo type="num" val="0"/>
        <cfvo type="num" val="1"/>
        <color rgb="FF5B9BD5"/>
      </dataBar>
      <extLst>
        <ext xmlns:x14="http://schemas.microsoft.com/office/spreadsheetml/2009/9/main" uri="{B025F937-C7B1-47D3-B67F-A62EFF666E3E}">
          <x14:id>{BE1721DC-20E4-48C9-AC67-70BC2F801ED6}</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5382AD4-D319-4757-A1C0-A6EB1144AD3B}">
            <x14:dataBar minLength="10" maxLength="90" axisPosition="none" gradient="true">
              <x14:cfvo type="num">
                <xm:f>0</xm:f>
              </x14:cfvo>
              <x14:cfvo type="num">
                <xm:f>1</xm:f>
              </x14:cfvo>
              <x14:negativeFillColor rgb="FF5B9BD5"/>
              <x14:axisColor rgb="FF000000"/>
            </x14:dataBar>
          </x14:cfRule>
          <xm:sqref>G6:G12</xm:sqref>
        </x14:conditionalFormatting>
        <x14:conditionalFormatting xmlns:xm="http://schemas.microsoft.com/office/excel/2006/main">
          <x14:cfRule type="dataBar" id="{BE1721DC-20E4-48C9-AC67-70BC2F801ED6}">
            <x14:dataBar minLength="10" maxLength="90" axisPosition="none" gradient="true">
              <x14:cfvo type="num">
                <xm:f>0</xm:f>
              </x14:cfvo>
              <x14:cfvo type="num">
                <xm:f>1</xm:f>
              </x14:cfvo>
              <x14:negativeFillColor rgb="FF5B9BD5"/>
              <x14:axisColor rgb="FF000000"/>
            </x14:dataBar>
          </x14:cfRule>
          <xm:sqref>G16:G22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L20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6"/>
    <col collapsed="false" customWidth="true" hidden="false" outlineLevel="0" max="4" min="4" style="0" width="46"/>
    <col collapsed="false" customWidth="true" hidden="false" outlineLevel="0" max="5" min="5" style="0" width="12"/>
    <col collapsed="false" customWidth="true" hidden="false" outlineLevel="0" max="6" min="6" style="0" width="17"/>
    <col collapsed="false" customWidth="true" hidden="false" outlineLevel="0" max="7" min="7" style="0" width="19"/>
    <col collapsed="false" customWidth="true" hidden="false" outlineLevel="0" max="8" min="8" style="0" width="9"/>
    <col collapsed="false" customWidth="true" hidden="false" outlineLevel="0" max="9" min="9" style="0" width="30"/>
    <col collapsed="false" customWidth="true" hidden="false" outlineLevel="0" max="10" min="10" style="0" width="11"/>
    <col collapsed="false" customWidth="true" hidden="false" outlineLevel="0" max="11" min="11" style="0" width="26"/>
    <col collapsed="false" customWidth="true" hidden="false" outlineLevel="0" max="12" min="12" style="0" width="24"/>
  </cols>
  <sheetData>
    <row r="1" customFormat="false" ht="17.35" hidden="false" customHeight="false" outlineLevel="0" collapsed="false">
      <c r="A1" s="17" t="str">
        <f aca="false">"فحص الأدلة – "&amp;'الخطة واللجنة'!$B$4</f>
        <v>فحص الأدلة – بكالوريوس علوم البيانات</v>
      </c>
      <c r="B1" s="17"/>
      <c r="C1" s="17"/>
      <c r="D1" s="17"/>
      <c r="E1" s="17"/>
      <c r="F1" s="17"/>
    </row>
    <row r="2" customFormat="false" ht="11.9" hidden="false" customHeight="false" outlineLevel="0" collapsed="false">
      <c r="A2" s="18" t="s">
        <v>93</v>
      </c>
      <c r="B2" s="18"/>
      <c r="C2" s="18"/>
      <c r="D2" s="18"/>
      <c r="E2" s="18"/>
      <c r="F2" s="18"/>
      <c r="G2" s="18"/>
      <c r="H2" s="18"/>
      <c r="I2" s="18"/>
      <c r="J2" s="18"/>
      <c r="K2" s="18"/>
      <c r="L2" s="18"/>
    </row>
    <row r="3" customFormat="false" ht="15" hidden="false" customHeight="false" outlineLevel="0" collapsed="false">
      <c r="A3" s="6" t="s">
        <v>94</v>
      </c>
      <c r="B3" s="6" t="s">
        <v>95</v>
      </c>
      <c r="C3" s="6" t="s">
        <v>96</v>
      </c>
      <c r="D3" s="6" t="s">
        <v>97</v>
      </c>
      <c r="E3" s="6" t="s">
        <v>9</v>
      </c>
      <c r="F3" s="6" t="s">
        <v>60</v>
      </c>
      <c r="G3" s="6" t="s">
        <v>87</v>
      </c>
      <c r="H3" s="6" t="s">
        <v>98</v>
      </c>
      <c r="I3" s="6" t="s">
        <v>99</v>
      </c>
      <c r="J3" s="6" t="s">
        <v>100</v>
      </c>
      <c r="K3" s="6" t="s">
        <v>101</v>
      </c>
      <c r="L3" s="6" t="s">
        <v>102</v>
      </c>
    </row>
    <row r="4" customFormat="false" ht="22.35" hidden="false" customHeight="false" outlineLevel="0" collapsed="false">
      <c r="A4" s="19" t="s">
        <v>103</v>
      </c>
      <c r="B4" s="20" t="s">
        <v>104</v>
      </c>
      <c r="C4" s="21"/>
      <c r="D4" s="20" t="s">
        <v>105</v>
      </c>
      <c r="E4" s="22" t="str">
        <f aca="false">'الخطة واللجنة'!$B$21</f>
        <v>عضو 3</v>
      </c>
      <c r="F4" s="23"/>
      <c r="G4" s="23"/>
      <c r="H4" s="22" t="str">
        <f aca="false">IF(OR(F4="",F4="متوفر ومكتمل"),"",IF(OR(C4="★",F4="غير متوفر"),"عالية","متوسطة"))</f>
        <v/>
      </c>
      <c r="I4" s="24"/>
      <c r="J4" s="25"/>
      <c r="K4" s="24"/>
      <c r="L4" s="24"/>
    </row>
    <row r="5" customFormat="false" ht="15" hidden="false" customHeight="false" outlineLevel="0" collapsed="false">
      <c r="A5" s="22" t="s">
        <v>103</v>
      </c>
      <c r="B5" s="20"/>
      <c r="C5" s="21"/>
      <c r="D5" s="20" t="s">
        <v>106</v>
      </c>
      <c r="E5" s="22" t="str">
        <f aca="false">'الخطة واللجنة'!$B$21</f>
        <v>عضو 3</v>
      </c>
      <c r="F5" s="23"/>
      <c r="G5" s="23"/>
      <c r="H5" s="22" t="str">
        <f aca="false">IF(OR(F5="",F5="متوفر ومكتمل"),"",IF(OR(C5="★",F5="غير متوفر"),"عالية","متوسطة"))</f>
        <v/>
      </c>
      <c r="I5" s="24"/>
      <c r="J5" s="25"/>
      <c r="K5" s="24"/>
      <c r="L5" s="24"/>
    </row>
    <row r="6" customFormat="false" ht="15" hidden="false" customHeight="false" outlineLevel="0" collapsed="false">
      <c r="A6" s="22" t="s">
        <v>103</v>
      </c>
      <c r="B6" s="20"/>
      <c r="C6" s="21"/>
      <c r="D6" s="20" t="s">
        <v>107</v>
      </c>
      <c r="E6" s="22" t="str">
        <f aca="false">'الخطة واللجنة'!$B$21</f>
        <v>عضو 3</v>
      </c>
      <c r="F6" s="23"/>
      <c r="G6" s="23"/>
      <c r="H6" s="22" t="str">
        <f aca="false">IF(OR(F6="",F6="متوفر ومكتمل"),"",IF(OR(C6="★",F6="غير متوفر"),"عالية","متوسطة"))</f>
        <v/>
      </c>
      <c r="I6" s="24"/>
      <c r="J6" s="25"/>
      <c r="K6" s="24"/>
      <c r="L6" s="24"/>
    </row>
    <row r="7" customFormat="false" ht="15" hidden="false" customHeight="false" outlineLevel="0" collapsed="false">
      <c r="A7" s="22" t="s">
        <v>103</v>
      </c>
      <c r="B7" s="20"/>
      <c r="C7" s="21"/>
      <c r="D7" s="20" t="s">
        <v>108</v>
      </c>
      <c r="E7" s="22" t="str">
        <f aca="false">'الخطة واللجنة'!$B$21</f>
        <v>عضو 3</v>
      </c>
      <c r="F7" s="23"/>
      <c r="G7" s="23"/>
      <c r="H7" s="22" t="str">
        <f aca="false">IF(OR(F7="",F7="متوفر ومكتمل"),"",IF(OR(C7="★",F7="غير متوفر"),"عالية","متوسطة"))</f>
        <v/>
      </c>
      <c r="I7" s="24"/>
      <c r="J7" s="25"/>
      <c r="K7" s="24"/>
      <c r="L7" s="24"/>
    </row>
    <row r="8" customFormat="false" ht="22.35" hidden="false" customHeight="false" outlineLevel="0" collapsed="false">
      <c r="A8" s="26" t="s">
        <v>109</v>
      </c>
      <c r="B8" s="27" t="s">
        <v>110</v>
      </c>
      <c r="C8" s="28" t="s">
        <v>111</v>
      </c>
      <c r="D8" s="27" t="s">
        <v>112</v>
      </c>
      <c r="E8" s="29" t="str">
        <f aca="false">'الخطة واللجنة'!$B$21</f>
        <v>عضو 3</v>
      </c>
      <c r="F8" s="30"/>
      <c r="G8" s="30"/>
      <c r="H8" s="29" t="str">
        <f aca="false">IF(OR(F8="",F8="متوفر ومكتمل"),"",IF(OR(C8="★",F8="غير متوفر"),"عالية","متوسطة"))</f>
        <v/>
      </c>
      <c r="I8" s="31"/>
      <c r="J8" s="32"/>
      <c r="K8" s="31"/>
      <c r="L8" s="31"/>
    </row>
    <row r="9" customFormat="false" ht="15" hidden="false" customHeight="false" outlineLevel="0" collapsed="false">
      <c r="A9" s="33" t="s">
        <v>109</v>
      </c>
      <c r="B9" s="34"/>
      <c r="C9" s="35" t="s">
        <v>111</v>
      </c>
      <c r="D9" s="34" t="s">
        <v>113</v>
      </c>
      <c r="E9" s="22" t="str">
        <f aca="false">'الخطة واللجنة'!$B$21</f>
        <v>عضو 3</v>
      </c>
      <c r="F9" s="23"/>
      <c r="G9" s="23"/>
      <c r="H9" s="22" t="str">
        <f aca="false">IF(OR(F9="",F9="متوفر ومكتمل"),"",IF(OR(C9="★",F9="غير متوفر"),"عالية","متوسطة"))</f>
        <v/>
      </c>
      <c r="I9" s="24"/>
      <c r="J9" s="25"/>
      <c r="K9" s="24"/>
      <c r="L9" s="24"/>
    </row>
    <row r="10" customFormat="false" ht="15" hidden="false" customHeight="false" outlineLevel="0" collapsed="false">
      <c r="A10" s="33" t="s">
        <v>109</v>
      </c>
      <c r="B10" s="34"/>
      <c r="C10" s="35" t="s">
        <v>111</v>
      </c>
      <c r="D10" s="34" t="s">
        <v>114</v>
      </c>
      <c r="E10" s="22" t="str">
        <f aca="false">'الخطة واللجنة'!$B$21</f>
        <v>عضو 3</v>
      </c>
      <c r="F10" s="23"/>
      <c r="G10" s="23"/>
      <c r="H10" s="22" t="str">
        <f aca="false">IF(OR(F10="",F10="متوفر ومكتمل"),"",IF(OR(C10="★",F10="غير متوفر"),"عالية","متوسطة"))</f>
        <v/>
      </c>
      <c r="I10" s="24"/>
      <c r="J10" s="25"/>
      <c r="K10" s="24"/>
      <c r="L10" s="24"/>
    </row>
    <row r="11" customFormat="false" ht="15" hidden="false" customHeight="false" outlineLevel="0" collapsed="false">
      <c r="A11" s="33" t="s">
        <v>109</v>
      </c>
      <c r="B11" s="34"/>
      <c r="C11" s="35" t="s">
        <v>111</v>
      </c>
      <c r="D11" s="34" t="s">
        <v>115</v>
      </c>
      <c r="E11" s="22" t="str">
        <f aca="false">'الخطة واللجنة'!$B$21</f>
        <v>عضو 3</v>
      </c>
      <c r="F11" s="23"/>
      <c r="G11" s="23"/>
      <c r="H11" s="22" t="str">
        <f aca="false">IF(OR(F11="",F11="متوفر ومكتمل"),"",IF(OR(C11="★",F11="غير متوفر"),"عالية","متوسطة"))</f>
        <v/>
      </c>
      <c r="I11" s="24"/>
      <c r="J11" s="25"/>
      <c r="K11" s="24"/>
      <c r="L11" s="24"/>
    </row>
    <row r="12" customFormat="false" ht="15" hidden="false" customHeight="false" outlineLevel="0" collapsed="false">
      <c r="A12" s="33" t="s">
        <v>109</v>
      </c>
      <c r="B12" s="34"/>
      <c r="C12" s="35" t="s">
        <v>111</v>
      </c>
      <c r="D12" s="34" t="s">
        <v>116</v>
      </c>
      <c r="E12" s="22" t="str">
        <f aca="false">'الخطة واللجنة'!$B$21</f>
        <v>عضو 3</v>
      </c>
      <c r="F12" s="23"/>
      <c r="G12" s="23"/>
      <c r="H12" s="22" t="str">
        <f aca="false">IF(OR(F12="",F12="متوفر ومكتمل"),"",IF(OR(C12="★",F12="غير متوفر"),"عالية","متوسطة"))</f>
        <v/>
      </c>
      <c r="I12" s="24"/>
      <c r="J12" s="25"/>
      <c r="K12" s="24"/>
      <c r="L12" s="24"/>
    </row>
    <row r="13" customFormat="false" ht="15" hidden="false" customHeight="false" outlineLevel="0" collapsed="false">
      <c r="A13" s="36" t="s">
        <v>117</v>
      </c>
      <c r="B13" s="37" t="s">
        <v>118</v>
      </c>
      <c r="C13" s="38"/>
      <c r="D13" s="37" t="s">
        <v>119</v>
      </c>
      <c r="E13" s="29" t="str">
        <f aca="false">'الخطة واللجنة'!$B$21</f>
        <v>عضو 3</v>
      </c>
      <c r="F13" s="30"/>
      <c r="G13" s="30"/>
      <c r="H13" s="29" t="str">
        <f aca="false">IF(OR(F13="",F13="متوفر ومكتمل"),"",IF(OR(C13="★",F13="غير متوفر"),"عالية","متوسطة"))</f>
        <v/>
      </c>
      <c r="I13" s="31"/>
      <c r="J13" s="32"/>
      <c r="K13" s="31"/>
      <c r="L13" s="31"/>
    </row>
    <row r="14" customFormat="false" ht="15" hidden="false" customHeight="false" outlineLevel="0" collapsed="false">
      <c r="A14" s="22" t="s">
        <v>117</v>
      </c>
      <c r="B14" s="20"/>
      <c r="C14" s="21"/>
      <c r="D14" s="20" t="s">
        <v>120</v>
      </c>
      <c r="E14" s="22" t="str">
        <f aca="false">'الخطة واللجنة'!$B$21</f>
        <v>عضو 3</v>
      </c>
      <c r="F14" s="23"/>
      <c r="G14" s="23"/>
      <c r="H14" s="22" t="str">
        <f aca="false">IF(OR(F14="",F14="متوفر ومكتمل"),"",IF(OR(C14="★",F14="غير متوفر"),"عالية","متوسطة"))</f>
        <v/>
      </c>
      <c r="I14" s="24"/>
      <c r="J14" s="25"/>
      <c r="K14" s="24"/>
      <c r="L14" s="24"/>
    </row>
    <row r="15" customFormat="false" ht="15" hidden="false" customHeight="false" outlineLevel="0" collapsed="false">
      <c r="A15" s="22" t="s">
        <v>117</v>
      </c>
      <c r="B15" s="20"/>
      <c r="C15" s="21"/>
      <c r="D15" s="20" t="s">
        <v>121</v>
      </c>
      <c r="E15" s="22" t="str">
        <f aca="false">'الخطة واللجنة'!$B$21</f>
        <v>عضو 3</v>
      </c>
      <c r="F15" s="23"/>
      <c r="G15" s="23"/>
      <c r="H15" s="22" t="str">
        <f aca="false">IF(OR(F15="",F15="متوفر ومكتمل"),"",IF(OR(C15="★",F15="غير متوفر"),"عالية","متوسطة"))</f>
        <v/>
      </c>
      <c r="I15" s="24"/>
      <c r="J15" s="25"/>
      <c r="K15" s="24"/>
      <c r="L15" s="24"/>
    </row>
    <row r="16" customFormat="false" ht="15" hidden="false" customHeight="false" outlineLevel="0" collapsed="false">
      <c r="A16" s="22" t="s">
        <v>117</v>
      </c>
      <c r="B16" s="20"/>
      <c r="C16" s="21"/>
      <c r="D16" s="20" t="s">
        <v>122</v>
      </c>
      <c r="E16" s="22" t="str">
        <f aca="false">'الخطة واللجنة'!$B$21</f>
        <v>عضو 3</v>
      </c>
      <c r="F16" s="23"/>
      <c r="G16" s="23"/>
      <c r="H16" s="22" t="str">
        <f aca="false">IF(OR(F16="",F16="متوفر ومكتمل"),"",IF(OR(C16="★",F16="غير متوفر"),"عالية","متوسطة"))</f>
        <v/>
      </c>
      <c r="I16" s="24"/>
      <c r="J16" s="25"/>
      <c r="K16" s="24"/>
      <c r="L16" s="24"/>
    </row>
    <row r="17" customFormat="false" ht="22.35" hidden="false" customHeight="false" outlineLevel="0" collapsed="false">
      <c r="A17" s="22" t="s">
        <v>117</v>
      </c>
      <c r="B17" s="20"/>
      <c r="C17" s="21"/>
      <c r="D17" s="20" t="s">
        <v>123</v>
      </c>
      <c r="E17" s="22" t="str">
        <f aca="false">'الخطة واللجنة'!$B$21</f>
        <v>عضو 3</v>
      </c>
      <c r="F17" s="23"/>
      <c r="G17" s="23"/>
      <c r="H17" s="22" t="str">
        <f aca="false">IF(OR(F17="",F17="متوفر ومكتمل"),"",IF(OR(C17="★",F17="غير متوفر"),"عالية","متوسطة"))</f>
        <v/>
      </c>
      <c r="I17" s="24"/>
      <c r="J17" s="25"/>
      <c r="K17" s="24"/>
      <c r="L17" s="24"/>
    </row>
    <row r="18" customFormat="false" ht="22.35" hidden="false" customHeight="false" outlineLevel="0" collapsed="false">
      <c r="A18" s="36" t="s">
        <v>124</v>
      </c>
      <c r="B18" s="37" t="s">
        <v>125</v>
      </c>
      <c r="C18" s="38"/>
      <c r="D18" s="37" t="s">
        <v>126</v>
      </c>
      <c r="E18" s="29" t="str">
        <f aca="false">'الخطة واللجنة'!$B$21</f>
        <v>عضو 3</v>
      </c>
      <c r="F18" s="30"/>
      <c r="G18" s="30"/>
      <c r="H18" s="29" t="str">
        <f aca="false">IF(OR(F18="",F18="متوفر ومكتمل"),"",IF(OR(C18="★",F18="غير متوفر"),"عالية","متوسطة"))</f>
        <v/>
      </c>
      <c r="I18" s="31"/>
      <c r="J18" s="32"/>
      <c r="K18" s="31"/>
      <c r="L18" s="31"/>
    </row>
    <row r="19" customFormat="false" ht="15" hidden="false" customHeight="false" outlineLevel="0" collapsed="false">
      <c r="A19" s="22" t="s">
        <v>124</v>
      </c>
      <c r="B19" s="20"/>
      <c r="C19" s="21"/>
      <c r="D19" s="20" t="s">
        <v>127</v>
      </c>
      <c r="E19" s="22" t="str">
        <f aca="false">'الخطة واللجنة'!$B$21</f>
        <v>عضو 3</v>
      </c>
      <c r="F19" s="23"/>
      <c r="G19" s="23"/>
      <c r="H19" s="22" t="str">
        <f aca="false">IF(OR(F19="",F19="متوفر ومكتمل"),"",IF(OR(C19="★",F19="غير متوفر"),"عالية","متوسطة"))</f>
        <v/>
      </c>
      <c r="I19" s="24"/>
      <c r="J19" s="25"/>
      <c r="K19" s="24"/>
      <c r="L19" s="24"/>
    </row>
    <row r="20" customFormat="false" ht="43.25" hidden="false" customHeight="false" outlineLevel="0" collapsed="false">
      <c r="A20" s="36" t="s">
        <v>128</v>
      </c>
      <c r="B20" s="37" t="s">
        <v>129</v>
      </c>
      <c r="C20" s="38"/>
      <c r="D20" s="37" t="s">
        <v>130</v>
      </c>
      <c r="E20" s="29" t="str">
        <f aca="false">'الخطة واللجنة'!$B$21</f>
        <v>عضو 3</v>
      </c>
      <c r="F20" s="30"/>
      <c r="G20" s="30"/>
      <c r="H20" s="29" t="str">
        <f aca="false">IF(OR(F20="",F20="متوفر ومكتمل"),"",IF(OR(C20="★",F20="غير متوفر"),"عالية","متوسطة"))</f>
        <v/>
      </c>
      <c r="I20" s="31"/>
      <c r="J20" s="32"/>
      <c r="K20" s="31"/>
      <c r="L20" s="31"/>
    </row>
    <row r="21" customFormat="false" ht="22.35" hidden="false" customHeight="false" outlineLevel="0" collapsed="false">
      <c r="A21" s="22" t="s">
        <v>128</v>
      </c>
      <c r="B21" s="20"/>
      <c r="C21" s="21"/>
      <c r="D21" s="20" t="s">
        <v>131</v>
      </c>
      <c r="E21" s="22" t="str">
        <f aca="false">'الخطة واللجنة'!$B$21</f>
        <v>عضو 3</v>
      </c>
      <c r="F21" s="23"/>
      <c r="G21" s="23"/>
      <c r="H21" s="22" t="str">
        <f aca="false">IF(OR(F21="",F21="متوفر ومكتمل"),"",IF(OR(C21="★",F21="غير متوفر"),"عالية","متوسطة"))</f>
        <v/>
      </c>
      <c r="I21" s="24"/>
      <c r="J21" s="25"/>
      <c r="K21" s="24"/>
      <c r="L21" s="24"/>
    </row>
    <row r="22" customFormat="false" ht="22.35" hidden="false" customHeight="false" outlineLevel="0" collapsed="false">
      <c r="A22" s="22" t="s">
        <v>128</v>
      </c>
      <c r="B22" s="20"/>
      <c r="C22" s="21"/>
      <c r="D22" s="20" t="s">
        <v>132</v>
      </c>
      <c r="E22" s="22" t="str">
        <f aca="false">'الخطة واللجنة'!$B$21</f>
        <v>عضو 3</v>
      </c>
      <c r="F22" s="23"/>
      <c r="G22" s="23"/>
      <c r="H22" s="22" t="str">
        <f aca="false">IF(OR(F22="",F22="متوفر ومكتمل"),"",IF(OR(C22="★",F22="غير متوفر"),"عالية","متوسطة"))</f>
        <v/>
      </c>
      <c r="I22" s="24"/>
      <c r="J22" s="25"/>
      <c r="K22" s="24"/>
      <c r="L22" s="24"/>
    </row>
    <row r="23" customFormat="false" ht="22.35" hidden="false" customHeight="false" outlineLevel="0" collapsed="false">
      <c r="A23" s="22" t="s">
        <v>128</v>
      </c>
      <c r="B23" s="20"/>
      <c r="C23" s="21"/>
      <c r="D23" s="20" t="s">
        <v>133</v>
      </c>
      <c r="E23" s="22" t="str">
        <f aca="false">'الخطة واللجنة'!$B$21</f>
        <v>عضو 3</v>
      </c>
      <c r="F23" s="23"/>
      <c r="G23" s="23"/>
      <c r="H23" s="22" t="str">
        <f aca="false">IF(OR(F23="",F23="متوفر ومكتمل"),"",IF(OR(C23="★",F23="غير متوفر"),"عالية","متوسطة"))</f>
        <v/>
      </c>
      <c r="I23" s="24"/>
      <c r="J23" s="25"/>
      <c r="K23" s="24"/>
      <c r="L23" s="24"/>
    </row>
    <row r="24" customFormat="false" ht="32.8" hidden="false" customHeight="false" outlineLevel="0" collapsed="false">
      <c r="A24" s="36" t="s">
        <v>134</v>
      </c>
      <c r="B24" s="37" t="s">
        <v>135</v>
      </c>
      <c r="C24" s="38"/>
      <c r="D24" s="37" t="s">
        <v>136</v>
      </c>
      <c r="E24" s="29" t="str">
        <f aca="false">'الخطة واللجنة'!$B$21</f>
        <v>عضو 3</v>
      </c>
      <c r="F24" s="30"/>
      <c r="G24" s="30"/>
      <c r="H24" s="29" t="str">
        <f aca="false">IF(OR(F24="",F24="متوفر ومكتمل"),"",IF(OR(C24="★",F24="غير متوفر"),"عالية","متوسطة"))</f>
        <v/>
      </c>
      <c r="I24" s="31"/>
      <c r="J24" s="32"/>
      <c r="K24" s="31"/>
      <c r="L24" s="31"/>
    </row>
    <row r="25" customFormat="false" ht="15" hidden="false" customHeight="false" outlineLevel="0" collapsed="false">
      <c r="A25" s="22" t="s">
        <v>134</v>
      </c>
      <c r="B25" s="20"/>
      <c r="C25" s="21"/>
      <c r="D25" s="20" t="s">
        <v>137</v>
      </c>
      <c r="E25" s="22" t="str">
        <f aca="false">'الخطة واللجنة'!$B$21</f>
        <v>عضو 3</v>
      </c>
      <c r="F25" s="23"/>
      <c r="G25" s="23"/>
      <c r="H25" s="22" t="str">
        <f aca="false">IF(OR(F25="",F25="متوفر ومكتمل"),"",IF(OR(C25="★",F25="غير متوفر"),"عالية","متوسطة"))</f>
        <v/>
      </c>
      <c r="I25" s="24"/>
      <c r="J25" s="25"/>
      <c r="K25" s="24"/>
      <c r="L25" s="24"/>
    </row>
    <row r="26" customFormat="false" ht="15" hidden="false" customHeight="false" outlineLevel="0" collapsed="false">
      <c r="A26" s="22" t="s">
        <v>134</v>
      </c>
      <c r="B26" s="20"/>
      <c r="C26" s="21"/>
      <c r="D26" s="20" t="s">
        <v>138</v>
      </c>
      <c r="E26" s="22" t="str">
        <f aca="false">'الخطة واللجنة'!$B$21</f>
        <v>عضو 3</v>
      </c>
      <c r="F26" s="23"/>
      <c r="G26" s="23"/>
      <c r="H26" s="22" t="str">
        <f aca="false">IF(OR(F26="",F26="متوفر ومكتمل"),"",IF(OR(C26="★",F26="غير متوفر"),"عالية","متوسطة"))</f>
        <v/>
      </c>
      <c r="I26" s="24"/>
      <c r="J26" s="25"/>
      <c r="K26" s="24"/>
      <c r="L26" s="24"/>
    </row>
    <row r="27" customFormat="false" ht="22.35" hidden="false" customHeight="false" outlineLevel="0" collapsed="false">
      <c r="A27" s="22" t="s">
        <v>134</v>
      </c>
      <c r="B27" s="20"/>
      <c r="C27" s="21"/>
      <c r="D27" s="20" t="s">
        <v>139</v>
      </c>
      <c r="E27" s="22" t="str">
        <f aca="false">'الخطة واللجنة'!$B$21</f>
        <v>عضو 3</v>
      </c>
      <c r="F27" s="23"/>
      <c r="G27" s="23"/>
      <c r="H27" s="22" t="str">
        <f aca="false">IF(OR(F27="",F27="متوفر ومكتمل"),"",IF(OR(C27="★",F27="غير متوفر"),"عالية","متوسطة"))</f>
        <v/>
      </c>
      <c r="I27" s="24"/>
      <c r="J27" s="25"/>
      <c r="K27" s="24"/>
      <c r="L27" s="24"/>
    </row>
    <row r="28" customFormat="false" ht="22.35" hidden="false" customHeight="false" outlineLevel="0" collapsed="false">
      <c r="A28" s="36" t="s">
        <v>140</v>
      </c>
      <c r="B28" s="37" t="s">
        <v>141</v>
      </c>
      <c r="C28" s="38"/>
      <c r="D28" s="37" t="s">
        <v>142</v>
      </c>
      <c r="E28" s="29" t="str">
        <f aca="false">'الخطة واللجنة'!$B$21</f>
        <v>عضو 3</v>
      </c>
      <c r="F28" s="30"/>
      <c r="G28" s="30"/>
      <c r="H28" s="29" t="str">
        <f aca="false">IF(OR(F28="",F28="متوفر ومكتمل"),"",IF(OR(C28="★",F28="غير متوفر"),"عالية","متوسطة"))</f>
        <v/>
      </c>
      <c r="I28" s="31"/>
      <c r="J28" s="32"/>
      <c r="K28" s="31"/>
      <c r="L28" s="31"/>
    </row>
    <row r="29" customFormat="false" ht="22.35" hidden="false" customHeight="false" outlineLevel="0" collapsed="false">
      <c r="A29" s="22" t="s">
        <v>140</v>
      </c>
      <c r="B29" s="20"/>
      <c r="C29" s="21"/>
      <c r="D29" s="20" t="s">
        <v>143</v>
      </c>
      <c r="E29" s="22" t="str">
        <f aca="false">'الخطة واللجنة'!$B$21</f>
        <v>عضو 3</v>
      </c>
      <c r="F29" s="23"/>
      <c r="G29" s="23"/>
      <c r="H29" s="22" t="str">
        <f aca="false">IF(OR(F29="",F29="متوفر ومكتمل"),"",IF(OR(C29="★",F29="غير متوفر"),"عالية","متوسطة"))</f>
        <v/>
      </c>
      <c r="I29" s="24"/>
      <c r="J29" s="25"/>
      <c r="K29" s="24"/>
      <c r="L29" s="24"/>
    </row>
    <row r="30" customFormat="false" ht="22.35" hidden="false" customHeight="false" outlineLevel="0" collapsed="false">
      <c r="A30" s="22" t="s">
        <v>140</v>
      </c>
      <c r="B30" s="20"/>
      <c r="C30" s="21"/>
      <c r="D30" s="20" t="s">
        <v>144</v>
      </c>
      <c r="E30" s="22" t="str">
        <f aca="false">'الخطة واللجنة'!$B$21</f>
        <v>عضو 3</v>
      </c>
      <c r="F30" s="23"/>
      <c r="G30" s="23"/>
      <c r="H30" s="22" t="str">
        <f aca="false">IF(OR(F30="",F30="متوفر ومكتمل"),"",IF(OR(C30="★",F30="غير متوفر"),"عالية","متوسطة"))</f>
        <v/>
      </c>
      <c r="I30" s="24"/>
      <c r="J30" s="25"/>
      <c r="K30" s="24"/>
      <c r="L30" s="24"/>
    </row>
    <row r="31" customFormat="false" ht="15" hidden="false" customHeight="false" outlineLevel="0" collapsed="false">
      <c r="A31" s="22" t="s">
        <v>140</v>
      </c>
      <c r="B31" s="20"/>
      <c r="C31" s="21"/>
      <c r="D31" s="20" t="s">
        <v>145</v>
      </c>
      <c r="E31" s="22" t="str">
        <f aca="false">'الخطة واللجنة'!$B$21</f>
        <v>عضو 3</v>
      </c>
      <c r="F31" s="23"/>
      <c r="G31" s="23"/>
      <c r="H31" s="22" t="str">
        <f aca="false">IF(OR(F31="",F31="متوفر ومكتمل"),"",IF(OR(C31="★",F31="غير متوفر"),"عالية","متوسطة"))</f>
        <v/>
      </c>
      <c r="I31" s="24"/>
      <c r="J31" s="25"/>
      <c r="K31" s="24"/>
      <c r="L31" s="24"/>
    </row>
    <row r="32" customFormat="false" ht="15" hidden="false" customHeight="false" outlineLevel="0" collapsed="false">
      <c r="A32" s="22" t="s">
        <v>140</v>
      </c>
      <c r="B32" s="20"/>
      <c r="C32" s="21"/>
      <c r="D32" s="20" t="s">
        <v>146</v>
      </c>
      <c r="E32" s="22" t="str">
        <f aca="false">'الخطة واللجنة'!$B$21</f>
        <v>عضو 3</v>
      </c>
      <c r="F32" s="23"/>
      <c r="G32" s="23"/>
      <c r="H32" s="22" t="str">
        <f aca="false">IF(OR(F32="",F32="متوفر ومكتمل"),"",IF(OR(C32="★",F32="غير متوفر"),"عالية","متوسطة"))</f>
        <v/>
      </c>
      <c r="I32" s="24"/>
      <c r="J32" s="25"/>
      <c r="K32" s="24"/>
      <c r="L32" s="24"/>
    </row>
    <row r="33" customFormat="false" ht="32.8" hidden="false" customHeight="false" outlineLevel="0" collapsed="false">
      <c r="A33" s="26" t="s">
        <v>147</v>
      </c>
      <c r="B33" s="27" t="s">
        <v>148</v>
      </c>
      <c r="C33" s="28" t="s">
        <v>111</v>
      </c>
      <c r="D33" s="27" t="s">
        <v>149</v>
      </c>
      <c r="E33" s="29" t="str">
        <f aca="false">'الخطة واللجنة'!$B$21</f>
        <v>عضو 3</v>
      </c>
      <c r="F33" s="30"/>
      <c r="G33" s="30"/>
      <c r="H33" s="29" t="str">
        <f aca="false">IF(OR(F33="",F33="متوفر ومكتمل"),"",IF(OR(C33="★",F33="غير متوفر"),"عالية","متوسطة"))</f>
        <v/>
      </c>
      <c r="I33" s="31"/>
      <c r="J33" s="32"/>
      <c r="K33" s="31"/>
      <c r="L33" s="31"/>
    </row>
    <row r="34" customFormat="false" ht="15" hidden="false" customHeight="false" outlineLevel="0" collapsed="false">
      <c r="A34" s="33" t="s">
        <v>147</v>
      </c>
      <c r="B34" s="34"/>
      <c r="C34" s="35" t="s">
        <v>111</v>
      </c>
      <c r="D34" s="34" t="s">
        <v>150</v>
      </c>
      <c r="E34" s="22" t="str">
        <f aca="false">'الخطة واللجنة'!$B$21</f>
        <v>عضو 3</v>
      </c>
      <c r="F34" s="23"/>
      <c r="G34" s="23"/>
      <c r="H34" s="22" t="str">
        <f aca="false">IF(OR(F34="",F34="متوفر ومكتمل"),"",IF(OR(C34="★",F34="غير متوفر"),"عالية","متوسطة"))</f>
        <v/>
      </c>
      <c r="I34" s="24"/>
      <c r="J34" s="25"/>
      <c r="K34" s="24"/>
      <c r="L34" s="24"/>
    </row>
    <row r="35" customFormat="false" ht="15" hidden="false" customHeight="false" outlineLevel="0" collapsed="false">
      <c r="A35" s="33" t="s">
        <v>147</v>
      </c>
      <c r="B35" s="34"/>
      <c r="C35" s="35" t="s">
        <v>111</v>
      </c>
      <c r="D35" s="34" t="s">
        <v>151</v>
      </c>
      <c r="E35" s="22" t="str">
        <f aca="false">'الخطة واللجنة'!$B$21</f>
        <v>عضو 3</v>
      </c>
      <c r="F35" s="23"/>
      <c r="G35" s="23"/>
      <c r="H35" s="22" t="str">
        <f aca="false">IF(OR(F35="",F35="متوفر ومكتمل"),"",IF(OR(C35="★",F35="غير متوفر"),"عالية","متوسطة"))</f>
        <v/>
      </c>
      <c r="I35" s="24"/>
      <c r="J35" s="25"/>
      <c r="K35" s="24"/>
      <c r="L35" s="24"/>
    </row>
    <row r="36" customFormat="false" ht="22.35" hidden="false" customHeight="false" outlineLevel="0" collapsed="false">
      <c r="A36" s="33" t="s">
        <v>147</v>
      </c>
      <c r="B36" s="34"/>
      <c r="C36" s="35" t="s">
        <v>111</v>
      </c>
      <c r="D36" s="34" t="s">
        <v>152</v>
      </c>
      <c r="E36" s="22" t="str">
        <f aca="false">'الخطة واللجنة'!$B$21</f>
        <v>عضو 3</v>
      </c>
      <c r="F36" s="23"/>
      <c r="G36" s="23"/>
      <c r="H36" s="22" t="str">
        <f aca="false">IF(OR(F36="",F36="متوفر ومكتمل"),"",IF(OR(C36="★",F36="غير متوفر"),"عالية","متوسطة"))</f>
        <v/>
      </c>
      <c r="I36" s="24"/>
      <c r="J36" s="25"/>
      <c r="K36" s="24"/>
      <c r="L36" s="24"/>
    </row>
    <row r="37" customFormat="false" ht="22.35" hidden="false" customHeight="false" outlineLevel="0" collapsed="false">
      <c r="A37" s="33" t="s">
        <v>147</v>
      </c>
      <c r="B37" s="34"/>
      <c r="C37" s="35" t="s">
        <v>111</v>
      </c>
      <c r="D37" s="34" t="s">
        <v>153</v>
      </c>
      <c r="E37" s="22" t="str">
        <f aca="false">'الخطة واللجنة'!$B$21</f>
        <v>عضو 3</v>
      </c>
      <c r="F37" s="23"/>
      <c r="G37" s="23"/>
      <c r="H37" s="22" t="str">
        <f aca="false">IF(OR(F37="",F37="متوفر ومكتمل"),"",IF(OR(C37="★",F37="غير متوفر"),"عالية","متوسطة"))</f>
        <v/>
      </c>
      <c r="I37" s="24"/>
      <c r="J37" s="25"/>
      <c r="K37" s="24"/>
      <c r="L37" s="24"/>
    </row>
    <row r="38" customFormat="false" ht="15" hidden="false" customHeight="false" outlineLevel="0" collapsed="false">
      <c r="A38" s="33" t="s">
        <v>147</v>
      </c>
      <c r="B38" s="34"/>
      <c r="C38" s="35" t="s">
        <v>111</v>
      </c>
      <c r="D38" s="34" t="s">
        <v>154</v>
      </c>
      <c r="E38" s="22" t="str">
        <f aca="false">'الخطة واللجنة'!$B$21</f>
        <v>عضو 3</v>
      </c>
      <c r="F38" s="23"/>
      <c r="G38" s="23"/>
      <c r="H38" s="22" t="str">
        <f aca="false">IF(OR(F38="",F38="متوفر ومكتمل"),"",IF(OR(C38="★",F38="غير متوفر"),"عالية","متوسطة"))</f>
        <v/>
      </c>
      <c r="I38" s="24"/>
      <c r="J38" s="25"/>
      <c r="K38" s="24"/>
      <c r="L38" s="24"/>
    </row>
    <row r="39" customFormat="false" ht="22.35" hidden="false" customHeight="false" outlineLevel="0" collapsed="false">
      <c r="A39" s="36" t="s">
        <v>155</v>
      </c>
      <c r="B39" s="37" t="s">
        <v>156</v>
      </c>
      <c r="C39" s="38"/>
      <c r="D39" s="37" t="s">
        <v>157</v>
      </c>
      <c r="E39" s="29" t="str">
        <f aca="false">'الخطة واللجنة'!$B$21</f>
        <v>عضو 3</v>
      </c>
      <c r="F39" s="30"/>
      <c r="G39" s="30"/>
      <c r="H39" s="29" t="str">
        <f aca="false">IF(OR(F39="",F39="متوفر ومكتمل"),"",IF(OR(C39="★",F39="غير متوفر"),"عالية","متوسطة"))</f>
        <v/>
      </c>
      <c r="I39" s="31"/>
      <c r="J39" s="32"/>
      <c r="K39" s="31"/>
      <c r="L39" s="31"/>
    </row>
    <row r="40" customFormat="false" ht="15" hidden="false" customHeight="false" outlineLevel="0" collapsed="false">
      <c r="A40" s="22" t="s">
        <v>155</v>
      </c>
      <c r="B40" s="20"/>
      <c r="C40" s="21"/>
      <c r="D40" s="20" t="s">
        <v>158</v>
      </c>
      <c r="E40" s="22" t="str">
        <f aca="false">'الخطة واللجنة'!$B$21</f>
        <v>عضو 3</v>
      </c>
      <c r="F40" s="23"/>
      <c r="G40" s="23"/>
      <c r="H40" s="22" t="str">
        <f aca="false">IF(OR(F40="",F40="متوفر ومكتمل"),"",IF(OR(C40="★",F40="غير متوفر"),"عالية","متوسطة"))</f>
        <v/>
      </c>
      <c r="I40" s="24"/>
      <c r="J40" s="25"/>
      <c r="K40" s="24"/>
      <c r="L40" s="24"/>
    </row>
    <row r="41" customFormat="false" ht="15" hidden="false" customHeight="false" outlineLevel="0" collapsed="false">
      <c r="A41" s="22" t="s">
        <v>155</v>
      </c>
      <c r="B41" s="20"/>
      <c r="C41" s="21"/>
      <c r="D41" s="20" t="s">
        <v>159</v>
      </c>
      <c r="E41" s="22" t="str">
        <f aca="false">'الخطة واللجنة'!$B$21</f>
        <v>عضو 3</v>
      </c>
      <c r="F41" s="23"/>
      <c r="G41" s="23"/>
      <c r="H41" s="22" t="str">
        <f aca="false">IF(OR(F41="",F41="متوفر ومكتمل"),"",IF(OR(C41="★",F41="غير متوفر"),"عالية","متوسطة"))</f>
        <v/>
      </c>
      <c r="I41" s="24"/>
      <c r="J41" s="25"/>
      <c r="K41" s="24"/>
      <c r="L41" s="24"/>
    </row>
    <row r="42" customFormat="false" ht="15" hidden="false" customHeight="false" outlineLevel="0" collapsed="false">
      <c r="A42" s="22" t="s">
        <v>155</v>
      </c>
      <c r="B42" s="20"/>
      <c r="C42" s="21"/>
      <c r="D42" s="20" t="s">
        <v>160</v>
      </c>
      <c r="E42" s="22" t="str">
        <f aca="false">'الخطة واللجنة'!$B$21</f>
        <v>عضو 3</v>
      </c>
      <c r="F42" s="23"/>
      <c r="G42" s="23"/>
      <c r="H42" s="22" t="str">
        <f aca="false">IF(OR(F42="",F42="متوفر ومكتمل"),"",IF(OR(C42="★",F42="غير متوفر"),"عالية","متوسطة"))</f>
        <v/>
      </c>
      <c r="I42" s="24"/>
      <c r="J42" s="25"/>
      <c r="K42" s="24"/>
      <c r="L42" s="24"/>
    </row>
    <row r="43" customFormat="false" ht="22.35" hidden="false" customHeight="false" outlineLevel="0" collapsed="false">
      <c r="A43" s="36" t="s">
        <v>161</v>
      </c>
      <c r="B43" s="37" t="s">
        <v>162</v>
      </c>
      <c r="C43" s="38"/>
      <c r="D43" s="37" t="s">
        <v>163</v>
      </c>
      <c r="E43" s="29" t="str">
        <f aca="false">'الخطة واللجنة'!$B$21</f>
        <v>عضو 3</v>
      </c>
      <c r="F43" s="30"/>
      <c r="G43" s="30"/>
      <c r="H43" s="29" t="str">
        <f aca="false">IF(OR(F43="",F43="متوفر ومكتمل"),"",IF(OR(C43="★",F43="غير متوفر"),"عالية","متوسطة"))</f>
        <v/>
      </c>
      <c r="I43" s="31"/>
      <c r="J43" s="32"/>
      <c r="K43" s="31"/>
      <c r="L43" s="31"/>
    </row>
    <row r="44" customFormat="false" ht="15" hidden="false" customHeight="false" outlineLevel="0" collapsed="false">
      <c r="A44" s="22" t="s">
        <v>161</v>
      </c>
      <c r="B44" s="20"/>
      <c r="C44" s="21"/>
      <c r="D44" s="20" t="s">
        <v>164</v>
      </c>
      <c r="E44" s="22" t="str">
        <f aca="false">'الخطة واللجنة'!$B$21</f>
        <v>عضو 3</v>
      </c>
      <c r="F44" s="23"/>
      <c r="G44" s="23"/>
      <c r="H44" s="22" t="str">
        <f aca="false">IF(OR(F44="",F44="متوفر ومكتمل"),"",IF(OR(C44="★",F44="غير متوفر"),"عالية","متوسطة"))</f>
        <v/>
      </c>
      <c r="I44" s="24"/>
      <c r="J44" s="25"/>
      <c r="K44" s="24"/>
      <c r="L44" s="24"/>
    </row>
    <row r="45" customFormat="false" ht="15" hidden="false" customHeight="false" outlineLevel="0" collapsed="false">
      <c r="A45" s="22" t="s">
        <v>161</v>
      </c>
      <c r="B45" s="20"/>
      <c r="C45" s="21"/>
      <c r="D45" s="20" t="s">
        <v>165</v>
      </c>
      <c r="E45" s="22" t="str">
        <f aca="false">'الخطة واللجنة'!$B$21</f>
        <v>عضو 3</v>
      </c>
      <c r="F45" s="23"/>
      <c r="G45" s="23"/>
      <c r="H45" s="22" t="str">
        <f aca="false">IF(OR(F45="",F45="متوفر ومكتمل"),"",IF(OR(C45="★",F45="غير متوفر"),"عالية","متوسطة"))</f>
        <v/>
      </c>
      <c r="I45" s="24"/>
      <c r="J45" s="25"/>
      <c r="K45" s="24"/>
      <c r="L45" s="24"/>
    </row>
    <row r="46" customFormat="false" ht="15" hidden="false" customHeight="false" outlineLevel="0" collapsed="false">
      <c r="A46" s="22" t="s">
        <v>161</v>
      </c>
      <c r="B46" s="20"/>
      <c r="C46" s="21"/>
      <c r="D46" s="20" t="s">
        <v>166</v>
      </c>
      <c r="E46" s="22" t="str">
        <f aca="false">'الخطة واللجنة'!$B$21</f>
        <v>عضو 3</v>
      </c>
      <c r="F46" s="23"/>
      <c r="G46" s="23"/>
      <c r="H46" s="22" t="str">
        <f aca="false">IF(OR(F46="",F46="متوفر ومكتمل"),"",IF(OR(C46="★",F46="غير متوفر"),"عالية","متوسطة"))</f>
        <v/>
      </c>
      <c r="I46" s="24"/>
      <c r="J46" s="25"/>
      <c r="K46" s="24"/>
      <c r="L46" s="24"/>
    </row>
    <row r="47" customFormat="false" ht="22.35" hidden="false" customHeight="false" outlineLevel="0" collapsed="false">
      <c r="A47" s="26" t="s">
        <v>167</v>
      </c>
      <c r="B47" s="27" t="s">
        <v>168</v>
      </c>
      <c r="C47" s="28" t="s">
        <v>111</v>
      </c>
      <c r="D47" s="27" t="s">
        <v>169</v>
      </c>
      <c r="E47" s="29" t="str">
        <f aca="false">'الخطة واللجنة'!$B$21</f>
        <v>عضو 3</v>
      </c>
      <c r="F47" s="30"/>
      <c r="G47" s="30"/>
      <c r="H47" s="29" t="str">
        <f aca="false">IF(OR(F47="",F47="متوفر ومكتمل"),"",IF(OR(C47="★",F47="غير متوفر"),"عالية","متوسطة"))</f>
        <v/>
      </c>
      <c r="I47" s="31"/>
      <c r="J47" s="32"/>
      <c r="K47" s="31"/>
      <c r="L47" s="31"/>
    </row>
    <row r="48" customFormat="false" ht="22.35" hidden="false" customHeight="false" outlineLevel="0" collapsed="false">
      <c r="A48" s="33" t="s">
        <v>167</v>
      </c>
      <c r="B48" s="34"/>
      <c r="C48" s="35" t="s">
        <v>111</v>
      </c>
      <c r="D48" s="34" t="s">
        <v>170</v>
      </c>
      <c r="E48" s="22" t="str">
        <f aca="false">'الخطة واللجنة'!$B$21</f>
        <v>عضو 3</v>
      </c>
      <c r="F48" s="23"/>
      <c r="G48" s="23"/>
      <c r="H48" s="22" t="str">
        <f aca="false">IF(OR(F48="",F48="متوفر ومكتمل"),"",IF(OR(C48="★",F48="غير متوفر"),"عالية","متوسطة"))</f>
        <v/>
      </c>
      <c r="I48" s="24"/>
      <c r="J48" s="25"/>
      <c r="K48" s="24"/>
      <c r="L48" s="24"/>
    </row>
    <row r="49" customFormat="false" ht="15" hidden="false" customHeight="false" outlineLevel="0" collapsed="false">
      <c r="A49" s="33" t="s">
        <v>167</v>
      </c>
      <c r="B49" s="34"/>
      <c r="C49" s="35" t="s">
        <v>111</v>
      </c>
      <c r="D49" s="34" t="s">
        <v>171</v>
      </c>
      <c r="E49" s="22" t="str">
        <f aca="false">'الخطة واللجنة'!$B$21</f>
        <v>عضو 3</v>
      </c>
      <c r="F49" s="23"/>
      <c r="G49" s="23"/>
      <c r="H49" s="22" t="str">
        <f aca="false">IF(OR(F49="",F49="متوفر ومكتمل"),"",IF(OR(C49="★",F49="غير متوفر"),"عالية","متوسطة"))</f>
        <v/>
      </c>
      <c r="I49" s="24"/>
      <c r="J49" s="25"/>
      <c r="K49" s="24"/>
      <c r="L49" s="24"/>
    </row>
    <row r="50" customFormat="false" ht="15" hidden="false" customHeight="false" outlineLevel="0" collapsed="false">
      <c r="A50" s="36" t="s">
        <v>172</v>
      </c>
      <c r="B50" s="37" t="s">
        <v>173</v>
      </c>
      <c r="C50" s="38"/>
      <c r="D50" s="37" t="s">
        <v>174</v>
      </c>
      <c r="E50" s="29" t="str">
        <f aca="false">'الخطة واللجنة'!$B$21</f>
        <v>عضو 3</v>
      </c>
      <c r="F50" s="30"/>
      <c r="G50" s="30"/>
      <c r="H50" s="29" t="str">
        <f aca="false">IF(OR(F50="",F50="متوفر ومكتمل"),"",IF(OR(C50="★",F50="غير متوفر"),"عالية","متوسطة"))</f>
        <v/>
      </c>
      <c r="I50" s="31"/>
      <c r="J50" s="32"/>
      <c r="K50" s="31"/>
      <c r="L50" s="31"/>
    </row>
    <row r="51" customFormat="false" ht="15" hidden="false" customHeight="false" outlineLevel="0" collapsed="false">
      <c r="A51" s="22" t="s">
        <v>172</v>
      </c>
      <c r="B51" s="20"/>
      <c r="C51" s="21"/>
      <c r="D51" s="20" t="s">
        <v>175</v>
      </c>
      <c r="E51" s="22" t="str">
        <f aca="false">'الخطة واللجنة'!$B$21</f>
        <v>عضو 3</v>
      </c>
      <c r="F51" s="23"/>
      <c r="G51" s="23"/>
      <c r="H51" s="22" t="str">
        <f aca="false">IF(OR(F51="",F51="متوفر ومكتمل"),"",IF(OR(C51="★",F51="غير متوفر"),"عالية","متوسطة"))</f>
        <v/>
      </c>
      <c r="I51" s="24"/>
      <c r="J51" s="25"/>
      <c r="K51" s="24"/>
      <c r="L51" s="24"/>
    </row>
    <row r="52" customFormat="false" ht="15" hidden="false" customHeight="false" outlineLevel="0" collapsed="false">
      <c r="A52" s="22" t="s">
        <v>172</v>
      </c>
      <c r="B52" s="20"/>
      <c r="C52" s="21"/>
      <c r="D52" s="20" t="s">
        <v>176</v>
      </c>
      <c r="E52" s="22" t="str">
        <f aca="false">'الخطة واللجنة'!$B$21</f>
        <v>عضو 3</v>
      </c>
      <c r="F52" s="23"/>
      <c r="G52" s="23"/>
      <c r="H52" s="22" t="str">
        <f aca="false">IF(OR(F52="",F52="متوفر ومكتمل"),"",IF(OR(C52="★",F52="غير متوفر"),"عالية","متوسطة"))</f>
        <v/>
      </c>
      <c r="I52" s="24"/>
      <c r="J52" s="25"/>
      <c r="K52" s="24"/>
      <c r="L52" s="24"/>
    </row>
    <row r="53" customFormat="false" ht="15" hidden="false" customHeight="false" outlineLevel="0" collapsed="false">
      <c r="A53" s="22" t="s">
        <v>172</v>
      </c>
      <c r="B53" s="20"/>
      <c r="C53" s="21"/>
      <c r="D53" s="20" t="s">
        <v>177</v>
      </c>
      <c r="E53" s="22" t="str">
        <f aca="false">'الخطة واللجنة'!$B$21</f>
        <v>عضو 3</v>
      </c>
      <c r="F53" s="23"/>
      <c r="G53" s="23"/>
      <c r="H53" s="22" t="str">
        <f aca="false">IF(OR(F53="",F53="متوفر ومكتمل"),"",IF(OR(C53="★",F53="غير متوفر"),"عالية","متوسطة"))</f>
        <v/>
      </c>
      <c r="I53" s="24"/>
      <c r="J53" s="25"/>
      <c r="K53" s="24"/>
      <c r="L53" s="24"/>
    </row>
    <row r="54" customFormat="false" ht="15" hidden="false" customHeight="false" outlineLevel="0" collapsed="false">
      <c r="A54" s="22" t="s">
        <v>172</v>
      </c>
      <c r="B54" s="20"/>
      <c r="C54" s="21"/>
      <c r="D54" s="20" t="s">
        <v>178</v>
      </c>
      <c r="E54" s="22" t="str">
        <f aca="false">'الخطة واللجنة'!$B$21</f>
        <v>عضو 3</v>
      </c>
      <c r="F54" s="23"/>
      <c r="G54" s="23"/>
      <c r="H54" s="22" t="str">
        <f aca="false">IF(OR(F54="",F54="متوفر ومكتمل"),"",IF(OR(C54="★",F54="غير متوفر"),"عالية","متوسطة"))</f>
        <v/>
      </c>
      <c r="I54" s="24"/>
      <c r="J54" s="25"/>
      <c r="K54" s="24"/>
      <c r="L54" s="24"/>
    </row>
    <row r="55" customFormat="false" ht="15" hidden="false" customHeight="false" outlineLevel="0" collapsed="false">
      <c r="A55" s="22" t="s">
        <v>172</v>
      </c>
      <c r="B55" s="20"/>
      <c r="C55" s="21"/>
      <c r="D55" s="20" t="s">
        <v>179</v>
      </c>
      <c r="E55" s="22" t="str">
        <f aca="false">'الخطة واللجنة'!$B$21</f>
        <v>عضو 3</v>
      </c>
      <c r="F55" s="23"/>
      <c r="G55" s="23"/>
      <c r="H55" s="22" t="str">
        <f aca="false">IF(OR(F55="",F55="متوفر ومكتمل"),"",IF(OR(C55="★",F55="غير متوفر"),"عالية","متوسطة"))</f>
        <v/>
      </c>
      <c r="I55" s="24"/>
      <c r="J55" s="25"/>
      <c r="K55" s="24"/>
      <c r="L55" s="24"/>
    </row>
    <row r="56" customFormat="false" ht="32.8" hidden="false" customHeight="false" outlineLevel="0" collapsed="false">
      <c r="A56" s="36" t="s">
        <v>180</v>
      </c>
      <c r="B56" s="37" t="s">
        <v>181</v>
      </c>
      <c r="C56" s="38"/>
      <c r="D56" s="37" t="s">
        <v>182</v>
      </c>
      <c r="E56" s="29" t="str">
        <f aca="false">'الخطة واللجنة'!$B$23</f>
        <v>عضو 5</v>
      </c>
      <c r="F56" s="30"/>
      <c r="G56" s="30"/>
      <c r="H56" s="29" t="str">
        <f aca="false">IF(OR(F56="",F56="متوفر ومكتمل"),"",IF(OR(C56="★",F56="غير متوفر"),"عالية","متوسطة"))</f>
        <v/>
      </c>
      <c r="I56" s="31"/>
      <c r="J56" s="32"/>
      <c r="K56" s="31"/>
      <c r="L56" s="31"/>
    </row>
    <row r="57" customFormat="false" ht="15" hidden="false" customHeight="false" outlineLevel="0" collapsed="false">
      <c r="A57" s="22" t="s">
        <v>180</v>
      </c>
      <c r="B57" s="20"/>
      <c r="C57" s="21"/>
      <c r="D57" s="20" t="s">
        <v>183</v>
      </c>
      <c r="E57" s="22" t="str">
        <f aca="false">'الخطة واللجنة'!$B$23</f>
        <v>عضو 5</v>
      </c>
      <c r="F57" s="23"/>
      <c r="G57" s="23"/>
      <c r="H57" s="22" t="str">
        <f aca="false">IF(OR(F57="",F57="متوفر ومكتمل"),"",IF(OR(C57="★",F57="غير متوفر"),"عالية","متوسطة"))</f>
        <v/>
      </c>
      <c r="I57" s="24"/>
      <c r="J57" s="25"/>
      <c r="K57" s="24"/>
      <c r="L57" s="24"/>
    </row>
    <row r="58" customFormat="false" ht="22.35" hidden="false" customHeight="false" outlineLevel="0" collapsed="false">
      <c r="A58" s="22" t="s">
        <v>180</v>
      </c>
      <c r="B58" s="20"/>
      <c r="C58" s="21"/>
      <c r="D58" s="20" t="s">
        <v>184</v>
      </c>
      <c r="E58" s="22" t="str">
        <f aca="false">'الخطة واللجنة'!$B$23</f>
        <v>عضو 5</v>
      </c>
      <c r="F58" s="23"/>
      <c r="G58" s="23"/>
      <c r="H58" s="22" t="str">
        <f aca="false">IF(OR(F58="",F58="متوفر ومكتمل"),"",IF(OR(C58="★",F58="غير متوفر"),"عالية","متوسطة"))</f>
        <v/>
      </c>
      <c r="I58" s="24"/>
      <c r="J58" s="25"/>
      <c r="K58" s="24"/>
      <c r="L58" s="24"/>
    </row>
    <row r="59" customFormat="false" ht="15" hidden="false" customHeight="false" outlineLevel="0" collapsed="false">
      <c r="A59" s="22" t="s">
        <v>180</v>
      </c>
      <c r="B59" s="20"/>
      <c r="C59" s="21"/>
      <c r="D59" s="20" t="s">
        <v>185</v>
      </c>
      <c r="E59" s="22" t="str">
        <f aca="false">'الخطة واللجنة'!$B$23</f>
        <v>عضو 5</v>
      </c>
      <c r="F59" s="23"/>
      <c r="G59" s="23"/>
      <c r="H59" s="22" t="str">
        <f aca="false">IF(OR(F59="",F59="متوفر ومكتمل"),"",IF(OR(C59="★",F59="غير متوفر"),"عالية","متوسطة"))</f>
        <v/>
      </c>
      <c r="I59" s="24"/>
      <c r="J59" s="25"/>
      <c r="K59" s="24"/>
      <c r="L59" s="24"/>
    </row>
    <row r="60" customFormat="false" ht="15" hidden="false" customHeight="false" outlineLevel="0" collapsed="false">
      <c r="A60" s="22" t="s">
        <v>180</v>
      </c>
      <c r="B60" s="20"/>
      <c r="C60" s="21"/>
      <c r="D60" s="20" t="s">
        <v>186</v>
      </c>
      <c r="E60" s="22" t="str">
        <f aca="false">'الخطة واللجنة'!$B$23</f>
        <v>عضو 5</v>
      </c>
      <c r="F60" s="23"/>
      <c r="G60" s="23"/>
      <c r="H60" s="22" t="str">
        <f aca="false">IF(OR(F60="",F60="متوفر ومكتمل"),"",IF(OR(C60="★",F60="غير متوفر"),"عالية","متوسطة"))</f>
        <v/>
      </c>
      <c r="I60" s="24"/>
      <c r="J60" s="25"/>
      <c r="K60" s="24"/>
      <c r="L60" s="24"/>
    </row>
    <row r="61" customFormat="false" ht="22.35" hidden="false" customHeight="false" outlineLevel="0" collapsed="false">
      <c r="A61" s="22" t="s">
        <v>180</v>
      </c>
      <c r="B61" s="20"/>
      <c r="C61" s="21"/>
      <c r="D61" s="20" t="s">
        <v>187</v>
      </c>
      <c r="E61" s="22" t="str">
        <f aca="false">'الخطة واللجنة'!$B$23</f>
        <v>عضو 5</v>
      </c>
      <c r="F61" s="23"/>
      <c r="G61" s="23"/>
      <c r="H61" s="22" t="str">
        <f aca="false">IF(OR(F61="",F61="متوفر ومكتمل"),"",IF(OR(C61="★",F61="غير متوفر"),"عالية","متوسطة"))</f>
        <v/>
      </c>
      <c r="I61" s="24"/>
      <c r="J61" s="25"/>
      <c r="K61" s="24"/>
      <c r="L61" s="24"/>
    </row>
    <row r="62" customFormat="false" ht="15" hidden="false" customHeight="false" outlineLevel="0" collapsed="false">
      <c r="A62" s="22" t="s">
        <v>180</v>
      </c>
      <c r="B62" s="20"/>
      <c r="C62" s="21"/>
      <c r="D62" s="20" t="s">
        <v>188</v>
      </c>
      <c r="E62" s="22" t="str">
        <f aca="false">'الخطة واللجنة'!$B$23</f>
        <v>عضو 5</v>
      </c>
      <c r="F62" s="23"/>
      <c r="G62" s="23"/>
      <c r="H62" s="22" t="str">
        <f aca="false">IF(OR(F62="",F62="متوفر ومكتمل"),"",IF(OR(C62="★",F62="غير متوفر"),"عالية","متوسطة"))</f>
        <v/>
      </c>
      <c r="I62" s="24"/>
      <c r="J62" s="25"/>
      <c r="K62" s="24"/>
      <c r="L62" s="24"/>
    </row>
    <row r="63" customFormat="false" ht="22.35" hidden="false" customHeight="false" outlineLevel="0" collapsed="false">
      <c r="A63" s="22" t="s">
        <v>180</v>
      </c>
      <c r="B63" s="20"/>
      <c r="C63" s="21"/>
      <c r="D63" s="20" t="s">
        <v>189</v>
      </c>
      <c r="E63" s="22" t="str">
        <f aca="false">'الخطة واللجنة'!$B$23</f>
        <v>عضو 5</v>
      </c>
      <c r="F63" s="23"/>
      <c r="G63" s="23"/>
      <c r="H63" s="22" t="str">
        <f aca="false">IF(OR(F63="",F63="متوفر ومكتمل"),"",IF(OR(C63="★",F63="غير متوفر"),"عالية","متوسطة"))</f>
        <v/>
      </c>
      <c r="I63" s="24"/>
      <c r="J63" s="25"/>
      <c r="K63" s="24"/>
      <c r="L63" s="24"/>
    </row>
    <row r="64" customFormat="false" ht="22.35" hidden="false" customHeight="false" outlineLevel="0" collapsed="false">
      <c r="A64" s="22" t="s">
        <v>180</v>
      </c>
      <c r="B64" s="20"/>
      <c r="C64" s="21"/>
      <c r="D64" s="20" t="s">
        <v>190</v>
      </c>
      <c r="E64" s="22" t="str">
        <f aca="false">'الخطة واللجنة'!$B$23</f>
        <v>عضو 5</v>
      </c>
      <c r="F64" s="23"/>
      <c r="G64" s="23"/>
      <c r="H64" s="22" t="str">
        <f aca="false">IF(OR(F64="",F64="متوفر ومكتمل"),"",IF(OR(C64="★",F64="غير متوفر"),"عالية","متوسطة"))</f>
        <v/>
      </c>
      <c r="I64" s="24"/>
      <c r="J64" s="25"/>
      <c r="K64" s="24"/>
      <c r="L64" s="24"/>
    </row>
    <row r="65" customFormat="false" ht="22.35" hidden="false" customHeight="false" outlineLevel="0" collapsed="false">
      <c r="A65" s="22" t="s">
        <v>180</v>
      </c>
      <c r="B65" s="20"/>
      <c r="C65" s="21"/>
      <c r="D65" s="20" t="s">
        <v>191</v>
      </c>
      <c r="E65" s="22" t="str">
        <f aca="false">'الخطة واللجنة'!$B$23</f>
        <v>عضو 5</v>
      </c>
      <c r="F65" s="23"/>
      <c r="G65" s="23"/>
      <c r="H65" s="22" t="str">
        <f aca="false">IF(OR(F65="",F65="متوفر ومكتمل"),"",IF(OR(C65="★",F65="غير متوفر"),"عالية","متوسطة"))</f>
        <v/>
      </c>
      <c r="I65" s="24"/>
      <c r="J65" s="25"/>
      <c r="K65" s="24"/>
      <c r="L65" s="24"/>
    </row>
    <row r="66" customFormat="false" ht="22.35" hidden="false" customHeight="false" outlineLevel="0" collapsed="false">
      <c r="A66" s="26" t="s">
        <v>192</v>
      </c>
      <c r="B66" s="27" t="s">
        <v>193</v>
      </c>
      <c r="C66" s="28" t="s">
        <v>111</v>
      </c>
      <c r="D66" s="27" t="s">
        <v>194</v>
      </c>
      <c r="E66" s="29" t="str">
        <f aca="false">'الخطة واللجنة'!$B$23</f>
        <v>عضو 5</v>
      </c>
      <c r="F66" s="30"/>
      <c r="G66" s="30"/>
      <c r="H66" s="29" t="str">
        <f aca="false">IF(OR(F66="",F66="متوفر ومكتمل"),"",IF(OR(C66="★",F66="غير متوفر"),"عالية","متوسطة"))</f>
        <v/>
      </c>
      <c r="I66" s="31"/>
      <c r="J66" s="32"/>
      <c r="K66" s="31"/>
      <c r="L66" s="31"/>
    </row>
    <row r="67" customFormat="false" ht="22.35" hidden="false" customHeight="false" outlineLevel="0" collapsed="false">
      <c r="A67" s="33" t="s">
        <v>192</v>
      </c>
      <c r="B67" s="34"/>
      <c r="C67" s="35" t="s">
        <v>111</v>
      </c>
      <c r="D67" s="34" t="s">
        <v>195</v>
      </c>
      <c r="E67" s="22" t="str">
        <f aca="false">'الخطة واللجنة'!$B$23</f>
        <v>عضو 5</v>
      </c>
      <c r="F67" s="23"/>
      <c r="G67" s="23"/>
      <c r="H67" s="22" t="str">
        <f aca="false">IF(OR(F67="",F67="متوفر ومكتمل"),"",IF(OR(C67="★",F67="غير متوفر"),"عالية","متوسطة"))</f>
        <v/>
      </c>
      <c r="I67" s="24"/>
      <c r="J67" s="25"/>
      <c r="K67" s="24"/>
      <c r="L67" s="24"/>
    </row>
    <row r="68" customFormat="false" ht="22.35" hidden="false" customHeight="false" outlineLevel="0" collapsed="false">
      <c r="A68" s="33" t="s">
        <v>192</v>
      </c>
      <c r="B68" s="34"/>
      <c r="C68" s="35" t="s">
        <v>111</v>
      </c>
      <c r="D68" s="34" t="s">
        <v>196</v>
      </c>
      <c r="E68" s="22" t="str">
        <f aca="false">'الخطة واللجنة'!$B$23</f>
        <v>عضو 5</v>
      </c>
      <c r="F68" s="23"/>
      <c r="G68" s="23"/>
      <c r="H68" s="22" t="str">
        <f aca="false">IF(OR(F68="",F68="متوفر ومكتمل"),"",IF(OR(C68="★",F68="غير متوفر"),"عالية","متوسطة"))</f>
        <v/>
      </c>
      <c r="I68" s="24"/>
      <c r="J68" s="25"/>
      <c r="K68" s="24"/>
      <c r="L68" s="24"/>
    </row>
    <row r="69" customFormat="false" ht="22.35" hidden="false" customHeight="false" outlineLevel="0" collapsed="false">
      <c r="A69" s="36" t="s">
        <v>197</v>
      </c>
      <c r="B69" s="37" t="s">
        <v>198</v>
      </c>
      <c r="C69" s="38"/>
      <c r="D69" s="37" t="s">
        <v>199</v>
      </c>
      <c r="E69" s="29" t="str">
        <f aca="false">'الخطة واللجنة'!$B$23</f>
        <v>عضو 5</v>
      </c>
      <c r="F69" s="30"/>
      <c r="G69" s="30"/>
      <c r="H69" s="29" t="str">
        <f aca="false">IF(OR(F69="",F69="متوفر ومكتمل"),"",IF(OR(C69="★",F69="غير متوفر"),"عالية","متوسطة"))</f>
        <v/>
      </c>
      <c r="I69" s="31"/>
      <c r="J69" s="32"/>
      <c r="K69" s="31"/>
      <c r="L69" s="31"/>
    </row>
    <row r="70" customFormat="false" ht="22.35" hidden="false" customHeight="false" outlineLevel="0" collapsed="false">
      <c r="A70" s="22" t="s">
        <v>197</v>
      </c>
      <c r="B70" s="20"/>
      <c r="C70" s="21"/>
      <c r="D70" s="20" t="s">
        <v>200</v>
      </c>
      <c r="E70" s="22" t="str">
        <f aca="false">'الخطة واللجنة'!$B$23</f>
        <v>عضو 5</v>
      </c>
      <c r="F70" s="23"/>
      <c r="G70" s="23"/>
      <c r="H70" s="22" t="str">
        <f aca="false">IF(OR(F70="",F70="متوفر ومكتمل"),"",IF(OR(C70="★",F70="غير متوفر"),"عالية","متوسطة"))</f>
        <v/>
      </c>
      <c r="I70" s="24"/>
      <c r="J70" s="25"/>
      <c r="K70" s="24"/>
      <c r="L70" s="24"/>
    </row>
    <row r="71" customFormat="false" ht="22.35" hidden="false" customHeight="false" outlineLevel="0" collapsed="false">
      <c r="A71" s="22" t="s">
        <v>197</v>
      </c>
      <c r="B71" s="20"/>
      <c r="C71" s="21"/>
      <c r="D71" s="20" t="s">
        <v>201</v>
      </c>
      <c r="E71" s="22" t="str">
        <f aca="false">'الخطة واللجنة'!$B$23</f>
        <v>عضو 5</v>
      </c>
      <c r="F71" s="23"/>
      <c r="G71" s="23"/>
      <c r="H71" s="22" t="str">
        <f aca="false">IF(OR(F71="",F71="متوفر ومكتمل"),"",IF(OR(C71="★",F71="غير متوفر"),"عالية","متوسطة"))</f>
        <v/>
      </c>
      <c r="I71" s="24"/>
      <c r="J71" s="25"/>
      <c r="K71" s="24"/>
      <c r="L71" s="24"/>
    </row>
    <row r="72" customFormat="false" ht="22.35" hidden="false" customHeight="false" outlineLevel="0" collapsed="false">
      <c r="A72" s="22" t="s">
        <v>197</v>
      </c>
      <c r="B72" s="20"/>
      <c r="C72" s="21"/>
      <c r="D72" s="20" t="s">
        <v>202</v>
      </c>
      <c r="E72" s="22" t="str">
        <f aca="false">'الخطة واللجنة'!$B$23</f>
        <v>عضو 5</v>
      </c>
      <c r="F72" s="23"/>
      <c r="G72" s="23"/>
      <c r="H72" s="22" t="str">
        <f aca="false">IF(OR(F72="",F72="متوفر ومكتمل"),"",IF(OR(C72="★",F72="غير متوفر"),"عالية","متوسطة"))</f>
        <v/>
      </c>
      <c r="I72" s="24"/>
      <c r="J72" s="25"/>
      <c r="K72" s="24"/>
      <c r="L72" s="24"/>
    </row>
    <row r="73" customFormat="false" ht="22.35" hidden="false" customHeight="false" outlineLevel="0" collapsed="false">
      <c r="A73" s="26" t="s">
        <v>203</v>
      </c>
      <c r="B73" s="27" t="s">
        <v>204</v>
      </c>
      <c r="C73" s="28" t="s">
        <v>111</v>
      </c>
      <c r="D73" s="27" t="s">
        <v>183</v>
      </c>
      <c r="E73" s="29" t="str">
        <f aca="false">'الخطة واللجنة'!$B$23</f>
        <v>عضو 5</v>
      </c>
      <c r="F73" s="30"/>
      <c r="G73" s="30"/>
      <c r="H73" s="29" t="str">
        <f aca="false">IF(OR(F73="",F73="متوفر ومكتمل"),"",IF(OR(C73="★",F73="غير متوفر"),"عالية","متوسطة"))</f>
        <v/>
      </c>
      <c r="I73" s="31"/>
      <c r="J73" s="32"/>
      <c r="K73" s="31"/>
      <c r="L73" s="31"/>
    </row>
    <row r="74" customFormat="false" ht="15" hidden="false" customHeight="false" outlineLevel="0" collapsed="false">
      <c r="A74" s="33" t="s">
        <v>203</v>
      </c>
      <c r="B74" s="34"/>
      <c r="C74" s="35" t="s">
        <v>111</v>
      </c>
      <c r="D74" s="34" t="s">
        <v>205</v>
      </c>
      <c r="E74" s="22" t="str">
        <f aca="false">'الخطة واللجنة'!$B$23</f>
        <v>عضو 5</v>
      </c>
      <c r="F74" s="23"/>
      <c r="G74" s="23"/>
      <c r="H74" s="22" t="str">
        <f aca="false">IF(OR(F74="",F74="متوفر ومكتمل"),"",IF(OR(C74="★",F74="غير متوفر"),"عالية","متوسطة"))</f>
        <v/>
      </c>
      <c r="I74" s="24"/>
      <c r="J74" s="25"/>
      <c r="K74" s="24"/>
      <c r="L74" s="24"/>
    </row>
    <row r="75" customFormat="false" ht="22.35" hidden="false" customHeight="false" outlineLevel="0" collapsed="false">
      <c r="A75" s="33" t="s">
        <v>203</v>
      </c>
      <c r="B75" s="34"/>
      <c r="C75" s="35" t="s">
        <v>111</v>
      </c>
      <c r="D75" s="34" t="s">
        <v>206</v>
      </c>
      <c r="E75" s="22" t="str">
        <f aca="false">'الخطة واللجنة'!$B$23</f>
        <v>عضو 5</v>
      </c>
      <c r="F75" s="23"/>
      <c r="G75" s="23"/>
      <c r="H75" s="22" t="str">
        <f aca="false">IF(OR(F75="",F75="متوفر ومكتمل"),"",IF(OR(C75="★",F75="غير متوفر"),"عالية","متوسطة"))</f>
        <v/>
      </c>
      <c r="I75" s="24"/>
      <c r="J75" s="25"/>
      <c r="K75" s="24"/>
      <c r="L75" s="24"/>
    </row>
    <row r="76" customFormat="false" ht="15" hidden="false" customHeight="false" outlineLevel="0" collapsed="false">
      <c r="A76" s="33" t="s">
        <v>203</v>
      </c>
      <c r="B76" s="34"/>
      <c r="C76" s="35" t="s">
        <v>111</v>
      </c>
      <c r="D76" s="34" t="s">
        <v>207</v>
      </c>
      <c r="E76" s="22" t="str">
        <f aca="false">'الخطة واللجنة'!$B$23</f>
        <v>عضو 5</v>
      </c>
      <c r="F76" s="23"/>
      <c r="G76" s="23"/>
      <c r="H76" s="22" t="str">
        <f aca="false">IF(OR(F76="",F76="متوفر ومكتمل"),"",IF(OR(C76="★",F76="غير متوفر"),"عالية","متوسطة"))</f>
        <v/>
      </c>
      <c r="I76" s="24"/>
      <c r="J76" s="25"/>
      <c r="K76" s="24"/>
      <c r="L76" s="24"/>
    </row>
    <row r="77" customFormat="false" ht="22.35" hidden="false" customHeight="false" outlineLevel="0" collapsed="false">
      <c r="A77" s="36" t="s">
        <v>208</v>
      </c>
      <c r="B77" s="37" t="s">
        <v>209</v>
      </c>
      <c r="C77" s="38"/>
      <c r="D77" s="37" t="s">
        <v>210</v>
      </c>
      <c r="E77" s="29" t="str">
        <f aca="false">'الخطة واللجنة'!$B$23</f>
        <v>عضو 5</v>
      </c>
      <c r="F77" s="30"/>
      <c r="G77" s="30"/>
      <c r="H77" s="29" t="str">
        <f aca="false">IF(OR(F77="",F77="متوفر ومكتمل"),"",IF(OR(C77="★",F77="غير متوفر"),"عالية","متوسطة"))</f>
        <v/>
      </c>
      <c r="I77" s="31"/>
      <c r="J77" s="32"/>
      <c r="K77" s="31"/>
      <c r="L77" s="31"/>
    </row>
    <row r="78" customFormat="false" ht="22.35" hidden="false" customHeight="false" outlineLevel="0" collapsed="false">
      <c r="A78" s="22" t="s">
        <v>208</v>
      </c>
      <c r="B78" s="20"/>
      <c r="C78" s="21"/>
      <c r="D78" s="20" t="s">
        <v>211</v>
      </c>
      <c r="E78" s="22" t="str">
        <f aca="false">'الخطة واللجنة'!$B$23</f>
        <v>عضو 5</v>
      </c>
      <c r="F78" s="23"/>
      <c r="G78" s="23"/>
      <c r="H78" s="22" t="str">
        <f aca="false">IF(OR(F78="",F78="متوفر ومكتمل"),"",IF(OR(C78="★",F78="غير متوفر"),"عالية","متوسطة"))</f>
        <v/>
      </c>
      <c r="I78" s="24"/>
      <c r="J78" s="25"/>
      <c r="K78" s="24"/>
      <c r="L78" s="24"/>
    </row>
    <row r="79" customFormat="false" ht="22.35" hidden="false" customHeight="false" outlineLevel="0" collapsed="false">
      <c r="A79" s="22" t="s">
        <v>208</v>
      </c>
      <c r="B79" s="20"/>
      <c r="C79" s="21"/>
      <c r="D79" s="20" t="s">
        <v>212</v>
      </c>
      <c r="E79" s="22" t="str">
        <f aca="false">'الخطة واللجنة'!$B$23</f>
        <v>عضو 5</v>
      </c>
      <c r="F79" s="23"/>
      <c r="G79" s="23"/>
      <c r="H79" s="22" t="str">
        <f aca="false">IF(OR(F79="",F79="متوفر ومكتمل"),"",IF(OR(C79="★",F79="غير متوفر"),"عالية","متوسطة"))</f>
        <v/>
      </c>
      <c r="I79" s="24"/>
      <c r="J79" s="25"/>
      <c r="K79" s="24"/>
      <c r="L79" s="24"/>
    </row>
    <row r="80" customFormat="false" ht="15" hidden="false" customHeight="false" outlineLevel="0" collapsed="false">
      <c r="A80" s="22" t="s">
        <v>208</v>
      </c>
      <c r="B80" s="20"/>
      <c r="C80" s="21"/>
      <c r="D80" s="20" t="s">
        <v>213</v>
      </c>
      <c r="E80" s="22" t="str">
        <f aca="false">'الخطة واللجنة'!$B$23</f>
        <v>عضو 5</v>
      </c>
      <c r="F80" s="23"/>
      <c r="G80" s="23"/>
      <c r="H80" s="22" t="str">
        <f aca="false">IF(OR(F80="",F80="متوفر ومكتمل"),"",IF(OR(C80="★",F80="غير متوفر"),"عالية","متوسطة"))</f>
        <v/>
      </c>
      <c r="I80" s="24"/>
      <c r="J80" s="25"/>
      <c r="K80" s="24"/>
      <c r="L80" s="24"/>
    </row>
    <row r="81" customFormat="false" ht="32.8" hidden="false" customHeight="false" outlineLevel="0" collapsed="false">
      <c r="A81" s="26" t="s">
        <v>214</v>
      </c>
      <c r="B81" s="27" t="s">
        <v>215</v>
      </c>
      <c r="C81" s="28" t="s">
        <v>111</v>
      </c>
      <c r="D81" s="27" t="s">
        <v>216</v>
      </c>
      <c r="E81" s="29" t="str">
        <f aca="false">'الخطة واللجنة'!$B$23</f>
        <v>عضو 5</v>
      </c>
      <c r="F81" s="30"/>
      <c r="G81" s="30"/>
      <c r="H81" s="29" t="str">
        <f aca="false">IF(OR(F81="",F81="متوفر ومكتمل"),"",IF(OR(C81="★",F81="غير متوفر"),"عالية","متوسطة"))</f>
        <v/>
      </c>
      <c r="I81" s="31"/>
      <c r="J81" s="32"/>
      <c r="K81" s="31"/>
      <c r="L81" s="31"/>
    </row>
    <row r="82" customFormat="false" ht="22.35" hidden="false" customHeight="false" outlineLevel="0" collapsed="false">
      <c r="A82" s="33" t="s">
        <v>214</v>
      </c>
      <c r="B82" s="34"/>
      <c r="C82" s="35" t="s">
        <v>111</v>
      </c>
      <c r="D82" s="34" t="s">
        <v>217</v>
      </c>
      <c r="E82" s="22" t="str">
        <f aca="false">'الخطة واللجنة'!$B$23</f>
        <v>عضو 5</v>
      </c>
      <c r="F82" s="23"/>
      <c r="G82" s="23"/>
      <c r="H82" s="22" t="str">
        <f aca="false">IF(OR(F82="",F82="متوفر ومكتمل"),"",IF(OR(C82="★",F82="غير متوفر"),"عالية","متوسطة"))</f>
        <v/>
      </c>
      <c r="I82" s="24"/>
      <c r="J82" s="25"/>
      <c r="K82" s="24"/>
      <c r="L82" s="24"/>
    </row>
    <row r="83" customFormat="false" ht="22.35" hidden="false" customHeight="false" outlineLevel="0" collapsed="false">
      <c r="A83" s="33" t="s">
        <v>214</v>
      </c>
      <c r="B83" s="34"/>
      <c r="C83" s="35" t="s">
        <v>111</v>
      </c>
      <c r="D83" s="34" t="s">
        <v>218</v>
      </c>
      <c r="E83" s="22" t="str">
        <f aca="false">'الخطة واللجنة'!$B$23</f>
        <v>عضو 5</v>
      </c>
      <c r="F83" s="23"/>
      <c r="G83" s="23"/>
      <c r="H83" s="22" t="str">
        <f aca="false">IF(OR(F83="",F83="متوفر ومكتمل"),"",IF(OR(C83="★",F83="غير متوفر"),"عالية","متوسطة"))</f>
        <v/>
      </c>
      <c r="I83" s="24"/>
      <c r="J83" s="25"/>
      <c r="K83" s="24"/>
      <c r="L83" s="24"/>
    </row>
    <row r="84" customFormat="false" ht="22.35" hidden="false" customHeight="false" outlineLevel="0" collapsed="false">
      <c r="A84" s="33" t="s">
        <v>214</v>
      </c>
      <c r="B84" s="34"/>
      <c r="C84" s="35" t="s">
        <v>111</v>
      </c>
      <c r="D84" s="34" t="s">
        <v>219</v>
      </c>
      <c r="E84" s="22" t="str">
        <f aca="false">'الخطة واللجنة'!$B$23</f>
        <v>عضو 5</v>
      </c>
      <c r="F84" s="23"/>
      <c r="G84" s="23"/>
      <c r="H84" s="22" t="str">
        <f aca="false">IF(OR(F84="",F84="متوفر ومكتمل"),"",IF(OR(C84="★",F84="غير متوفر"),"عالية","متوسطة"))</f>
        <v/>
      </c>
      <c r="I84" s="24"/>
      <c r="J84" s="25"/>
      <c r="K84" s="24"/>
      <c r="L84" s="24"/>
    </row>
    <row r="85" customFormat="false" ht="22.35" hidden="false" customHeight="false" outlineLevel="0" collapsed="false">
      <c r="A85" s="33" t="s">
        <v>214</v>
      </c>
      <c r="B85" s="34"/>
      <c r="C85" s="35" t="s">
        <v>111</v>
      </c>
      <c r="D85" s="34" t="s">
        <v>220</v>
      </c>
      <c r="E85" s="22" t="str">
        <f aca="false">'الخطة واللجنة'!$B$23</f>
        <v>عضو 5</v>
      </c>
      <c r="F85" s="23"/>
      <c r="G85" s="23"/>
      <c r="H85" s="22" t="str">
        <f aca="false">IF(OR(F85="",F85="متوفر ومكتمل"),"",IF(OR(C85="★",F85="غير متوفر"),"عالية","متوسطة"))</f>
        <v/>
      </c>
      <c r="I85" s="24"/>
      <c r="J85" s="25"/>
      <c r="K85" s="24"/>
      <c r="L85" s="24"/>
    </row>
    <row r="86" customFormat="false" ht="22.35" hidden="false" customHeight="false" outlineLevel="0" collapsed="false">
      <c r="A86" s="33" t="s">
        <v>214</v>
      </c>
      <c r="B86" s="34"/>
      <c r="C86" s="35" t="s">
        <v>111</v>
      </c>
      <c r="D86" s="34" t="s">
        <v>221</v>
      </c>
      <c r="E86" s="22" t="str">
        <f aca="false">'الخطة واللجنة'!$B$23</f>
        <v>عضو 5</v>
      </c>
      <c r="F86" s="23"/>
      <c r="G86" s="23"/>
      <c r="H86" s="22" t="str">
        <f aca="false">IF(OR(F86="",F86="متوفر ومكتمل"),"",IF(OR(C86="★",F86="غير متوفر"),"عالية","متوسطة"))</f>
        <v/>
      </c>
      <c r="I86" s="24"/>
      <c r="J86" s="25"/>
      <c r="K86" s="24"/>
      <c r="L86" s="24"/>
    </row>
    <row r="87" customFormat="false" ht="32.8" hidden="false" customHeight="false" outlineLevel="0" collapsed="false">
      <c r="A87" s="26" t="s">
        <v>222</v>
      </c>
      <c r="B87" s="27" t="s">
        <v>223</v>
      </c>
      <c r="C87" s="28" t="s">
        <v>111</v>
      </c>
      <c r="D87" s="27" t="s">
        <v>224</v>
      </c>
      <c r="E87" s="29" t="str">
        <f aca="false">'الخطة واللجنة'!$B$23</f>
        <v>عضو 5</v>
      </c>
      <c r="F87" s="30"/>
      <c r="G87" s="30"/>
      <c r="H87" s="29" t="str">
        <f aca="false">IF(OR(F87="",F87="متوفر ومكتمل"),"",IF(OR(C87="★",F87="غير متوفر"),"عالية","متوسطة"))</f>
        <v/>
      </c>
      <c r="I87" s="31"/>
      <c r="J87" s="32"/>
      <c r="K87" s="31"/>
      <c r="L87" s="31"/>
    </row>
    <row r="88" customFormat="false" ht="22.35" hidden="false" customHeight="false" outlineLevel="0" collapsed="false">
      <c r="A88" s="33" t="s">
        <v>222</v>
      </c>
      <c r="B88" s="34"/>
      <c r="C88" s="35" t="s">
        <v>111</v>
      </c>
      <c r="D88" s="34" t="s">
        <v>225</v>
      </c>
      <c r="E88" s="22" t="str">
        <f aca="false">'الخطة واللجنة'!$B$23</f>
        <v>عضو 5</v>
      </c>
      <c r="F88" s="23"/>
      <c r="G88" s="23"/>
      <c r="H88" s="22" t="str">
        <f aca="false">IF(OR(F88="",F88="متوفر ومكتمل"),"",IF(OR(C88="★",F88="غير متوفر"),"عالية","متوسطة"))</f>
        <v/>
      </c>
      <c r="I88" s="24"/>
      <c r="J88" s="25"/>
      <c r="K88" s="24"/>
      <c r="L88" s="24"/>
    </row>
    <row r="89" customFormat="false" ht="22.35" hidden="false" customHeight="false" outlineLevel="0" collapsed="false">
      <c r="A89" s="33" t="s">
        <v>222</v>
      </c>
      <c r="B89" s="34"/>
      <c r="C89" s="35" t="s">
        <v>111</v>
      </c>
      <c r="D89" s="34" t="s">
        <v>219</v>
      </c>
      <c r="E89" s="22" t="str">
        <f aca="false">'الخطة واللجنة'!$B$23</f>
        <v>عضو 5</v>
      </c>
      <c r="F89" s="23"/>
      <c r="G89" s="23"/>
      <c r="H89" s="22" t="str">
        <f aca="false">IF(OR(F89="",F89="متوفر ومكتمل"),"",IF(OR(C89="★",F89="غير متوفر"),"عالية","متوسطة"))</f>
        <v/>
      </c>
      <c r="I89" s="24"/>
      <c r="J89" s="25"/>
      <c r="K89" s="24"/>
      <c r="L89" s="24"/>
    </row>
    <row r="90" customFormat="false" ht="22.35" hidden="false" customHeight="false" outlineLevel="0" collapsed="false">
      <c r="A90" s="33" t="s">
        <v>222</v>
      </c>
      <c r="B90" s="34"/>
      <c r="C90" s="35" t="s">
        <v>111</v>
      </c>
      <c r="D90" s="34" t="s">
        <v>226</v>
      </c>
      <c r="E90" s="22" t="str">
        <f aca="false">'الخطة واللجنة'!$B$23</f>
        <v>عضو 5</v>
      </c>
      <c r="F90" s="23"/>
      <c r="G90" s="23"/>
      <c r="H90" s="22" t="str">
        <f aca="false">IF(OR(F90="",F90="متوفر ومكتمل"),"",IF(OR(C90="★",F90="غير متوفر"),"عالية","متوسطة"))</f>
        <v/>
      </c>
      <c r="I90" s="24"/>
      <c r="J90" s="25"/>
      <c r="K90" s="24"/>
      <c r="L90" s="24"/>
    </row>
    <row r="91" customFormat="false" ht="32.8" hidden="false" customHeight="false" outlineLevel="0" collapsed="false">
      <c r="A91" s="36" t="s">
        <v>227</v>
      </c>
      <c r="B91" s="37" t="s">
        <v>228</v>
      </c>
      <c r="C91" s="38"/>
      <c r="D91" s="37" t="s">
        <v>229</v>
      </c>
      <c r="E91" s="29" t="str">
        <f aca="false">'الخطة واللجنة'!$B$23</f>
        <v>عضو 5</v>
      </c>
      <c r="F91" s="30"/>
      <c r="G91" s="30"/>
      <c r="H91" s="29" t="str">
        <f aca="false">IF(OR(F91="",F91="متوفر ومكتمل"),"",IF(OR(C91="★",F91="غير متوفر"),"عالية","متوسطة"))</f>
        <v/>
      </c>
      <c r="I91" s="31"/>
      <c r="J91" s="32"/>
      <c r="K91" s="31"/>
      <c r="L91" s="31"/>
    </row>
    <row r="92" customFormat="false" ht="15" hidden="false" customHeight="false" outlineLevel="0" collapsed="false">
      <c r="A92" s="22" t="s">
        <v>227</v>
      </c>
      <c r="B92" s="20"/>
      <c r="C92" s="21"/>
      <c r="D92" s="20" t="s">
        <v>230</v>
      </c>
      <c r="E92" s="22" t="str">
        <f aca="false">'الخطة واللجنة'!$B$23</f>
        <v>عضو 5</v>
      </c>
      <c r="F92" s="23"/>
      <c r="G92" s="23"/>
      <c r="H92" s="22" t="str">
        <f aca="false">IF(OR(F92="",F92="متوفر ومكتمل"),"",IF(OR(C92="★",F92="غير متوفر"),"عالية","متوسطة"))</f>
        <v/>
      </c>
      <c r="I92" s="24"/>
      <c r="J92" s="25"/>
      <c r="K92" s="24"/>
      <c r="L92" s="24"/>
    </row>
    <row r="93" customFormat="false" ht="15" hidden="false" customHeight="false" outlineLevel="0" collapsed="false">
      <c r="A93" s="22" t="s">
        <v>227</v>
      </c>
      <c r="B93" s="20"/>
      <c r="C93" s="21"/>
      <c r="D93" s="20" t="s">
        <v>231</v>
      </c>
      <c r="E93" s="22" t="str">
        <f aca="false">'الخطة واللجنة'!$B$23</f>
        <v>عضو 5</v>
      </c>
      <c r="F93" s="23"/>
      <c r="G93" s="23"/>
      <c r="H93" s="22" t="str">
        <f aca="false">IF(OR(F93="",F93="متوفر ومكتمل"),"",IF(OR(C93="★",F93="غير متوفر"),"عالية","متوسطة"))</f>
        <v/>
      </c>
      <c r="I93" s="24"/>
      <c r="J93" s="25"/>
      <c r="K93" s="24"/>
      <c r="L93" s="24"/>
    </row>
    <row r="94" customFormat="false" ht="15" hidden="false" customHeight="false" outlineLevel="0" collapsed="false">
      <c r="A94" s="22" t="s">
        <v>227</v>
      </c>
      <c r="B94" s="20"/>
      <c r="C94" s="21"/>
      <c r="D94" s="20" t="s">
        <v>232</v>
      </c>
      <c r="E94" s="22" t="str">
        <f aca="false">'الخطة واللجنة'!$B$23</f>
        <v>عضو 5</v>
      </c>
      <c r="F94" s="23"/>
      <c r="G94" s="23"/>
      <c r="H94" s="22" t="str">
        <f aca="false">IF(OR(F94="",F94="متوفر ومكتمل"),"",IF(OR(C94="★",F94="غير متوفر"),"عالية","متوسطة"))</f>
        <v/>
      </c>
      <c r="I94" s="24"/>
      <c r="J94" s="25"/>
      <c r="K94" s="24"/>
      <c r="L94" s="24"/>
    </row>
    <row r="95" customFormat="false" ht="22.35" hidden="false" customHeight="false" outlineLevel="0" collapsed="false">
      <c r="A95" s="36" t="s">
        <v>233</v>
      </c>
      <c r="B95" s="37" t="s">
        <v>234</v>
      </c>
      <c r="C95" s="38"/>
      <c r="D95" s="37" t="s">
        <v>217</v>
      </c>
      <c r="E95" s="29" t="str">
        <f aca="false">'الخطة واللجنة'!$B$23</f>
        <v>عضو 5</v>
      </c>
      <c r="F95" s="30"/>
      <c r="G95" s="30"/>
      <c r="H95" s="29" t="str">
        <f aca="false">IF(OR(F95="",F95="متوفر ومكتمل"),"",IF(OR(C95="★",F95="غير متوفر"),"عالية","متوسطة"))</f>
        <v/>
      </c>
      <c r="I95" s="31"/>
      <c r="J95" s="32"/>
      <c r="K95" s="31"/>
      <c r="L95" s="31"/>
    </row>
    <row r="96" customFormat="false" ht="15" hidden="false" customHeight="false" outlineLevel="0" collapsed="false">
      <c r="A96" s="22" t="s">
        <v>233</v>
      </c>
      <c r="B96" s="20"/>
      <c r="C96" s="21"/>
      <c r="D96" s="20" t="s">
        <v>235</v>
      </c>
      <c r="E96" s="22" t="str">
        <f aca="false">'الخطة واللجنة'!$B$23</f>
        <v>عضو 5</v>
      </c>
      <c r="F96" s="23"/>
      <c r="G96" s="23"/>
      <c r="H96" s="22" t="str">
        <f aca="false">IF(OR(F96="",F96="متوفر ومكتمل"),"",IF(OR(C96="★",F96="غير متوفر"),"عالية","متوسطة"))</f>
        <v/>
      </c>
      <c r="I96" s="24"/>
      <c r="J96" s="25"/>
      <c r="K96" s="24"/>
      <c r="L96" s="24"/>
    </row>
    <row r="97" customFormat="false" ht="15" hidden="false" customHeight="false" outlineLevel="0" collapsed="false">
      <c r="A97" s="22" t="s">
        <v>233</v>
      </c>
      <c r="B97" s="20"/>
      <c r="C97" s="21"/>
      <c r="D97" s="20" t="s">
        <v>236</v>
      </c>
      <c r="E97" s="22" t="str">
        <f aca="false">'الخطة واللجنة'!$B$23</f>
        <v>عضو 5</v>
      </c>
      <c r="F97" s="23"/>
      <c r="G97" s="23"/>
      <c r="H97" s="22" t="str">
        <f aca="false">IF(OR(F97="",F97="متوفر ومكتمل"),"",IF(OR(C97="★",F97="غير متوفر"),"عالية","متوسطة"))</f>
        <v/>
      </c>
      <c r="I97" s="24"/>
      <c r="J97" s="25"/>
      <c r="K97" s="24"/>
      <c r="L97" s="24"/>
    </row>
    <row r="98" customFormat="false" ht="32.8" hidden="false" customHeight="false" outlineLevel="0" collapsed="false">
      <c r="A98" s="22" t="s">
        <v>233</v>
      </c>
      <c r="B98" s="20"/>
      <c r="C98" s="21"/>
      <c r="D98" s="20" t="s">
        <v>237</v>
      </c>
      <c r="E98" s="22" t="str">
        <f aca="false">'الخطة واللجنة'!$B$23</f>
        <v>عضو 5</v>
      </c>
      <c r="F98" s="23"/>
      <c r="G98" s="23"/>
      <c r="H98" s="22" t="str">
        <f aca="false">IF(OR(F98="",F98="متوفر ومكتمل"),"",IF(OR(C98="★",F98="غير متوفر"),"عالية","متوسطة"))</f>
        <v/>
      </c>
      <c r="I98" s="24"/>
      <c r="J98" s="25"/>
      <c r="K98" s="24"/>
      <c r="L98" s="24"/>
    </row>
    <row r="99" customFormat="false" ht="32.8" hidden="false" customHeight="false" outlineLevel="0" collapsed="false">
      <c r="A99" s="36" t="s">
        <v>238</v>
      </c>
      <c r="B99" s="37" t="s">
        <v>239</v>
      </c>
      <c r="C99" s="38"/>
      <c r="D99" s="37" t="s">
        <v>240</v>
      </c>
      <c r="E99" s="29" t="str">
        <f aca="false">'الخطة واللجنة'!$B$23</f>
        <v>عضو 5</v>
      </c>
      <c r="F99" s="30"/>
      <c r="G99" s="30"/>
      <c r="H99" s="29" t="str">
        <f aca="false">IF(OR(F99="",F99="متوفر ومكتمل"),"",IF(OR(C99="★",F99="غير متوفر"),"عالية","متوسطة"))</f>
        <v/>
      </c>
      <c r="I99" s="31"/>
      <c r="J99" s="32"/>
      <c r="K99" s="31"/>
      <c r="L99" s="31"/>
    </row>
    <row r="100" customFormat="false" ht="22.35" hidden="false" customHeight="false" outlineLevel="0" collapsed="false">
      <c r="A100" s="22" t="s">
        <v>238</v>
      </c>
      <c r="B100" s="20"/>
      <c r="C100" s="21"/>
      <c r="D100" s="20" t="s">
        <v>241</v>
      </c>
      <c r="E100" s="22" t="str">
        <f aca="false">'الخطة واللجنة'!$B$23</f>
        <v>عضو 5</v>
      </c>
      <c r="F100" s="23"/>
      <c r="G100" s="23"/>
      <c r="H100" s="22" t="str">
        <f aca="false">IF(OR(F100="",F100="متوفر ومكتمل"),"",IF(OR(C100="★",F100="غير متوفر"),"عالية","متوسطة"))</f>
        <v/>
      </c>
      <c r="I100" s="24"/>
      <c r="J100" s="25"/>
      <c r="K100" s="24"/>
      <c r="L100" s="24"/>
    </row>
    <row r="101" customFormat="false" ht="32.8" hidden="false" customHeight="false" outlineLevel="0" collapsed="false">
      <c r="A101" s="36" t="s">
        <v>242</v>
      </c>
      <c r="B101" s="37" t="s">
        <v>243</v>
      </c>
      <c r="C101" s="38"/>
      <c r="D101" s="37" t="s">
        <v>244</v>
      </c>
      <c r="E101" s="29" t="str">
        <f aca="false">'الخطة واللجنة'!$B$23</f>
        <v>عضو 5</v>
      </c>
      <c r="F101" s="30"/>
      <c r="G101" s="30"/>
      <c r="H101" s="29" t="str">
        <f aca="false">IF(OR(F101="",F101="متوفر ومكتمل"),"",IF(OR(C101="★",F101="غير متوفر"),"عالية","متوسطة"))</f>
        <v/>
      </c>
      <c r="I101" s="31"/>
      <c r="J101" s="32"/>
      <c r="K101" s="31"/>
      <c r="L101" s="31"/>
    </row>
    <row r="102" customFormat="false" ht="15" hidden="false" customHeight="false" outlineLevel="0" collapsed="false">
      <c r="A102" s="22" t="s">
        <v>242</v>
      </c>
      <c r="B102" s="20"/>
      <c r="C102" s="21"/>
      <c r="D102" s="20" t="s">
        <v>245</v>
      </c>
      <c r="E102" s="22" t="str">
        <f aca="false">'الخطة واللجنة'!$B$23</f>
        <v>عضو 5</v>
      </c>
      <c r="F102" s="23"/>
      <c r="G102" s="23"/>
      <c r="H102" s="22" t="str">
        <f aca="false">IF(OR(F102="",F102="متوفر ومكتمل"),"",IF(OR(C102="★",F102="غير متوفر"),"عالية","متوسطة"))</f>
        <v/>
      </c>
      <c r="I102" s="24"/>
      <c r="J102" s="25"/>
      <c r="K102" s="24"/>
      <c r="L102" s="24"/>
    </row>
    <row r="103" customFormat="false" ht="15" hidden="false" customHeight="false" outlineLevel="0" collapsed="false">
      <c r="A103" s="22" t="s">
        <v>242</v>
      </c>
      <c r="B103" s="20"/>
      <c r="C103" s="21"/>
      <c r="D103" s="20" t="s">
        <v>246</v>
      </c>
      <c r="E103" s="22" t="str">
        <f aca="false">'الخطة واللجنة'!$B$23</f>
        <v>عضو 5</v>
      </c>
      <c r="F103" s="23"/>
      <c r="G103" s="23"/>
      <c r="H103" s="22" t="str">
        <f aca="false">IF(OR(F103="",F103="متوفر ومكتمل"),"",IF(OR(C103="★",F103="غير متوفر"),"عالية","متوسطة"))</f>
        <v/>
      </c>
      <c r="I103" s="24"/>
      <c r="J103" s="25"/>
      <c r="K103" s="24"/>
      <c r="L103" s="24"/>
    </row>
    <row r="104" customFormat="false" ht="32.8" hidden="false" customHeight="false" outlineLevel="0" collapsed="false">
      <c r="A104" s="26" t="s">
        <v>247</v>
      </c>
      <c r="B104" s="27" t="s">
        <v>248</v>
      </c>
      <c r="C104" s="28" t="s">
        <v>111</v>
      </c>
      <c r="D104" s="27" t="s">
        <v>249</v>
      </c>
      <c r="E104" s="29" t="str">
        <f aca="false">'الخطة واللجنة'!$B$23</f>
        <v>عضو 5</v>
      </c>
      <c r="F104" s="30"/>
      <c r="G104" s="30"/>
      <c r="H104" s="29" t="str">
        <f aca="false">IF(OR(F104="",F104="متوفر ومكتمل"),"",IF(OR(C104="★",F104="غير متوفر"),"عالية","متوسطة"))</f>
        <v/>
      </c>
      <c r="I104" s="31"/>
      <c r="J104" s="32"/>
      <c r="K104" s="31"/>
      <c r="L104" s="31"/>
    </row>
    <row r="105" customFormat="false" ht="22.35" hidden="false" customHeight="false" outlineLevel="0" collapsed="false">
      <c r="A105" s="33" t="s">
        <v>247</v>
      </c>
      <c r="B105" s="34"/>
      <c r="C105" s="35" t="s">
        <v>111</v>
      </c>
      <c r="D105" s="34" t="s">
        <v>250</v>
      </c>
      <c r="E105" s="22" t="str">
        <f aca="false">'الخطة واللجنة'!$B$23</f>
        <v>عضو 5</v>
      </c>
      <c r="F105" s="23"/>
      <c r="G105" s="23"/>
      <c r="H105" s="22" t="str">
        <f aca="false">IF(OR(F105="",F105="متوفر ومكتمل"),"",IF(OR(C105="★",F105="غير متوفر"),"عالية","متوسطة"))</f>
        <v/>
      </c>
      <c r="I105" s="24"/>
      <c r="J105" s="25"/>
      <c r="K105" s="24"/>
      <c r="L105" s="24"/>
    </row>
    <row r="106" customFormat="false" ht="32.8" hidden="false" customHeight="false" outlineLevel="0" collapsed="false">
      <c r="A106" s="26" t="s">
        <v>251</v>
      </c>
      <c r="B106" s="27" t="s">
        <v>252</v>
      </c>
      <c r="C106" s="28" t="s">
        <v>111</v>
      </c>
      <c r="D106" s="27" t="s">
        <v>253</v>
      </c>
      <c r="E106" s="29" t="str">
        <f aca="false">'الخطة واللجنة'!$B$19</f>
        <v>عضو 1</v>
      </c>
      <c r="F106" s="30"/>
      <c r="G106" s="30"/>
      <c r="H106" s="29" t="str">
        <f aca="false">IF(OR(F106="",F106="متوفر ومكتمل"),"",IF(OR(C106="★",F106="غير متوفر"),"عالية","متوسطة"))</f>
        <v/>
      </c>
      <c r="I106" s="31"/>
      <c r="J106" s="32"/>
      <c r="K106" s="31"/>
      <c r="L106" s="31"/>
    </row>
    <row r="107" customFormat="false" ht="15" hidden="false" customHeight="false" outlineLevel="0" collapsed="false">
      <c r="A107" s="33" t="s">
        <v>251</v>
      </c>
      <c r="B107" s="34"/>
      <c r="C107" s="35" t="s">
        <v>111</v>
      </c>
      <c r="D107" s="34" t="s">
        <v>254</v>
      </c>
      <c r="E107" s="22" t="str">
        <f aca="false">'الخطة واللجنة'!$B$19</f>
        <v>عضو 1</v>
      </c>
      <c r="F107" s="23"/>
      <c r="G107" s="23"/>
      <c r="H107" s="22" t="str">
        <f aca="false">IF(OR(F107="",F107="متوفر ومكتمل"),"",IF(OR(C107="★",F107="غير متوفر"),"عالية","متوسطة"))</f>
        <v/>
      </c>
      <c r="I107" s="24"/>
      <c r="J107" s="25"/>
      <c r="K107" s="24"/>
      <c r="L107" s="24"/>
    </row>
    <row r="108" customFormat="false" ht="32.8" hidden="false" customHeight="false" outlineLevel="0" collapsed="false">
      <c r="A108" s="33" t="s">
        <v>251</v>
      </c>
      <c r="B108" s="34"/>
      <c r="C108" s="35" t="s">
        <v>111</v>
      </c>
      <c r="D108" s="34" t="s">
        <v>255</v>
      </c>
      <c r="E108" s="22" t="str">
        <f aca="false">'الخطة واللجنة'!$B$19</f>
        <v>عضو 1</v>
      </c>
      <c r="F108" s="23"/>
      <c r="G108" s="23"/>
      <c r="H108" s="22" t="str">
        <f aca="false">IF(OR(F108="",F108="متوفر ومكتمل"),"",IF(OR(C108="★",F108="غير متوفر"),"عالية","متوسطة"))</f>
        <v/>
      </c>
      <c r="I108" s="24"/>
      <c r="J108" s="25"/>
      <c r="K108" s="24"/>
      <c r="L108" s="24"/>
    </row>
    <row r="109" customFormat="false" ht="22.35" hidden="false" customHeight="false" outlineLevel="0" collapsed="false">
      <c r="A109" s="33" t="s">
        <v>251</v>
      </c>
      <c r="B109" s="34"/>
      <c r="C109" s="35" t="s">
        <v>111</v>
      </c>
      <c r="D109" s="34" t="s">
        <v>256</v>
      </c>
      <c r="E109" s="22" t="str">
        <f aca="false">'الخطة واللجنة'!$B$19</f>
        <v>عضو 1</v>
      </c>
      <c r="F109" s="23"/>
      <c r="G109" s="23"/>
      <c r="H109" s="22" t="str">
        <f aca="false">IF(OR(F109="",F109="متوفر ومكتمل"),"",IF(OR(C109="★",F109="غير متوفر"),"عالية","متوسطة"))</f>
        <v/>
      </c>
      <c r="I109" s="24"/>
      <c r="J109" s="25"/>
      <c r="K109" s="24"/>
      <c r="L109" s="24"/>
    </row>
    <row r="110" customFormat="false" ht="22.35" hidden="false" customHeight="false" outlineLevel="0" collapsed="false">
      <c r="A110" s="33" t="s">
        <v>251</v>
      </c>
      <c r="B110" s="34"/>
      <c r="C110" s="35" t="s">
        <v>111</v>
      </c>
      <c r="D110" s="34" t="s">
        <v>257</v>
      </c>
      <c r="E110" s="22" t="str">
        <f aca="false">'الخطة واللجنة'!$B$19</f>
        <v>عضو 1</v>
      </c>
      <c r="F110" s="23"/>
      <c r="G110" s="23"/>
      <c r="H110" s="22" t="str">
        <f aca="false">IF(OR(F110="",F110="متوفر ومكتمل"),"",IF(OR(C110="★",F110="غير متوفر"),"عالية","متوسطة"))</f>
        <v/>
      </c>
      <c r="I110" s="24"/>
      <c r="J110" s="25"/>
      <c r="K110" s="24"/>
      <c r="L110" s="24"/>
    </row>
    <row r="111" customFormat="false" ht="32.8" hidden="false" customHeight="false" outlineLevel="0" collapsed="false">
      <c r="A111" s="36" t="s">
        <v>258</v>
      </c>
      <c r="B111" s="37" t="s">
        <v>259</v>
      </c>
      <c r="C111" s="38"/>
      <c r="D111" s="37" t="s">
        <v>260</v>
      </c>
      <c r="E111" s="29" t="str">
        <f aca="false">'الخطة واللجنة'!$B$19</f>
        <v>عضو 1</v>
      </c>
      <c r="F111" s="30"/>
      <c r="G111" s="30"/>
      <c r="H111" s="29" t="str">
        <f aca="false">IF(OR(F111="",F111="متوفر ومكتمل"),"",IF(OR(C111="★",F111="غير متوفر"),"عالية","متوسطة"))</f>
        <v/>
      </c>
      <c r="I111" s="31"/>
      <c r="J111" s="32"/>
      <c r="K111" s="31"/>
      <c r="L111" s="31"/>
    </row>
    <row r="112" customFormat="false" ht="15" hidden="false" customHeight="false" outlineLevel="0" collapsed="false">
      <c r="A112" s="22" t="s">
        <v>258</v>
      </c>
      <c r="B112" s="20"/>
      <c r="C112" s="21"/>
      <c r="D112" s="20" t="s">
        <v>261</v>
      </c>
      <c r="E112" s="22" t="str">
        <f aca="false">'الخطة واللجنة'!$B$19</f>
        <v>عضو 1</v>
      </c>
      <c r="F112" s="23"/>
      <c r="G112" s="23"/>
      <c r="H112" s="22" t="str">
        <f aca="false">IF(OR(F112="",F112="متوفر ومكتمل"),"",IF(OR(C112="★",F112="غير متوفر"),"عالية","متوسطة"))</f>
        <v/>
      </c>
      <c r="I112" s="24"/>
      <c r="J112" s="25"/>
      <c r="K112" s="24"/>
      <c r="L112" s="24"/>
    </row>
    <row r="113" customFormat="false" ht="15" hidden="false" customHeight="false" outlineLevel="0" collapsed="false">
      <c r="A113" s="22" t="s">
        <v>258</v>
      </c>
      <c r="B113" s="20"/>
      <c r="C113" s="21"/>
      <c r="D113" s="20" t="s">
        <v>262</v>
      </c>
      <c r="E113" s="22" t="str">
        <f aca="false">'الخطة واللجنة'!$B$19</f>
        <v>عضو 1</v>
      </c>
      <c r="F113" s="23"/>
      <c r="G113" s="23"/>
      <c r="H113" s="22" t="str">
        <f aca="false">IF(OR(F113="",F113="متوفر ومكتمل"),"",IF(OR(C113="★",F113="غير متوفر"),"عالية","متوسطة"))</f>
        <v/>
      </c>
      <c r="I113" s="24"/>
      <c r="J113" s="25"/>
      <c r="K113" s="24"/>
      <c r="L113" s="24"/>
    </row>
    <row r="114" customFormat="false" ht="22.35" hidden="false" customHeight="false" outlineLevel="0" collapsed="false">
      <c r="A114" s="22" t="s">
        <v>258</v>
      </c>
      <c r="B114" s="20"/>
      <c r="C114" s="21"/>
      <c r="D114" s="20" t="s">
        <v>263</v>
      </c>
      <c r="E114" s="22" t="str">
        <f aca="false">'الخطة واللجنة'!$B$19</f>
        <v>عضو 1</v>
      </c>
      <c r="F114" s="23"/>
      <c r="G114" s="23"/>
      <c r="H114" s="22" t="str">
        <f aca="false">IF(OR(F114="",F114="متوفر ومكتمل"),"",IF(OR(C114="★",F114="غير متوفر"),"عالية","متوسطة"))</f>
        <v/>
      </c>
      <c r="I114" s="24"/>
      <c r="J114" s="25"/>
      <c r="K114" s="24"/>
      <c r="L114" s="24"/>
    </row>
    <row r="115" customFormat="false" ht="32.8" hidden="false" customHeight="false" outlineLevel="0" collapsed="false">
      <c r="A115" s="36" t="s">
        <v>264</v>
      </c>
      <c r="B115" s="37" t="s">
        <v>265</v>
      </c>
      <c r="C115" s="38"/>
      <c r="D115" s="37" t="s">
        <v>266</v>
      </c>
      <c r="E115" s="29" t="str">
        <f aca="false">'الخطة واللجنة'!$B$19</f>
        <v>عضو 1</v>
      </c>
      <c r="F115" s="30"/>
      <c r="G115" s="30"/>
      <c r="H115" s="29" t="str">
        <f aca="false">IF(OR(F115="",F115="متوفر ومكتمل"),"",IF(OR(C115="★",F115="غير متوفر"),"عالية","متوسطة"))</f>
        <v/>
      </c>
      <c r="I115" s="31"/>
      <c r="J115" s="32"/>
      <c r="K115" s="31"/>
      <c r="L115" s="31"/>
    </row>
    <row r="116" customFormat="false" ht="32.8" hidden="false" customHeight="false" outlineLevel="0" collapsed="false">
      <c r="A116" s="22" t="s">
        <v>264</v>
      </c>
      <c r="B116" s="20"/>
      <c r="C116" s="21"/>
      <c r="D116" s="20" t="s">
        <v>267</v>
      </c>
      <c r="E116" s="22" t="str">
        <f aca="false">'الخطة واللجنة'!$B$19</f>
        <v>عضو 1</v>
      </c>
      <c r="F116" s="23"/>
      <c r="G116" s="23"/>
      <c r="H116" s="22" t="str">
        <f aca="false">IF(OR(F116="",F116="متوفر ومكتمل"),"",IF(OR(C116="★",F116="غير متوفر"),"عالية","متوسطة"))</f>
        <v/>
      </c>
      <c r="I116" s="24"/>
      <c r="J116" s="25"/>
      <c r="K116" s="24"/>
      <c r="L116" s="24"/>
    </row>
    <row r="117" customFormat="false" ht="15" hidden="false" customHeight="false" outlineLevel="0" collapsed="false">
      <c r="A117" s="22" t="s">
        <v>264</v>
      </c>
      <c r="B117" s="20"/>
      <c r="C117" s="21"/>
      <c r="D117" s="20" t="s">
        <v>268</v>
      </c>
      <c r="E117" s="22" t="str">
        <f aca="false">'الخطة واللجنة'!$B$19</f>
        <v>عضو 1</v>
      </c>
      <c r="F117" s="23"/>
      <c r="G117" s="23"/>
      <c r="H117" s="22" t="str">
        <f aca="false">IF(OR(F117="",F117="متوفر ومكتمل"),"",IF(OR(C117="★",F117="غير متوفر"),"عالية","متوسطة"))</f>
        <v/>
      </c>
      <c r="I117" s="24"/>
      <c r="J117" s="25"/>
      <c r="K117" s="24"/>
      <c r="L117" s="24"/>
    </row>
    <row r="118" customFormat="false" ht="22.35" hidden="false" customHeight="false" outlineLevel="0" collapsed="false">
      <c r="A118" s="36" t="s">
        <v>269</v>
      </c>
      <c r="B118" s="37" t="s">
        <v>270</v>
      </c>
      <c r="C118" s="38"/>
      <c r="D118" s="37" t="s">
        <v>271</v>
      </c>
      <c r="E118" s="29" t="str">
        <f aca="false">'الخطة واللجنة'!$B$19</f>
        <v>عضو 1</v>
      </c>
      <c r="F118" s="30"/>
      <c r="G118" s="30"/>
      <c r="H118" s="29" t="str">
        <f aca="false">IF(OR(F118="",F118="متوفر ومكتمل"),"",IF(OR(C118="★",F118="غير متوفر"),"عالية","متوسطة"))</f>
        <v/>
      </c>
      <c r="I118" s="31"/>
      <c r="J118" s="32"/>
      <c r="K118" s="31"/>
      <c r="L118" s="31"/>
    </row>
    <row r="119" customFormat="false" ht="22.35" hidden="false" customHeight="false" outlineLevel="0" collapsed="false">
      <c r="A119" s="22" t="s">
        <v>269</v>
      </c>
      <c r="B119" s="20"/>
      <c r="C119" s="21"/>
      <c r="D119" s="20" t="s">
        <v>272</v>
      </c>
      <c r="E119" s="22" t="str">
        <f aca="false">'الخطة واللجنة'!$B$19</f>
        <v>عضو 1</v>
      </c>
      <c r="F119" s="23"/>
      <c r="G119" s="23"/>
      <c r="H119" s="22" t="str">
        <f aca="false">IF(OR(F119="",F119="متوفر ومكتمل"),"",IF(OR(C119="★",F119="غير متوفر"),"عالية","متوسطة"))</f>
        <v/>
      </c>
      <c r="I119" s="24"/>
      <c r="J119" s="25"/>
      <c r="K119" s="24"/>
      <c r="L119" s="24"/>
    </row>
    <row r="120" customFormat="false" ht="22.35" hidden="false" customHeight="false" outlineLevel="0" collapsed="false">
      <c r="A120" s="22" t="s">
        <v>269</v>
      </c>
      <c r="B120" s="20"/>
      <c r="C120" s="21"/>
      <c r="D120" s="20" t="s">
        <v>273</v>
      </c>
      <c r="E120" s="22" t="str">
        <f aca="false">'الخطة واللجنة'!$B$19</f>
        <v>عضو 1</v>
      </c>
      <c r="F120" s="23"/>
      <c r="G120" s="23"/>
      <c r="H120" s="22" t="str">
        <f aca="false">IF(OR(F120="",F120="متوفر ومكتمل"),"",IF(OR(C120="★",F120="غير متوفر"),"عالية","متوسطة"))</f>
        <v/>
      </c>
      <c r="I120" s="24"/>
      <c r="J120" s="25"/>
      <c r="K120" s="24"/>
      <c r="L120" s="24"/>
    </row>
    <row r="121" customFormat="false" ht="22.35" hidden="false" customHeight="false" outlineLevel="0" collapsed="false">
      <c r="A121" s="36" t="s">
        <v>274</v>
      </c>
      <c r="B121" s="37" t="s">
        <v>275</v>
      </c>
      <c r="C121" s="38"/>
      <c r="D121" s="37" t="s">
        <v>276</v>
      </c>
      <c r="E121" s="29" t="str">
        <f aca="false">'الخطة واللجنة'!$B$19</f>
        <v>عضو 1</v>
      </c>
      <c r="F121" s="30"/>
      <c r="G121" s="30"/>
      <c r="H121" s="29" t="str">
        <f aca="false">IF(OR(F121="",F121="متوفر ومكتمل"),"",IF(OR(C121="★",F121="غير متوفر"),"عالية","متوسطة"))</f>
        <v/>
      </c>
      <c r="I121" s="31"/>
      <c r="J121" s="32"/>
      <c r="K121" s="31"/>
      <c r="L121" s="31"/>
    </row>
    <row r="122" customFormat="false" ht="15" hidden="false" customHeight="false" outlineLevel="0" collapsed="false">
      <c r="A122" s="22" t="s">
        <v>274</v>
      </c>
      <c r="B122" s="20"/>
      <c r="C122" s="21"/>
      <c r="D122" s="20" t="s">
        <v>277</v>
      </c>
      <c r="E122" s="22" t="str">
        <f aca="false">'الخطة واللجنة'!$B$19</f>
        <v>عضو 1</v>
      </c>
      <c r="F122" s="23"/>
      <c r="G122" s="23"/>
      <c r="H122" s="22" t="str">
        <f aca="false">IF(OR(F122="",F122="متوفر ومكتمل"),"",IF(OR(C122="★",F122="غير متوفر"),"عالية","متوسطة"))</f>
        <v/>
      </c>
      <c r="I122" s="24"/>
      <c r="J122" s="25"/>
      <c r="K122" s="24"/>
      <c r="L122" s="24"/>
    </row>
    <row r="123" customFormat="false" ht="15" hidden="false" customHeight="false" outlineLevel="0" collapsed="false">
      <c r="A123" s="22" t="s">
        <v>274</v>
      </c>
      <c r="B123" s="20"/>
      <c r="C123" s="21"/>
      <c r="D123" s="20" t="s">
        <v>278</v>
      </c>
      <c r="E123" s="22" t="str">
        <f aca="false">'الخطة واللجنة'!$B$19</f>
        <v>عضو 1</v>
      </c>
      <c r="F123" s="23"/>
      <c r="G123" s="23"/>
      <c r="H123" s="22" t="str">
        <f aca="false">IF(OR(F123="",F123="متوفر ومكتمل"),"",IF(OR(C123="★",F123="غير متوفر"),"عالية","متوسطة"))</f>
        <v/>
      </c>
      <c r="I123" s="24"/>
      <c r="J123" s="25"/>
      <c r="K123" s="24"/>
      <c r="L123" s="24"/>
    </row>
    <row r="124" customFormat="false" ht="15" hidden="false" customHeight="false" outlineLevel="0" collapsed="false">
      <c r="A124" s="22" t="s">
        <v>274</v>
      </c>
      <c r="B124" s="20"/>
      <c r="C124" s="21"/>
      <c r="D124" s="20" t="s">
        <v>279</v>
      </c>
      <c r="E124" s="22" t="str">
        <f aca="false">'الخطة واللجنة'!$B$19</f>
        <v>عضو 1</v>
      </c>
      <c r="F124" s="23"/>
      <c r="G124" s="23"/>
      <c r="H124" s="22" t="str">
        <f aca="false">IF(OR(F124="",F124="متوفر ومكتمل"),"",IF(OR(C124="★",F124="غير متوفر"),"عالية","متوسطة"))</f>
        <v/>
      </c>
      <c r="I124" s="24"/>
      <c r="J124" s="25"/>
      <c r="K124" s="24"/>
      <c r="L124" s="24"/>
    </row>
    <row r="125" customFormat="false" ht="15" hidden="false" customHeight="false" outlineLevel="0" collapsed="false">
      <c r="A125" s="22" t="s">
        <v>274</v>
      </c>
      <c r="B125" s="20"/>
      <c r="C125" s="21"/>
      <c r="D125" s="20" t="s">
        <v>280</v>
      </c>
      <c r="E125" s="22" t="str">
        <f aca="false">'الخطة واللجنة'!$B$19</f>
        <v>عضو 1</v>
      </c>
      <c r="F125" s="23"/>
      <c r="G125" s="23"/>
      <c r="H125" s="22" t="str">
        <f aca="false">IF(OR(F125="",F125="متوفر ومكتمل"),"",IF(OR(C125="★",F125="غير متوفر"),"عالية","متوسطة"))</f>
        <v/>
      </c>
      <c r="I125" s="24"/>
      <c r="J125" s="25"/>
      <c r="K125" s="24"/>
      <c r="L125" s="24"/>
    </row>
    <row r="126" customFormat="false" ht="32.8" hidden="false" customHeight="false" outlineLevel="0" collapsed="false">
      <c r="A126" s="26" t="s">
        <v>281</v>
      </c>
      <c r="B126" s="27" t="s">
        <v>282</v>
      </c>
      <c r="C126" s="28" t="s">
        <v>111</v>
      </c>
      <c r="D126" s="27" t="s">
        <v>283</v>
      </c>
      <c r="E126" s="29" t="str">
        <f aca="false">'الخطة واللجنة'!$B$19</f>
        <v>عضو 1</v>
      </c>
      <c r="F126" s="30"/>
      <c r="G126" s="30"/>
      <c r="H126" s="29" t="str">
        <f aca="false">IF(OR(F126="",F126="متوفر ومكتمل"),"",IF(OR(C126="★",F126="غير متوفر"),"عالية","متوسطة"))</f>
        <v/>
      </c>
      <c r="I126" s="31"/>
      <c r="J126" s="32"/>
      <c r="K126" s="31"/>
      <c r="L126" s="31"/>
    </row>
    <row r="127" customFormat="false" ht="15" hidden="false" customHeight="false" outlineLevel="0" collapsed="false">
      <c r="A127" s="33" t="s">
        <v>281</v>
      </c>
      <c r="B127" s="34"/>
      <c r="C127" s="35" t="s">
        <v>111</v>
      </c>
      <c r="D127" s="34" t="s">
        <v>284</v>
      </c>
      <c r="E127" s="22" t="str">
        <f aca="false">'الخطة واللجنة'!$B$19</f>
        <v>عضو 1</v>
      </c>
      <c r="F127" s="23"/>
      <c r="G127" s="23"/>
      <c r="H127" s="22" t="str">
        <f aca="false">IF(OR(F127="",F127="متوفر ومكتمل"),"",IF(OR(C127="★",F127="غير متوفر"),"عالية","متوسطة"))</f>
        <v/>
      </c>
      <c r="I127" s="24"/>
      <c r="J127" s="25"/>
      <c r="K127" s="24"/>
      <c r="L127" s="24"/>
    </row>
    <row r="128" customFormat="false" ht="22.35" hidden="false" customHeight="false" outlineLevel="0" collapsed="false">
      <c r="A128" s="33" t="s">
        <v>281</v>
      </c>
      <c r="B128" s="34"/>
      <c r="C128" s="35" t="s">
        <v>111</v>
      </c>
      <c r="D128" s="34" t="s">
        <v>285</v>
      </c>
      <c r="E128" s="22" t="str">
        <f aca="false">'الخطة واللجنة'!$B$19</f>
        <v>عضو 1</v>
      </c>
      <c r="F128" s="23"/>
      <c r="G128" s="23"/>
      <c r="H128" s="22" t="str">
        <f aca="false">IF(OR(F128="",F128="متوفر ومكتمل"),"",IF(OR(C128="★",F128="غير متوفر"),"عالية","متوسطة"))</f>
        <v/>
      </c>
      <c r="I128" s="24"/>
      <c r="J128" s="25"/>
      <c r="K128" s="24"/>
      <c r="L128" s="24"/>
    </row>
    <row r="129" customFormat="false" ht="22.35" hidden="false" customHeight="false" outlineLevel="0" collapsed="false">
      <c r="A129" s="33" t="s">
        <v>281</v>
      </c>
      <c r="B129" s="34"/>
      <c r="C129" s="35" t="s">
        <v>111</v>
      </c>
      <c r="D129" s="34" t="s">
        <v>286</v>
      </c>
      <c r="E129" s="22" t="str">
        <f aca="false">'الخطة واللجنة'!$B$19</f>
        <v>عضو 1</v>
      </c>
      <c r="F129" s="23"/>
      <c r="G129" s="23"/>
      <c r="H129" s="22" t="str">
        <f aca="false">IF(OR(F129="",F129="متوفر ومكتمل"),"",IF(OR(C129="★",F129="غير متوفر"),"عالية","متوسطة"))</f>
        <v/>
      </c>
      <c r="I129" s="24"/>
      <c r="J129" s="25"/>
      <c r="K129" s="24"/>
      <c r="L129" s="24"/>
    </row>
    <row r="130" customFormat="false" ht="15" hidden="false" customHeight="false" outlineLevel="0" collapsed="false">
      <c r="A130" s="33" t="s">
        <v>281</v>
      </c>
      <c r="B130" s="34"/>
      <c r="C130" s="35" t="s">
        <v>111</v>
      </c>
      <c r="D130" s="34" t="s">
        <v>287</v>
      </c>
      <c r="E130" s="22" t="str">
        <f aca="false">'الخطة واللجنة'!$B$19</f>
        <v>عضو 1</v>
      </c>
      <c r="F130" s="23"/>
      <c r="G130" s="23"/>
      <c r="H130" s="22" t="str">
        <f aca="false">IF(OR(F130="",F130="متوفر ومكتمل"),"",IF(OR(C130="★",F130="غير متوفر"),"عالية","متوسطة"))</f>
        <v/>
      </c>
      <c r="I130" s="24"/>
      <c r="J130" s="25"/>
      <c r="K130" s="24"/>
      <c r="L130" s="24"/>
    </row>
    <row r="131" customFormat="false" ht="32.8" hidden="false" customHeight="false" outlineLevel="0" collapsed="false">
      <c r="A131" s="36" t="s">
        <v>288</v>
      </c>
      <c r="B131" s="37" t="s">
        <v>289</v>
      </c>
      <c r="C131" s="38"/>
      <c r="D131" s="37" t="s">
        <v>290</v>
      </c>
      <c r="E131" s="29" t="str">
        <f aca="false">'الخطة واللجنة'!$B$25</f>
        <v>عضو 7</v>
      </c>
      <c r="F131" s="30"/>
      <c r="G131" s="30"/>
      <c r="H131" s="29" t="str">
        <f aca="false">IF(OR(F131="",F131="متوفر ومكتمل"),"",IF(OR(C131="★",F131="غير متوفر"),"عالية","متوسطة"))</f>
        <v/>
      </c>
      <c r="I131" s="31"/>
      <c r="J131" s="32"/>
      <c r="K131" s="31"/>
      <c r="L131" s="31"/>
    </row>
    <row r="132" customFormat="false" ht="15" hidden="false" customHeight="false" outlineLevel="0" collapsed="false">
      <c r="A132" s="22" t="s">
        <v>288</v>
      </c>
      <c r="B132" s="20"/>
      <c r="C132" s="21"/>
      <c r="D132" s="20" t="s">
        <v>291</v>
      </c>
      <c r="E132" s="22" t="str">
        <f aca="false">'الخطة واللجنة'!$B$25</f>
        <v>عضو 7</v>
      </c>
      <c r="F132" s="23"/>
      <c r="G132" s="23"/>
      <c r="H132" s="22" t="str">
        <f aca="false">IF(OR(F132="",F132="متوفر ومكتمل"),"",IF(OR(C132="★",F132="غير متوفر"),"عالية","متوسطة"))</f>
        <v/>
      </c>
      <c r="I132" s="24"/>
      <c r="J132" s="25"/>
      <c r="K132" s="24"/>
      <c r="L132" s="24"/>
    </row>
    <row r="133" customFormat="false" ht="15" hidden="false" customHeight="false" outlineLevel="0" collapsed="false">
      <c r="A133" s="22" t="s">
        <v>288</v>
      </c>
      <c r="B133" s="20"/>
      <c r="C133" s="21"/>
      <c r="D133" s="20" t="s">
        <v>292</v>
      </c>
      <c r="E133" s="22" t="str">
        <f aca="false">'الخطة واللجنة'!$B$25</f>
        <v>عضو 7</v>
      </c>
      <c r="F133" s="23"/>
      <c r="G133" s="23"/>
      <c r="H133" s="22" t="str">
        <f aca="false">IF(OR(F133="",F133="متوفر ومكتمل"),"",IF(OR(C133="★",F133="غير متوفر"),"عالية","متوسطة"))</f>
        <v/>
      </c>
      <c r="I133" s="24"/>
      <c r="J133" s="25"/>
      <c r="K133" s="24"/>
      <c r="L133" s="24"/>
    </row>
    <row r="134" customFormat="false" ht="15" hidden="false" customHeight="false" outlineLevel="0" collapsed="false">
      <c r="A134" s="22" t="s">
        <v>288</v>
      </c>
      <c r="B134" s="20"/>
      <c r="C134" s="21"/>
      <c r="D134" s="20" t="s">
        <v>293</v>
      </c>
      <c r="E134" s="22" t="str">
        <f aca="false">'الخطة واللجنة'!$B$25</f>
        <v>عضو 7</v>
      </c>
      <c r="F134" s="23"/>
      <c r="G134" s="23"/>
      <c r="H134" s="22" t="str">
        <f aca="false">IF(OR(F134="",F134="متوفر ومكتمل"),"",IF(OR(C134="★",F134="غير متوفر"),"عالية","متوسطة"))</f>
        <v/>
      </c>
      <c r="I134" s="24"/>
      <c r="J134" s="25"/>
      <c r="K134" s="24"/>
      <c r="L134" s="24"/>
    </row>
    <row r="135" customFormat="false" ht="15" hidden="false" customHeight="false" outlineLevel="0" collapsed="false">
      <c r="A135" s="22" t="s">
        <v>288</v>
      </c>
      <c r="B135" s="20"/>
      <c r="C135" s="21"/>
      <c r="D135" s="20" t="s">
        <v>294</v>
      </c>
      <c r="E135" s="22" t="str">
        <f aca="false">'الخطة واللجنة'!$B$25</f>
        <v>عضو 7</v>
      </c>
      <c r="F135" s="23"/>
      <c r="G135" s="23"/>
      <c r="H135" s="22" t="str">
        <f aca="false">IF(OR(F135="",F135="متوفر ومكتمل"),"",IF(OR(C135="★",F135="غير متوفر"),"عالية","متوسطة"))</f>
        <v/>
      </c>
      <c r="I135" s="24"/>
      <c r="J135" s="25"/>
      <c r="K135" s="24"/>
      <c r="L135" s="24"/>
    </row>
    <row r="136" customFormat="false" ht="22.35" hidden="false" customHeight="false" outlineLevel="0" collapsed="false">
      <c r="A136" s="26" t="s">
        <v>295</v>
      </c>
      <c r="B136" s="27" t="s">
        <v>296</v>
      </c>
      <c r="C136" s="28" t="s">
        <v>111</v>
      </c>
      <c r="D136" s="27" t="s">
        <v>297</v>
      </c>
      <c r="E136" s="29" t="str">
        <f aca="false">'الخطة واللجنة'!$B$25</f>
        <v>عضو 7</v>
      </c>
      <c r="F136" s="30"/>
      <c r="G136" s="30"/>
      <c r="H136" s="29" t="str">
        <f aca="false">IF(OR(F136="",F136="متوفر ومكتمل"),"",IF(OR(C136="★",F136="غير متوفر"),"عالية","متوسطة"))</f>
        <v/>
      </c>
      <c r="I136" s="31"/>
      <c r="J136" s="32"/>
      <c r="K136" s="31"/>
      <c r="L136" s="31"/>
    </row>
    <row r="137" customFormat="false" ht="22.35" hidden="false" customHeight="false" outlineLevel="0" collapsed="false">
      <c r="A137" s="33" t="s">
        <v>295</v>
      </c>
      <c r="B137" s="34"/>
      <c r="C137" s="35" t="s">
        <v>111</v>
      </c>
      <c r="D137" s="34" t="s">
        <v>298</v>
      </c>
      <c r="E137" s="22" t="str">
        <f aca="false">'الخطة واللجنة'!$B$25</f>
        <v>عضو 7</v>
      </c>
      <c r="F137" s="23"/>
      <c r="G137" s="23"/>
      <c r="H137" s="22" t="str">
        <f aca="false">IF(OR(F137="",F137="متوفر ومكتمل"),"",IF(OR(C137="★",F137="غير متوفر"),"عالية","متوسطة"))</f>
        <v/>
      </c>
      <c r="I137" s="24"/>
      <c r="J137" s="25"/>
      <c r="K137" s="24"/>
      <c r="L137" s="24"/>
    </row>
    <row r="138" customFormat="false" ht="15" hidden="false" customHeight="false" outlineLevel="0" collapsed="false">
      <c r="A138" s="33" t="s">
        <v>295</v>
      </c>
      <c r="B138" s="34"/>
      <c r="C138" s="35" t="s">
        <v>111</v>
      </c>
      <c r="D138" s="34" t="s">
        <v>299</v>
      </c>
      <c r="E138" s="22" t="str">
        <f aca="false">'الخطة واللجنة'!$B$25</f>
        <v>عضو 7</v>
      </c>
      <c r="F138" s="23"/>
      <c r="G138" s="23"/>
      <c r="H138" s="22" t="str">
        <f aca="false">IF(OR(F138="",F138="متوفر ومكتمل"),"",IF(OR(C138="★",F138="غير متوفر"),"عالية","متوسطة"))</f>
        <v/>
      </c>
      <c r="I138" s="24"/>
      <c r="J138" s="25"/>
      <c r="K138" s="24"/>
      <c r="L138" s="24"/>
    </row>
    <row r="139" customFormat="false" ht="22.35" hidden="false" customHeight="false" outlineLevel="0" collapsed="false">
      <c r="A139" s="26" t="s">
        <v>300</v>
      </c>
      <c r="B139" s="27" t="s">
        <v>301</v>
      </c>
      <c r="C139" s="28" t="s">
        <v>111</v>
      </c>
      <c r="D139" s="27" t="s">
        <v>302</v>
      </c>
      <c r="E139" s="29" t="str">
        <f aca="false">'الخطة واللجنة'!$B$25</f>
        <v>عضو 7</v>
      </c>
      <c r="F139" s="30"/>
      <c r="G139" s="30"/>
      <c r="H139" s="29" t="str">
        <f aca="false">IF(OR(F139="",F139="متوفر ومكتمل"),"",IF(OR(C139="★",F139="غير متوفر"),"عالية","متوسطة"))</f>
        <v/>
      </c>
      <c r="I139" s="31"/>
      <c r="J139" s="32"/>
      <c r="K139" s="31"/>
      <c r="L139" s="31"/>
    </row>
    <row r="140" customFormat="false" ht="15" hidden="false" customHeight="false" outlineLevel="0" collapsed="false">
      <c r="A140" s="33" t="s">
        <v>300</v>
      </c>
      <c r="B140" s="34"/>
      <c r="C140" s="35" t="s">
        <v>111</v>
      </c>
      <c r="D140" s="34" t="s">
        <v>303</v>
      </c>
      <c r="E140" s="22" t="str">
        <f aca="false">'الخطة واللجنة'!$B$25</f>
        <v>عضو 7</v>
      </c>
      <c r="F140" s="23"/>
      <c r="G140" s="23"/>
      <c r="H140" s="22" t="str">
        <f aca="false">IF(OR(F140="",F140="متوفر ومكتمل"),"",IF(OR(C140="★",F140="غير متوفر"),"عالية","متوسطة"))</f>
        <v/>
      </c>
      <c r="I140" s="24"/>
      <c r="J140" s="25"/>
      <c r="K140" s="24"/>
      <c r="L140" s="24"/>
    </row>
    <row r="141" customFormat="false" ht="15" hidden="false" customHeight="false" outlineLevel="0" collapsed="false">
      <c r="A141" s="33" t="s">
        <v>300</v>
      </c>
      <c r="B141" s="34"/>
      <c r="C141" s="35" t="s">
        <v>111</v>
      </c>
      <c r="D141" s="34" t="s">
        <v>304</v>
      </c>
      <c r="E141" s="22" t="str">
        <f aca="false">'الخطة واللجنة'!$B$25</f>
        <v>عضو 7</v>
      </c>
      <c r="F141" s="23"/>
      <c r="G141" s="23"/>
      <c r="H141" s="22" t="str">
        <f aca="false">IF(OR(F141="",F141="متوفر ومكتمل"),"",IF(OR(C141="★",F141="غير متوفر"),"عالية","متوسطة"))</f>
        <v/>
      </c>
      <c r="I141" s="24"/>
      <c r="J141" s="25"/>
      <c r="K141" s="24"/>
      <c r="L141" s="24"/>
    </row>
    <row r="142" customFormat="false" ht="15" hidden="false" customHeight="false" outlineLevel="0" collapsed="false">
      <c r="A142" s="33" t="s">
        <v>300</v>
      </c>
      <c r="B142" s="34"/>
      <c r="C142" s="35" t="s">
        <v>111</v>
      </c>
      <c r="D142" s="34" t="s">
        <v>305</v>
      </c>
      <c r="E142" s="22" t="str">
        <f aca="false">'الخطة واللجنة'!$B$25</f>
        <v>عضو 7</v>
      </c>
      <c r="F142" s="23"/>
      <c r="G142" s="23"/>
      <c r="H142" s="22" t="str">
        <f aca="false">IF(OR(F142="",F142="متوفر ومكتمل"),"",IF(OR(C142="★",F142="غير متوفر"),"عالية","متوسطة"))</f>
        <v/>
      </c>
      <c r="I142" s="24"/>
      <c r="J142" s="25"/>
      <c r="K142" s="24"/>
      <c r="L142" s="24"/>
    </row>
    <row r="143" customFormat="false" ht="22.35" hidden="false" customHeight="false" outlineLevel="0" collapsed="false">
      <c r="A143" s="33" t="s">
        <v>300</v>
      </c>
      <c r="B143" s="34"/>
      <c r="C143" s="35" t="s">
        <v>111</v>
      </c>
      <c r="D143" s="34" t="s">
        <v>306</v>
      </c>
      <c r="E143" s="22" t="str">
        <f aca="false">'الخطة واللجنة'!$B$25</f>
        <v>عضو 7</v>
      </c>
      <c r="F143" s="23"/>
      <c r="G143" s="23"/>
      <c r="H143" s="22" t="str">
        <f aca="false">IF(OR(F143="",F143="متوفر ومكتمل"),"",IF(OR(C143="★",F143="غير متوفر"),"عالية","متوسطة"))</f>
        <v/>
      </c>
      <c r="I143" s="24"/>
      <c r="J143" s="25"/>
      <c r="K143" s="24"/>
      <c r="L143" s="24"/>
    </row>
    <row r="144" customFormat="false" ht="22.35" hidden="false" customHeight="false" outlineLevel="0" collapsed="false">
      <c r="A144" s="33" t="s">
        <v>300</v>
      </c>
      <c r="B144" s="34"/>
      <c r="C144" s="35" t="s">
        <v>111</v>
      </c>
      <c r="D144" s="34" t="s">
        <v>307</v>
      </c>
      <c r="E144" s="22" t="str">
        <f aca="false">'الخطة واللجنة'!$B$25</f>
        <v>عضو 7</v>
      </c>
      <c r="F144" s="23"/>
      <c r="G144" s="23"/>
      <c r="H144" s="22" t="str">
        <f aca="false">IF(OR(F144="",F144="متوفر ومكتمل"),"",IF(OR(C144="★",F144="غير متوفر"),"عالية","متوسطة"))</f>
        <v/>
      </c>
      <c r="I144" s="24"/>
      <c r="J144" s="25"/>
      <c r="K144" s="24"/>
      <c r="L144" s="24"/>
    </row>
    <row r="145" customFormat="false" ht="22.35" hidden="false" customHeight="false" outlineLevel="0" collapsed="false">
      <c r="A145" s="33" t="s">
        <v>300</v>
      </c>
      <c r="B145" s="34"/>
      <c r="C145" s="35" t="s">
        <v>111</v>
      </c>
      <c r="D145" s="34" t="s">
        <v>308</v>
      </c>
      <c r="E145" s="22" t="str">
        <f aca="false">'الخطة واللجنة'!$B$25</f>
        <v>عضو 7</v>
      </c>
      <c r="F145" s="23"/>
      <c r="G145" s="23"/>
      <c r="H145" s="22" t="str">
        <f aca="false">IF(OR(F145="",F145="متوفر ومكتمل"),"",IF(OR(C145="★",F145="غير متوفر"),"عالية","متوسطة"))</f>
        <v/>
      </c>
      <c r="I145" s="24"/>
      <c r="J145" s="25"/>
      <c r="K145" s="24"/>
      <c r="L145" s="24"/>
    </row>
    <row r="146" customFormat="false" ht="32.8" hidden="false" customHeight="false" outlineLevel="0" collapsed="false">
      <c r="A146" s="36" t="s">
        <v>309</v>
      </c>
      <c r="B146" s="37" t="s">
        <v>310</v>
      </c>
      <c r="C146" s="38"/>
      <c r="D146" s="37" t="s">
        <v>311</v>
      </c>
      <c r="E146" s="29" t="str">
        <f aca="false">'الخطة واللجنة'!$B$25</f>
        <v>عضو 7</v>
      </c>
      <c r="F146" s="30"/>
      <c r="G146" s="30"/>
      <c r="H146" s="29" t="str">
        <f aca="false">IF(OR(F146="",F146="متوفر ومكتمل"),"",IF(OR(C146="★",F146="غير متوفر"),"عالية","متوسطة"))</f>
        <v/>
      </c>
      <c r="I146" s="31"/>
      <c r="J146" s="32"/>
      <c r="K146" s="31"/>
      <c r="L146" s="31"/>
    </row>
    <row r="147" customFormat="false" ht="22.35" hidden="false" customHeight="false" outlineLevel="0" collapsed="false">
      <c r="A147" s="22" t="s">
        <v>309</v>
      </c>
      <c r="B147" s="20"/>
      <c r="C147" s="21"/>
      <c r="D147" s="20" t="s">
        <v>312</v>
      </c>
      <c r="E147" s="22" t="str">
        <f aca="false">'الخطة واللجنة'!$B$25</f>
        <v>عضو 7</v>
      </c>
      <c r="F147" s="23"/>
      <c r="G147" s="23"/>
      <c r="H147" s="22" t="str">
        <f aca="false">IF(OR(F147="",F147="متوفر ومكتمل"),"",IF(OR(C147="★",F147="غير متوفر"),"عالية","متوسطة"))</f>
        <v/>
      </c>
      <c r="I147" s="24"/>
      <c r="J147" s="25"/>
      <c r="K147" s="24"/>
      <c r="L147" s="24"/>
    </row>
    <row r="148" customFormat="false" ht="15" hidden="false" customHeight="false" outlineLevel="0" collapsed="false">
      <c r="A148" s="22" t="s">
        <v>309</v>
      </c>
      <c r="B148" s="20"/>
      <c r="C148" s="21"/>
      <c r="D148" s="20" t="s">
        <v>313</v>
      </c>
      <c r="E148" s="22" t="str">
        <f aca="false">'الخطة واللجنة'!$B$25</f>
        <v>عضو 7</v>
      </c>
      <c r="F148" s="23"/>
      <c r="G148" s="23"/>
      <c r="H148" s="22" t="str">
        <f aca="false">IF(OR(F148="",F148="متوفر ومكتمل"),"",IF(OR(C148="★",F148="غير متوفر"),"عالية","متوسطة"))</f>
        <v/>
      </c>
      <c r="I148" s="24"/>
      <c r="J148" s="25"/>
      <c r="K148" s="24"/>
      <c r="L148" s="24"/>
    </row>
    <row r="149" customFormat="false" ht="15" hidden="false" customHeight="false" outlineLevel="0" collapsed="false">
      <c r="A149" s="22" t="s">
        <v>309</v>
      </c>
      <c r="B149" s="20"/>
      <c r="C149" s="21"/>
      <c r="D149" s="20" t="s">
        <v>314</v>
      </c>
      <c r="E149" s="22" t="str">
        <f aca="false">'الخطة واللجنة'!$B$25</f>
        <v>عضو 7</v>
      </c>
      <c r="F149" s="23"/>
      <c r="G149" s="23"/>
      <c r="H149" s="22" t="str">
        <f aca="false">IF(OR(F149="",F149="متوفر ومكتمل"),"",IF(OR(C149="★",F149="غير متوفر"),"عالية","متوسطة"))</f>
        <v/>
      </c>
      <c r="I149" s="24"/>
      <c r="J149" s="25"/>
      <c r="K149" s="24"/>
      <c r="L149" s="24"/>
    </row>
    <row r="150" customFormat="false" ht="32.8" hidden="false" customHeight="false" outlineLevel="0" collapsed="false">
      <c r="A150" s="36" t="s">
        <v>315</v>
      </c>
      <c r="B150" s="37" t="s">
        <v>316</v>
      </c>
      <c r="C150" s="38"/>
      <c r="D150" s="37" t="s">
        <v>317</v>
      </c>
      <c r="E150" s="29" t="str">
        <f aca="false">'الخطة واللجنة'!$B$25</f>
        <v>عضو 7</v>
      </c>
      <c r="F150" s="30"/>
      <c r="G150" s="30"/>
      <c r="H150" s="29" t="str">
        <f aca="false">IF(OR(F150="",F150="متوفر ومكتمل"),"",IF(OR(C150="★",F150="غير متوفر"),"عالية","متوسطة"))</f>
        <v/>
      </c>
      <c r="I150" s="31"/>
      <c r="J150" s="32"/>
      <c r="K150" s="31"/>
      <c r="L150" s="31"/>
    </row>
    <row r="151" customFormat="false" ht="15" hidden="false" customHeight="false" outlineLevel="0" collapsed="false">
      <c r="A151" s="22" t="s">
        <v>315</v>
      </c>
      <c r="B151" s="20"/>
      <c r="C151" s="21"/>
      <c r="D151" s="20" t="s">
        <v>318</v>
      </c>
      <c r="E151" s="22" t="str">
        <f aca="false">'الخطة واللجنة'!$B$25</f>
        <v>عضو 7</v>
      </c>
      <c r="F151" s="23"/>
      <c r="G151" s="23"/>
      <c r="H151" s="22" t="str">
        <f aca="false">IF(OR(F151="",F151="متوفر ومكتمل"),"",IF(OR(C151="★",F151="غير متوفر"),"عالية","متوسطة"))</f>
        <v/>
      </c>
      <c r="I151" s="24"/>
      <c r="J151" s="25"/>
      <c r="K151" s="24"/>
      <c r="L151" s="24"/>
    </row>
    <row r="152" customFormat="false" ht="15" hidden="false" customHeight="false" outlineLevel="0" collapsed="false">
      <c r="A152" s="22" t="s">
        <v>315</v>
      </c>
      <c r="B152" s="20"/>
      <c r="C152" s="21"/>
      <c r="D152" s="20" t="s">
        <v>319</v>
      </c>
      <c r="E152" s="22" t="str">
        <f aca="false">'الخطة واللجنة'!$B$25</f>
        <v>عضو 7</v>
      </c>
      <c r="F152" s="23"/>
      <c r="G152" s="23"/>
      <c r="H152" s="22" t="str">
        <f aca="false">IF(OR(F152="",F152="متوفر ومكتمل"),"",IF(OR(C152="★",F152="غير متوفر"),"عالية","متوسطة"))</f>
        <v/>
      </c>
      <c r="I152" s="24"/>
      <c r="J152" s="25"/>
      <c r="K152" s="24"/>
      <c r="L152" s="24"/>
    </row>
    <row r="153" customFormat="false" ht="22.35" hidden="false" customHeight="false" outlineLevel="0" collapsed="false">
      <c r="A153" s="22" t="s">
        <v>315</v>
      </c>
      <c r="B153" s="20"/>
      <c r="C153" s="21"/>
      <c r="D153" s="20" t="s">
        <v>320</v>
      </c>
      <c r="E153" s="22" t="str">
        <f aca="false">'الخطة واللجنة'!$B$25</f>
        <v>عضو 7</v>
      </c>
      <c r="F153" s="23"/>
      <c r="G153" s="23"/>
      <c r="H153" s="22" t="str">
        <f aca="false">IF(OR(F153="",F153="متوفر ومكتمل"),"",IF(OR(C153="★",F153="غير متوفر"),"عالية","متوسطة"))</f>
        <v/>
      </c>
      <c r="I153" s="24"/>
      <c r="J153" s="25"/>
      <c r="K153" s="24"/>
      <c r="L153" s="24"/>
    </row>
    <row r="154" customFormat="false" ht="32.8" hidden="false" customHeight="false" outlineLevel="0" collapsed="false">
      <c r="A154" s="36" t="s">
        <v>321</v>
      </c>
      <c r="B154" s="37" t="s">
        <v>322</v>
      </c>
      <c r="C154" s="38"/>
      <c r="D154" s="37" t="s">
        <v>323</v>
      </c>
      <c r="E154" s="29" t="str">
        <f aca="false">'الخطة واللجنة'!$B$25</f>
        <v>عضو 7</v>
      </c>
      <c r="F154" s="30"/>
      <c r="G154" s="30"/>
      <c r="H154" s="29" t="str">
        <f aca="false">IF(OR(F154="",F154="متوفر ومكتمل"),"",IF(OR(C154="★",F154="غير متوفر"),"عالية","متوسطة"))</f>
        <v/>
      </c>
      <c r="I154" s="31"/>
      <c r="J154" s="32"/>
      <c r="K154" s="31"/>
      <c r="L154" s="31"/>
    </row>
    <row r="155" customFormat="false" ht="15" hidden="false" customHeight="false" outlineLevel="0" collapsed="false">
      <c r="A155" s="22" t="s">
        <v>321</v>
      </c>
      <c r="B155" s="20"/>
      <c r="C155" s="21"/>
      <c r="D155" s="20" t="s">
        <v>324</v>
      </c>
      <c r="E155" s="22" t="str">
        <f aca="false">'الخطة واللجنة'!$B$25</f>
        <v>عضو 7</v>
      </c>
      <c r="F155" s="23"/>
      <c r="G155" s="23"/>
      <c r="H155" s="22" t="str">
        <f aca="false">IF(OR(F155="",F155="متوفر ومكتمل"),"",IF(OR(C155="★",F155="غير متوفر"),"عالية","متوسطة"))</f>
        <v/>
      </c>
      <c r="I155" s="24"/>
      <c r="J155" s="25"/>
      <c r="K155" s="24"/>
      <c r="L155" s="24"/>
    </row>
    <row r="156" customFormat="false" ht="15" hidden="false" customHeight="false" outlineLevel="0" collapsed="false">
      <c r="A156" s="22" t="s">
        <v>321</v>
      </c>
      <c r="B156" s="20"/>
      <c r="C156" s="21"/>
      <c r="D156" s="20" t="s">
        <v>325</v>
      </c>
      <c r="E156" s="22" t="str">
        <f aca="false">'الخطة واللجنة'!$B$25</f>
        <v>عضو 7</v>
      </c>
      <c r="F156" s="23"/>
      <c r="G156" s="23"/>
      <c r="H156" s="22" t="str">
        <f aca="false">IF(OR(F156="",F156="متوفر ومكتمل"),"",IF(OR(C156="★",F156="غير متوفر"),"عالية","متوسطة"))</f>
        <v/>
      </c>
      <c r="I156" s="24"/>
      <c r="J156" s="25"/>
      <c r="K156" s="24"/>
      <c r="L156" s="24"/>
    </row>
    <row r="157" customFormat="false" ht="22.35" hidden="false" customHeight="false" outlineLevel="0" collapsed="false">
      <c r="A157" s="22" t="s">
        <v>321</v>
      </c>
      <c r="B157" s="20"/>
      <c r="C157" s="21"/>
      <c r="D157" s="20" t="s">
        <v>326</v>
      </c>
      <c r="E157" s="22" t="str">
        <f aca="false">'الخطة واللجنة'!$B$25</f>
        <v>عضو 7</v>
      </c>
      <c r="F157" s="23"/>
      <c r="G157" s="23"/>
      <c r="H157" s="22" t="str">
        <f aca="false">IF(OR(F157="",F157="متوفر ومكتمل"),"",IF(OR(C157="★",F157="غير متوفر"),"عالية","متوسطة"))</f>
        <v/>
      </c>
      <c r="I157" s="24"/>
      <c r="J157" s="25"/>
      <c r="K157" s="24"/>
      <c r="L157" s="24"/>
    </row>
    <row r="158" customFormat="false" ht="15" hidden="false" customHeight="false" outlineLevel="0" collapsed="false">
      <c r="A158" s="22" t="s">
        <v>321</v>
      </c>
      <c r="B158" s="20"/>
      <c r="C158" s="21"/>
      <c r="D158" s="20" t="s">
        <v>327</v>
      </c>
      <c r="E158" s="22" t="str">
        <f aca="false">'الخطة واللجنة'!$B$25</f>
        <v>عضو 7</v>
      </c>
      <c r="F158" s="23"/>
      <c r="G158" s="23"/>
      <c r="H158" s="22" t="str">
        <f aca="false">IF(OR(F158="",F158="متوفر ومكتمل"),"",IF(OR(C158="★",F158="غير متوفر"),"عالية","متوسطة"))</f>
        <v/>
      </c>
      <c r="I158" s="24"/>
      <c r="J158" s="25"/>
      <c r="K158" s="24"/>
      <c r="L158" s="24"/>
    </row>
    <row r="159" customFormat="false" ht="22.35" hidden="false" customHeight="false" outlineLevel="0" collapsed="false">
      <c r="A159" s="22" t="s">
        <v>321</v>
      </c>
      <c r="B159" s="20"/>
      <c r="C159" s="21"/>
      <c r="D159" s="20" t="s">
        <v>328</v>
      </c>
      <c r="E159" s="22" t="str">
        <f aca="false">'الخطة واللجنة'!$B$25</f>
        <v>عضو 7</v>
      </c>
      <c r="F159" s="23"/>
      <c r="G159" s="23"/>
      <c r="H159" s="22" t="str">
        <f aca="false">IF(OR(F159="",F159="متوفر ومكتمل"),"",IF(OR(C159="★",F159="غير متوفر"),"عالية","متوسطة"))</f>
        <v/>
      </c>
      <c r="I159" s="24"/>
      <c r="J159" s="25"/>
      <c r="K159" s="24"/>
      <c r="L159" s="24"/>
    </row>
    <row r="160" customFormat="false" ht="22.35" hidden="false" customHeight="false" outlineLevel="0" collapsed="false">
      <c r="A160" s="26" t="s">
        <v>329</v>
      </c>
      <c r="B160" s="27" t="s">
        <v>330</v>
      </c>
      <c r="C160" s="28" t="s">
        <v>111</v>
      </c>
      <c r="D160" s="27" t="s">
        <v>331</v>
      </c>
      <c r="E160" s="29" t="str">
        <f aca="false">'الخطة واللجنة'!$B$25</f>
        <v>عضو 7</v>
      </c>
      <c r="F160" s="30"/>
      <c r="G160" s="30"/>
      <c r="H160" s="29" t="str">
        <f aca="false">IF(OR(F160="",F160="متوفر ومكتمل"),"",IF(OR(C160="★",F160="غير متوفر"),"عالية","متوسطة"))</f>
        <v/>
      </c>
      <c r="I160" s="31"/>
      <c r="J160" s="32"/>
      <c r="K160" s="31"/>
      <c r="L160" s="31"/>
    </row>
    <row r="161" customFormat="false" ht="15" hidden="false" customHeight="false" outlineLevel="0" collapsed="false">
      <c r="A161" s="33" t="s">
        <v>329</v>
      </c>
      <c r="B161" s="34"/>
      <c r="C161" s="35" t="s">
        <v>111</v>
      </c>
      <c r="D161" s="34" t="s">
        <v>332</v>
      </c>
      <c r="E161" s="22" t="str">
        <f aca="false">'الخطة واللجنة'!$B$25</f>
        <v>عضو 7</v>
      </c>
      <c r="F161" s="23"/>
      <c r="G161" s="23"/>
      <c r="H161" s="22" t="str">
        <f aca="false">IF(OR(F161="",F161="متوفر ومكتمل"),"",IF(OR(C161="★",F161="غير متوفر"),"عالية","متوسطة"))</f>
        <v/>
      </c>
      <c r="I161" s="24"/>
      <c r="J161" s="25"/>
      <c r="K161" s="24"/>
      <c r="L161" s="24"/>
    </row>
    <row r="162" customFormat="false" ht="22.35" hidden="false" customHeight="false" outlineLevel="0" collapsed="false">
      <c r="A162" s="33" t="s">
        <v>329</v>
      </c>
      <c r="B162" s="34"/>
      <c r="C162" s="35" t="s">
        <v>111</v>
      </c>
      <c r="D162" s="34" t="s">
        <v>333</v>
      </c>
      <c r="E162" s="22" t="str">
        <f aca="false">'الخطة واللجنة'!$B$25</f>
        <v>عضو 7</v>
      </c>
      <c r="F162" s="23"/>
      <c r="G162" s="23"/>
      <c r="H162" s="22" t="str">
        <f aca="false">IF(OR(F162="",F162="متوفر ومكتمل"),"",IF(OR(C162="★",F162="غير متوفر"),"عالية","متوسطة"))</f>
        <v/>
      </c>
      <c r="I162" s="24"/>
      <c r="J162" s="25"/>
      <c r="K162" s="24"/>
      <c r="L162" s="24"/>
    </row>
    <row r="163" customFormat="false" ht="22.35" hidden="false" customHeight="false" outlineLevel="0" collapsed="false">
      <c r="A163" s="26" t="s">
        <v>334</v>
      </c>
      <c r="B163" s="27" t="s">
        <v>335</v>
      </c>
      <c r="C163" s="28" t="s">
        <v>111</v>
      </c>
      <c r="D163" s="27" t="s">
        <v>336</v>
      </c>
      <c r="E163" s="29" t="str">
        <f aca="false">'الخطة واللجنة'!$B$25</f>
        <v>عضو 7</v>
      </c>
      <c r="F163" s="30"/>
      <c r="G163" s="30"/>
      <c r="H163" s="29" t="str">
        <f aca="false">IF(OR(F163="",F163="متوفر ومكتمل"),"",IF(OR(C163="★",F163="غير متوفر"),"عالية","متوسطة"))</f>
        <v/>
      </c>
      <c r="I163" s="31"/>
      <c r="J163" s="32"/>
      <c r="K163" s="31"/>
      <c r="L163" s="31"/>
    </row>
    <row r="164" customFormat="false" ht="15" hidden="false" customHeight="false" outlineLevel="0" collapsed="false">
      <c r="A164" s="33" t="s">
        <v>334</v>
      </c>
      <c r="B164" s="34"/>
      <c r="C164" s="35" t="s">
        <v>111</v>
      </c>
      <c r="D164" s="34" t="s">
        <v>337</v>
      </c>
      <c r="E164" s="22" t="str">
        <f aca="false">'الخطة واللجنة'!$B$25</f>
        <v>عضو 7</v>
      </c>
      <c r="F164" s="23"/>
      <c r="G164" s="23"/>
      <c r="H164" s="22" t="str">
        <f aca="false">IF(OR(F164="",F164="متوفر ومكتمل"),"",IF(OR(C164="★",F164="غير متوفر"),"عالية","متوسطة"))</f>
        <v/>
      </c>
      <c r="I164" s="24"/>
      <c r="J164" s="25"/>
      <c r="K164" s="24"/>
      <c r="L164" s="24"/>
    </row>
    <row r="165" customFormat="false" ht="22.35" hidden="false" customHeight="false" outlineLevel="0" collapsed="false">
      <c r="A165" s="33" t="s">
        <v>334</v>
      </c>
      <c r="B165" s="34"/>
      <c r="C165" s="35" t="s">
        <v>111</v>
      </c>
      <c r="D165" s="34" t="s">
        <v>338</v>
      </c>
      <c r="E165" s="22" t="str">
        <f aca="false">'الخطة واللجنة'!$B$25</f>
        <v>عضو 7</v>
      </c>
      <c r="F165" s="23"/>
      <c r="G165" s="23"/>
      <c r="H165" s="22" t="str">
        <f aca="false">IF(OR(F165="",F165="متوفر ومكتمل"),"",IF(OR(C165="★",F165="غير متوفر"),"عالية","متوسطة"))</f>
        <v/>
      </c>
      <c r="I165" s="24"/>
      <c r="J165" s="25"/>
      <c r="K165" s="24"/>
      <c r="L165" s="24"/>
    </row>
    <row r="166" customFormat="false" ht="22.35" hidden="false" customHeight="false" outlineLevel="0" collapsed="false">
      <c r="A166" s="33" t="s">
        <v>334</v>
      </c>
      <c r="B166" s="34"/>
      <c r="C166" s="35" t="s">
        <v>111</v>
      </c>
      <c r="D166" s="34" t="s">
        <v>339</v>
      </c>
      <c r="E166" s="22" t="str">
        <f aca="false">'الخطة واللجنة'!$B$25</f>
        <v>عضو 7</v>
      </c>
      <c r="F166" s="23"/>
      <c r="G166" s="23"/>
      <c r="H166" s="22" t="str">
        <f aca="false">IF(OR(F166="",F166="متوفر ومكتمل"),"",IF(OR(C166="★",F166="غير متوفر"),"عالية","متوسطة"))</f>
        <v/>
      </c>
      <c r="I166" s="24"/>
      <c r="J166" s="25"/>
      <c r="K166" s="24"/>
      <c r="L166" s="24"/>
    </row>
    <row r="167" customFormat="false" ht="22.35" hidden="false" customHeight="false" outlineLevel="0" collapsed="false">
      <c r="A167" s="36" t="s">
        <v>340</v>
      </c>
      <c r="B167" s="37" t="s">
        <v>341</v>
      </c>
      <c r="C167" s="38"/>
      <c r="D167" s="37" t="s">
        <v>342</v>
      </c>
      <c r="E167" s="29" t="str">
        <f aca="false">'الخطة واللجنة'!$B$25</f>
        <v>عضو 7</v>
      </c>
      <c r="F167" s="30"/>
      <c r="G167" s="30"/>
      <c r="H167" s="29" t="str">
        <f aca="false">IF(OR(F167="",F167="متوفر ومكتمل"),"",IF(OR(C167="★",F167="غير متوفر"),"عالية","متوسطة"))</f>
        <v/>
      </c>
      <c r="I167" s="31"/>
      <c r="J167" s="32"/>
      <c r="K167" s="31"/>
      <c r="L167" s="31"/>
    </row>
    <row r="168" customFormat="false" ht="22.35" hidden="false" customHeight="false" outlineLevel="0" collapsed="false">
      <c r="A168" s="22" t="s">
        <v>340</v>
      </c>
      <c r="B168" s="20"/>
      <c r="C168" s="21"/>
      <c r="D168" s="20" t="s">
        <v>343</v>
      </c>
      <c r="E168" s="22" t="str">
        <f aca="false">'الخطة واللجنة'!$B$25</f>
        <v>عضو 7</v>
      </c>
      <c r="F168" s="23"/>
      <c r="G168" s="23"/>
      <c r="H168" s="22" t="str">
        <f aca="false">IF(OR(F168="",F168="متوفر ومكتمل"),"",IF(OR(C168="★",F168="غير متوفر"),"عالية","متوسطة"))</f>
        <v/>
      </c>
      <c r="I168" s="24"/>
      <c r="J168" s="25"/>
      <c r="K168" s="24"/>
      <c r="L168" s="24"/>
    </row>
    <row r="169" customFormat="false" ht="32.8" hidden="false" customHeight="false" outlineLevel="0" collapsed="false">
      <c r="A169" s="36" t="s">
        <v>344</v>
      </c>
      <c r="B169" s="37" t="s">
        <v>345</v>
      </c>
      <c r="C169" s="38"/>
      <c r="D169" s="37" t="s">
        <v>346</v>
      </c>
      <c r="E169" s="29" t="str">
        <f aca="false">'الخطة واللجنة'!$B$25</f>
        <v>عضو 7</v>
      </c>
      <c r="F169" s="30"/>
      <c r="G169" s="30"/>
      <c r="H169" s="29" t="str">
        <f aca="false">IF(OR(F169="",F169="متوفر ومكتمل"),"",IF(OR(C169="★",F169="غير متوفر"),"عالية","متوسطة"))</f>
        <v/>
      </c>
      <c r="I169" s="31"/>
      <c r="J169" s="32"/>
      <c r="K169" s="31"/>
      <c r="L169" s="31"/>
    </row>
    <row r="170" customFormat="false" ht="22.35" hidden="false" customHeight="false" outlineLevel="0" collapsed="false">
      <c r="A170" s="22" t="s">
        <v>344</v>
      </c>
      <c r="B170" s="20"/>
      <c r="C170" s="21"/>
      <c r="D170" s="20" t="s">
        <v>347</v>
      </c>
      <c r="E170" s="22" t="str">
        <f aca="false">'الخطة واللجنة'!$B$25</f>
        <v>عضو 7</v>
      </c>
      <c r="F170" s="23"/>
      <c r="G170" s="23"/>
      <c r="H170" s="22" t="str">
        <f aca="false">IF(OR(F170="",F170="متوفر ومكتمل"),"",IF(OR(C170="★",F170="غير متوفر"),"عالية","متوسطة"))</f>
        <v/>
      </c>
      <c r="I170" s="24"/>
      <c r="J170" s="25"/>
      <c r="K170" s="24"/>
      <c r="L170" s="24"/>
    </row>
    <row r="171" customFormat="false" ht="22.35" hidden="false" customHeight="false" outlineLevel="0" collapsed="false">
      <c r="A171" s="22" t="s">
        <v>344</v>
      </c>
      <c r="B171" s="20"/>
      <c r="C171" s="21"/>
      <c r="D171" s="20" t="s">
        <v>348</v>
      </c>
      <c r="E171" s="22" t="str">
        <f aca="false">'الخطة واللجنة'!$B$25</f>
        <v>عضو 7</v>
      </c>
      <c r="F171" s="23"/>
      <c r="G171" s="23"/>
      <c r="H171" s="22" t="str">
        <f aca="false">IF(OR(F171="",F171="متوفر ومكتمل"),"",IF(OR(C171="★",F171="غير متوفر"),"عالية","متوسطة"))</f>
        <v/>
      </c>
      <c r="I171" s="24"/>
      <c r="J171" s="25"/>
      <c r="K171" s="24"/>
      <c r="L171" s="24"/>
    </row>
    <row r="172" customFormat="false" ht="22.35" hidden="false" customHeight="false" outlineLevel="0" collapsed="false">
      <c r="A172" s="22" t="s">
        <v>344</v>
      </c>
      <c r="B172" s="20"/>
      <c r="C172" s="21"/>
      <c r="D172" s="20" t="s">
        <v>349</v>
      </c>
      <c r="E172" s="22" t="str">
        <f aca="false">'الخطة واللجنة'!$B$25</f>
        <v>عضو 7</v>
      </c>
      <c r="F172" s="23"/>
      <c r="G172" s="23"/>
      <c r="H172" s="22" t="str">
        <f aca="false">IF(OR(F172="",F172="متوفر ومكتمل"),"",IF(OR(C172="★",F172="غير متوفر"),"عالية","متوسطة"))</f>
        <v/>
      </c>
      <c r="I172" s="24"/>
      <c r="J172" s="25"/>
      <c r="K172" s="24"/>
      <c r="L172" s="24"/>
    </row>
    <row r="173" customFormat="false" ht="15" hidden="false" customHeight="false" outlineLevel="0" collapsed="false">
      <c r="A173" s="22" t="s">
        <v>344</v>
      </c>
      <c r="B173" s="20"/>
      <c r="C173" s="21"/>
      <c r="D173" s="20" t="s">
        <v>350</v>
      </c>
      <c r="E173" s="22" t="str">
        <f aca="false">'الخطة واللجنة'!$B$25</f>
        <v>عضو 7</v>
      </c>
      <c r="F173" s="23"/>
      <c r="G173" s="23"/>
      <c r="H173" s="22" t="str">
        <f aca="false">IF(OR(F173="",F173="متوفر ومكتمل"),"",IF(OR(C173="★",F173="غير متوفر"),"عالية","متوسطة"))</f>
        <v/>
      </c>
      <c r="I173" s="24"/>
      <c r="J173" s="25"/>
      <c r="K173" s="24"/>
      <c r="L173" s="24"/>
    </row>
    <row r="174" customFormat="false" ht="15" hidden="false" customHeight="false" outlineLevel="0" collapsed="false">
      <c r="A174" s="22" t="s">
        <v>344</v>
      </c>
      <c r="B174" s="20"/>
      <c r="C174" s="21"/>
      <c r="D174" s="20" t="s">
        <v>351</v>
      </c>
      <c r="E174" s="22" t="str">
        <f aca="false">'الخطة واللجنة'!$B$25</f>
        <v>عضو 7</v>
      </c>
      <c r="F174" s="23"/>
      <c r="G174" s="23"/>
      <c r="H174" s="22" t="str">
        <f aca="false">IF(OR(F174="",F174="متوفر ومكتمل"),"",IF(OR(C174="★",F174="غير متوفر"),"عالية","متوسطة"))</f>
        <v/>
      </c>
      <c r="I174" s="24"/>
      <c r="J174" s="25"/>
      <c r="K174" s="24"/>
      <c r="L174" s="24"/>
    </row>
    <row r="175" customFormat="false" ht="22.35" hidden="false" customHeight="false" outlineLevel="0" collapsed="false">
      <c r="A175" s="22" t="s">
        <v>344</v>
      </c>
      <c r="B175" s="20"/>
      <c r="C175" s="21"/>
      <c r="D175" s="20" t="s">
        <v>352</v>
      </c>
      <c r="E175" s="22" t="str">
        <f aca="false">'الخطة واللجنة'!$B$25</f>
        <v>عضو 7</v>
      </c>
      <c r="F175" s="23"/>
      <c r="G175" s="23"/>
      <c r="H175" s="22" t="str">
        <f aca="false">IF(OR(F175="",F175="متوفر ومكتمل"),"",IF(OR(C175="★",F175="غير متوفر"),"عالية","متوسطة"))</f>
        <v/>
      </c>
      <c r="I175" s="24"/>
      <c r="J175" s="25"/>
      <c r="K175" s="24"/>
      <c r="L175" s="24"/>
    </row>
    <row r="176" customFormat="false" ht="22.35" hidden="false" customHeight="false" outlineLevel="0" collapsed="false">
      <c r="A176" s="36" t="s">
        <v>353</v>
      </c>
      <c r="B176" s="37" t="s">
        <v>354</v>
      </c>
      <c r="C176" s="38"/>
      <c r="D176" s="37" t="s">
        <v>355</v>
      </c>
      <c r="E176" s="29" t="str">
        <f aca="false">'الخطة واللجنة'!$B$25</f>
        <v>عضو 7</v>
      </c>
      <c r="F176" s="30"/>
      <c r="G176" s="30"/>
      <c r="H176" s="29" t="str">
        <f aca="false">IF(OR(F176="",F176="متوفر ومكتمل"),"",IF(OR(C176="★",F176="غير متوفر"),"عالية","متوسطة"))</f>
        <v/>
      </c>
      <c r="I176" s="31"/>
      <c r="J176" s="32"/>
      <c r="K176" s="31"/>
      <c r="L176" s="31"/>
    </row>
    <row r="177" customFormat="false" ht="15" hidden="false" customHeight="false" outlineLevel="0" collapsed="false">
      <c r="A177" s="22" t="s">
        <v>353</v>
      </c>
      <c r="B177" s="20"/>
      <c r="C177" s="21"/>
      <c r="D177" s="20" t="s">
        <v>356</v>
      </c>
      <c r="E177" s="22" t="str">
        <f aca="false">'الخطة واللجنة'!$B$25</f>
        <v>عضو 7</v>
      </c>
      <c r="F177" s="23"/>
      <c r="G177" s="23"/>
      <c r="H177" s="22" t="str">
        <f aca="false">IF(OR(F177="",F177="متوفر ومكتمل"),"",IF(OR(C177="★",F177="غير متوفر"),"عالية","متوسطة"))</f>
        <v/>
      </c>
      <c r="I177" s="24"/>
      <c r="J177" s="25"/>
      <c r="K177" s="24"/>
      <c r="L177" s="24"/>
    </row>
    <row r="178" customFormat="false" ht="22.35" hidden="false" customHeight="false" outlineLevel="0" collapsed="false">
      <c r="A178" s="22" t="s">
        <v>353</v>
      </c>
      <c r="B178" s="20"/>
      <c r="C178" s="21"/>
      <c r="D178" s="20" t="s">
        <v>357</v>
      </c>
      <c r="E178" s="22" t="str">
        <f aca="false">'الخطة واللجنة'!$B$25</f>
        <v>عضو 7</v>
      </c>
      <c r="F178" s="23"/>
      <c r="G178" s="23"/>
      <c r="H178" s="22" t="str">
        <f aca="false">IF(OR(F178="",F178="متوفر ومكتمل"),"",IF(OR(C178="★",F178="غير متوفر"),"عالية","متوسطة"))</f>
        <v/>
      </c>
      <c r="I178" s="24"/>
      <c r="J178" s="25"/>
      <c r="K178" s="24"/>
      <c r="L178" s="24"/>
    </row>
    <row r="179" customFormat="false" ht="22.35" hidden="false" customHeight="false" outlineLevel="0" collapsed="false">
      <c r="A179" s="36" t="s">
        <v>358</v>
      </c>
      <c r="B179" s="37" t="s">
        <v>359</v>
      </c>
      <c r="C179" s="38"/>
      <c r="D179" s="37" t="s">
        <v>360</v>
      </c>
      <c r="E179" s="29" t="str">
        <f aca="false">'الخطة واللجنة'!$B$25</f>
        <v>عضو 7</v>
      </c>
      <c r="F179" s="30"/>
      <c r="G179" s="30"/>
      <c r="H179" s="29" t="str">
        <f aca="false">IF(OR(F179="",F179="متوفر ومكتمل"),"",IF(OR(C179="★",F179="غير متوفر"),"عالية","متوسطة"))</f>
        <v/>
      </c>
      <c r="I179" s="31"/>
      <c r="J179" s="32"/>
      <c r="K179" s="31"/>
      <c r="L179" s="31"/>
    </row>
    <row r="180" customFormat="false" ht="15" hidden="false" customHeight="false" outlineLevel="0" collapsed="false">
      <c r="A180" s="22" t="s">
        <v>358</v>
      </c>
      <c r="B180" s="20"/>
      <c r="C180" s="21"/>
      <c r="D180" s="20" t="s">
        <v>361</v>
      </c>
      <c r="E180" s="22" t="str">
        <f aca="false">'الخطة واللجنة'!$B$25</f>
        <v>عضو 7</v>
      </c>
      <c r="F180" s="23"/>
      <c r="G180" s="23"/>
      <c r="H180" s="22" t="str">
        <f aca="false">IF(OR(F180="",F180="متوفر ومكتمل"),"",IF(OR(C180="★",F180="غير متوفر"),"عالية","متوسطة"))</f>
        <v/>
      </c>
      <c r="I180" s="24"/>
      <c r="J180" s="25"/>
      <c r="K180" s="24"/>
      <c r="L180" s="24"/>
    </row>
    <row r="181" customFormat="false" ht="22.35" hidden="false" customHeight="false" outlineLevel="0" collapsed="false">
      <c r="A181" s="22" t="s">
        <v>358</v>
      </c>
      <c r="B181" s="20"/>
      <c r="C181" s="21"/>
      <c r="D181" s="20" t="s">
        <v>362</v>
      </c>
      <c r="E181" s="22" t="str">
        <f aca="false">'الخطة واللجنة'!$B$25</f>
        <v>عضو 7</v>
      </c>
      <c r="F181" s="23"/>
      <c r="G181" s="23"/>
      <c r="H181" s="22" t="str">
        <f aca="false">IF(OR(F181="",F181="متوفر ومكتمل"),"",IF(OR(C181="★",F181="غير متوفر"),"عالية","متوسطة"))</f>
        <v/>
      </c>
      <c r="I181" s="24"/>
      <c r="J181" s="25"/>
      <c r="K181" s="24"/>
      <c r="L181" s="24"/>
    </row>
    <row r="182" customFormat="false" ht="22.35" hidden="false" customHeight="false" outlineLevel="0" collapsed="false">
      <c r="A182" s="22" t="s">
        <v>358</v>
      </c>
      <c r="B182" s="20"/>
      <c r="C182" s="21"/>
      <c r="D182" s="20" t="s">
        <v>363</v>
      </c>
      <c r="E182" s="22" t="str">
        <f aca="false">'الخطة واللجنة'!$B$25</f>
        <v>عضو 7</v>
      </c>
      <c r="F182" s="23"/>
      <c r="G182" s="23"/>
      <c r="H182" s="22" t="str">
        <f aca="false">IF(OR(F182="",F182="متوفر ومكتمل"),"",IF(OR(C182="★",F182="غير متوفر"),"عالية","متوسطة"))</f>
        <v/>
      </c>
      <c r="I182" s="24"/>
      <c r="J182" s="25"/>
      <c r="K182" s="24"/>
      <c r="L182" s="24"/>
    </row>
    <row r="183" customFormat="false" ht="15" hidden="false" customHeight="false" outlineLevel="0" collapsed="false">
      <c r="A183" s="22" t="s">
        <v>358</v>
      </c>
      <c r="B183" s="20"/>
      <c r="C183" s="21"/>
      <c r="D183" s="20" t="s">
        <v>364</v>
      </c>
      <c r="E183" s="22" t="str">
        <f aca="false">'الخطة واللجنة'!$B$25</f>
        <v>عضو 7</v>
      </c>
      <c r="F183" s="23"/>
      <c r="G183" s="23"/>
      <c r="H183" s="22" t="str">
        <f aca="false">IF(OR(F183="",F183="متوفر ومكتمل"),"",IF(OR(C183="★",F183="غير متوفر"),"عالية","متوسطة"))</f>
        <v/>
      </c>
      <c r="I183" s="24"/>
      <c r="J183" s="25"/>
      <c r="K183" s="24"/>
      <c r="L183" s="24"/>
    </row>
    <row r="184" customFormat="false" ht="22.35" hidden="false" customHeight="false" outlineLevel="0" collapsed="false">
      <c r="A184" s="36" t="s">
        <v>365</v>
      </c>
      <c r="B184" s="37" t="s">
        <v>366</v>
      </c>
      <c r="C184" s="38"/>
      <c r="D184" s="37" t="s">
        <v>367</v>
      </c>
      <c r="E184" s="29" t="str">
        <f aca="false">'الخطة واللجنة'!$B$25</f>
        <v>عضو 7</v>
      </c>
      <c r="F184" s="30"/>
      <c r="G184" s="30"/>
      <c r="H184" s="29" t="str">
        <f aca="false">IF(OR(F184="",F184="متوفر ومكتمل"),"",IF(OR(C184="★",F184="غير متوفر"),"عالية","متوسطة"))</f>
        <v/>
      </c>
      <c r="I184" s="31"/>
      <c r="J184" s="32"/>
      <c r="K184" s="31"/>
      <c r="L184" s="31"/>
    </row>
    <row r="185" customFormat="false" ht="15" hidden="false" customHeight="false" outlineLevel="0" collapsed="false">
      <c r="A185" s="22" t="s">
        <v>365</v>
      </c>
      <c r="B185" s="20"/>
      <c r="C185" s="21"/>
      <c r="D185" s="20" t="s">
        <v>368</v>
      </c>
      <c r="E185" s="22" t="str">
        <f aca="false">'الخطة واللجنة'!$B$25</f>
        <v>عضو 7</v>
      </c>
      <c r="F185" s="23"/>
      <c r="G185" s="23"/>
      <c r="H185" s="22" t="str">
        <f aca="false">IF(OR(F185="",F185="متوفر ومكتمل"),"",IF(OR(C185="★",F185="غير متوفر"),"عالية","متوسطة"))</f>
        <v/>
      </c>
      <c r="I185" s="24"/>
      <c r="J185" s="25"/>
      <c r="K185" s="24"/>
      <c r="L185" s="24"/>
    </row>
    <row r="186" customFormat="false" ht="15" hidden="false" customHeight="false" outlineLevel="0" collapsed="false">
      <c r="A186" s="22" t="s">
        <v>365</v>
      </c>
      <c r="B186" s="20"/>
      <c r="C186" s="21"/>
      <c r="D186" s="20" t="s">
        <v>369</v>
      </c>
      <c r="E186" s="22" t="str">
        <f aca="false">'الخطة واللجنة'!$B$25</f>
        <v>عضو 7</v>
      </c>
      <c r="F186" s="23"/>
      <c r="G186" s="23"/>
      <c r="H186" s="22" t="str">
        <f aca="false">IF(OR(F186="",F186="متوفر ومكتمل"),"",IF(OR(C186="★",F186="غير متوفر"),"عالية","متوسطة"))</f>
        <v/>
      </c>
      <c r="I186" s="24"/>
      <c r="J186" s="25"/>
      <c r="K186" s="24"/>
      <c r="L186" s="24"/>
    </row>
    <row r="187" customFormat="false" ht="32.8" hidden="false" customHeight="false" outlineLevel="0" collapsed="false">
      <c r="A187" s="22" t="s">
        <v>365</v>
      </c>
      <c r="B187" s="20"/>
      <c r="C187" s="21"/>
      <c r="D187" s="20" t="s">
        <v>370</v>
      </c>
      <c r="E187" s="22" t="str">
        <f aca="false">'الخطة واللجنة'!$B$25</f>
        <v>عضو 7</v>
      </c>
      <c r="F187" s="23"/>
      <c r="G187" s="23"/>
      <c r="H187" s="22" t="str">
        <f aca="false">IF(OR(F187="",F187="متوفر ومكتمل"),"",IF(OR(C187="★",F187="غير متوفر"),"عالية","متوسطة"))</f>
        <v/>
      </c>
      <c r="I187" s="24"/>
      <c r="J187" s="25"/>
      <c r="K187" s="24"/>
      <c r="L187" s="24"/>
    </row>
    <row r="188" customFormat="false" ht="15" hidden="false" customHeight="false" outlineLevel="0" collapsed="false">
      <c r="A188" s="22" t="s">
        <v>365</v>
      </c>
      <c r="B188" s="20"/>
      <c r="C188" s="21"/>
      <c r="D188" s="20" t="s">
        <v>371</v>
      </c>
      <c r="E188" s="22" t="str">
        <f aca="false">'الخطة واللجنة'!$B$25</f>
        <v>عضو 7</v>
      </c>
      <c r="F188" s="23"/>
      <c r="G188" s="23"/>
      <c r="H188" s="22" t="str">
        <f aca="false">IF(OR(F188="",F188="متوفر ومكتمل"),"",IF(OR(C188="★",F188="غير متوفر"),"عالية","متوسطة"))</f>
        <v/>
      </c>
      <c r="I188" s="24"/>
      <c r="J188" s="25"/>
      <c r="K188" s="24"/>
      <c r="L188" s="24"/>
    </row>
    <row r="189" customFormat="false" ht="22.35" hidden="false" customHeight="false" outlineLevel="0" collapsed="false">
      <c r="A189" s="36" t="s">
        <v>372</v>
      </c>
      <c r="B189" s="37" t="s">
        <v>373</v>
      </c>
      <c r="C189" s="38"/>
      <c r="D189" s="37" t="s">
        <v>374</v>
      </c>
      <c r="E189" s="29" t="str">
        <f aca="false">'الخطة واللجنة'!$B$20</f>
        <v>عضو 2</v>
      </c>
      <c r="F189" s="30"/>
      <c r="G189" s="30"/>
      <c r="H189" s="29" t="str">
        <f aca="false">IF(OR(F189="",F189="متوفر ومكتمل"),"",IF(OR(C189="★",F189="غير متوفر"),"عالية","متوسطة"))</f>
        <v/>
      </c>
      <c r="I189" s="31"/>
      <c r="J189" s="32"/>
      <c r="K189" s="31"/>
      <c r="L189" s="31"/>
    </row>
    <row r="190" customFormat="false" ht="15" hidden="false" customHeight="false" outlineLevel="0" collapsed="false">
      <c r="A190" s="22" t="s">
        <v>372</v>
      </c>
      <c r="B190" s="20"/>
      <c r="C190" s="21"/>
      <c r="D190" s="20" t="s">
        <v>375</v>
      </c>
      <c r="E190" s="22" t="str">
        <f aca="false">'الخطة واللجنة'!$B$20</f>
        <v>عضو 2</v>
      </c>
      <c r="F190" s="23"/>
      <c r="G190" s="23"/>
      <c r="H190" s="22" t="str">
        <f aca="false">IF(OR(F190="",F190="متوفر ومكتمل"),"",IF(OR(C190="★",F190="غير متوفر"),"عالية","متوسطة"))</f>
        <v/>
      </c>
      <c r="I190" s="24"/>
      <c r="J190" s="25"/>
      <c r="K190" s="24"/>
      <c r="L190" s="24"/>
    </row>
    <row r="191" customFormat="false" ht="22.35" hidden="false" customHeight="false" outlineLevel="0" collapsed="false">
      <c r="A191" s="22" t="s">
        <v>372</v>
      </c>
      <c r="B191" s="20"/>
      <c r="C191" s="21"/>
      <c r="D191" s="20" t="s">
        <v>376</v>
      </c>
      <c r="E191" s="22" t="str">
        <f aca="false">'الخطة واللجنة'!$B$20</f>
        <v>عضو 2</v>
      </c>
      <c r="F191" s="23"/>
      <c r="G191" s="23"/>
      <c r="H191" s="22" t="str">
        <f aca="false">IF(OR(F191="",F191="متوفر ومكتمل"),"",IF(OR(C191="★",F191="غير متوفر"),"عالية","متوسطة"))</f>
        <v/>
      </c>
      <c r="I191" s="24"/>
      <c r="J191" s="25"/>
      <c r="K191" s="24"/>
      <c r="L191" s="24"/>
    </row>
    <row r="192" customFormat="false" ht="32.8" hidden="false" customHeight="false" outlineLevel="0" collapsed="false">
      <c r="A192" s="36" t="s">
        <v>377</v>
      </c>
      <c r="B192" s="37" t="s">
        <v>378</v>
      </c>
      <c r="C192" s="38"/>
      <c r="D192" s="37" t="s">
        <v>379</v>
      </c>
      <c r="E192" s="29" t="str">
        <f aca="false">'الخطة واللجنة'!$B$20</f>
        <v>عضو 2</v>
      </c>
      <c r="F192" s="30"/>
      <c r="G192" s="30"/>
      <c r="H192" s="29" t="str">
        <f aca="false">IF(OR(F192="",F192="متوفر ومكتمل"),"",IF(OR(C192="★",F192="غير متوفر"),"عالية","متوسطة"))</f>
        <v/>
      </c>
      <c r="I192" s="31"/>
      <c r="J192" s="32"/>
      <c r="K192" s="31"/>
      <c r="L192" s="31"/>
    </row>
    <row r="193" customFormat="false" ht="22.35" hidden="false" customHeight="false" outlineLevel="0" collapsed="false">
      <c r="A193" s="22" t="s">
        <v>377</v>
      </c>
      <c r="B193" s="20"/>
      <c r="C193" s="21"/>
      <c r="D193" s="20" t="s">
        <v>380</v>
      </c>
      <c r="E193" s="22" t="str">
        <f aca="false">'الخطة واللجنة'!$B$20</f>
        <v>عضو 2</v>
      </c>
      <c r="F193" s="23"/>
      <c r="G193" s="23"/>
      <c r="H193" s="22" t="str">
        <f aca="false">IF(OR(F193="",F193="متوفر ومكتمل"),"",IF(OR(C193="★",F193="غير متوفر"),"عالية","متوسطة"))</f>
        <v/>
      </c>
      <c r="I193" s="24"/>
      <c r="J193" s="25"/>
      <c r="K193" s="24"/>
      <c r="L193" s="24"/>
    </row>
    <row r="194" customFormat="false" ht="22.35" hidden="false" customHeight="false" outlineLevel="0" collapsed="false">
      <c r="A194" s="22" t="s">
        <v>377</v>
      </c>
      <c r="B194" s="20"/>
      <c r="C194" s="21"/>
      <c r="D194" s="20" t="s">
        <v>381</v>
      </c>
      <c r="E194" s="22" t="str">
        <f aca="false">'الخطة واللجنة'!$B$20</f>
        <v>عضو 2</v>
      </c>
      <c r="F194" s="23"/>
      <c r="G194" s="23"/>
      <c r="H194" s="22" t="str">
        <f aca="false">IF(OR(F194="",F194="متوفر ومكتمل"),"",IF(OR(C194="★",F194="غير متوفر"),"عالية","متوسطة"))</f>
        <v/>
      </c>
      <c r="I194" s="24"/>
      <c r="J194" s="25"/>
      <c r="K194" s="24"/>
      <c r="L194" s="24"/>
    </row>
    <row r="195" customFormat="false" ht="32.8" hidden="false" customHeight="false" outlineLevel="0" collapsed="false">
      <c r="A195" s="26" t="s">
        <v>382</v>
      </c>
      <c r="B195" s="27" t="s">
        <v>383</v>
      </c>
      <c r="C195" s="28" t="s">
        <v>111</v>
      </c>
      <c r="D195" s="27" t="s">
        <v>384</v>
      </c>
      <c r="E195" s="29" t="str">
        <f aca="false">'الخطة واللجنة'!$B$20</f>
        <v>عضو 2</v>
      </c>
      <c r="F195" s="30"/>
      <c r="G195" s="30"/>
      <c r="H195" s="29" t="str">
        <f aca="false">IF(OR(F195="",F195="متوفر ومكتمل"),"",IF(OR(C195="★",F195="غير متوفر"),"عالية","متوسطة"))</f>
        <v/>
      </c>
      <c r="I195" s="31"/>
      <c r="J195" s="32"/>
      <c r="K195" s="31"/>
      <c r="L195" s="31"/>
    </row>
    <row r="196" customFormat="false" ht="22.35" hidden="false" customHeight="false" outlineLevel="0" collapsed="false">
      <c r="A196" s="33" t="s">
        <v>382</v>
      </c>
      <c r="B196" s="34"/>
      <c r="C196" s="35" t="s">
        <v>111</v>
      </c>
      <c r="D196" s="34" t="s">
        <v>385</v>
      </c>
      <c r="E196" s="22" t="str">
        <f aca="false">'الخطة واللجنة'!$B$20</f>
        <v>عضو 2</v>
      </c>
      <c r="F196" s="23"/>
      <c r="G196" s="23"/>
      <c r="H196" s="22" t="str">
        <f aca="false">IF(OR(F196="",F196="متوفر ومكتمل"),"",IF(OR(C196="★",F196="غير متوفر"),"عالية","متوسطة"))</f>
        <v/>
      </c>
      <c r="I196" s="24"/>
      <c r="J196" s="25"/>
      <c r="K196" s="24"/>
      <c r="L196" s="24"/>
    </row>
    <row r="197" customFormat="false" ht="22.35" hidden="false" customHeight="false" outlineLevel="0" collapsed="false">
      <c r="A197" s="33" t="s">
        <v>382</v>
      </c>
      <c r="B197" s="34"/>
      <c r="C197" s="35" t="s">
        <v>111</v>
      </c>
      <c r="D197" s="34" t="s">
        <v>386</v>
      </c>
      <c r="E197" s="22" t="str">
        <f aca="false">'الخطة واللجنة'!$B$20</f>
        <v>عضو 2</v>
      </c>
      <c r="F197" s="23"/>
      <c r="G197" s="23"/>
      <c r="H197" s="22" t="str">
        <f aca="false">IF(OR(F197="",F197="متوفر ومكتمل"),"",IF(OR(C197="★",F197="غير متوفر"),"عالية","متوسطة"))</f>
        <v/>
      </c>
      <c r="I197" s="24"/>
      <c r="J197" s="25"/>
      <c r="K197" s="24"/>
      <c r="L197" s="24"/>
    </row>
    <row r="198" customFormat="false" ht="15" hidden="false" customHeight="false" outlineLevel="0" collapsed="false">
      <c r="A198" s="33" t="s">
        <v>382</v>
      </c>
      <c r="B198" s="34"/>
      <c r="C198" s="35" t="s">
        <v>111</v>
      </c>
      <c r="D198" s="34" t="s">
        <v>387</v>
      </c>
      <c r="E198" s="22" t="str">
        <f aca="false">'الخطة واللجنة'!$B$20</f>
        <v>عضو 2</v>
      </c>
      <c r="F198" s="23"/>
      <c r="G198" s="23"/>
      <c r="H198" s="22" t="str">
        <f aca="false">IF(OR(F198="",F198="متوفر ومكتمل"),"",IF(OR(C198="★",F198="غير متوفر"),"عالية","متوسطة"))</f>
        <v/>
      </c>
      <c r="I198" s="24"/>
      <c r="J198" s="25"/>
      <c r="K198" s="24"/>
      <c r="L198" s="24"/>
    </row>
    <row r="199" customFormat="false" ht="15" hidden="false" customHeight="false" outlineLevel="0" collapsed="false">
      <c r="A199" s="33" t="s">
        <v>382</v>
      </c>
      <c r="B199" s="34"/>
      <c r="C199" s="35" t="s">
        <v>111</v>
      </c>
      <c r="D199" s="34" t="s">
        <v>388</v>
      </c>
      <c r="E199" s="22" t="str">
        <f aca="false">'الخطة واللجنة'!$B$20</f>
        <v>عضو 2</v>
      </c>
      <c r="F199" s="23"/>
      <c r="G199" s="23"/>
      <c r="H199" s="22" t="str">
        <f aca="false">IF(OR(F199="",F199="متوفر ومكتمل"),"",IF(OR(C199="★",F199="غير متوفر"),"عالية","متوسطة"))</f>
        <v/>
      </c>
      <c r="I199" s="24"/>
      <c r="J199" s="25"/>
      <c r="K199" s="24"/>
      <c r="L199" s="24"/>
    </row>
    <row r="200" customFormat="false" ht="15" hidden="false" customHeight="false" outlineLevel="0" collapsed="false">
      <c r="A200" s="33" t="s">
        <v>382</v>
      </c>
      <c r="B200" s="34"/>
      <c r="C200" s="35" t="s">
        <v>111</v>
      </c>
      <c r="D200" s="34" t="s">
        <v>389</v>
      </c>
      <c r="E200" s="22" t="str">
        <f aca="false">'الخطة واللجنة'!$B$20</f>
        <v>عضو 2</v>
      </c>
      <c r="F200" s="23"/>
      <c r="G200" s="23"/>
      <c r="H200" s="22" t="str">
        <f aca="false">IF(OR(F200="",F200="متوفر ومكتمل"),"",IF(OR(C200="★",F200="غير متوفر"),"عالية","متوسطة"))</f>
        <v/>
      </c>
      <c r="I200" s="24"/>
      <c r="J200" s="25"/>
      <c r="K200" s="24"/>
      <c r="L200" s="24"/>
    </row>
    <row r="201" customFormat="false" ht="22.35" hidden="false" customHeight="false" outlineLevel="0" collapsed="false">
      <c r="A201" s="36" t="s">
        <v>390</v>
      </c>
      <c r="B201" s="37" t="s">
        <v>391</v>
      </c>
      <c r="C201" s="38"/>
      <c r="D201" s="37" t="s">
        <v>392</v>
      </c>
      <c r="E201" s="29" t="str">
        <f aca="false">'الخطة واللجنة'!$B$20</f>
        <v>عضو 2</v>
      </c>
      <c r="F201" s="30"/>
      <c r="G201" s="30"/>
      <c r="H201" s="29" t="str">
        <f aca="false">IF(OR(F201="",F201="متوفر ومكتمل"),"",IF(OR(C201="★",F201="غير متوفر"),"عالية","متوسطة"))</f>
        <v/>
      </c>
      <c r="I201" s="31"/>
      <c r="J201" s="32"/>
      <c r="K201" s="31"/>
      <c r="L201" s="31"/>
    </row>
    <row r="202" customFormat="false" ht="22.35" hidden="false" customHeight="false" outlineLevel="0" collapsed="false">
      <c r="A202" s="22" t="s">
        <v>390</v>
      </c>
      <c r="B202" s="20"/>
      <c r="C202" s="21"/>
      <c r="D202" s="20" t="s">
        <v>393</v>
      </c>
      <c r="E202" s="22" t="str">
        <f aca="false">'الخطة واللجنة'!$B$20</f>
        <v>عضو 2</v>
      </c>
      <c r="F202" s="23"/>
      <c r="G202" s="23"/>
      <c r="H202" s="22" t="str">
        <f aca="false">IF(OR(F202="",F202="متوفر ومكتمل"),"",IF(OR(C202="★",F202="غير متوفر"),"عالية","متوسطة"))</f>
        <v/>
      </c>
      <c r="I202" s="24"/>
      <c r="J202" s="25"/>
      <c r="K202" s="24"/>
      <c r="L202" s="24"/>
    </row>
    <row r="203" customFormat="false" ht="15" hidden="false" customHeight="false" outlineLevel="0" collapsed="false">
      <c r="A203" s="22" t="s">
        <v>390</v>
      </c>
      <c r="B203" s="20"/>
      <c r="C203" s="21"/>
      <c r="D203" s="20" t="s">
        <v>394</v>
      </c>
      <c r="E203" s="22" t="str">
        <f aca="false">'الخطة واللجنة'!$B$20</f>
        <v>عضو 2</v>
      </c>
      <c r="F203" s="23"/>
      <c r="G203" s="23"/>
      <c r="H203" s="22" t="str">
        <f aca="false">IF(OR(F203="",F203="متوفر ومكتمل"),"",IF(OR(C203="★",F203="غير متوفر"),"عالية","متوسطة"))</f>
        <v/>
      </c>
      <c r="I203" s="24"/>
      <c r="J203" s="25"/>
      <c r="K203" s="24"/>
      <c r="L203" s="24"/>
    </row>
    <row r="204" customFormat="false" ht="15" hidden="false" customHeight="false" outlineLevel="0" collapsed="false">
      <c r="A204" s="22" t="s">
        <v>390</v>
      </c>
      <c r="B204" s="20"/>
      <c r="C204" s="21"/>
      <c r="D204" s="20" t="s">
        <v>395</v>
      </c>
      <c r="E204" s="22" t="str">
        <f aca="false">'الخطة واللجنة'!$B$20</f>
        <v>عضو 2</v>
      </c>
      <c r="F204" s="23"/>
      <c r="G204" s="23"/>
      <c r="H204" s="22" t="str">
        <f aca="false">IF(OR(F204="",F204="متوفر ومكتمل"),"",IF(OR(C204="★",F204="غير متوفر"),"عالية","متوسطة"))</f>
        <v/>
      </c>
      <c r="I204" s="24"/>
      <c r="J204" s="25"/>
      <c r="K204" s="24"/>
      <c r="L204" s="24"/>
    </row>
    <row r="205" customFormat="false" ht="22.35" hidden="false" customHeight="false" outlineLevel="0" collapsed="false">
      <c r="A205" s="22" t="s">
        <v>390</v>
      </c>
      <c r="B205" s="20"/>
      <c r="C205" s="21"/>
      <c r="D205" s="20" t="s">
        <v>396</v>
      </c>
      <c r="E205" s="22" t="str">
        <f aca="false">'الخطة واللجنة'!$B$20</f>
        <v>عضو 2</v>
      </c>
      <c r="F205" s="23"/>
      <c r="G205" s="23"/>
      <c r="H205" s="22" t="str">
        <f aca="false">IF(OR(F205="",F205="متوفر ومكتمل"),"",IF(OR(C205="★",F205="غير متوفر"),"عالية","متوسطة"))</f>
        <v/>
      </c>
      <c r="I205" s="24"/>
      <c r="J205" s="25"/>
      <c r="K205" s="24"/>
      <c r="L205" s="24"/>
    </row>
    <row r="206" customFormat="false" ht="22.35" hidden="false" customHeight="false" outlineLevel="0" collapsed="false">
      <c r="A206" s="36" t="s">
        <v>397</v>
      </c>
      <c r="B206" s="37" t="s">
        <v>398</v>
      </c>
      <c r="C206" s="38"/>
      <c r="D206" s="37" t="s">
        <v>399</v>
      </c>
      <c r="E206" s="29" t="str">
        <f aca="false">'الخطة واللجنة'!$B$20</f>
        <v>عضو 2</v>
      </c>
      <c r="F206" s="30"/>
      <c r="G206" s="30"/>
      <c r="H206" s="29" t="str">
        <f aca="false">IF(OR(F206="",F206="متوفر ومكتمل"),"",IF(OR(C206="★",F206="غير متوفر"),"عالية","متوسطة"))</f>
        <v/>
      </c>
      <c r="I206" s="31"/>
      <c r="J206" s="32"/>
      <c r="K206" s="31"/>
      <c r="L206" s="31"/>
    </row>
    <row r="207" customFormat="false" ht="22.35" hidden="false" customHeight="false" outlineLevel="0" collapsed="false">
      <c r="A207" s="22" t="s">
        <v>397</v>
      </c>
      <c r="B207" s="20"/>
      <c r="C207" s="21"/>
      <c r="D207" s="20" t="s">
        <v>400</v>
      </c>
      <c r="E207" s="22" t="str">
        <f aca="false">'الخطة واللجنة'!$B$20</f>
        <v>عضو 2</v>
      </c>
      <c r="F207" s="23"/>
      <c r="G207" s="23"/>
      <c r="H207" s="22" t="str">
        <f aca="false">IF(OR(F207="",F207="متوفر ومكتمل"),"",IF(OR(C207="★",F207="غير متوفر"),"عالية","متوسطة"))</f>
        <v/>
      </c>
      <c r="I207" s="24"/>
      <c r="J207" s="25"/>
      <c r="K207" s="24"/>
      <c r="L207" s="24"/>
    </row>
  </sheetData>
  <autoFilter ref="A3:L207"/>
  <mergeCells count="2">
    <mergeCell ref="A1:F1"/>
    <mergeCell ref="A2:L2"/>
  </mergeCells>
  <conditionalFormatting sqref="F4:F207">
    <cfRule type="cellIs" priority="2" operator="equal" aboveAverage="0" equalAverage="0" bottom="0" percent="0" rank="0" text="" dxfId="6">
      <formula>"متوفر ومكتمل"</formula>
    </cfRule>
    <cfRule type="cellIs" priority="3" operator="equal" aboveAverage="0" equalAverage="0" bottom="0" percent="0" rank="0" text="" dxfId="7">
      <formula>"متوفر ويحتاج تحسين"</formula>
    </cfRule>
    <cfRule type="cellIs" priority="4" operator="equal" aboveAverage="0" equalAverage="0" bottom="0" percent="0" rank="0" text="" dxfId="8">
      <formula>"غير متوفر"</formula>
    </cfRule>
  </conditionalFormatting>
  <conditionalFormatting sqref="H4:H207">
    <cfRule type="cellIs" priority="5" operator="equal" aboveAverage="0" equalAverage="0" bottom="0" percent="0" rank="0" text="" dxfId="9">
      <formula>"عالية"</formula>
    </cfRule>
  </conditionalFormatting>
  <dataValidations count="2">
    <dataValidation allowBlank="true" errorStyle="stop" operator="between" showDropDown="false" showErrorMessage="false" showInputMessage="false" sqref="F4:F207" type="list">
      <formula1>"متوفر ومكتمل,متوفر ويحتاج تحسين,غير متوفر"</formula1>
      <formula2>0</formula2>
    </dataValidation>
    <dataValidation allowBlank="true" errorStyle="stop" operator="between" showDropDown="false" showErrorMessage="false" showInputMessage="false" sqref="G4:G207" type="list">
      <formula1>"غير معتمد,غير محدّث,لا يغطي المعيار كاملاً,لا يثبت التطبيق الفعلي,لا توجد نتائج وتحسين"</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L20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6"/>
    <col collapsed="false" customWidth="true" hidden="false" outlineLevel="0" max="4" min="4" style="0" width="46"/>
    <col collapsed="false" customWidth="true" hidden="false" outlineLevel="0" max="5" min="5" style="0" width="12"/>
    <col collapsed="false" customWidth="true" hidden="false" outlineLevel="0" max="6" min="6" style="0" width="17"/>
    <col collapsed="false" customWidth="true" hidden="false" outlineLevel="0" max="7" min="7" style="0" width="19"/>
    <col collapsed="false" customWidth="true" hidden="false" outlineLevel="0" max="8" min="8" style="0" width="9"/>
    <col collapsed="false" customWidth="true" hidden="false" outlineLevel="0" max="9" min="9" style="0" width="30"/>
    <col collapsed="false" customWidth="true" hidden="false" outlineLevel="0" max="10" min="10" style="0" width="11"/>
    <col collapsed="false" customWidth="true" hidden="false" outlineLevel="0" max="11" min="11" style="0" width="26"/>
    <col collapsed="false" customWidth="true" hidden="false" outlineLevel="0" max="12" min="12" style="0" width="24"/>
  </cols>
  <sheetData>
    <row r="1" customFormat="false" ht="17.35" hidden="false" customHeight="false" outlineLevel="0" collapsed="false">
      <c r="A1" s="17" t="str">
        <f aca="false">"فحص الأدلة – "&amp;'الخطة واللجنة'!$B$5</f>
        <v>فحص الأدلة – بكالوريوس علوم الحاسب</v>
      </c>
      <c r="B1" s="17"/>
      <c r="C1" s="17"/>
      <c r="D1" s="17"/>
      <c r="E1" s="17"/>
      <c r="F1" s="17"/>
    </row>
    <row r="2" customFormat="false" ht="11.9" hidden="false" customHeight="false" outlineLevel="0" collapsed="false">
      <c r="A2" s="18" t="s">
        <v>93</v>
      </c>
      <c r="B2" s="18"/>
      <c r="C2" s="18"/>
      <c r="D2" s="18"/>
      <c r="E2" s="18"/>
      <c r="F2" s="18"/>
      <c r="G2" s="18"/>
      <c r="H2" s="18"/>
      <c r="I2" s="18"/>
      <c r="J2" s="18"/>
      <c r="K2" s="18"/>
      <c r="L2" s="18"/>
    </row>
    <row r="3" customFormat="false" ht="15" hidden="false" customHeight="false" outlineLevel="0" collapsed="false">
      <c r="A3" s="6" t="s">
        <v>94</v>
      </c>
      <c r="B3" s="6" t="s">
        <v>95</v>
      </c>
      <c r="C3" s="6" t="s">
        <v>96</v>
      </c>
      <c r="D3" s="6" t="s">
        <v>97</v>
      </c>
      <c r="E3" s="6" t="s">
        <v>9</v>
      </c>
      <c r="F3" s="6" t="s">
        <v>60</v>
      </c>
      <c r="G3" s="6" t="s">
        <v>87</v>
      </c>
      <c r="H3" s="6" t="s">
        <v>98</v>
      </c>
      <c r="I3" s="6" t="s">
        <v>99</v>
      </c>
      <c r="J3" s="6" t="s">
        <v>100</v>
      </c>
      <c r="K3" s="6" t="s">
        <v>101</v>
      </c>
      <c r="L3" s="6" t="s">
        <v>102</v>
      </c>
    </row>
    <row r="4" customFormat="false" ht="22.35" hidden="false" customHeight="false" outlineLevel="0" collapsed="false">
      <c r="A4" s="19" t="s">
        <v>103</v>
      </c>
      <c r="B4" s="20" t="s">
        <v>104</v>
      </c>
      <c r="C4" s="21"/>
      <c r="D4" s="20" t="s">
        <v>105</v>
      </c>
      <c r="E4" s="22" t="str">
        <f aca="false">'الخطة واللجنة'!$B$22</f>
        <v>عضو 4</v>
      </c>
      <c r="F4" s="23"/>
      <c r="G4" s="23"/>
      <c r="H4" s="22" t="str">
        <f aca="false">IF(OR(F4="",F4="متوفر ومكتمل"),"",IF(OR(C4="★",F4="غير متوفر"),"عالية","متوسطة"))</f>
        <v/>
      </c>
      <c r="I4" s="24"/>
      <c r="J4" s="25"/>
      <c r="K4" s="24"/>
      <c r="L4" s="24"/>
    </row>
    <row r="5" customFormat="false" ht="15" hidden="false" customHeight="false" outlineLevel="0" collapsed="false">
      <c r="A5" s="22" t="s">
        <v>103</v>
      </c>
      <c r="B5" s="20"/>
      <c r="C5" s="21"/>
      <c r="D5" s="20" t="s">
        <v>106</v>
      </c>
      <c r="E5" s="22" t="str">
        <f aca="false">'الخطة واللجنة'!$B$22</f>
        <v>عضو 4</v>
      </c>
      <c r="F5" s="23"/>
      <c r="G5" s="23"/>
      <c r="H5" s="22" t="str">
        <f aca="false">IF(OR(F5="",F5="متوفر ومكتمل"),"",IF(OR(C5="★",F5="غير متوفر"),"عالية","متوسطة"))</f>
        <v/>
      </c>
      <c r="I5" s="24"/>
      <c r="J5" s="25"/>
      <c r="K5" s="24"/>
      <c r="L5" s="24"/>
    </row>
    <row r="6" customFormat="false" ht="15" hidden="false" customHeight="false" outlineLevel="0" collapsed="false">
      <c r="A6" s="22" t="s">
        <v>103</v>
      </c>
      <c r="B6" s="20"/>
      <c r="C6" s="21"/>
      <c r="D6" s="20" t="s">
        <v>107</v>
      </c>
      <c r="E6" s="22" t="str">
        <f aca="false">'الخطة واللجنة'!$B$22</f>
        <v>عضو 4</v>
      </c>
      <c r="F6" s="23"/>
      <c r="G6" s="23"/>
      <c r="H6" s="22" t="str">
        <f aca="false">IF(OR(F6="",F6="متوفر ومكتمل"),"",IF(OR(C6="★",F6="غير متوفر"),"عالية","متوسطة"))</f>
        <v/>
      </c>
      <c r="I6" s="24"/>
      <c r="J6" s="25"/>
      <c r="K6" s="24"/>
      <c r="L6" s="24"/>
    </row>
    <row r="7" customFormat="false" ht="15" hidden="false" customHeight="false" outlineLevel="0" collapsed="false">
      <c r="A7" s="22" t="s">
        <v>103</v>
      </c>
      <c r="B7" s="20"/>
      <c r="C7" s="21"/>
      <c r="D7" s="20" t="s">
        <v>108</v>
      </c>
      <c r="E7" s="22" t="str">
        <f aca="false">'الخطة واللجنة'!$B$22</f>
        <v>عضو 4</v>
      </c>
      <c r="F7" s="23"/>
      <c r="G7" s="23"/>
      <c r="H7" s="22" t="str">
        <f aca="false">IF(OR(F7="",F7="متوفر ومكتمل"),"",IF(OR(C7="★",F7="غير متوفر"),"عالية","متوسطة"))</f>
        <v/>
      </c>
      <c r="I7" s="24"/>
      <c r="J7" s="25"/>
      <c r="K7" s="24"/>
      <c r="L7" s="24"/>
    </row>
    <row r="8" customFormat="false" ht="22.35" hidden="false" customHeight="false" outlineLevel="0" collapsed="false">
      <c r="A8" s="26" t="s">
        <v>109</v>
      </c>
      <c r="B8" s="27" t="s">
        <v>110</v>
      </c>
      <c r="C8" s="28" t="s">
        <v>111</v>
      </c>
      <c r="D8" s="27" t="s">
        <v>112</v>
      </c>
      <c r="E8" s="29" t="str">
        <f aca="false">'الخطة واللجنة'!$B$22</f>
        <v>عضو 4</v>
      </c>
      <c r="F8" s="30"/>
      <c r="G8" s="30"/>
      <c r="H8" s="29" t="str">
        <f aca="false">IF(OR(F8="",F8="متوفر ومكتمل"),"",IF(OR(C8="★",F8="غير متوفر"),"عالية","متوسطة"))</f>
        <v/>
      </c>
      <c r="I8" s="31"/>
      <c r="J8" s="32"/>
      <c r="K8" s="31"/>
      <c r="L8" s="31"/>
    </row>
    <row r="9" customFormat="false" ht="15" hidden="false" customHeight="false" outlineLevel="0" collapsed="false">
      <c r="A9" s="33" t="s">
        <v>109</v>
      </c>
      <c r="B9" s="34"/>
      <c r="C9" s="35" t="s">
        <v>111</v>
      </c>
      <c r="D9" s="34" t="s">
        <v>113</v>
      </c>
      <c r="E9" s="22" t="str">
        <f aca="false">'الخطة واللجنة'!$B$22</f>
        <v>عضو 4</v>
      </c>
      <c r="F9" s="23"/>
      <c r="G9" s="23"/>
      <c r="H9" s="22" t="str">
        <f aca="false">IF(OR(F9="",F9="متوفر ومكتمل"),"",IF(OR(C9="★",F9="غير متوفر"),"عالية","متوسطة"))</f>
        <v/>
      </c>
      <c r="I9" s="24"/>
      <c r="J9" s="25"/>
      <c r="K9" s="24"/>
      <c r="L9" s="24"/>
    </row>
    <row r="10" customFormat="false" ht="15" hidden="false" customHeight="false" outlineLevel="0" collapsed="false">
      <c r="A10" s="33" t="s">
        <v>109</v>
      </c>
      <c r="B10" s="34"/>
      <c r="C10" s="35" t="s">
        <v>111</v>
      </c>
      <c r="D10" s="34" t="s">
        <v>114</v>
      </c>
      <c r="E10" s="22" t="str">
        <f aca="false">'الخطة واللجنة'!$B$22</f>
        <v>عضو 4</v>
      </c>
      <c r="F10" s="23"/>
      <c r="G10" s="23"/>
      <c r="H10" s="22" t="str">
        <f aca="false">IF(OR(F10="",F10="متوفر ومكتمل"),"",IF(OR(C10="★",F10="غير متوفر"),"عالية","متوسطة"))</f>
        <v/>
      </c>
      <c r="I10" s="24"/>
      <c r="J10" s="25"/>
      <c r="K10" s="24"/>
      <c r="L10" s="24"/>
    </row>
    <row r="11" customFormat="false" ht="15" hidden="false" customHeight="false" outlineLevel="0" collapsed="false">
      <c r="A11" s="33" t="s">
        <v>109</v>
      </c>
      <c r="B11" s="34"/>
      <c r="C11" s="35" t="s">
        <v>111</v>
      </c>
      <c r="D11" s="34" t="s">
        <v>115</v>
      </c>
      <c r="E11" s="22" t="str">
        <f aca="false">'الخطة واللجنة'!$B$22</f>
        <v>عضو 4</v>
      </c>
      <c r="F11" s="23"/>
      <c r="G11" s="23"/>
      <c r="H11" s="22" t="str">
        <f aca="false">IF(OR(F11="",F11="متوفر ومكتمل"),"",IF(OR(C11="★",F11="غير متوفر"),"عالية","متوسطة"))</f>
        <v/>
      </c>
      <c r="I11" s="24"/>
      <c r="J11" s="25"/>
      <c r="K11" s="24"/>
      <c r="L11" s="24"/>
    </row>
    <row r="12" customFormat="false" ht="15" hidden="false" customHeight="false" outlineLevel="0" collapsed="false">
      <c r="A12" s="33" t="s">
        <v>109</v>
      </c>
      <c r="B12" s="34"/>
      <c r="C12" s="35" t="s">
        <v>111</v>
      </c>
      <c r="D12" s="34" t="s">
        <v>116</v>
      </c>
      <c r="E12" s="22" t="str">
        <f aca="false">'الخطة واللجنة'!$B$22</f>
        <v>عضو 4</v>
      </c>
      <c r="F12" s="23"/>
      <c r="G12" s="23"/>
      <c r="H12" s="22" t="str">
        <f aca="false">IF(OR(F12="",F12="متوفر ومكتمل"),"",IF(OR(C12="★",F12="غير متوفر"),"عالية","متوسطة"))</f>
        <v/>
      </c>
      <c r="I12" s="24"/>
      <c r="J12" s="25"/>
      <c r="K12" s="24"/>
      <c r="L12" s="24"/>
    </row>
    <row r="13" customFormat="false" ht="15" hidden="false" customHeight="false" outlineLevel="0" collapsed="false">
      <c r="A13" s="36" t="s">
        <v>117</v>
      </c>
      <c r="B13" s="37" t="s">
        <v>118</v>
      </c>
      <c r="C13" s="38"/>
      <c r="D13" s="37" t="s">
        <v>119</v>
      </c>
      <c r="E13" s="29" t="str">
        <f aca="false">'الخطة واللجنة'!$B$22</f>
        <v>عضو 4</v>
      </c>
      <c r="F13" s="30"/>
      <c r="G13" s="30"/>
      <c r="H13" s="29" t="str">
        <f aca="false">IF(OR(F13="",F13="متوفر ومكتمل"),"",IF(OR(C13="★",F13="غير متوفر"),"عالية","متوسطة"))</f>
        <v/>
      </c>
      <c r="I13" s="31"/>
      <c r="J13" s="32"/>
      <c r="K13" s="31"/>
      <c r="L13" s="31"/>
    </row>
    <row r="14" customFormat="false" ht="15" hidden="false" customHeight="false" outlineLevel="0" collapsed="false">
      <c r="A14" s="22" t="s">
        <v>117</v>
      </c>
      <c r="B14" s="20"/>
      <c r="C14" s="21"/>
      <c r="D14" s="20" t="s">
        <v>120</v>
      </c>
      <c r="E14" s="22" t="str">
        <f aca="false">'الخطة واللجنة'!$B$22</f>
        <v>عضو 4</v>
      </c>
      <c r="F14" s="23"/>
      <c r="G14" s="23"/>
      <c r="H14" s="22" t="str">
        <f aca="false">IF(OR(F14="",F14="متوفر ومكتمل"),"",IF(OR(C14="★",F14="غير متوفر"),"عالية","متوسطة"))</f>
        <v/>
      </c>
      <c r="I14" s="24"/>
      <c r="J14" s="25"/>
      <c r="K14" s="24"/>
      <c r="L14" s="24"/>
    </row>
    <row r="15" customFormat="false" ht="15" hidden="false" customHeight="false" outlineLevel="0" collapsed="false">
      <c r="A15" s="22" t="s">
        <v>117</v>
      </c>
      <c r="B15" s="20"/>
      <c r="C15" s="21"/>
      <c r="D15" s="20" t="s">
        <v>121</v>
      </c>
      <c r="E15" s="22" t="str">
        <f aca="false">'الخطة واللجنة'!$B$22</f>
        <v>عضو 4</v>
      </c>
      <c r="F15" s="23"/>
      <c r="G15" s="23"/>
      <c r="H15" s="22" t="str">
        <f aca="false">IF(OR(F15="",F15="متوفر ومكتمل"),"",IF(OR(C15="★",F15="غير متوفر"),"عالية","متوسطة"))</f>
        <v/>
      </c>
      <c r="I15" s="24"/>
      <c r="J15" s="25"/>
      <c r="K15" s="24"/>
      <c r="L15" s="24"/>
    </row>
    <row r="16" customFormat="false" ht="15" hidden="false" customHeight="false" outlineLevel="0" collapsed="false">
      <c r="A16" s="22" t="s">
        <v>117</v>
      </c>
      <c r="B16" s="20"/>
      <c r="C16" s="21"/>
      <c r="D16" s="20" t="s">
        <v>122</v>
      </c>
      <c r="E16" s="22" t="str">
        <f aca="false">'الخطة واللجنة'!$B$22</f>
        <v>عضو 4</v>
      </c>
      <c r="F16" s="23"/>
      <c r="G16" s="23"/>
      <c r="H16" s="22" t="str">
        <f aca="false">IF(OR(F16="",F16="متوفر ومكتمل"),"",IF(OR(C16="★",F16="غير متوفر"),"عالية","متوسطة"))</f>
        <v/>
      </c>
      <c r="I16" s="24"/>
      <c r="J16" s="25"/>
      <c r="K16" s="24"/>
      <c r="L16" s="24"/>
    </row>
    <row r="17" customFormat="false" ht="22.35" hidden="false" customHeight="false" outlineLevel="0" collapsed="false">
      <c r="A17" s="22" t="s">
        <v>117</v>
      </c>
      <c r="B17" s="20"/>
      <c r="C17" s="21"/>
      <c r="D17" s="20" t="s">
        <v>123</v>
      </c>
      <c r="E17" s="22" t="str">
        <f aca="false">'الخطة واللجنة'!$B$22</f>
        <v>عضو 4</v>
      </c>
      <c r="F17" s="23"/>
      <c r="G17" s="23"/>
      <c r="H17" s="22" t="str">
        <f aca="false">IF(OR(F17="",F17="متوفر ومكتمل"),"",IF(OR(C17="★",F17="غير متوفر"),"عالية","متوسطة"))</f>
        <v/>
      </c>
      <c r="I17" s="24"/>
      <c r="J17" s="25"/>
      <c r="K17" s="24"/>
      <c r="L17" s="24"/>
    </row>
    <row r="18" customFormat="false" ht="22.35" hidden="false" customHeight="false" outlineLevel="0" collapsed="false">
      <c r="A18" s="36" t="s">
        <v>124</v>
      </c>
      <c r="B18" s="37" t="s">
        <v>125</v>
      </c>
      <c r="C18" s="38"/>
      <c r="D18" s="37" t="s">
        <v>126</v>
      </c>
      <c r="E18" s="29" t="str">
        <f aca="false">'الخطة واللجنة'!$B$22</f>
        <v>عضو 4</v>
      </c>
      <c r="F18" s="30"/>
      <c r="G18" s="30"/>
      <c r="H18" s="29" t="str">
        <f aca="false">IF(OR(F18="",F18="متوفر ومكتمل"),"",IF(OR(C18="★",F18="غير متوفر"),"عالية","متوسطة"))</f>
        <v/>
      </c>
      <c r="I18" s="31"/>
      <c r="J18" s="32"/>
      <c r="K18" s="31"/>
      <c r="L18" s="31"/>
    </row>
    <row r="19" customFormat="false" ht="15" hidden="false" customHeight="false" outlineLevel="0" collapsed="false">
      <c r="A19" s="22" t="s">
        <v>124</v>
      </c>
      <c r="B19" s="20"/>
      <c r="C19" s="21"/>
      <c r="D19" s="20" t="s">
        <v>127</v>
      </c>
      <c r="E19" s="22" t="str">
        <f aca="false">'الخطة واللجنة'!$B$22</f>
        <v>عضو 4</v>
      </c>
      <c r="F19" s="23"/>
      <c r="G19" s="23"/>
      <c r="H19" s="22" t="str">
        <f aca="false">IF(OR(F19="",F19="متوفر ومكتمل"),"",IF(OR(C19="★",F19="غير متوفر"),"عالية","متوسطة"))</f>
        <v/>
      </c>
      <c r="I19" s="24"/>
      <c r="J19" s="25"/>
      <c r="K19" s="24"/>
      <c r="L19" s="24"/>
    </row>
    <row r="20" customFormat="false" ht="43.25" hidden="false" customHeight="false" outlineLevel="0" collapsed="false">
      <c r="A20" s="36" t="s">
        <v>128</v>
      </c>
      <c r="B20" s="37" t="s">
        <v>129</v>
      </c>
      <c r="C20" s="38"/>
      <c r="D20" s="37" t="s">
        <v>130</v>
      </c>
      <c r="E20" s="29" t="str">
        <f aca="false">'الخطة واللجنة'!$B$22</f>
        <v>عضو 4</v>
      </c>
      <c r="F20" s="30"/>
      <c r="G20" s="30"/>
      <c r="H20" s="29" t="str">
        <f aca="false">IF(OR(F20="",F20="متوفر ومكتمل"),"",IF(OR(C20="★",F20="غير متوفر"),"عالية","متوسطة"))</f>
        <v/>
      </c>
      <c r="I20" s="31"/>
      <c r="J20" s="32"/>
      <c r="K20" s="31"/>
      <c r="L20" s="31"/>
    </row>
    <row r="21" customFormat="false" ht="22.35" hidden="false" customHeight="false" outlineLevel="0" collapsed="false">
      <c r="A21" s="22" t="s">
        <v>128</v>
      </c>
      <c r="B21" s="20"/>
      <c r="C21" s="21"/>
      <c r="D21" s="20" t="s">
        <v>131</v>
      </c>
      <c r="E21" s="22" t="str">
        <f aca="false">'الخطة واللجنة'!$B$22</f>
        <v>عضو 4</v>
      </c>
      <c r="F21" s="23"/>
      <c r="G21" s="23"/>
      <c r="H21" s="22" t="str">
        <f aca="false">IF(OR(F21="",F21="متوفر ومكتمل"),"",IF(OR(C21="★",F21="غير متوفر"),"عالية","متوسطة"))</f>
        <v/>
      </c>
      <c r="I21" s="24"/>
      <c r="J21" s="25"/>
      <c r="K21" s="24"/>
      <c r="L21" s="24"/>
    </row>
    <row r="22" customFormat="false" ht="22.35" hidden="false" customHeight="false" outlineLevel="0" collapsed="false">
      <c r="A22" s="22" t="s">
        <v>128</v>
      </c>
      <c r="B22" s="20"/>
      <c r="C22" s="21"/>
      <c r="D22" s="20" t="s">
        <v>132</v>
      </c>
      <c r="E22" s="22" t="str">
        <f aca="false">'الخطة واللجنة'!$B$22</f>
        <v>عضو 4</v>
      </c>
      <c r="F22" s="23"/>
      <c r="G22" s="23"/>
      <c r="H22" s="22" t="str">
        <f aca="false">IF(OR(F22="",F22="متوفر ومكتمل"),"",IF(OR(C22="★",F22="غير متوفر"),"عالية","متوسطة"))</f>
        <v/>
      </c>
      <c r="I22" s="24"/>
      <c r="J22" s="25"/>
      <c r="K22" s="24"/>
      <c r="L22" s="24"/>
    </row>
    <row r="23" customFormat="false" ht="22.35" hidden="false" customHeight="false" outlineLevel="0" collapsed="false">
      <c r="A23" s="22" t="s">
        <v>128</v>
      </c>
      <c r="B23" s="20"/>
      <c r="C23" s="21"/>
      <c r="D23" s="20" t="s">
        <v>133</v>
      </c>
      <c r="E23" s="22" t="str">
        <f aca="false">'الخطة واللجنة'!$B$22</f>
        <v>عضو 4</v>
      </c>
      <c r="F23" s="23"/>
      <c r="G23" s="23"/>
      <c r="H23" s="22" t="str">
        <f aca="false">IF(OR(F23="",F23="متوفر ومكتمل"),"",IF(OR(C23="★",F23="غير متوفر"),"عالية","متوسطة"))</f>
        <v/>
      </c>
      <c r="I23" s="24"/>
      <c r="J23" s="25"/>
      <c r="K23" s="24"/>
      <c r="L23" s="24"/>
    </row>
    <row r="24" customFormat="false" ht="32.8" hidden="false" customHeight="false" outlineLevel="0" collapsed="false">
      <c r="A24" s="36" t="s">
        <v>134</v>
      </c>
      <c r="B24" s="37" t="s">
        <v>135</v>
      </c>
      <c r="C24" s="38"/>
      <c r="D24" s="37" t="s">
        <v>136</v>
      </c>
      <c r="E24" s="29" t="str">
        <f aca="false">'الخطة واللجنة'!$B$22</f>
        <v>عضو 4</v>
      </c>
      <c r="F24" s="30"/>
      <c r="G24" s="30"/>
      <c r="H24" s="29" t="str">
        <f aca="false">IF(OR(F24="",F24="متوفر ومكتمل"),"",IF(OR(C24="★",F24="غير متوفر"),"عالية","متوسطة"))</f>
        <v/>
      </c>
      <c r="I24" s="31"/>
      <c r="J24" s="32"/>
      <c r="K24" s="31"/>
      <c r="L24" s="31"/>
    </row>
    <row r="25" customFormat="false" ht="15" hidden="false" customHeight="false" outlineLevel="0" collapsed="false">
      <c r="A25" s="22" t="s">
        <v>134</v>
      </c>
      <c r="B25" s="20"/>
      <c r="C25" s="21"/>
      <c r="D25" s="20" t="s">
        <v>137</v>
      </c>
      <c r="E25" s="22" t="str">
        <f aca="false">'الخطة واللجنة'!$B$22</f>
        <v>عضو 4</v>
      </c>
      <c r="F25" s="23"/>
      <c r="G25" s="23"/>
      <c r="H25" s="22" t="str">
        <f aca="false">IF(OR(F25="",F25="متوفر ومكتمل"),"",IF(OR(C25="★",F25="غير متوفر"),"عالية","متوسطة"))</f>
        <v/>
      </c>
      <c r="I25" s="24"/>
      <c r="J25" s="25"/>
      <c r="K25" s="24"/>
      <c r="L25" s="24"/>
    </row>
    <row r="26" customFormat="false" ht="15" hidden="false" customHeight="false" outlineLevel="0" collapsed="false">
      <c r="A26" s="22" t="s">
        <v>134</v>
      </c>
      <c r="B26" s="20"/>
      <c r="C26" s="21"/>
      <c r="D26" s="20" t="s">
        <v>138</v>
      </c>
      <c r="E26" s="22" t="str">
        <f aca="false">'الخطة واللجنة'!$B$22</f>
        <v>عضو 4</v>
      </c>
      <c r="F26" s="23"/>
      <c r="G26" s="23"/>
      <c r="H26" s="22" t="str">
        <f aca="false">IF(OR(F26="",F26="متوفر ومكتمل"),"",IF(OR(C26="★",F26="غير متوفر"),"عالية","متوسطة"))</f>
        <v/>
      </c>
      <c r="I26" s="24"/>
      <c r="J26" s="25"/>
      <c r="K26" s="24"/>
      <c r="L26" s="24"/>
    </row>
    <row r="27" customFormat="false" ht="22.35" hidden="false" customHeight="false" outlineLevel="0" collapsed="false">
      <c r="A27" s="22" t="s">
        <v>134</v>
      </c>
      <c r="B27" s="20"/>
      <c r="C27" s="21"/>
      <c r="D27" s="20" t="s">
        <v>139</v>
      </c>
      <c r="E27" s="22" t="str">
        <f aca="false">'الخطة واللجنة'!$B$22</f>
        <v>عضو 4</v>
      </c>
      <c r="F27" s="23"/>
      <c r="G27" s="23"/>
      <c r="H27" s="22" t="str">
        <f aca="false">IF(OR(F27="",F27="متوفر ومكتمل"),"",IF(OR(C27="★",F27="غير متوفر"),"عالية","متوسطة"))</f>
        <v/>
      </c>
      <c r="I27" s="24"/>
      <c r="J27" s="25"/>
      <c r="K27" s="24"/>
      <c r="L27" s="24"/>
    </row>
    <row r="28" customFormat="false" ht="22.35" hidden="false" customHeight="false" outlineLevel="0" collapsed="false">
      <c r="A28" s="36" t="s">
        <v>140</v>
      </c>
      <c r="B28" s="37" t="s">
        <v>141</v>
      </c>
      <c r="C28" s="38"/>
      <c r="D28" s="37" t="s">
        <v>142</v>
      </c>
      <c r="E28" s="29" t="str">
        <f aca="false">'الخطة واللجنة'!$B$22</f>
        <v>عضو 4</v>
      </c>
      <c r="F28" s="30"/>
      <c r="G28" s="30"/>
      <c r="H28" s="29" t="str">
        <f aca="false">IF(OR(F28="",F28="متوفر ومكتمل"),"",IF(OR(C28="★",F28="غير متوفر"),"عالية","متوسطة"))</f>
        <v/>
      </c>
      <c r="I28" s="31"/>
      <c r="J28" s="32"/>
      <c r="K28" s="31"/>
      <c r="L28" s="31"/>
    </row>
    <row r="29" customFormat="false" ht="22.35" hidden="false" customHeight="false" outlineLevel="0" collapsed="false">
      <c r="A29" s="22" t="s">
        <v>140</v>
      </c>
      <c r="B29" s="20"/>
      <c r="C29" s="21"/>
      <c r="D29" s="20" t="s">
        <v>143</v>
      </c>
      <c r="E29" s="22" t="str">
        <f aca="false">'الخطة واللجنة'!$B$22</f>
        <v>عضو 4</v>
      </c>
      <c r="F29" s="23"/>
      <c r="G29" s="23"/>
      <c r="H29" s="22" t="str">
        <f aca="false">IF(OR(F29="",F29="متوفر ومكتمل"),"",IF(OR(C29="★",F29="غير متوفر"),"عالية","متوسطة"))</f>
        <v/>
      </c>
      <c r="I29" s="24"/>
      <c r="J29" s="25"/>
      <c r="K29" s="24"/>
      <c r="L29" s="24"/>
    </row>
    <row r="30" customFormat="false" ht="22.35" hidden="false" customHeight="false" outlineLevel="0" collapsed="false">
      <c r="A30" s="22" t="s">
        <v>140</v>
      </c>
      <c r="B30" s="20"/>
      <c r="C30" s="21"/>
      <c r="D30" s="20" t="s">
        <v>144</v>
      </c>
      <c r="E30" s="22" t="str">
        <f aca="false">'الخطة واللجنة'!$B$22</f>
        <v>عضو 4</v>
      </c>
      <c r="F30" s="23"/>
      <c r="G30" s="23"/>
      <c r="H30" s="22" t="str">
        <f aca="false">IF(OR(F30="",F30="متوفر ومكتمل"),"",IF(OR(C30="★",F30="غير متوفر"),"عالية","متوسطة"))</f>
        <v/>
      </c>
      <c r="I30" s="24"/>
      <c r="J30" s="25"/>
      <c r="K30" s="24"/>
      <c r="L30" s="24"/>
    </row>
    <row r="31" customFormat="false" ht="15" hidden="false" customHeight="false" outlineLevel="0" collapsed="false">
      <c r="A31" s="22" t="s">
        <v>140</v>
      </c>
      <c r="B31" s="20"/>
      <c r="C31" s="21"/>
      <c r="D31" s="20" t="s">
        <v>145</v>
      </c>
      <c r="E31" s="22" t="str">
        <f aca="false">'الخطة واللجنة'!$B$22</f>
        <v>عضو 4</v>
      </c>
      <c r="F31" s="23"/>
      <c r="G31" s="23"/>
      <c r="H31" s="22" t="str">
        <f aca="false">IF(OR(F31="",F31="متوفر ومكتمل"),"",IF(OR(C31="★",F31="غير متوفر"),"عالية","متوسطة"))</f>
        <v/>
      </c>
      <c r="I31" s="24"/>
      <c r="J31" s="25"/>
      <c r="K31" s="24"/>
      <c r="L31" s="24"/>
    </row>
    <row r="32" customFormat="false" ht="15" hidden="false" customHeight="false" outlineLevel="0" collapsed="false">
      <c r="A32" s="22" t="s">
        <v>140</v>
      </c>
      <c r="B32" s="20"/>
      <c r="C32" s="21"/>
      <c r="D32" s="20" t="s">
        <v>146</v>
      </c>
      <c r="E32" s="22" t="str">
        <f aca="false">'الخطة واللجنة'!$B$22</f>
        <v>عضو 4</v>
      </c>
      <c r="F32" s="23"/>
      <c r="G32" s="23"/>
      <c r="H32" s="22" t="str">
        <f aca="false">IF(OR(F32="",F32="متوفر ومكتمل"),"",IF(OR(C32="★",F32="غير متوفر"),"عالية","متوسطة"))</f>
        <v/>
      </c>
      <c r="I32" s="24"/>
      <c r="J32" s="25"/>
      <c r="K32" s="24"/>
      <c r="L32" s="24"/>
    </row>
    <row r="33" customFormat="false" ht="32.8" hidden="false" customHeight="false" outlineLevel="0" collapsed="false">
      <c r="A33" s="26" t="s">
        <v>147</v>
      </c>
      <c r="B33" s="27" t="s">
        <v>148</v>
      </c>
      <c r="C33" s="28" t="s">
        <v>111</v>
      </c>
      <c r="D33" s="27" t="s">
        <v>149</v>
      </c>
      <c r="E33" s="29" t="str">
        <f aca="false">'الخطة واللجنة'!$B$22</f>
        <v>عضو 4</v>
      </c>
      <c r="F33" s="30"/>
      <c r="G33" s="30"/>
      <c r="H33" s="29" t="str">
        <f aca="false">IF(OR(F33="",F33="متوفر ومكتمل"),"",IF(OR(C33="★",F33="غير متوفر"),"عالية","متوسطة"))</f>
        <v/>
      </c>
      <c r="I33" s="31"/>
      <c r="J33" s="32"/>
      <c r="K33" s="31"/>
      <c r="L33" s="31"/>
    </row>
    <row r="34" customFormat="false" ht="15" hidden="false" customHeight="false" outlineLevel="0" collapsed="false">
      <c r="A34" s="33" t="s">
        <v>147</v>
      </c>
      <c r="B34" s="34"/>
      <c r="C34" s="35" t="s">
        <v>111</v>
      </c>
      <c r="D34" s="34" t="s">
        <v>150</v>
      </c>
      <c r="E34" s="22" t="str">
        <f aca="false">'الخطة واللجنة'!$B$22</f>
        <v>عضو 4</v>
      </c>
      <c r="F34" s="23"/>
      <c r="G34" s="23"/>
      <c r="H34" s="22" t="str">
        <f aca="false">IF(OR(F34="",F34="متوفر ومكتمل"),"",IF(OR(C34="★",F34="غير متوفر"),"عالية","متوسطة"))</f>
        <v/>
      </c>
      <c r="I34" s="24"/>
      <c r="J34" s="25"/>
      <c r="K34" s="24"/>
      <c r="L34" s="24"/>
    </row>
    <row r="35" customFormat="false" ht="15" hidden="false" customHeight="false" outlineLevel="0" collapsed="false">
      <c r="A35" s="33" t="s">
        <v>147</v>
      </c>
      <c r="B35" s="34"/>
      <c r="C35" s="35" t="s">
        <v>111</v>
      </c>
      <c r="D35" s="34" t="s">
        <v>151</v>
      </c>
      <c r="E35" s="22" t="str">
        <f aca="false">'الخطة واللجنة'!$B$22</f>
        <v>عضو 4</v>
      </c>
      <c r="F35" s="23"/>
      <c r="G35" s="23"/>
      <c r="H35" s="22" t="str">
        <f aca="false">IF(OR(F35="",F35="متوفر ومكتمل"),"",IF(OR(C35="★",F35="غير متوفر"),"عالية","متوسطة"))</f>
        <v/>
      </c>
      <c r="I35" s="24"/>
      <c r="J35" s="25"/>
      <c r="K35" s="24"/>
      <c r="L35" s="24"/>
    </row>
    <row r="36" customFormat="false" ht="22.35" hidden="false" customHeight="false" outlineLevel="0" collapsed="false">
      <c r="A36" s="33" t="s">
        <v>147</v>
      </c>
      <c r="B36" s="34"/>
      <c r="C36" s="35" t="s">
        <v>111</v>
      </c>
      <c r="D36" s="34" t="s">
        <v>152</v>
      </c>
      <c r="E36" s="22" t="str">
        <f aca="false">'الخطة واللجنة'!$B$22</f>
        <v>عضو 4</v>
      </c>
      <c r="F36" s="23"/>
      <c r="G36" s="23"/>
      <c r="H36" s="22" t="str">
        <f aca="false">IF(OR(F36="",F36="متوفر ومكتمل"),"",IF(OR(C36="★",F36="غير متوفر"),"عالية","متوسطة"))</f>
        <v/>
      </c>
      <c r="I36" s="24"/>
      <c r="J36" s="25"/>
      <c r="K36" s="24"/>
      <c r="L36" s="24"/>
    </row>
    <row r="37" customFormat="false" ht="22.35" hidden="false" customHeight="false" outlineLevel="0" collapsed="false">
      <c r="A37" s="33" t="s">
        <v>147</v>
      </c>
      <c r="B37" s="34"/>
      <c r="C37" s="35" t="s">
        <v>111</v>
      </c>
      <c r="D37" s="34" t="s">
        <v>153</v>
      </c>
      <c r="E37" s="22" t="str">
        <f aca="false">'الخطة واللجنة'!$B$22</f>
        <v>عضو 4</v>
      </c>
      <c r="F37" s="23"/>
      <c r="G37" s="23"/>
      <c r="H37" s="22" t="str">
        <f aca="false">IF(OR(F37="",F37="متوفر ومكتمل"),"",IF(OR(C37="★",F37="غير متوفر"),"عالية","متوسطة"))</f>
        <v/>
      </c>
      <c r="I37" s="24"/>
      <c r="J37" s="25"/>
      <c r="K37" s="24"/>
      <c r="L37" s="24"/>
    </row>
    <row r="38" customFormat="false" ht="15" hidden="false" customHeight="false" outlineLevel="0" collapsed="false">
      <c r="A38" s="33" t="s">
        <v>147</v>
      </c>
      <c r="B38" s="34"/>
      <c r="C38" s="35" t="s">
        <v>111</v>
      </c>
      <c r="D38" s="34" t="s">
        <v>154</v>
      </c>
      <c r="E38" s="22" t="str">
        <f aca="false">'الخطة واللجنة'!$B$22</f>
        <v>عضو 4</v>
      </c>
      <c r="F38" s="23"/>
      <c r="G38" s="23"/>
      <c r="H38" s="22" t="str">
        <f aca="false">IF(OR(F38="",F38="متوفر ومكتمل"),"",IF(OR(C38="★",F38="غير متوفر"),"عالية","متوسطة"))</f>
        <v/>
      </c>
      <c r="I38" s="24"/>
      <c r="J38" s="25"/>
      <c r="K38" s="24"/>
      <c r="L38" s="24"/>
    </row>
    <row r="39" customFormat="false" ht="22.35" hidden="false" customHeight="false" outlineLevel="0" collapsed="false">
      <c r="A39" s="36" t="s">
        <v>155</v>
      </c>
      <c r="B39" s="37" t="s">
        <v>156</v>
      </c>
      <c r="C39" s="38"/>
      <c r="D39" s="37" t="s">
        <v>157</v>
      </c>
      <c r="E39" s="29" t="str">
        <f aca="false">'الخطة واللجنة'!$B$22</f>
        <v>عضو 4</v>
      </c>
      <c r="F39" s="30"/>
      <c r="G39" s="30"/>
      <c r="H39" s="29" t="str">
        <f aca="false">IF(OR(F39="",F39="متوفر ومكتمل"),"",IF(OR(C39="★",F39="غير متوفر"),"عالية","متوسطة"))</f>
        <v/>
      </c>
      <c r="I39" s="31"/>
      <c r="J39" s="32"/>
      <c r="K39" s="31"/>
      <c r="L39" s="31"/>
    </row>
    <row r="40" customFormat="false" ht="15" hidden="false" customHeight="false" outlineLevel="0" collapsed="false">
      <c r="A40" s="22" t="s">
        <v>155</v>
      </c>
      <c r="B40" s="20"/>
      <c r="C40" s="21"/>
      <c r="D40" s="20" t="s">
        <v>158</v>
      </c>
      <c r="E40" s="22" t="str">
        <f aca="false">'الخطة واللجنة'!$B$22</f>
        <v>عضو 4</v>
      </c>
      <c r="F40" s="23"/>
      <c r="G40" s="23"/>
      <c r="H40" s="22" t="str">
        <f aca="false">IF(OR(F40="",F40="متوفر ومكتمل"),"",IF(OR(C40="★",F40="غير متوفر"),"عالية","متوسطة"))</f>
        <v/>
      </c>
      <c r="I40" s="24"/>
      <c r="J40" s="25"/>
      <c r="K40" s="24"/>
      <c r="L40" s="24"/>
    </row>
    <row r="41" customFormat="false" ht="15" hidden="false" customHeight="false" outlineLevel="0" collapsed="false">
      <c r="A41" s="22" t="s">
        <v>155</v>
      </c>
      <c r="B41" s="20"/>
      <c r="C41" s="21"/>
      <c r="D41" s="20" t="s">
        <v>159</v>
      </c>
      <c r="E41" s="22" t="str">
        <f aca="false">'الخطة واللجنة'!$B$22</f>
        <v>عضو 4</v>
      </c>
      <c r="F41" s="23"/>
      <c r="G41" s="23"/>
      <c r="H41" s="22" t="str">
        <f aca="false">IF(OR(F41="",F41="متوفر ومكتمل"),"",IF(OR(C41="★",F41="غير متوفر"),"عالية","متوسطة"))</f>
        <v/>
      </c>
      <c r="I41" s="24"/>
      <c r="J41" s="25"/>
      <c r="K41" s="24"/>
      <c r="L41" s="24"/>
    </row>
    <row r="42" customFormat="false" ht="15" hidden="false" customHeight="false" outlineLevel="0" collapsed="false">
      <c r="A42" s="22" t="s">
        <v>155</v>
      </c>
      <c r="B42" s="20"/>
      <c r="C42" s="21"/>
      <c r="D42" s="20" t="s">
        <v>160</v>
      </c>
      <c r="E42" s="22" t="str">
        <f aca="false">'الخطة واللجنة'!$B$22</f>
        <v>عضو 4</v>
      </c>
      <c r="F42" s="23"/>
      <c r="G42" s="23"/>
      <c r="H42" s="22" t="str">
        <f aca="false">IF(OR(F42="",F42="متوفر ومكتمل"),"",IF(OR(C42="★",F42="غير متوفر"),"عالية","متوسطة"))</f>
        <v/>
      </c>
      <c r="I42" s="24"/>
      <c r="J42" s="25"/>
      <c r="K42" s="24"/>
      <c r="L42" s="24"/>
    </row>
    <row r="43" customFormat="false" ht="22.35" hidden="false" customHeight="false" outlineLevel="0" collapsed="false">
      <c r="A43" s="36" t="s">
        <v>161</v>
      </c>
      <c r="B43" s="37" t="s">
        <v>162</v>
      </c>
      <c r="C43" s="38"/>
      <c r="D43" s="37" t="s">
        <v>163</v>
      </c>
      <c r="E43" s="29" t="str">
        <f aca="false">'الخطة واللجنة'!$B$22</f>
        <v>عضو 4</v>
      </c>
      <c r="F43" s="30"/>
      <c r="G43" s="30"/>
      <c r="H43" s="29" t="str">
        <f aca="false">IF(OR(F43="",F43="متوفر ومكتمل"),"",IF(OR(C43="★",F43="غير متوفر"),"عالية","متوسطة"))</f>
        <v/>
      </c>
      <c r="I43" s="31"/>
      <c r="J43" s="32"/>
      <c r="K43" s="31"/>
      <c r="L43" s="31"/>
    </row>
    <row r="44" customFormat="false" ht="15" hidden="false" customHeight="false" outlineLevel="0" collapsed="false">
      <c r="A44" s="22" t="s">
        <v>161</v>
      </c>
      <c r="B44" s="20"/>
      <c r="C44" s="21"/>
      <c r="D44" s="20" t="s">
        <v>164</v>
      </c>
      <c r="E44" s="22" t="str">
        <f aca="false">'الخطة واللجنة'!$B$22</f>
        <v>عضو 4</v>
      </c>
      <c r="F44" s="23"/>
      <c r="G44" s="23"/>
      <c r="H44" s="22" t="str">
        <f aca="false">IF(OR(F44="",F44="متوفر ومكتمل"),"",IF(OR(C44="★",F44="غير متوفر"),"عالية","متوسطة"))</f>
        <v/>
      </c>
      <c r="I44" s="24"/>
      <c r="J44" s="25"/>
      <c r="K44" s="24"/>
      <c r="L44" s="24"/>
    </row>
    <row r="45" customFormat="false" ht="15" hidden="false" customHeight="false" outlineLevel="0" collapsed="false">
      <c r="A45" s="22" t="s">
        <v>161</v>
      </c>
      <c r="B45" s="20"/>
      <c r="C45" s="21"/>
      <c r="D45" s="20" t="s">
        <v>165</v>
      </c>
      <c r="E45" s="22" t="str">
        <f aca="false">'الخطة واللجنة'!$B$22</f>
        <v>عضو 4</v>
      </c>
      <c r="F45" s="23"/>
      <c r="G45" s="23"/>
      <c r="H45" s="22" t="str">
        <f aca="false">IF(OR(F45="",F45="متوفر ومكتمل"),"",IF(OR(C45="★",F45="غير متوفر"),"عالية","متوسطة"))</f>
        <v/>
      </c>
      <c r="I45" s="24"/>
      <c r="J45" s="25"/>
      <c r="K45" s="24"/>
      <c r="L45" s="24"/>
    </row>
    <row r="46" customFormat="false" ht="15" hidden="false" customHeight="false" outlineLevel="0" collapsed="false">
      <c r="A46" s="22" t="s">
        <v>161</v>
      </c>
      <c r="B46" s="20"/>
      <c r="C46" s="21"/>
      <c r="D46" s="20" t="s">
        <v>166</v>
      </c>
      <c r="E46" s="22" t="str">
        <f aca="false">'الخطة واللجنة'!$B$22</f>
        <v>عضو 4</v>
      </c>
      <c r="F46" s="23"/>
      <c r="G46" s="23"/>
      <c r="H46" s="22" t="str">
        <f aca="false">IF(OR(F46="",F46="متوفر ومكتمل"),"",IF(OR(C46="★",F46="غير متوفر"),"عالية","متوسطة"))</f>
        <v/>
      </c>
      <c r="I46" s="24"/>
      <c r="J46" s="25"/>
      <c r="K46" s="24"/>
      <c r="L46" s="24"/>
    </row>
    <row r="47" customFormat="false" ht="22.35" hidden="false" customHeight="false" outlineLevel="0" collapsed="false">
      <c r="A47" s="26" t="s">
        <v>167</v>
      </c>
      <c r="B47" s="27" t="s">
        <v>168</v>
      </c>
      <c r="C47" s="28" t="s">
        <v>111</v>
      </c>
      <c r="D47" s="27" t="s">
        <v>169</v>
      </c>
      <c r="E47" s="29" t="str">
        <f aca="false">'الخطة واللجنة'!$B$22</f>
        <v>عضو 4</v>
      </c>
      <c r="F47" s="30"/>
      <c r="G47" s="30"/>
      <c r="H47" s="29" t="str">
        <f aca="false">IF(OR(F47="",F47="متوفر ومكتمل"),"",IF(OR(C47="★",F47="غير متوفر"),"عالية","متوسطة"))</f>
        <v/>
      </c>
      <c r="I47" s="31"/>
      <c r="J47" s="32"/>
      <c r="K47" s="31"/>
      <c r="L47" s="31"/>
    </row>
    <row r="48" customFormat="false" ht="22.35" hidden="false" customHeight="false" outlineLevel="0" collapsed="false">
      <c r="A48" s="33" t="s">
        <v>167</v>
      </c>
      <c r="B48" s="34"/>
      <c r="C48" s="35" t="s">
        <v>111</v>
      </c>
      <c r="D48" s="34" t="s">
        <v>170</v>
      </c>
      <c r="E48" s="22" t="str">
        <f aca="false">'الخطة واللجنة'!$B$22</f>
        <v>عضو 4</v>
      </c>
      <c r="F48" s="23"/>
      <c r="G48" s="23"/>
      <c r="H48" s="22" t="str">
        <f aca="false">IF(OR(F48="",F48="متوفر ومكتمل"),"",IF(OR(C48="★",F48="غير متوفر"),"عالية","متوسطة"))</f>
        <v/>
      </c>
      <c r="I48" s="24"/>
      <c r="J48" s="25"/>
      <c r="K48" s="24"/>
      <c r="L48" s="24"/>
    </row>
    <row r="49" customFormat="false" ht="15" hidden="false" customHeight="false" outlineLevel="0" collapsed="false">
      <c r="A49" s="33" t="s">
        <v>167</v>
      </c>
      <c r="B49" s="34"/>
      <c r="C49" s="35" t="s">
        <v>111</v>
      </c>
      <c r="D49" s="34" t="s">
        <v>171</v>
      </c>
      <c r="E49" s="22" t="str">
        <f aca="false">'الخطة واللجنة'!$B$22</f>
        <v>عضو 4</v>
      </c>
      <c r="F49" s="23"/>
      <c r="G49" s="23"/>
      <c r="H49" s="22" t="str">
        <f aca="false">IF(OR(F49="",F49="متوفر ومكتمل"),"",IF(OR(C49="★",F49="غير متوفر"),"عالية","متوسطة"))</f>
        <v/>
      </c>
      <c r="I49" s="24"/>
      <c r="J49" s="25"/>
      <c r="K49" s="24"/>
      <c r="L49" s="24"/>
    </row>
    <row r="50" customFormat="false" ht="15" hidden="false" customHeight="false" outlineLevel="0" collapsed="false">
      <c r="A50" s="36" t="s">
        <v>172</v>
      </c>
      <c r="B50" s="37" t="s">
        <v>173</v>
      </c>
      <c r="C50" s="38"/>
      <c r="D50" s="37" t="s">
        <v>174</v>
      </c>
      <c r="E50" s="29" t="str">
        <f aca="false">'الخطة واللجنة'!$B$22</f>
        <v>عضو 4</v>
      </c>
      <c r="F50" s="30"/>
      <c r="G50" s="30"/>
      <c r="H50" s="29" t="str">
        <f aca="false">IF(OR(F50="",F50="متوفر ومكتمل"),"",IF(OR(C50="★",F50="غير متوفر"),"عالية","متوسطة"))</f>
        <v/>
      </c>
      <c r="I50" s="31"/>
      <c r="J50" s="32"/>
      <c r="K50" s="31"/>
      <c r="L50" s="31"/>
    </row>
    <row r="51" customFormat="false" ht="15" hidden="false" customHeight="false" outlineLevel="0" collapsed="false">
      <c r="A51" s="22" t="s">
        <v>172</v>
      </c>
      <c r="B51" s="20"/>
      <c r="C51" s="21"/>
      <c r="D51" s="20" t="s">
        <v>175</v>
      </c>
      <c r="E51" s="22" t="str">
        <f aca="false">'الخطة واللجنة'!$B$22</f>
        <v>عضو 4</v>
      </c>
      <c r="F51" s="23"/>
      <c r="G51" s="23"/>
      <c r="H51" s="22" t="str">
        <f aca="false">IF(OR(F51="",F51="متوفر ومكتمل"),"",IF(OR(C51="★",F51="غير متوفر"),"عالية","متوسطة"))</f>
        <v/>
      </c>
      <c r="I51" s="24"/>
      <c r="J51" s="25"/>
      <c r="K51" s="24"/>
      <c r="L51" s="24"/>
    </row>
    <row r="52" customFormat="false" ht="15" hidden="false" customHeight="false" outlineLevel="0" collapsed="false">
      <c r="A52" s="22" t="s">
        <v>172</v>
      </c>
      <c r="B52" s="20"/>
      <c r="C52" s="21"/>
      <c r="D52" s="20" t="s">
        <v>176</v>
      </c>
      <c r="E52" s="22" t="str">
        <f aca="false">'الخطة واللجنة'!$B$22</f>
        <v>عضو 4</v>
      </c>
      <c r="F52" s="23"/>
      <c r="G52" s="23"/>
      <c r="H52" s="22" t="str">
        <f aca="false">IF(OR(F52="",F52="متوفر ومكتمل"),"",IF(OR(C52="★",F52="غير متوفر"),"عالية","متوسطة"))</f>
        <v/>
      </c>
      <c r="I52" s="24"/>
      <c r="J52" s="25"/>
      <c r="K52" s="24"/>
      <c r="L52" s="24"/>
    </row>
    <row r="53" customFormat="false" ht="15" hidden="false" customHeight="false" outlineLevel="0" collapsed="false">
      <c r="A53" s="22" t="s">
        <v>172</v>
      </c>
      <c r="B53" s="20"/>
      <c r="C53" s="21"/>
      <c r="D53" s="20" t="s">
        <v>177</v>
      </c>
      <c r="E53" s="22" t="str">
        <f aca="false">'الخطة واللجنة'!$B$22</f>
        <v>عضو 4</v>
      </c>
      <c r="F53" s="23"/>
      <c r="G53" s="23"/>
      <c r="H53" s="22" t="str">
        <f aca="false">IF(OR(F53="",F53="متوفر ومكتمل"),"",IF(OR(C53="★",F53="غير متوفر"),"عالية","متوسطة"))</f>
        <v/>
      </c>
      <c r="I53" s="24"/>
      <c r="J53" s="25"/>
      <c r="K53" s="24"/>
      <c r="L53" s="24"/>
    </row>
    <row r="54" customFormat="false" ht="15" hidden="false" customHeight="false" outlineLevel="0" collapsed="false">
      <c r="A54" s="22" t="s">
        <v>172</v>
      </c>
      <c r="B54" s="20"/>
      <c r="C54" s="21"/>
      <c r="D54" s="20" t="s">
        <v>178</v>
      </c>
      <c r="E54" s="22" t="str">
        <f aca="false">'الخطة واللجنة'!$B$22</f>
        <v>عضو 4</v>
      </c>
      <c r="F54" s="23"/>
      <c r="G54" s="23"/>
      <c r="H54" s="22" t="str">
        <f aca="false">IF(OR(F54="",F54="متوفر ومكتمل"),"",IF(OR(C54="★",F54="غير متوفر"),"عالية","متوسطة"))</f>
        <v/>
      </c>
      <c r="I54" s="24"/>
      <c r="J54" s="25"/>
      <c r="K54" s="24"/>
      <c r="L54" s="24"/>
    </row>
    <row r="55" customFormat="false" ht="15" hidden="false" customHeight="false" outlineLevel="0" collapsed="false">
      <c r="A55" s="22" t="s">
        <v>172</v>
      </c>
      <c r="B55" s="20"/>
      <c r="C55" s="21"/>
      <c r="D55" s="20" t="s">
        <v>179</v>
      </c>
      <c r="E55" s="22" t="str">
        <f aca="false">'الخطة واللجنة'!$B$22</f>
        <v>عضو 4</v>
      </c>
      <c r="F55" s="23"/>
      <c r="G55" s="23"/>
      <c r="H55" s="22" t="str">
        <f aca="false">IF(OR(F55="",F55="متوفر ومكتمل"),"",IF(OR(C55="★",F55="غير متوفر"),"عالية","متوسطة"))</f>
        <v/>
      </c>
      <c r="I55" s="24"/>
      <c r="J55" s="25"/>
      <c r="K55" s="24"/>
      <c r="L55" s="24"/>
    </row>
    <row r="56" customFormat="false" ht="32.8" hidden="false" customHeight="false" outlineLevel="0" collapsed="false">
      <c r="A56" s="36" t="s">
        <v>180</v>
      </c>
      <c r="B56" s="37" t="s">
        <v>181</v>
      </c>
      <c r="C56" s="38"/>
      <c r="D56" s="37" t="s">
        <v>182</v>
      </c>
      <c r="E56" s="29" t="str">
        <f aca="false">'الخطة واللجنة'!$B$24</f>
        <v>عضو 6</v>
      </c>
      <c r="F56" s="30"/>
      <c r="G56" s="30"/>
      <c r="H56" s="29" t="str">
        <f aca="false">IF(OR(F56="",F56="متوفر ومكتمل"),"",IF(OR(C56="★",F56="غير متوفر"),"عالية","متوسطة"))</f>
        <v/>
      </c>
      <c r="I56" s="31"/>
      <c r="J56" s="32"/>
      <c r="K56" s="31"/>
      <c r="L56" s="31"/>
    </row>
    <row r="57" customFormat="false" ht="15" hidden="false" customHeight="false" outlineLevel="0" collapsed="false">
      <c r="A57" s="22" t="s">
        <v>180</v>
      </c>
      <c r="B57" s="20"/>
      <c r="C57" s="21"/>
      <c r="D57" s="20" t="s">
        <v>183</v>
      </c>
      <c r="E57" s="22" t="str">
        <f aca="false">'الخطة واللجنة'!$B$24</f>
        <v>عضو 6</v>
      </c>
      <c r="F57" s="23"/>
      <c r="G57" s="23"/>
      <c r="H57" s="22" t="str">
        <f aca="false">IF(OR(F57="",F57="متوفر ومكتمل"),"",IF(OR(C57="★",F57="غير متوفر"),"عالية","متوسطة"))</f>
        <v/>
      </c>
      <c r="I57" s="24"/>
      <c r="J57" s="25"/>
      <c r="K57" s="24"/>
      <c r="L57" s="24"/>
    </row>
    <row r="58" customFormat="false" ht="22.35" hidden="false" customHeight="false" outlineLevel="0" collapsed="false">
      <c r="A58" s="22" t="s">
        <v>180</v>
      </c>
      <c r="B58" s="20"/>
      <c r="C58" s="21"/>
      <c r="D58" s="20" t="s">
        <v>184</v>
      </c>
      <c r="E58" s="22" t="str">
        <f aca="false">'الخطة واللجنة'!$B$24</f>
        <v>عضو 6</v>
      </c>
      <c r="F58" s="23"/>
      <c r="G58" s="23"/>
      <c r="H58" s="22" t="str">
        <f aca="false">IF(OR(F58="",F58="متوفر ومكتمل"),"",IF(OR(C58="★",F58="غير متوفر"),"عالية","متوسطة"))</f>
        <v/>
      </c>
      <c r="I58" s="24"/>
      <c r="J58" s="25"/>
      <c r="K58" s="24"/>
      <c r="L58" s="24"/>
    </row>
    <row r="59" customFormat="false" ht="15" hidden="false" customHeight="false" outlineLevel="0" collapsed="false">
      <c r="A59" s="22" t="s">
        <v>180</v>
      </c>
      <c r="B59" s="20"/>
      <c r="C59" s="21"/>
      <c r="D59" s="20" t="s">
        <v>185</v>
      </c>
      <c r="E59" s="22" t="str">
        <f aca="false">'الخطة واللجنة'!$B$24</f>
        <v>عضو 6</v>
      </c>
      <c r="F59" s="23"/>
      <c r="G59" s="23"/>
      <c r="H59" s="22" t="str">
        <f aca="false">IF(OR(F59="",F59="متوفر ومكتمل"),"",IF(OR(C59="★",F59="غير متوفر"),"عالية","متوسطة"))</f>
        <v/>
      </c>
      <c r="I59" s="24"/>
      <c r="J59" s="25"/>
      <c r="K59" s="24"/>
      <c r="L59" s="24"/>
    </row>
    <row r="60" customFormat="false" ht="15" hidden="false" customHeight="false" outlineLevel="0" collapsed="false">
      <c r="A60" s="22" t="s">
        <v>180</v>
      </c>
      <c r="B60" s="20"/>
      <c r="C60" s="21"/>
      <c r="D60" s="20" t="s">
        <v>186</v>
      </c>
      <c r="E60" s="22" t="str">
        <f aca="false">'الخطة واللجنة'!$B$24</f>
        <v>عضو 6</v>
      </c>
      <c r="F60" s="23"/>
      <c r="G60" s="23"/>
      <c r="H60" s="22" t="str">
        <f aca="false">IF(OR(F60="",F60="متوفر ومكتمل"),"",IF(OR(C60="★",F60="غير متوفر"),"عالية","متوسطة"))</f>
        <v/>
      </c>
      <c r="I60" s="24"/>
      <c r="J60" s="25"/>
      <c r="K60" s="24"/>
      <c r="L60" s="24"/>
    </row>
    <row r="61" customFormat="false" ht="22.35" hidden="false" customHeight="false" outlineLevel="0" collapsed="false">
      <c r="A61" s="22" t="s">
        <v>180</v>
      </c>
      <c r="B61" s="20"/>
      <c r="C61" s="21"/>
      <c r="D61" s="20" t="s">
        <v>187</v>
      </c>
      <c r="E61" s="22" t="str">
        <f aca="false">'الخطة واللجنة'!$B$24</f>
        <v>عضو 6</v>
      </c>
      <c r="F61" s="23"/>
      <c r="G61" s="23"/>
      <c r="H61" s="22" t="str">
        <f aca="false">IF(OR(F61="",F61="متوفر ومكتمل"),"",IF(OR(C61="★",F61="غير متوفر"),"عالية","متوسطة"))</f>
        <v/>
      </c>
      <c r="I61" s="24"/>
      <c r="J61" s="25"/>
      <c r="K61" s="24"/>
      <c r="L61" s="24"/>
    </row>
    <row r="62" customFormat="false" ht="15" hidden="false" customHeight="false" outlineLevel="0" collapsed="false">
      <c r="A62" s="22" t="s">
        <v>180</v>
      </c>
      <c r="B62" s="20"/>
      <c r="C62" s="21"/>
      <c r="D62" s="20" t="s">
        <v>188</v>
      </c>
      <c r="E62" s="22" t="str">
        <f aca="false">'الخطة واللجنة'!$B$24</f>
        <v>عضو 6</v>
      </c>
      <c r="F62" s="23"/>
      <c r="G62" s="23"/>
      <c r="H62" s="22" t="str">
        <f aca="false">IF(OR(F62="",F62="متوفر ومكتمل"),"",IF(OR(C62="★",F62="غير متوفر"),"عالية","متوسطة"))</f>
        <v/>
      </c>
      <c r="I62" s="24"/>
      <c r="J62" s="25"/>
      <c r="K62" s="24"/>
      <c r="L62" s="24"/>
    </row>
    <row r="63" customFormat="false" ht="22.35" hidden="false" customHeight="false" outlineLevel="0" collapsed="false">
      <c r="A63" s="22" t="s">
        <v>180</v>
      </c>
      <c r="B63" s="20"/>
      <c r="C63" s="21"/>
      <c r="D63" s="20" t="s">
        <v>189</v>
      </c>
      <c r="E63" s="22" t="str">
        <f aca="false">'الخطة واللجنة'!$B$24</f>
        <v>عضو 6</v>
      </c>
      <c r="F63" s="23"/>
      <c r="G63" s="23"/>
      <c r="H63" s="22" t="str">
        <f aca="false">IF(OR(F63="",F63="متوفر ومكتمل"),"",IF(OR(C63="★",F63="غير متوفر"),"عالية","متوسطة"))</f>
        <v/>
      </c>
      <c r="I63" s="24"/>
      <c r="J63" s="25"/>
      <c r="K63" s="24"/>
      <c r="L63" s="24"/>
    </row>
    <row r="64" customFormat="false" ht="22.35" hidden="false" customHeight="false" outlineLevel="0" collapsed="false">
      <c r="A64" s="22" t="s">
        <v>180</v>
      </c>
      <c r="B64" s="20"/>
      <c r="C64" s="21"/>
      <c r="D64" s="20" t="s">
        <v>190</v>
      </c>
      <c r="E64" s="22" t="str">
        <f aca="false">'الخطة واللجنة'!$B$24</f>
        <v>عضو 6</v>
      </c>
      <c r="F64" s="23"/>
      <c r="G64" s="23"/>
      <c r="H64" s="22" t="str">
        <f aca="false">IF(OR(F64="",F64="متوفر ومكتمل"),"",IF(OR(C64="★",F64="غير متوفر"),"عالية","متوسطة"))</f>
        <v/>
      </c>
      <c r="I64" s="24"/>
      <c r="J64" s="25"/>
      <c r="K64" s="24"/>
      <c r="L64" s="24"/>
    </row>
    <row r="65" customFormat="false" ht="22.35" hidden="false" customHeight="false" outlineLevel="0" collapsed="false">
      <c r="A65" s="22" t="s">
        <v>180</v>
      </c>
      <c r="B65" s="20"/>
      <c r="C65" s="21"/>
      <c r="D65" s="20" t="s">
        <v>191</v>
      </c>
      <c r="E65" s="22" t="str">
        <f aca="false">'الخطة واللجنة'!$B$24</f>
        <v>عضو 6</v>
      </c>
      <c r="F65" s="23"/>
      <c r="G65" s="23"/>
      <c r="H65" s="22" t="str">
        <f aca="false">IF(OR(F65="",F65="متوفر ومكتمل"),"",IF(OR(C65="★",F65="غير متوفر"),"عالية","متوسطة"))</f>
        <v/>
      </c>
      <c r="I65" s="24"/>
      <c r="J65" s="25"/>
      <c r="K65" s="24"/>
      <c r="L65" s="24"/>
    </row>
    <row r="66" customFormat="false" ht="22.35" hidden="false" customHeight="false" outlineLevel="0" collapsed="false">
      <c r="A66" s="26" t="s">
        <v>192</v>
      </c>
      <c r="B66" s="27" t="s">
        <v>193</v>
      </c>
      <c r="C66" s="28" t="s">
        <v>111</v>
      </c>
      <c r="D66" s="27" t="s">
        <v>194</v>
      </c>
      <c r="E66" s="29" t="str">
        <f aca="false">'الخطة واللجنة'!$B$24</f>
        <v>عضو 6</v>
      </c>
      <c r="F66" s="30"/>
      <c r="G66" s="30"/>
      <c r="H66" s="29" t="str">
        <f aca="false">IF(OR(F66="",F66="متوفر ومكتمل"),"",IF(OR(C66="★",F66="غير متوفر"),"عالية","متوسطة"))</f>
        <v/>
      </c>
      <c r="I66" s="31"/>
      <c r="J66" s="32"/>
      <c r="K66" s="31"/>
      <c r="L66" s="31"/>
    </row>
    <row r="67" customFormat="false" ht="22.35" hidden="false" customHeight="false" outlineLevel="0" collapsed="false">
      <c r="A67" s="33" t="s">
        <v>192</v>
      </c>
      <c r="B67" s="34"/>
      <c r="C67" s="35" t="s">
        <v>111</v>
      </c>
      <c r="D67" s="34" t="s">
        <v>195</v>
      </c>
      <c r="E67" s="22" t="str">
        <f aca="false">'الخطة واللجنة'!$B$24</f>
        <v>عضو 6</v>
      </c>
      <c r="F67" s="23"/>
      <c r="G67" s="23"/>
      <c r="H67" s="22" t="str">
        <f aca="false">IF(OR(F67="",F67="متوفر ومكتمل"),"",IF(OR(C67="★",F67="غير متوفر"),"عالية","متوسطة"))</f>
        <v/>
      </c>
      <c r="I67" s="24"/>
      <c r="J67" s="25"/>
      <c r="K67" s="24"/>
      <c r="L67" s="24"/>
    </row>
    <row r="68" customFormat="false" ht="22.35" hidden="false" customHeight="false" outlineLevel="0" collapsed="false">
      <c r="A68" s="33" t="s">
        <v>192</v>
      </c>
      <c r="B68" s="34"/>
      <c r="C68" s="35" t="s">
        <v>111</v>
      </c>
      <c r="D68" s="34" t="s">
        <v>196</v>
      </c>
      <c r="E68" s="22" t="str">
        <f aca="false">'الخطة واللجنة'!$B$24</f>
        <v>عضو 6</v>
      </c>
      <c r="F68" s="23"/>
      <c r="G68" s="23"/>
      <c r="H68" s="22" t="str">
        <f aca="false">IF(OR(F68="",F68="متوفر ومكتمل"),"",IF(OR(C68="★",F68="غير متوفر"),"عالية","متوسطة"))</f>
        <v/>
      </c>
      <c r="I68" s="24"/>
      <c r="J68" s="25"/>
      <c r="K68" s="24"/>
      <c r="L68" s="24"/>
    </row>
    <row r="69" customFormat="false" ht="22.35" hidden="false" customHeight="false" outlineLevel="0" collapsed="false">
      <c r="A69" s="36" t="s">
        <v>197</v>
      </c>
      <c r="B69" s="37" t="s">
        <v>198</v>
      </c>
      <c r="C69" s="38"/>
      <c r="D69" s="37" t="s">
        <v>199</v>
      </c>
      <c r="E69" s="29" t="str">
        <f aca="false">'الخطة واللجنة'!$B$24</f>
        <v>عضو 6</v>
      </c>
      <c r="F69" s="30"/>
      <c r="G69" s="30"/>
      <c r="H69" s="29" t="str">
        <f aca="false">IF(OR(F69="",F69="متوفر ومكتمل"),"",IF(OR(C69="★",F69="غير متوفر"),"عالية","متوسطة"))</f>
        <v/>
      </c>
      <c r="I69" s="31"/>
      <c r="J69" s="32"/>
      <c r="K69" s="31"/>
      <c r="L69" s="31"/>
    </row>
    <row r="70" customFormat="false" ht="22.35" hidden="false" customHeight="false" outlineLevel="0" collapsed="false">
      <c r="A70" s="22" t="s">
        <v>197</v>
      </c>
      <c r="B70" s="20"/>
      <c r="C70" s="21"/>
      <c r="D70" s="20" t="s">
        <v>200</v>
      </c>
      <c r="E70" s="22" t="str">
        <f aca="false">'الخطة واللجنة'!$B$24</f>
        <v>عضو 6</v>
      </c>
      <c r="F70" s="23"/>
      <c r="G70" s="23"/>
      <c r="H70" s="22" t="str">
        <f aca="false">IF(OR(F70="",F70="متوفر ومكتمل"),"",IF(OR(C70="★",F70="غير متوفر"),"عالية","متوسطة"))</f>
        <v/>
      </c>
      <c r="I70" s="24"/>
      <c r="J70" s="25"/>
      <c r="K70" s="24"/>
      <c r="L70" s="24"/>
    </row>
    <row r="71" customFormat="false" ht="22.35" hidden="false" customHeight="false" outlineLevel="0" collapsed="false">
      <c r="A71" s="22" t="s">
        <v>197</v>
      </c>
      <c r="B71" s="20"/>
      <c r="C71" s="21"/>
      <c r="D71" s="20" t="s">
        <v>201</v>
      </c>
      <c r="E71" s="22" t="str">
        <f aca="false">'الخطة واللجنة'!$B$24</f>
        <v>عضو 6</v>
      </c>
      <c r="F71" s="23"/>
      <c r="G71" s="23"/>
      <c r="H71" s="22" t="str">
        <f aca="false">IF(OR(F71="",F71="متوفر ومكتمل"),"",IF(OR(C71="★",F71="غير متوفر"),"عالية","متوسطة"))</f>
        <v/>
      </c>
      <c r="I71" s="24"/>
      <c r="J71" s="25"/>
      <c r="K71" s="24"/>
      <c r="L71" s="24"/>
    </row>
    <row r="72" customFormat="false" ht="22.35" hidden="false" customHeight="false" outlineLevel="0" collapsed="false">
      <c r="A72" s="22" t="s">
        <v>197</v>
      </c>
      <c r="B72" s="20"/>
      <c r="C72" s="21"/>
      <c r="D72" s="20" t="s">
        <v>202</v>
      </c>
      <c r="E72" s="22" t="str">
        <f aca="false">'الخطة واللجنة'!$B$24</f>
        <v>عضو 6</v>
      </c>
      <c r="F72" s="23"/>
      <c r="G72" s="23"/>
      <c r="H72" s="22" t="str">
        <f aca="false">IF(OR(F72="",F72="متوفر ومكتمل"),"",IF(OR(C72="★",F72="غير متوفر"),"عالية","متوسطة"))</f>
        <v/>
      </c>
      <c r="I72" s="24"/>
      <c r="J72" s="25"/>
      <c r="K72" s="24"/>
      <c r="L72" s="24"/>
    </row>
    <row r="73" customFormat="false" ht="22.35" hidden="false" customHeight="false" outlineLevel="0" collapsed="false">
      <c r="A73" s="26" t="s">
        <v>203</v>
      </c>
      <c r="B73" s="27" t="s">
        <v>204</v>
      </c>
      <c r="C73" s="28" t="s">
        <v>111</v>
      </c>
      <c r="D73" s="27" t="s">
        <v>183</v>
      </c>
      <c r="E73" s="29" t="str">
        <f aca="false">'الخطة واللجنة'!$B$24</f>
        <v>عضو 6</v>
      </c>
      <c r="F73" s="30"/>
      <c r="G73" s="30"/>
      <c r="H73" s="29" t="str">
        <f aca="false">IF(OR(F73="",F73="متوفر ومكتمل"),"",IF(OR(C73="★",F73="غير متوفر"),"عالية","متوسطة"))</f>
        <v/>
      </c>
      <c r="I73" s="31"/>
      <c r="J73" s="32"/>
      <c r="K73" s="31"/>
      <c r="L73" s="31"/>
    </row>
    <row r="74" customFormat="false" ht="15" hidden="false" customHeight="false" outlineLevel="0" collapsed="false">
      <c r="A74" s="33" t="s">
        <v>203</v>
      </c>
      <c r="B74" s="34"/>
      <c r="C74" s="35" t="s">
        <v>111</v>
      </c>
      <c r="D74" s="34" t="s">
        <v>205</v>
      </c>
      <c r="E74" s="22" t="str">
        <f aca="false">'الخطة واللجنة'!$B$24</f>
        <v>عضو 6</v>
      </c>
      <c r="F74" s="23"/>
      <c r="G74" s="23"/>
      <c r="H74" s="22" t="str">
        <f aca="false">IF(OR(F74="",F74="متوفر ومكتمل"),"",IF(OR(C74="★",F74="غير متوفر"),"عالية","متوسطة"))</f>
        <v/>
      </c>
      <c r="I74" s="24"/>
      <c r="J74" s="25"/>
      <c r="K74" s="24"/>
      <c r="L74" s="24"/>
    </row>
    <row r="75" customFormat="false" ht="22.35" hidden="false" customHeight="false" outlineLevel="0" collapsed="false">
      <c r="A75" s="33" t="s">
        <v>203</v>
      </c>
      <c r="B75" s="34"/>
      <c r="C75" s="35" t="s">
        <v>111</v>
      </c>
      <c r="D75" s="34" t="s">
        <v>206</v>
      </c>
      <c r="E75" s="22" t="str">
        <f aca="false">'الخطة واللجنة'!$B$24</f>
        <v>عضو 6</v>
      </c>
      <c r="F75" s="23"/>
      <c r="G75" s="23"/>
      <c r="H75" s="22" t="str">
        <f aca="false">IF(OR(F75="",F75="متوفر ومكتمل"),"",IF(OR(C75="★",F75="غير متوفر"),"عالية","متوسطة"))</f>
        <v/>
      </c>
      <c r="I75" s="24"/>
      <c r="J75" s="25"/>
      <c r="K75" s="24"/>
      <c r="L75" s="24"/>
    </row>
    <row r="76" customFormat="false" ht="15" hidden="false" customHeight="false" outlineLevel="0" collapsed="false">
      <c r="A76" s="33" t="s">
        <v>203</v>
      </c>
      <c r="B76" s="34"/>
      <c r="C76" s="35" t="s">
        <v>111</v>
      </c>
      <c r="D76" s="34" t="s">
        <v>207</v>
      </c>
      <c r="E76" s="22" t="str">
        <f aca="false">'الخطة واللجنة'!$B$24</f>
        <v>عضو 6</v>
      </c>
      <c r="F76" s="23"/>
      <c r="G76" s="23"/>
      <c r="H76" s="22" t="str">
        <f aca="false">IF(OR(F76="",F76="متوفر ومكتمل"),"",IF(OR(C76="★",F76="غير متوفر"),"عالية","متوسطة"))</f>
        <v/>
      </c>
      <c r="I76" s="24"/>
      <c r="J76" s="25"/>
      <c r="K76" s="24"/>
      <c r="L76" s="24"/>
    </row>
    <row r="77" customFormat="false" ht="22.35" hidden="false" customHeight="false" outlineLevel="0" collapsed="false">
      <c r="A77" s="36" t="s">
        <v>208</v>
      </c>
      <c r="B77" s="37" t="s">
        <v>209</v>
      </c>
      <c r="C77" s="38"/>
      <c r="D77" s="37" t="s">
        <v>210</v>
      </c>
      <c r="E77" s="29" t="str">
        <f aca="false">'الخطة واللجنة'!$B$24</f>
        <v>عضو 6</v>
      </c>
      <c r="F77" s="30"/>
      <c r="G77" s="30"/>
      <c r="H77" s="29" t="str">
        <f aca="false">IF(OR(F77="",F77="متوفر ومكتمل"),"",IF(OR(C77="★",F77="غير متوفر"),"عالية","متوسطة"))</f>
        <v/>
      </c>
      <c r="I77" s="31"/>
      <c r="J77" s="32"/>
      <c r="K77" s="31"/>
      <c r="L77" s="31"/>
    </row>
    <row r="78" customFormat="false" ht="22.35" hidden="false" customHeight="false" outlineLevel="0" collapsed="false">
      <c r="A78" s="22" t="s">
        <v>208</v>
      </c>
      <c r="B78" s="20"/>
      <c r="C78" s="21"/>
      <c r="D78" s="20" t="s">
        <v>211</v>
      </c>
      <c r="E78" s="22" t="str">
        <f aca="false">'الخطة واللجنة'!$B$24</f>
        <v>عضو 6</v>
      </c>
      <c r="F78" s="23"/>
      <c r="G78" s="23"/>
      <c r="H78" s="22" t="str">
        <f aca="false">IF(OR(F78="",F78="متوفر ومكتمل"),"",IF(OR(C78="★",F78="غير متوفر"),"عالية","متوسطة"))</f>
        <v/>
      </c>
      <c r="I78" s="24"/>
      <c r="J78" s="25"/>
      <c r="K78" s="24"/>
      <c r="L78" s="24"/>
    </row>
    <row r="79" customFormat="false" ht="22.35" hidden="false" customHeight="false" outlineLevel="0" collapsed="false">
      <c r="A79" s="22" t="s">
        <v>208</v>
      </c>
      <c r="B79" s="20"/>
      <c r="C79" s="21"/>
      <c r="D79" s="20" t="s">
        <v>212</v>
      </c>
      <c r="E79" s="22" t="str">
        <f aca="false">'الخطة واللجنة'!$B$24</f>
        <v>عضو 6</v>
      </c>
      <c r="F79" s="23"/>
      <c r="G79" s="23"/>
      <c r="H79" s="22" t="str">
        <f aca="false">IF(OR(F79="",F79="متوفر ومكتمل"),"",IF(OR(C79="★",F79="غير متوفر"),"عالية","متوسطة"))</f>
        <v/>
      </c>
      <c r="I79" s="24"/>
      <c r="J79" s="25"/>
      <c r="K79" s="24"/>
      <c r="L79" s="24"/>
    </row>
    <row r="80" customFormat="false" ht="15" hidden="false" customHeight="false" outlineLevel="0" collapsed="false">
      <c r="A80" s="22" t="s">
        <v>208</v>
      </c>
      <c r="B80" s="20"/>
      <c r="C80" s="21"/>
      <c r="D80" s="20" t="s">
        <v>213</v>
      </c>
      <c r="E80" s="22" t="str">
        <f aca="false">'الخطة واللجنة'!$B$24</f>
        <v>عضو 6</v>
      </c>
      <c r="F80" s="23"/>
      <c r="G80" s="23"/>
      <c r="H80" s="22" t="str">
        <f aca="false">IF(OR(F80="",F80="متوفر ومكتمل"),"",IF(OR(C80="★",F80="غير متوفر"),"عالية","متوسطة"))</f>
        <v/>
      </c>
      <c r="I80" s="24"/>
      <c r="J80" s="25"/>
      <c r="K80" s="24"/>
      <c r="L80" s="24"/>
    </row>
    <row r="81" customFormat="false" ht="32.8" hidden="false" customHeight="false" outlineLevel="0" collapsed="false">
      <c r="A81" s="26" t="s">
        <v>214</v>
      </c>
      <c r="B81" s="27" t="s">
        <v>215</v>
      </c>
      <c r="C81" s="28" t="s">
        <v>111</v>
      </c>
      <c r="D81" s="27" t="s">
        <v>216</v>
      </c>
      <c r="E81" s="29" t="str">
        <f aca="false">'الخطة واللجنة'!$B$24</f>
        <v>عضو 6</v>
      </c>
      <c r="F81" s="30"/>
      <c r="G81" s="30"/>
      <c r="H81" s="29" t="str">
        <f aca="false">IF(OR(F81="",F81="متوفر ومكتمل"),"",IF(OR(C81="★",F81="غير متوفر"),"عالية","متوسطة"))</f>
        <v/>
      </c>
      <c r="I81" s="31"/>
      <c r="J81" s="32"/>
      <c r="K81" s="31"/>
      <c r="L81" s="31"/>
    </row>
    <row r="82" customFormat="false" ht="22.35" hidden="false" customHeight="false" outlineLevel="0" collapsed="false">
      <c r="A82" s="33" t="s">
        <v>214</v>
      </c>
      <c r="B82" s="34"/>
      <c r="C82" s="35" t="s">
        <v>111</v>
      </c>
      <c r="D82" s="34" t="s">
        <v>217</v>
      </c>
      <c r="E82" s="22" t="str">
        <f aca="false">'الخطة واللجنة'!$B$24</f>
        <v>عضو 6</v>
      </c>
      <c r="F82" s="23"/>
      <c r="G82" s="23"/>
      <c r="H82" s="22" t="str">
        <f aca="false">IF(OR(F82="",F82="متوفر ومكتمل"),"",IF(OR(C82="★",F82="غير متوفر"),"عالية","متوسطة"))</f>
        <v/>
      </c>
      <c r="I82" s="24"/>
      <c r="J82" s="25"/>
      <c r="K82" s="24"/>
      <c r="L82" s="24"/>
    </row>
    <row r="83" customFormat="false" ht="22.35" hidden="false" customHeight="false" outlineLevel="0" collapsed="false">
      <c r="A83" s="33" t="s">
        <v>214</v>
      </c>
      <c r="B83" s="34"/>
      <c r="C83" s="35" t="s">
        <v>111</v>
      </c>
      <c r="D83" s="34" t="s">
        <v>218</v>
      </c>
      <c r="E83" s="22" t="str">
        <f aca="false">'الخطة واللجنة'!$B$24</f>
        <v>عضو 6</v>
      </c>
      <c r="F83" s="23"/>
      <c r="G83" s="23"/>
      <c r="H83" s="22" t="str">
        <f aca="false">IF(OR(F83="",F83="متوفر ومكتمل"),"",IF(OR(C83="★",F83="غير متوفر"),"عالية","متوسطة"))</f>
        <v/>
      </c>
      <c r="I83" s="24"/>
      <c r="J83" s="25"/>
      <c r="K83" s="24"/>
      <c r="L83" s="24"/>
    </row>
    <row r="84" customFormat="false" ht="22.35" hidden="false" customHeight="false" outlineLevel="0" collapsed="false">
      <c r="A84" s="33" t="s">
        <v>214</v>
      </c>
      <c r="B84" s="34"/>
      <c r="C84" s="35" t="s">
        <v>111</v>
      </c>
      <c r="D84" s="34" t="s">
        <v>219</v>
      </c>
      <c r="E84" s="22" t="str">
        <f aca="false">'الخطة واللجنة'!$B$24</f>
        <v>عضو 6</v>
      </c>
      <c r="F84" s="23"/>
      <c r="G84" s="23"/>
      <c r="H84" s="22" t="str">
        <f aca="false">IF(OR(F84="",F84="متوفر ومكتمل"),"",IF(OR(C84="★",F84="غير متوفر"),"عالية","متوسطة"))</f>
        <v/>
      </c>
      <c r="I84" s="24"/>
      <c r="J84" s="25"/>
      <c r="K84" s="24"/>
      <c r="L84" s="24"/>
    </row>
    <row r="85" customFormat="false" ht="22.35" hidden="false" customHeight="false" outlineLevel="0" collapsed="false">
      <c r="A85" s="33" t="s">
        <v>214</v>
      </c>
      <c r="B85" s="34"/>
      <c r="C85" s="35" t="s">
        <v>111</v>
      </c>
      <c r="D85" s="34" t="s">
        <v>220</v>
      </c>
      <c r="E85" s="22" t="str">
        <f aca="false">'الخطة واللجنة'!$B$24</f>
        <v>عضو 6</v>
      </c>
      <c r="F85" s="23"/>
      <c r="G85" s="23"/>
      <c r="H85" s="22" t="str">
        <f aca="false">IF(OR(F85="",F85="متوفر ومكتمل"),"",IF(OR(C85="★",F85="غير متوفر"),"عالية","متوسطة"))</f>
        <v/>
      </c>
      <c r="I85" s="24"/>
      <c r="J85" s="25"/>
      <c r="K85" s="24"/>
      <c r="L85" s="24"/>
    </row>
    <row r="86" customFormat="false" ht="22.35" hidden="false" customHeight="false" outlineLevel="0" collapsed="false">
      <c r="A86" s="33" t="s">
        <v>214</v>
      </c>
      <c r="B86" s="34"/>
      <c r="C86" s="35" t="s">
        <v>111</v>
      </c>
      <c r="D86" s="34" t="s">
        <v>221</v>
      </c>
      <c r="E86" s="22" t="str">
        <f aca="false">'الخطة واللجنة'!$B$24</f>
        <v>عضو 6</v>
      </c>
      <c r="F86" s="23"/>
      <c r="G86" s="23"/>
      <c r="H86" s="22" t="str">
        <f aca="false">IF(OR(F86="",F86="متوفر ومكتمل"),"",IF(OR(C86="★",F86="غير متوفر"),"عالية","متوسطة"))</f>
        <v/>
      </c>
      <c r="I86" s="24"/>
      <c r="J86" s="25"/>
      <c r="K86" s="24"/>
      <c r="L86" s="24"/>
    </row>
    <row r="87" customFormat="false" ht="32.8" hidden="false" customHeight="false" outlineLevel="0" collapsed="false">
      <c r="A87" s="26" t="s">
        <v>222</v>
      </c>
      <c r="B87" s="27" t="s">
        <v>223</v>
      </c>
      <c r="C87" s="28" t="s">
        <v>111</v>
      </c>
      <c r="D87" s="27" t="s">
        <v>224</v>
      </c>
      <c r="E87" s="29" t="str">
        <f aca="false">'الخطة واللجنة'!$B$24</f>
        <v>عضو 6</v>
      </c>
      <c r="F87" s="30"/>
      <c r="G87" s="30"/>
      <c r="H87" s="29" t="str">
        <f aca="false">IF(OR(F87="",F87="متوفر ومكتمل"),"",IF(OR(C87="★",F87="غير متوفر"),"عالية","متوسطة"))</f>
        <v/>
      </c>
      <c r="I87" s="31"/>
      <c r="J87" s="32"/>
      <c r="K87" s="31"/>
      <c r="L87" s="31"/>
    </row>
    <row r="88" customFormat="false" ht="22.35" hidden="false" customHeight="false" outlineLevel="0" collapsed="false">
      <c r="A88" s="33" t="s">
        <v>222</v>
      </c>
      <c r="B88" s="34"/>
      <c r="C88" s="35" t="s">
        <v>111</v>
      </c>
      <c r="D88" s="34" t="s">
        <v>225</v>
      </c>
      <c r="E88" s="22" t="str">
        <f aca="false">'الخطة واللجنة'!$B$24</f>
        <v>عضو 6</v>
      </c>
      <c r="F88" s="23"/>
      <c r="G88" s="23"/>
      <c r="H88" s="22" t="str">
        <f aca="false">IF(OR(F88="",F88="متوفر ومكتمل"),"",IF(OR(C88="★",F88="غير متوفر"),"عالية","متوسطة"))</f>
        <v/>
      </c>
      <c r="I88" s="24"/>
      <c r="J88" s="25"/>
      <c r="K88" s="24"/>
      <c r="L88" s="24"/>
    </row>
    <row r="89" customFormat="false" ht="22.35" hidden="false" customHeight="false" outlineLevel="0" collapsed="false">
      <c r="A89" s="33" t="s">
        <v>222</v>
      </c>
      <c r="B89" s="34"/>
      <c r="C89" s="35" t="s">
        <v>111</v>
      </c>
      <c r="D89" s="34" t="s">
        <v>219</v>
      </c>
      <c r="E89" s="22" t="str">
        <f aca="false">'الخطة واللجنة'!$B$24</f>
        <v>عضو 6</v>
      </c>
      <c r="F89" s="23"/>
      <c r="G89" s="23"/>
      <c r="H89" s="22" t="str">
        <f aca="false">IF(OR(F89="",F89="متوفر ومكتمل"),"",IF(OR(C89="★",F89="غير متوفر"),"عالية","متوسطة"))</f>
        <v/>
      </c>
      <c r="I89" s="24"/>
      <c r="J89" s="25"/>
      <c r="K89" s="24"/>
      <c r="L89" s="24"/>
    </row>
    <row r="90" customFormat="false" ht="22.35" hidden="false" customHeight="false" outlineLevel="0" collapsed="false">
      <c r="A90" s="33" t="s">
        <v>222</v>
      </c>
      <c r="B90" s="34"/>
      <c r="C90" s="35" t="s">
        <v>111</v>
      </c>
      <c r="D90" s="34" t="s">
        <v>226</v>
      </c>
      <c r="E90" s="22" t="str">
        <f aca="false">'الخطة واللجنة'!$B$24</f>
        <v>عضو 6</v>
      </c>
      <c r="F90" s="23"/>
      <c r="G90" s="23"/>
      <c r="H90" s="22" t="str">
        <f aca="false">IF(OR(F90="",F90="متوفر ومكتمل"),"",IF(OR(C90="★",F90="غير متوفر"),"عالية","متوسطة"))</f>
        <v/>
      </c>
      <c r="I90" s="24"/>
      <c r="J90" s="25"/>
      <c r="K90" s="24"/>
      <c r="L90" s="24"/>
    </row>
    <row r="91" customFormat="false" ht="32.8" hidden="false" customHeight="false" outlineLevel="0" collapsed="false">
      <c r="A91" s="36" t="s">
        <v>227</v>
      </c>
      <c r="B91" s="37" t="s">
        <v>228</v>
      </c>
      <c r="C91" s="38"/>
      <c r="D91" s="37" t="s">
        <v>229</v>
      </c>
      <c r="E91" s="29" t="str">
        <f aca="false">'الخطة واللجنة'!$B$24</f>
        <v>عضو 6</v>
      </c>
      <c r="F91" s="30"/>
      <c r="G91" s="30"/>
      <c r="H91" s="29" t="str">
        <f aca="false">IF(OR(F91="",F91="متوفر ومكتمل"),"",IF(OR(C91="★",F91="غير متوفر"),"عالية","متوسطة"))</f>
        <v/>
      </c>
      <c r="I91" s="31"/>
      <c r="J91" s="32"/>
      <c r="K91" s="31"/>
      <c r="L91" s="31"/>
    </row>
    <row r="92" customFormat="false" ht="15" hidden="false" customHeight="false" outlineLevel="0" collapsed="false">
      <c r="A92" s="22" t="s">
        <v>227</v>
      </c>
      <c r="B92" s="20"/>
      <c r="C92" s="21"/>
      <c r="D92" s="20" t="s">
        <v>230</v>
      </c>
      <c r="E92" s="22" t="str">
        <f aca="false">'الخطة واللجنة'!$B$24</f>
        <v>عضو 6</v>
      </c>
      <c r="F92" s="23"/>
      <c r="G92" s="23"/>
      <c r="H92" s="22" t="str">
        <f aca="false">IF(OR(F92="",F92="متوفر ومكتمل"),"",IF(OR(C92="★",F92="غير متوفر"),"عالية","متوسطة"))</f>
        <v/>
      </c>
      <c r="I92" s="24"/>
      <c r="J92" s="25"/>
      <c r="K92" s="24"/>
      <c r="L92" s="24"/>
    </row>
    <row r="93" customFormat="false" ht="15" hidden="false" customHeight="false" outlineLevel="0" collapsed="false">
      <c r="A93" s="22" t="s">
        <v>227</v>
      </c>
      <c r="B93" s="20"/>
      <c r="C93" s="21"/>
      <c r="D93" s="20" t="s">
        <v>231</v>
      </c>
      <c r="E93" s="22" t="str">
        <f aca="false">'الخطة واللجنة'!$B$24</f>
        <v>عضو 6</v>
      </c>
      <c r="F93" s="23"/>
      <c r="G93" s="23"/>
      <c r="H93" s="22" t="str">
        <f aca="false">IF(OR(F93="",F93="متوفر ومكتمل"),"",IF(OR(C93="★",F93="غير متوفر"),"عالية","متوسطة"))</f>
        <v/>
      </c>
      <c r="I93" s="24"/>
      <c r="J93" s="25"/>
      <c r="K93" s="24"/>
      <c r="L93" s="24"/>
    </row>
    <row r="94" customFormat="false" ht="15" hidden="false" customHeight="false" outlineLevel="0" collapsed="false">
      <c r="A94" s="22" t="s">
        <v>227</v>
      </c>
      <c r="B94" s="20"/>
      <c r="C94" s="21"/>
      <c r="D94" s="20" t="s">
        <v>232</v>
      </c>
      <c r="E94" s="22" t="str">
        <f aca="false">'الخطة واللجنة'!$B$24</f>
        <v>عضو 6</v>
      </c>
      <c r="F94" s="23"/>
      <c r="G94" s="23"/>
      <c r="H94" s="22" t="str">
        <f aca="false">IF(OR(F94="",F94="متوفر ومكتمل"),"",IF(OR(C94="★",F94="غير متوفر"),"عالية","متوسطة"))</f>
        <v/>
      </c>
      <c r="I94" s="24"/>
      <c r="J94" s="25"/>
      <c r="K94" s="24"/>
      <c r="L94" s="24"/>
    </row>
    <row r="95" customFormat="false" ht="22.35" hidden="false" customHeight="false" outlineLevel="0" collapsed="false">
      <c r="A95" s="36" t="s">
        <v>233</v>
      </c>
      <c r="B95" s="37" t="s">
        <v>234</v>
      </c>
      <c r="C95" s="38"/>
      <c r="D95" s="37" t="s">
        <v>217</v>
      </c>
      <c r="E95" s="29" t="str">
        <f aca="false">'الخطة واللجنة'!$B$24</f>
        <v>عضو 6</v>
      </c>
      <c r="F95" s="30"/>
      <c r="G95" s="30"/>
      <c r="H95" s="29" t="str">
        <f aca="false">IF(OR(F95="",F95="متوفر ومكتمل"),"",IF(OR(C95="★",F95="غير متوفر"),"عالية","متوسطة"))</f>
        <v/>
      </c>
      <c r="I95" s="31"/>
      <c r="J95" s="32"/>
      <c r="K95" s="31"/>
      <c r="L95" s="31"/>
    </row>
    <row r="96" customFormat="false" ht="15" hidden="false" customHeight="false" outlineLevel="0" collapsed="false">
      <c r="A96" s="22" t="s">
        <v>233</v>
      </c>
      <c r="B96" s="20"/>
      <c r="C96" s="21"/>
      <c r="D96" s="20" t="s">
        <v>235</v>
      </c>
      <c r="E96" s="22" t="str">
        <f aca="false">'الخطة واللجنة'!$B$24</f>
        <v>عضو 6</v>
      </c>
      <c r="F96" s="23"/>
      <c r="G96" s="23"/>
      <c r="H96" s="22" t="str">
        <f aca="false">IF(OR(F96="",F96="متوفر ومكتمل"),"",IF(OR(C96="★",F96="غير متوفر"),"عالية","متوسطة"))</f>
        <v/>
      </c>
      <c r="I96" s="24"/>
      <c r="J96" s="25"/>
      <c r="K96" s="24"/>
      <c r="L96" s="24"/>
    </row>
    <row r="97" customFormat="false" ht="15" hidden="false" customHeight="false" outlineLevel="0" collapsed="false">
      <c r="A97" s="22" t="s">
        <v>233</v>
      </c>
      <c r="B97" s="20"/>
      <c r="C97" s="21"/>
      <c r="D97" s="20" t="s">
        <v>236</v>
      </c>
      <c r="E97" s="22" t="str">
        <f aca="false">'الخطة واللجنة'!$B$24</f>
        <v>عضو 6</v>
      </c>
      <c r="F97" s="23"/>
      <c r="G97" s="23"/>
      <c r="H97" s="22" t="str">
        <f aca="false">IF(OR(F97="",F97="متوفر ومكتمل"),"",IF(OR(C97="★",F97="غير متوفر"),"عالية","متوسطة"))</f>
        <v/>
      </c>
      <c r="I97" s="24"/>
      <c r="J97" s="25"/>
      <c r="K97" s="24"/>
      <c r="L97" s="24"/>
    </row>
    <row r="98" customFormat="false" ht="32.8" hidden="false" customHeight="false" outlineLevel="0" collapsed="false">
      <c r="A98" s="22" t="s">
        <v>233</v>
      </c>
      <c r="B98" s="20"/>
      <c r="C98" s="21"/>
      <c r="D98" s="20" t="s">
        <v>237</v>
      </c>
      <c r="E98" s="22" t="str">
        <f aca="false">'الخطة واللجنة'!$B$24</f>
        <v>عضو 6</v>
      </c>
      <c r="F98" s="23"/>
      <c r="G98" s="23"/>
      <c r="H98" s="22" t="str">
        <f aca="false">IF(OR(F98="",F98="متوفر ومكتمل"),"",IF(OR(C98="★",F98="غير متوفر"),"عالية","متوسطة"))</f>
        <v/>
      </c>
      <c r="I98" s="24"/>
      <c r="J98" s="25"/>
      <c r="K98" s="24"/>
      <c r="L98" s="24"/>
    </row>
    <row r="99" customFormat="false" ht="32.8" hidden="false" customHeight="false" outlineLevel="0" collapsed="false">
      <c r="A99" s="36" t="s">
        <v>238</v>
      </c>
      <c r="B99" s="37" t="s">
        <v>239</v>
      </c>
      <c r="C99" s="38"/>
      <c r="D99" s="37" t="s">
        <v>240</v>
      </c>
      <c r="E99" s="29" t="str">
        <f aca="false">'الخطة واللجنة'!$B$24</f>
        <v>عضو 6</v>
      </c>
      <c r="F99" s="30"/>
      <c r="G99" s="30"/>
      <c r="H99" s="29" t="str">
        <f aca="false">IF(OR(F99="",F99="متوفر ومكتمل"),"",IF(OR(C99="★",F99="غير متوفر"),"عالية","متوسطة"))</f>
        <v/>
      </c>
      <c r="I99" s="31"/>
      <c r="J99" s="32"/>
      <c r="K99" s="31"/>
      <c r="L99" s="31"/>
    </row>
    <row r="100" customFormat="false" ht="22.35" hidden="false" customHeight="false" outlineLevel="0" collapsed="false">
      <c r="A100" s="22" t="s">
        <v>238</v>
      </c>
      <c r="B100" s="20"/>
      <c r="C100" s="21"/>
      <c r="D100" s="20" t="s">
        <v>241</v>
      </c>
      <c r="E100" s="22" t="str">
        <f aca="false">'الخطة واللجنة'!$B$24</f>
        <v>عضو 6</v>
      </c>
      <c r="F100" s="23"/>
      <c r="G100" s="23"/>
      <c r="H100" s="22" t="str">
        <f aca="false">IF(OR(F100="",F100="متوفر ومكتمل"),"",IF(OR(C100="★",F100="غير متوفر"),"عالية","متوسطة"))</f>
        <v/>
      </c>
      <c r="I100" s="24"/>
      <c r="J100" s="25"/>
      <c r="K100" s="24"/>
      <c r="L100" s="24"/>
    </row>
    <row r="101" customFormat="false" ht="32.8" hidden="false" customHeight="false" outlineLevel="0" collapsed="false">
      <c r="A101" s="36" t="s">
        <v>242</v>
      </c>
      <c r="B101" s="37" t="s">
        <v>243</v>
      </c>
      <c r="C101" s="38"/>
      <c r="D101" s="37" t="s">
        <v>244</v>
      </c>
      <c r="E101" s="29" t="str">
        <f aca="false">'الخطة واللجنة'!$B$24</f>
        <v>عضو 6</v>
      </c>
      <c r="F101" s="30"/>
      <c r="G101" s="30"/>
      <c r="H101" s="29" t="str">
        <f aca="false">IF(OR(F101="",F101="متوفر ومكتمل"),"",IF(OR(C101="★",F101="غير متوفر"),"عالية","متوسطة"))</f>
        <v/>
      </c>
      <c r="I101" s="31"/>
      <c r="J101" s="32"/>
      <c r="K101" s="31"/>
      <c r="L101" s="31"/>
    </row>
    <row r="102" customFormat="false" ht="15" hidden="false" customHeight="false" outlineLevel="0" collapsed="false">
      <c r="A102" s="22" t="s">
        <v>242</v>
      </c>
      <c r="B102" s="20"/>
      <c r="C102" s="21"/>
      <c r="D102" s="20" t="s">
        <v>245</v>
      </c>
      <c r="E102" s="22" t="str">
        <f aca="false">'الخطة واللجنة'!$B$24</f>
        <v>عضو 6</v>
      </c>
      <c r="F102" s="23"/>
      <c r="G102" s="23"/>
      <c r="H102" s="22" t="str">
        <f aca="false">IF(OR(F102="",F102="متوفر ومكتمل"),"",IF(OR(C102="★",F102="غير متوفر"),"عالية","متوسطة"))</f>
        <v/>
      </c>
      <c r="I102" s="24"/>
      <c r="J102" s="25"/>
      <c r="K102" s="24"/>
      <c r="L102" s="24"/>
    </row>
    <row r="103" customFormat="false" ht="15" hidden="false" customHeight="false" outlineLevel="0" collapsed="false">
      <c r="A103" s="22" t="s">
        <v>242</v>
      </c>
      <c r="B103" s="20"/>
      <c r="C103" s="21"/>
      <c r="D103" s="20" t="s">
        <v>246</v>
      </c>
      <c r="E103" s="22" t="str">
        <f aca="false">'الخطة واللجنة'!$B$24</f>
        <v>عضو 6</v>
      </c>
      <c r="F103" s="23"/>
      <c r="G103" s="23"/>
      <c r="H103" s="22" t="str">
        <f aca="false">IF(OR(F103="",F103="متوفر ومكتمل"),"",IF(OR(C103="★",F103="غير متوفر"),"عالية","متوسطة"))</f>
        <v/>
      </c>
      <c r="I103" s="24"/>
      <c r="J103" s="25"/>
      <c r="K103" s="24"/>
      <c r="L103" s="24"/>
    </row>
    <row r="104" customFormat="false" ht="32.8" hidden="false" customHeight="false" outlineLevel="0" collapsed="false">
      <c r="A104" s="26" t="s">
        <v>247</v>
      </c>
      <c r="B104" s="27" t="s">
        <v>248</v>
      </c>
      <c r="C104" s="28" t="s">
        <v>111</v>
      </c>
      <c r="D104" s="27" t="s">
        <v>249</v>
      </c>
      <c r="E104" s="29" t="str">
        <f aca="false">'الخطة واللجنة'!$B$24</f>
        <v>عضو 6</v>
      </c>
      <c r="F104" s="30"/>
      <c r="G104" s="30"/>
      <c r="H104" s="29" t="str">
        <f aca="false">IF(OR(F104="",F104="متوفر ومكتمل"),"",IF(OR(C104="★",F104="غير متوفر"),"عالية","متوسطة"))</f>
        <v/>
      </c>
      <c r="I104" s="31"/>
      <c r="J104" s="32"/>
      <c r="K104" s="31"/>
      <c r="L104" s="31"/>
    </row>
    <row r="105" customFormat="false" ht="22.35" hidden="false" customHeight="false" outlineLevel="0" collapsed="false">
      <c r="A105" s="33" t="s">
        <v>247</v>
      </c>
      <c r="B105" s="34"/>
      <c r="C105" s="35" t="s">
        <v>111</v>
      </c>
      <c r="D105" s="34" t="s">
        <v>250</v>
      </c>
      <c r="E105" s="22" t="str">
        <f aca="false">'الخطة واللجنة'!$B$24</f>
        <v>عضو 6</v>
      </c>
      <c r="F105" s="23"/>
      <c r="G105" s="23"/>
      <c r="H105" s="22" t="str">
        <f aca="false">IF(OR(F105="",F105="متوفر ومكتمل"),"",IF(OR(C105="★",F105="غير متوفر"),"عالية","متوسطة"))</f>
        <v/>
      </c>
      <c r="I105" s="24"/>
      <c r="J105" s="25"/>
      <c r="K105" s="24"/>
      <c r="L105" s="24"/>
    </row>
    <row r="106" customFormat="false" ht="32.8" hidden="false" customHeight="false" outlineLevel="0" collapsed="false">
      <c r="A106" s="26" t="s">
        <v>251</v>
      </c>
      <c r="B106" s="27" t="s">
        <v>252</v>
      </c>
      <c r="C106" s="28" t="s">
        <v>111</v>
      </c>
      <c r="D106" s="27" t="s">
        <v>253</v>
      </c>
      <c r="E106" s="29" t="str">
        <f aca="false">'الخطة واللجنة'!$B$19</f>
        <v>عضو 1</v>
      </c>
      <c r="F106" s="30"/>
      <c r="G106" s="30"/>
      <c r="H106" s="29" t="str">
        <f aca="false">IF(OR(F106="",F106="متوفر ومكتمل"),"",IF(OR(C106="★",F106="غير متوفر"),"عالية","متوسطة"))</f>
        <v/>
      </c>
      <c r="I106" s="31"/>
      <c r="J106" s="32"/>
      <c r="K106" s="31"/>
      <c r="L106" s="31"/>
    </row>
    <row r="107" customFormat="false" ht="15" hidden="false" customHeight="false" outlineLevel="0" collapsed="false">
      <c r="A107" s="33" t="s">
        <v>251</v>
      </c>
      <c r="B107" s="34"/>
      <c r="C107" s="35" t="s">
        <v>111</v>
      </c>
      <c r="D107" s="34" t="s">
        <v>254</v>
      </c>
      <c r="E107" s="22" t="str">
        <f aca="false">'الخطة واللجنة'!$B$19</f>
        <v>عضو 1</v>
      </c>
      <c r="F107" s="23"/>
      <c r="G107" s="23"/>
      <c r="H107" s="22" t="str">
        <f aca="false">IF(OR(F107="",F107="متوفر ومكتمل"),"",IF(OR(C107="★",F107="غير متوفر"),"عالية","متوسطة"))</f>
        <v/>
      </c>
      <c r="I107" s="24"/>
      <c r="J107" s="25"/>
      <c r="K107" s="24"/>
      <c r="L107" s="24"/>
    </row>
    <row r="108" customFormat="false" ht="32.8" hidden="false" customHeight="false" outlineLevel="0" collapsed="false">
      <c r="A108" s="33" t="s">
        <v>251</v>
      </c>
      <c r="B108" s="34"/>
      <c r="C108" s="35" t="s">
        <v>111</v>
      </c>
      <c r="D108" s="34" t="s">
        <v>255</v>
      </c>
      <c r="E108" s="22" t="str">
        <f aca="false">'الخطة واللجنة'!$B$19</f>
        <v>عضو 1</v>
      </c>
      <c r="F108" s="23"/>
      <c r="G108" s="23"/>
      <c r="H108" s="22" t="str">
        <f aca="false">IF(OR(F108="",F108="متوفر ومكتمل"),"",IF(OR(C108="★",F108="غير متوفر"),"عالية","متوسطة"))</f>
        <v/>
      </c>
      <c r="I108" s="24"/>
      <c r="J108" s="25"/>
      <c r="K108" s="24"/>
      <c r="L108" s="24"/>
    </row>
    <row r="109" customFormat="false" ht="22.35" hidden="false" customHeight="false" outlineLevel="0" collapsed="false">
      <c r="A109" s="33" t="s">
        <v>251</v>
      </c>
      <c r="B109" s="34"/>
      <c r="C109" s="35" t="s">
        <v>111</v>
      </c>
      <c r="D109" s="34" t="s">
        <v>256</v>
      </c>
      <c r="E109" s="22" t="str">
        <f aca="false">'الخطة واللجنة'!$B$19</f>
        <v>عضو 1</v>
      </c>
      <c r="F109" s="23"/>
      <c r="G109" s="23"/>
      <c r="H109" s="22" t="str">
        <f aca="false">IF(OR(F109="",F109="متوفر ومكتمل"),"",IF(OR(C109="★",F109="غير متوفر"),"عالية","متوسطة"))</f>
        <v/>
      </c>
      <c r="I109" s="24"/>
      <c r="J109" s="25"/>
      <c r="K109" s="24"/>
      <c r="L109" s="24"/>
    </row>
    <row r="110" customFormat="false" ht="22.35" hidden="false" customHeight="false" outlineLevel="0" collapsed="false">
      <c r="A110" s="33" t="s">
        <v>251</v>
      </c>
      <c r="B110" s="34"/>
      <c r="C110" s="35" t="s">
        <v>111</v>
      </c>
      <c r="D110" s="34" t="s">
        <v>257</v>
      </c>
      <c r="E110" s="22" t="str">
        <f aca="false">'الخطة واللجنة'!$B$19</f>
        <v>عضو 1</v>
      </c>
      <c r="F110" s="23"/>
      <c r="G110" s="23"/>
      <c r="H110" s="22" t="str">
        <f aca="false">IF(OR(F110="",F110="متوفر ومكتمل"),"",IF(OR(C110="★",F110="غير متوفر"),"عالية","متوسطة"))</f>
        <v/>
      </c>
      <c r="I110" s="24"/>
      <c r="J110" s="25"/>
      <c r="K110" s="24"/>
      <c r="L110" s="24"/>
    </row>
    <row r="111" customFormat="false" ht="32.8" hidden="false" customHeight="false" outlineLevel="0" collapsed="false">
      <c r="A111" s="36" t="s">
        <v>258</v>
      </c>
      <c r="B111" s="37" t="s">
        <v>259</v>
      </c>
      <c r="C111" s="38"/>
      <c r="D111" s="37" t="s">
        <v>260</v>
      </c>
      <c r="E111" s="29" t="str">
        <f aca="false">'الخطة واللجنة'!$B$19</f>
        <v>عضو 1</v>
      </c>
      <c r="F111" s="30"/>
      <c r="G111" s="30"/>
      <c r="H111" s="29" t="str">
        <f aca="false">IF(OR(F111="",F111="متوفر ومكتمل"),"",IF(OR(C111="★",F111="غير متوفر"),"عالية","متوسطة"))</f>
        <v/>
      </c>
      <c r="I111" s="31"/>
      <c r="J111" s="32"/>
      <c r="K111" s="31"/>
      <c r="L111" s="31"/>
    </row>
    <row r="112" customFormat="false" ht="15" hidden="false" customHeight="false" outlineLevel="0" collapsed="false">
      <c r="A112" s="22" t="s">
        <v>258</v>
      </c>
      <c r="B112" s="20"/>
      <c r="C112" s="21"/>
      <c r="D112" s="20" t="s">
        <v>261</v>
      </c>
      <c r="E112" s="22" t="str">
        <f aca="false">'الخطة واللجنة'!$B$19</f>
        <v>عضو 1</v>
      </c>
      <c r="F112" s="23"/>
      <c r="G112" s="23"/>
      <c r="H112" s="22" t="str">
        <f aca="false">IF(OR(F112="",F112="متوفر ومكتمل"),"",IF(OR(C112="★",F112="غير متوفر"),"عالية","متوسطة"))</f>
        <v/>
      </c>
      <c r="I112" s="24"/>
      <c r="J112" s="25"/>
      <c r="K112" s="24"/>
      <c r="L112" s="24"/>
    </row>
    <row r="113" customFormat="false" ht="15" hidden="false" customHeight="false" outlineLevel="0" collapsed="false">
      <c r="A113" s="22" t="s">
        <v>258</v>
      </c>
      <c r="B113" s="20"/>
      <c r="C113" s="21"/>
      <c r="D113" s="20" t="s">
        <v>262</v>
      </c>
      <c r="E113" s="22" t="str">
        <f aca="false">'الخطة واللجنة'!$B$19</f>
        <v>عضو 1</v>
      </c>
      <c r="F113" s="23"/>
      <c r="G113" s="23"/>
      <c r="H113" s="22" t="str">
        <f aca="false">IF(OR(F113="",F113="متوفر ومكتمل"),"",IF(OR(C113="★",F113="غير متوفر"),"عالية","متوسطة"))</f>
        <v/>
      </c>
      <c r="I113" s="24"/>
      <c r="J113" s="25"/>
      <c r="K113" s="24"/>
      <c r="L113" s="24"/>
    </row>
    <row r="114" customFormat="false" ht="22.35" hidden="false" customHeight="false" outlineLevel="0" collapsed="false">
      <c r="A114" s="22" t="s">
        <v>258</v>
      </c>
      <c r="B114" s="20"/>
      <c r="C114" s="21"/>
      <c r="D114" s="20" t="s">
        <v>263</v>
      </c>
      <c r="E114" s="22" t="str">
        <f aca="false">'الخطة واللجنة'!$B$19</f>
        <v>عضو 1</v>
      </c>
      <c r="F114" s="23"/>
      <c r="G114" s="23"/>
      <c r="H114" s="22" t="str">
        <f aca="false">IF(OR(F114="",F114="متوفر ومكتمل"),"",IF(OR(C114="★",F114="غير متوفر"),"عالية","متوسطة"))</f>
        <v/>
      </c>
      <c r="I114" s="24"/>
      <c r="J114" s="25"/>
      <c r="K114" s="24"/>
      <c r="L114" s="24"/>
    </row>
    <row r="115" customFormat="false" ht="32.8" hidden="false" customHeight="false" outlineLevel="0" collapsed="false">
      <c r="A115" s="36" t="s">
        <v>264</v>
      </c>
      <c r="B115" s="37" t="s">
        <v>265</v>
      </c>
      <c r="C115" s="38"/>
      <c r="D115" s="37" t="s">
        <v>266</v>
      </c>
      <c r="E115" s="29" t="str">
        <f aca="false">'الخطة واللجنة'!$B$19</f>
        <v>عضو 1</v>
      </c>
      <c r="F115" s="30"/>
      <c r="G115" s="30"/>
      <c r="H115" s="29" t="str">
        <f aca="false">IF(OR(F115="",F115="متوفر ومكتمل"),"",IF(OR(C115="★",F115="غير متوفر"),"عالية","متوسطة"))</f>
        <v/>
      </c>
      <c r="I115" s="31"/>
      <c r="J115" s="32"/>
      <c r="K115" s="31"/>
      <c r="L115" s="31"/>
    </row>
    <row r="116" customFormat="false" ht="32.8" hidden="false" customHeight="false" outlineLevel="0" collapsed="false">
      <c r="A116" s="22" t="s">
        <v>264</v>
      </c>
      <c r="B116" s="20"/>
      <c r="C116" s="21"/>
      <c r="D116" s="20" t="s">
        <v>267</v>
      </c>
      <c r="E116" s="22" t="str">
        <f aca="false">'الخطة واللجنة'!$B$19</f>
        <v>عضو 1</v>
      </c>
      <c r="F116" s="23"/>
      <c r="G116" s="23"/>
      <c r="H116" s="22" t="str">
        <f aca="false">IF(OR(F116="",F116="متوفر ومكتمل"),"",IF(OR(C116="★",F116="غير متوفر"),"عالية","متوسطة"))</f>
        <v/>
      </c>
      <c r="I116" s="24"/>
      <c r="J116" s="25"/>
      <c r="K116" s="24"/>
      <c r="L116" s="24"/>
    </row>
    <row r="117" customFormat="false" ht="15" hidden="false" customHeight="false" outlineLevel="0" collapsed="false">
      <c r="A117" s="22" t="s">
        <v>264</v>
      </c>
      <c r="B117" s="20"/>
      <c r="C117" s="21"/>
      <c r="D117" s="20" t="s">
        <v>268</v>
      </c>
      <c r="E117" s="22" t="str">
        <f aca="false">'الخطة واللجنة'!$B$19</f>
        <v>عضو 1</v>
      </c>
      <c r="F117" s="23"/>
      <c r="G117" s="23"/>
      <c r="H117" s="22" t="str">
        <f aca="false">IF(OR(F117="",F117="متوفر ومكتمل"),"",IF(OR(C117="★",F117="غير متوفر"),"عالية","متوسطة"))</f>
        <v/>
      </c>
      <c r="I117" s="24"/>
      <c r="J117" s="25"/>
      <c r="K117" s="24"/>
      <c r="L117" s="24"/>
    </row>
    <row r="118" customFormat="false" ht="22.35" hidden="false" customHeight="false" outlineLevel="0" collapsed="false">
      <c r="A118" s="36" t="s">
        <v>269</v>
      </c>
      <c r="B118" s="37" t="s">
        <v>270</v>
      </c>
      <c r="C118" s="38"/>
      <c r="D118" s="37" t="s">
        <v>271</v>
      </c>
      <c r="E118" s="29" t="str">
        <f aca="false">'الخطة واللجنة'!$B$19</f>
        <v>عضو 1</v>
      </c>
      <c r="F118" s="30"/>
      <c r="G118" s="30"/>
      <c r="H118" s="29" t="str">
        <f aca="false">IF(OR(F118="",F118="متوفر ومكتمل"),"",IF(OR(C118="★",F118="غير متوفر"),"عالية","متوسطة"))</f>
        <v/>
      </c>
      <c r="I118" s="31"/>
      <c r="J118" s="32"/>
      <c r="K118" s="31"/>
      <c r="L118" s="31"/>
    </row>
    <row r="119" customFormat="false" ht="22.35" hidden="false" customHeight="false" outlineLevel="0" collapsed="false">
      <c r="A119" s="22" t="s">
        <v>269</v>
      </c>
      <c r="B119" s="20"/>
      <c r="C119" s="21"/>
      <c r="D119" s="20" t="s">
        <v>272</v>
      </c>
      <c r="E119" s="22" t="str">
        <f aca="false">'الخطة واللجنة'!$B$19</f>
        <v>عضو 1</v>
      </c>
      <c r="F119" s="23"/>
      <c r="G119" s="23"/>
      <c r="H119" s="22" t="str">
        <f aca="false">IF(OR(F119="",F119="متوفر ومكتمل"),"",IF(OR(C119="★",F119="غير متوفر"),"عالية","متوسطة"))</f>
        <v/>
      </c>
      <c r="I119" s="24"/>
      <c r="J119" s="25"/>
      <c r="K119" s="24"/>
      <c r="L119" s="24"/>
    </row>
    <row r="120" customFormat="false" ht="22.35" hidden="false" customHeight="false" outlineLevel="0" collapsed="false">
      <c r="A120" s="22" t="s">
        <v>269</v>
      </c>
      <c r="B120" s="20"/>
      <c r="C120" s="21"/>
      <c r="D120" s="20" t="s">
        <v>273</v>
      </c>
      <c r="E120" s="22" t="str">
        <f aca="false">'الخطة واللجنة'!$B$19</f>
        <v>عضو 1</v>
      </c>
      <c r="F120" s="23"/>
      <c r="G120" s="23"/>
      <c r="H120" s="22" t="str">
        <f aca="false">IF(OR(F120="",F120="متوفر ومكتمل"),"",IF(OR(C120="★",F120="غير متوفر"),"عالية","متوسطة"))</f>
        <v/>
      </c>
      <c r="I120" s="24"/>
      <c r="J120" s="25"/>
      <c r="K120" s="24"/>
      <c r="L120" s="24"/>
    </row>
    <row r="121" customFormat="false" ht="22.35" hidden="false" customHeight="false" outlineLevel="0" collapsed="false">
      <c r="A121" s="36" t="s">
        <v>274</v>
      </c>
      <c r="B121" s="37" t="s">
        <v>275</v>
      </c>
      <c r="C121" s="38"/>
      <c r="D121" s="37" t="s">
        <v>276</v>
      </c>
      <c r="E121" s="29" t="str">
        <f aca="false">'الخطة واللجنة'!$B$19</f>
        <v>عضو 1</v>
      </c>
      <c r="F121" s="30"/>
      <c r="G121" s="30"/>
      <c r="H121" s="29" t="str">
        <f aca="false">IF(OR(F121="",F121="متوفر ومكتمل"),"",IF(OR(C121="★",F121="غير متوفر"),"عالية","متوسطة"))</f>
        <v/>
      </c>
      <c r="I121" s="31"/>
      <c r="J121" s="32"/>
      <c r="K121" s="31"/>
      <c r="L121" s="31"/>
    </row>
    <row r="122" customFormat="false" ht="15" hidden="false" customHeight="false" outlineLevel="0" collapsed="false">
      <c r="A122" s="22" t="s">
        <v>274</v>
      </c>
      <c r="B122" s="20"/>
      <c r="C122" s="21"/>
      <c r="D122" s="20" t="s">
        <v>277</v>
      </c>
      <c r="E122" s="22" t="str">
        <f aca="false">'الخطة واللجنة'!$B$19</f>
        <v>عضو 1</v>
      </c>
      <c r="F122" s="23"/>
      <c r="G122" s="23"/>
      <c r="H122" s="22" t="str">
        <f aca="false">IF(OR(F122="",F122="متوفر ومكتمل"),"",IF(OR(C122="★",F122="غير متوفر"),"عالية","متوسطة"))</f>
        <v/>
      </c>
      <c r="I122" s="24"/>
      <c r="J122" s="25"/>
      <c r="K122" s="24"/>
      <c r="L122" s="24"/>
    </row>
    <row r="123" customFormat="false" ht="15" hidden="false" customHeight="false" outlineLevel="0" collapsed="false">
      <c r="A123" s="22" t="s">
        <v>274</v>
      </c>
      <c r="B123" s="20"/>
      <c r="C123" s="21"/>
      <c r="D123" s="20" t="s">
        <v>278</v>
      </c>
      <c r="E123" s="22" t="str">
        <f aca="false">'الخطة واللجنة'!$B$19</f>
        <v>عضو 1</v>
      </c>
      <c r="F123" s="23"/>
      <c r="G123" s="23"/>
      <c r="H123" s="22" t="str">
        <f aca="false">IF(OR(F123="",F123="متوفر ومكتمل"),"",IF(OR(C123="★",F123="غير متوفر"),"عالية","متوسطة"))</f>
        <v/>
      </c>
      <c r="I123" s="24"/>
      <c r="J123" s="25"/>
      <c r="K123" s="24"/>
      <c r="L123" s="24"/>
    </row>
    <row r="124" customFormat="false" ht="15" hidden="false" customHeight="false" outlineLevel="0" collapsed="false">
      <c r="A124" s="22" t="s">
        <v>274</v>
      </c>
      <c r="B124" s="20"/>
      <c r="C124" s="21"/>
      <c r="D124" s="20" t="s">
        <v>279</v>
      </c>
      <c r="E124" s="22" t="str">
        <f aca="false">'الخطة واللجنة'!$B$19</f>
        <v>عضو 1</v>
      </c>
      <c r="F124" s="23"/>
      <c r="G124" s="23"/>
      <c r="H124" s="22" t="str">
        <f aca="false">IF(OR(F124="",F124="متوفر ومكتمل"),"",IF(OR(C124="★",F124="غير متوفر"),"عالية","متوسطة"))</f>
        <v/>
      </c>
      <c r="I124" s="24"/>
      <c r="J124" s="25"/>
      <c r="K124" s="24"/>
      <c r="L124" s="24"/>
    </row>
    <row r="125" customFormat="false" ht="15" hidden="false" customHeight="false" outlineLevel="0" collapsed="false">
      <c r="A125" s="22" t="s">
        <v>274</v>
      </c>
      <c r="B125" s="20"/>
      <c r="C125" s="21"/>
      <c r="D125" s="20" t="s">
        <v>280</v>
      </c>
      <c r="E125" s="22" t="str">
        <f aca="false">'الخطة واللجنة'!$B$19</f>
        <v>عضو 1</v>
      </c>
      <c r="F125" s="23"/>
      <c r="G125" s="23"/>
      <c r="H125" s="22" t="str">
        <f aca="false">IF(OR(F125="",F125="متوفر ومكتمل"),"",IF(OR(C125="★",F125="غير متوفر"),"عالية","متوسطة"))</f>
        <v/>
      </c>
      <c r="I125" s="24"/>
      <c r="J125" s="25"/>
      <c r="K125" s="24"/>
      <c r="L125" s="24"/>
    </row>
    <row r="126" customFormat="false" ht="32.8" hidden="false" customHeight="false" outlineLevel="0" collapsed="false">
      <c r="A126" s="26" t="s">
        <v>281</v>
      </c>
      <c r="B126" s="27" t="s">
        <v>282</v>
      </c>
      <c r="C126" s="28" t="s">
        <v>111</v>
      </c>
      <c r="D126" s="27" t="s">
        <v>283</v>
      </c>
      <c r="E126" s="29" t="str">
        <f aca="false">'الخطة واللجنة'!$B$19</f>
        <v>عضو 1</v>
      </c>
      <c r="F126" s="30"/>
      <c r="G126" s="30"/>
      <c r="H126" s="29" t="str">
        <f aca="false">IF(OR(F126="",F126="متوفر ومكتمل"),"",IF(OR(C126="★",F126="غير متوفر"),"عالية","متوسطة"))</f>
        <v/>
      </c>
      <c r="I126" s="31"/>
      <c r="J126" s="32"/>
      <c r="K126" s="31"/>
      <c r="L126" s="31"/>
    </row>
    <row r="127" customFormat="false" ht="15" hidden="false" customHeight="false" outlineLevel="0" collapsed="false">
      <c r="A127" s="33" t="s">
        <v>281</v>
      </c>
      <c r="B127" s="34"/>
      <c r="C127" s="35" t="s">
        <v>111</v>
      </c>
      <c r="D127" s="34" t="s">
        <v>284</v>
      </c>
      <c r="E127" s="22" t="str">
        <f aca="false">'الخطة واللجنة'!$B$19</f>
        <v>عضو 1</v>
      </c>
      <c r="F127" s="23"/>
      <c r="G127" s="23"/>
      <c r="H127" s="22" t="str">
        <f aca="false">IF(OR(F127="",F127="متوفر ومكتمل"),"",IF(OR(C127="★",F127="غير متوفر"),"عالية","متوسطة"))</f>
        <v/>
      </c>
      <c r="I127" s="24"/>
      <c r="J127" s="25"/>
      <c r="K127" s="24"/>
      <c r="L127" s="24"/>
    </row>
    <row r="128" customFormat="false" ht="22.35" hidden="false" customHeight="false" outlineLevel="0" collapsed="false">
      <c r="A128" s="33" t="s">
        <v>281</v>
      </c>
      <c r="B128" s="34"/>
      <c r="C128" s="35" t="s">
        <v>111</v>
      </c>
      <c r="D128" s="34" t="s">
        <v>285</v>
      </c>
      <c r="E128" s="22" t="str">
        <f aca="false">'الخطة واللجنة'!$B$19</f>
        <v>عضو 1</v>
      </c>
      <c r="F128" s="23"/>
      <c r="G128" s="23"/>
      <c r="H128" s="22" t="str">
        <f aca="false">IF(OR(F128="",F128="متوفر ومكتمل"),"",IF(OR(C128="★",F128="غير متوفر"),"عالية","متوسطة"))</f>
        <v/>
      </c>
      <c r="I128" s="24"/>
      <c r="J128" s="25"/>
      <c r="K128" s="24"/>
      <c r="L128" s="24"/>
    </row>
    <row r="129" customFormat="false" ht="22.35" hidden="false" customHeight="false" outlineLevel="0" collapsed="false">
      <c r="A129" s="33" t="s">
        <v>281</v>
      </c>
      <c r="B129" s="34"/>
      <c r="C129" s="35" t="s">
        <v>111</v>
      </c>
      <c r="D129" s="34" t="s">
        <v>286</v>
      </c>
      <c r="E129" s="22" t="str">
        <f aca="false">'الخطة واللجنة'!$B$19</f>
        <v>عضو 1</v>
      </c>
      <c r="F129" s="23"/>
      <c r="G129" s="23"/>
      <c r="H129" s="22" t="str">
        <f aca="false">IF(OR(F129="",F129="متوفر ومكتمل"),"",IF(OR(C129="★",F129="غير متوفر"),"عالية","متوسطة"))</f>
        <v/>
      </c>
      <c r="I129" s="24"/>
      <c r="J129" s="25"/>
      <c r="K129" s="24"/>
      <c r="L129" s="24"/>
    </row>
    <row r="130" customFormat="false" ht="15" hidden="false" customHeight="false" outlineLevel="0" collapsed="false">
      <c r="A130" s="33" t="s">
        <v>281</v>
      </c>
      <c r="B130" s="34"/>
      <c r="C130" s="35" t="s">
        <v>111</v>
      </c>
      <c r="D130" s="34" t="s">
        <v>287</v>
      </c>
      <c r="E130" s="22" t="str">
        <f aca="false">'الخطة واللجنة'!$B$19</f>
        <v>عضو 1</v>
      </c>
      <c r="F130" s="23"/>
      <c r="G130" s="23"/>
      <c r="H130" s="22" t="str">
        <f aca="false">IF(OR(F130="",F130="متوفر ومكتمل"),"",IF(OR(C130="★",F130="غير متوفر"),"عالية","متوسطة"))</f>
        <v/>
      </c>
      <c r="I130" s="24"/>
      <c r="J130" s="25"/>
      <c r="K130" s="24"/>
      <c r="L130" s="24"/>
    </row>
    <row r="131" customFormat="false" ht="32.8" hidden="false" customHeight="false" outlineLevel="0" collapsed="false">
      <c r="A131" s="36" t="s">
        <v>288</v>
      </c>
      <c r="B131" s="37" t="s">
        <v>289</v>
      </c>
      <c r="C131" s="38"/>
      <c r="D131" s="37" t="s">
        <v>290</v>
      </c>
      <c r="E131" s="29" t="str">
        <f aca="false">'الخطة واللجنة'!$B$26</f>
        <v>عضو 8</v>
      </c>
      <c r="F131" s="30"/>
      <c r="G131" s="30"/>
      <c r="H131" s="29" t="str">
        <f aca="false">IF(OR(F131="",F131="متوفر ومكتمل"),"",IF(OR(C131="★",F131="غير متوفر"),"عالية","متوسطة"))</f>
        <v/>
      </c>
      <c r="I131" s="31"/>
      <c r="J131" s="32"/>
      <c r="K131" s="31"/>
      <c r="L131" s="31"/>
    </row>
    <row r="132" customFormat="false" ht="15" hidden="false" customHeight="false" outlineLevel="0" collapsed="false">
      <c r="A132" s="22" t="s">
        <v>288</v>
      </c>
      <c r="B132" s="20"/>
      <c r="C132" s="21"/>
      <c r="D132" s="20" t="s">
        <v>291</v>
      </c>
      <c r="E132" s="22" t="str">
        <f aca="false">'الخطة واللجنة'!$B$26</f>
        <v>عضو 8</v>
      </c>
      <c r="F132" s="23"/>
      <c r="G132" s="23"/>
      <c r="H132" s="22" t="str">
        <f aca="false">IF(OR(F132="",F132="متوفر ومكتمل"),"",IF(OR(C132="★",F132="غير متوفر"),"عالية","متوسطة"))</f>
        <v/>
      </c>
      <c r="I132" s="24"/>
      <c r="J132" s="25"/>
      <c r="K132" s="24"/>
      <c r="L132" s="24"/>
    </row>
    <row r="133" customFormat="false" ht="15" hidden="false" customHeight="false" outlineLevel="0" collapsed="false">
      <c r="A133" s="22" t="s">
        <v>288</v>
      </c>
      <c r="B133" s="20"/>
      <c r="C133" s="21"/>
      <c r="D133" s="20" t="s">
        <v>292</v>
      </c>
      <c r="E133" s="22" t="str">
        <f aca="false">'الخطة واللجنة'!$B$26</f>
        <v>عضو 8</v>
      </c>
      <c r="F133" s="23"/>
      <c r="G133" s="23"/>
      <c r="H133" s="22" t="str">
        <f aca="false">IF(OR(F133="",F133="متوفر ومكتمل"),"",IF(OR(C133="★",F133="غير متوفر"),"عالية","متوسطة"))</f>
        <v/>
      </c>
      <c r="I133" s="24"/>
      <c r="J133" s="25"/>
      <c r="K133" s="24"/>
      <c r="L133" s="24"/>
    </row>
    <row r="134" customFormat="false" ht="15" hidden="false" customHeight="false" outlineLevel="0" collapsed="false">
      <c r="A134" s="22" t="s">
        <v>288</v>
      </c>
      <c r="B134" s="20"/>
      <c r="C134" s="21"/>
      <c r="D134" s="20" t="s">
        <v>293</v>
      </c>
      <c r="E134" s="22" t="str">
        <f aca="false">'الخطة واللجنة'!$B$26</f>
        <v>عضو 8</v>
      </c>
      <c r="F134" s="23"/>
      <c r="G134" s="23"/>
      <c r="H134" s="22" t="str">
        <f aca="false">IF(OR(F134="",F134="متوفر ومكتمل"),"",IF(OR(C134="★",F134="غير متوفر"),"عالية","متوسطة"))</f>
        <v/>
      </c>
      <c r="I134" s="24"/>
      <c r="J134" s="25"/>
      <c r="K134" s="24"/>
      <c r="L134" s="24"/>
    </row>
    <row r="135" customFormat="false" ht="15" hidden="false" customHeight="false" outlineLevel="0" collapsed="false">
      <c r="A135" s="22" t="s">
        <v>288</v>
      </c>
      <c r="B135" s="20"/>
      <c r="C135" s="21"/>
      <c r="D135" s="20" t="s">
        <v>294</v>
      </c>
      <c r="E135" s="22" t="str">
        <f aca="false">'الخطة واللجنة'!$B$26</f>
        <v>عضو 8</v>
      </c>
      <c r="F135" s="23"/>
      <c r="G135" s="23"/>
      <c r="H135" s="22" t="str">
        <f aca="false">IF(OR(F135="",F135="متوفر ومكتمل"),"",IF(OR(C135="★",F135="غير متوفر"),"عالية","متوسطة"))</f>
        <v/>
      </c>
      <c r="I135" s="24"/>
      <c r="J135" s="25"/>
      <c r="K135" s="24"/>
      <c r="L135" s="24"/>
    </row>
    <row r="136" customFormat="false" ht="22.35" hidden="false" customHeight="false" outlineLevel="0" collapsed="false">
      <c r="A136" s="26" t="s">
        <v>295</v>
      </c>
      <c r="B136" s="27" t="s">
        <v>296</v>
      </c>
      <c r="C136" s="28" t="s">
        <v>111</v>
      </c>
      <c r="D136" s="27" t="s">
        <v>297</v>
      </c>
      <c r="E136" s="29" t="str">
        <f aca="false">'الخطة واللجنة'!$B$26</f>
        <v>عضو 8</v>
      </c>
      <c r="F136" s="30"/>
      <c r="G136" s="30"/>
      <c r="H136" s="29" t="str">
        <f aca="false">IF(OR(F136="",F136="متوفر ومكتمل"),"",IF(OR(C136="★",F136="غير متوفر"),"عالية","متوسطة"))</f>
        <v/>
      </c>
      <c r="I136" s="31"/>
      <c r="J136" s="32"/>
      <c r="K136" s="31"/>
      <c r="L136" s="31"/>
    </row>
    <row r="137" customFormat="false" ht="22.35" hidden="false" customHeight="false" outlineLevel="0" collapsed="false">
      <c r="A137" s="33" t="s">
        <v>295</v>
      </c>
      <c r="B137" s="34"/>
      <c r="C137" s="35" t="s">
        <v>111</v>
      </c>
      <c r="D137" s="34" t="s">
        <v>298</v>
      </c>
      <c r="E137" s="22" t="str">
        <f aca="false">'الخطة واللجنة'!$B$26</f>
        <v>عضو 8</v>
      </c>
      <c r="F137" s="23"/>
      <c r="G137" s="23"/>
      <c r="H137" s="22" t="str">
        <f aca="false">IF(OR(F137="",F137="متوفر ومكتمل"),"",IF(OR(C137="★",F137="غير متوفر"),"عالية","متوسطة"))</f>
        <v/>
      </c>
      <c r="I137" s="24"/>
      <c r="J137" s="25"/>
      <c r="K137" s="24"/>
      <c r="L137" s="24"/>
    </row>
    <row r="138" customFormat="false" ht="15" hidden="false" customHeight="false" outlineLevel="0" collapsed="false">
      <c r="A138" s="33" t="s">
        <v>295</v>
      </c>
      <c r="B138" s="34"/>
      <c r="C138" s="35" t="s">
        <v>111</v>
      </c>
      <c r="D138" s="34" t="s">
        <v>299</v>
      </c>
      <c r="E138" s="22" t="str">
        <f aca="false">'الخطة واللجنة'!$B$26</f>
        <v>عضو 8</v>
      </c>
      <c r="F138" s="23"/>
      <c r="G138" s="23"/>
      <c r="H138" s="22" t="str">
        <f aca="false">IF(OR(F138="",F138="متوفر ومكتمل"),"",IF(OR(C138="★",F138="غير متوفر"),"عالية","متوسطة"))</f>
        <v/>
      </c>
      <c r="I138" s="24"/>
      <c r="J138" s="25"/>
      <c r="K138" s="24"/>
      <c r="L138" s="24"/>
    </row>
    <row r="139" customFormat="false" ht="22.35" hidden="false" customHeight="false" outlineLevel="0" collapsed="false">
      <c r="A139" s="26" t="s">
        <v>300</v>
      </c>
      <c r="B139" s="27" t="s">
        <v>301</v>
      </c>
      <c r="C139" s="28" t="s">
        <v>111</v>
      </c>
      <c r="D139" s="27" t="s">
        <v>302</v>
      </c>
      <c r="E139" s="29" t="str">
        <f aca="false">'الخطة واللجنة'!$B$26</f>
        <v>عضو 8</v>
      </c>
      <c r="F139" s="30"/>
      <c r="G139" s="30"/>
      <c r="H139" s="29" t="str">
        <f aca="false">IF(OR(F139="",F139="متوفر ومكتمل"),"",IF(OR(C139="★",F139="غير متوفر"),"عالية","متوسطة"))</f>
        <v/>
      </c>
      <c r="I139" s="31"/>
      <c r="J139" s="32"/>
      <c r="K139" s="31"/>
      <c r="L139" s="31"/>
    </row>
    <row r="140" customFormat="false" ht="15" hidden="false" customHeight="false" outlineLevel="0" collapsed="false">
      <c r="A140" s="33" t="s">
        <v>300</v>
      </c>
      <c r="B140" s="34"/>
      <c r="C140" s="35" t="s">
        <v>111</v>
      </c>
      <c r="D140" s="34" t="s">
        <v>303</v>
      </c>
      <c r="E140" s="22" t="str">
        <f aca="false">'الخطة واللجنة'!$B$26</f>
        <v>عضو 8</v>
      </c>
      <c r="F140" s="23"/>
      <c r="G140" s="23"/>
      <c r="H140" s="22" t="str">
        <f aca="false">IF(OR(F140="",F140="متوفر ومكتمل"),"",IF(OR(C140="★",F140="غير متوفر"),"عالية","متوسطة"))</f>
        <v/>
      </c>
      <c r="I140" s="24"/>
      <c r="J140" s="25"/>
      <c r="K140" s="24"/>
      <c r="L140" s="24"/>
    </row>
    <row r="141" customFormat="false" ht="15" hidden="false" customHeight="false" outlineLevel="0" collapsed="false">
      <c r="A141" s="33" t="s">
        <v>300</v>
      </c>
      <c r="B141" s="34"/>
      <c r="C141" s="35" t="s">
        <v>111</v>
      </c>
      <c r="D141" s="34" t="s">
        <v>304</v>
      </c>
      <c r="E141" s="22" t="str">
        <f aca="false">'الخطة واللجنة'!$B$26</f>
        <v>عضو 8</v>
      </c>
      <c r="F141" s="23"/>
      <c r="G141" s="23"/>
      <c r="H141" s="22" t="str">
        <f aca="false">IF(OR(F141="",F141="متوفر ومكتمل"),"",IF(OR(C141="★",F141="غير متوفر"),"عالية","متوسطة"))</f>
        <v/>
      </c>
      <c r="I141" s="24"/>
      <c r="J141" s="25"/>
      <c r="K141" s="24"/>
      <c r="L141" s="24"/>
    </row>
    <row r="142" customFormat="false" ht="15" hidden="false" customHeight="false" outlineLevel="0" collapsed="false">
      <c r="A142" s="33" t="s">
        <v>300</v>
      </c>
      <c r="B142" s="34"/>
      <c r="C142" s="35" t="s">
        <v>111</v>
      </c>
      <c r="D142" s="34" t="s">
        <v>305</v>
      </c>
      <c r="E142" s="22" t="str">
        <f aca="false">'الخطة واللجنة'!$B$26</f>
        <v>عضو 8</v>
      </c>
      <c r="F142" s="23"/>
      <c r="G142" s="23"/>
      <c r="H142" s="22" t="str">
        <f aca="false">IF(OR(F142="",F142="متوفر ومكتمل"),"",IF(OR(C142="★",F142="غير متوفر"),"عالية","متوسطة"))</f>
        <v/>
      </c>
      <c r="I142" s="24"/>
      <c r="J142" s="25"/>
      <c r="K142" s="24"/>
      <c r="L142" s="24"/>
    </row>
    <row r="143" customFormat="false" ht="22.35" hidden="false" customHeight="false" outlineLevel="0" collapsed="false">
      <c r="A143" s="33" t="s">
        <v>300</v>
      </c>
      <c r="B143" s="34"/>
      <c r="C143" s="35" t="s">
        <v>111</v>
      </c>
      <c r="D143" s="34" t="s">
        <v>306</v>
      </c>
      <c r="E143" s="22" t="str">
        <f aca="false">'الخطة واللجنة'!$B$26</f>
        <v>عضو 8</v>
      </c>
      <c r="F143" s="23"/>
      <c r="G143" s="23"/>
      <c r="H143" s="22" t="str">
        <f aca="false">IF(OR(F143="",F143="متوفر ومكتمل"),"",IF(OR(C143="★",F143="غير متوفر"),"عالية","متوسطة"))</f>
        <v/>
      </c>
      <c r="I143" s="24"/>
      <c r="J143" s="25"/>
      <c r="K143" s="24"/>
      <c r="L143" s="24"/>
    </row>
    <row r="144" customFormat="false" ht="22.35" hidden="false" customHeight="false" outlineLevel="0" collapsed="false">
      <c r="A144" s="33" t="s">
        <v>300</v>
      </c>
      <c r="B144" s="34"/>
      <c r="C144" s="35" t="s">
        <v>111</v>
      </c>
      <c r="D144" s="34" t="s">
        <v>307</v>
      </c>
      <c r="E144" s="22" t="str">
        <f aca="false">'الخطة واللجنة'!$B$26</f>
        <v>عضو 8</v>
      </c>
      <c r="F144" s="23"/>
      <c r="G144" s="23"/>
      <c r="H144" s="22" t="str">
        <f aca="false">IF(OR(F144="",F144="متوفر ومكتمل"),"",IF(OR(C144="★",F144="غير متوفر"),"عالية","متوسطة"))</f>
        <v/>
      </c>
      <c r="I144" s="24"/>
      <c r="J144" s="25"/>
      <c r="K144" s="24"/>
      <c r="L144" s="24"/>
    </row>
    <row r="145" customFormat="false" ht="22.35" hidden="false" customHeight="false" outlineLevel="0" collapsed="false">
      <c r="A145" s="33" t="s">
        <v>300</v>
      </c>
      <c r="B145" s="34"/>
      <c r="C145" s="35" t="s">
        <v>111</v>
      </c>
      <c r="D145" s="34" t="s">
        <v>308</v>
      </c>
      <c r="E145" s="22" t="str">
        <f aca="false">'الخطة واللجنة'!$B$26</f>
        <v>عضو 8</v>
      </c>
      <c r="F145" s="23"/>
      <c r="G145" s="23"/>
      <c r="H145" s="22" t="str">
        <f aca="false">IF(OR(F145="",F145="متوفر ومكتمل"),"",IF(OR(C145="★",F145="غير متوفر"),"عالية","متوسطة"))</f>
        <v/>
      </c>
      <c r="I145" s="24"/>
      <c r="J145" s="25"/>
      <c r="K145" s="24"/>
      <c r="L145" s="24"/>
    </row>
    <row r="146" customFormat="false" ht="32.8" hidden="false" customHeight="false" outlineLevel="0" collapsed="false">
      <c r="A146" s="36" t="s">
        <v>309</v>
      </c>
      <c r="B146" s="37" t="s">
        <v>310</v>
      </c>
      <c r="C146" s="38"/>
      <c r="D146" s="37" t="s">
        <v>311</v>
      </c>
      <c r="E146" s="29" t="str">
        <f aca="false">'الخطة واللجنة'!$B$26</f>
        <v>عضو 8</v>
      </c>
      <c r="F146" s="30"/>
      <c r="G146" s="30"/>
      <c r="H146" s="29" t="str">
        <f aca="false">IF(OR(F146="",F146="متوفر ومكتمل"),"",IF(OR(C146="★",F146="غير متوفر"),"عالية","متوسطة"))</f>
        <v/>
      </c>
      <c r="I146" s="31"/>
      <c r="J146" s="32"/>
      <c r="K146" s="31"/>
      <c r="L146" s="31"/>
    </row>
    <row r="147" customFormat="false" ht="22.35" hidden="false" customHeight="false" outlineLevel="0" collapsed="false">
      <c r="A147" s="22" t="s">
        <v>309</v>
      </c>
      <c r="B147" s="20"/>
      <c r="C147" s="21"/>
      <c r="D147" s="20" t="s">
        <v>312</v>
      </c>
      <c r="E147" s="22" t="str">
        <f aca="false">'الخطة واللجنة'!$B$26</f>
        <v>عضو 8</v>
      </c>
      <c r="F147" s="23"/>
      <c r="G147" s="23"/>
      <c r="H147" s="22" t="str">
        <f aca="false">IF(OR(F147="",F147="متوفر ومكتمل"),"",IF(OR(C147="★",F147="غير متوفر"),"عالية","متوسطة"))</f>
        <v/>
      </c>
      <c r="I147" s="24"/>
      <c r="J147" s="25"/>
      <c r="K147" s="24"/>
      <c r="L147" s="24"/>
    </row>
    <row r="148" customFormat="false" ht="15" hidden="false" customHeight="false" outlineLevel="0" collapsed="false">
      <c r="A148" s="22" t="s">
        <v>309</v>
      </c>
      <c r="B148" s="20"/>
      <c r="C148" s="21"/>
      <c r="D148" s="20" t="s">
        <v>313</v>
      </c>
      <c r="E148" s="22" t="str">
        <f aca="false">'الخطة واللجنة'!$B$26</f>
        <v>عضو 8</v>
      </c>
      <c r="F148" s="23"/>
      <c r="G148" s="23"/>
      <c r="H148" s="22" t="str">
        <f aca="false">IF(OR(F148="",F148="متوفر ومكتمل"),"",IF(OR(C148="★",F148="غير متوفر"),"عالية","متوسطة"))</f>
        <v/>
      </c>
      <c r="I148" s="24"/>
      <c r="J148" s="25"/>
      <c r="K148" s="24"/>
      <c r="L148" s="24"/>
    </row>
    <row r="149" customFormat="false" ht="15" hidden="false" customHeight="false" outlineLevel="0" collapsed="false">
      <c r="A149" s="22" t="s">
        <v>309</v>
      </c>
      <c r="B149" s="20"/>
      <c r="C149" s="21"/>
      <c r="D149" s="20" t="s">
        <v>314</v>
      </c>
      <c r="E149" s="22" t="str">
        <f aca="false">'الخطة واللجنة'!$B$26</f>
        <v>عضو 8</v>
      </c>
      <c r="F149" s="23"/>
      <c r="G149" s="23"/>
      <c r="H149" s="22" t="str">
        <f aca="false">IF(OR(F149="",F149="متوفر ومكتمل"),"",IF(OR(C149="★",F149="غير متوفر"),"عالية","متوسطة"))</f>
        <v/>
      </c>
      <c r="I149" s="24"/>
      <c r="J149" s="25"/>
      <c r="K149" s="24"/>
      <c r="L149" s="24"/>
    </row>
    <row r="150" customFormat="false" ht="32.8" hidden="false" customHeight="false" outlineLevel="0" collapsed="false">
      <c r="A150" s="36" t="s">
        <v>315</v>
      </c>
      <c r="B150" s="37" t="s">
        <v>316</v>
      </c>
      <c r="C150" s="38"/>
      <c r="D150" s="37" t="s">
        <v>317</v>
      </c>
      <c r="E150" s="29" t="str">
        <f aca="false">'الخطة واللجنة'!$B$26</f>
        <v>عضو 8</v>
      </c>
      <c r="F150" s="30"/>
      <c r="G150" s="30"/>
      <c r="H150" s="29" t="str">
        <f aca="false">IF(OR(F150="",F150="متوفر ومكتمل"),"",IF(OR(C150="★",F150="غير متوفر"),"عالية","متوسطة"))</f>
        <v/>
      </c>
      <c r="I150" s="31"/>
      <c r="J150" s="32"/>
      <c r="K150" s="31"/>
      <c r="L150" s="31"/>
    </row>
    <row r="151" customFormat="false" ht="15" hidden="false" customHeight="false" outlineLevel="0" collapsed="false">
      <c r="A151" s="22" t="s">
        <v>315</v>
      </c>
      <c r="B151" s="20"/>
      <c r="C151" s="21"/>
      <c r="D151" s="20" t="s">
        <v>318</v>
      </c>
      <c r="E151" s="22" t="str">
        <f aca="false">'الخطة واللجنة'!$B$26</f>
        <v>عضو 8</v>
      </c>
      <c r="F151" s="23"/>
      <c r="G151" s="23"/>
      <c r="H151" s="22" t="str">
        <f aca="false">IF(OR(F151="",F151="متوفر ومكتمل"),"",IF(OR(C151="★",F151="غير متوفر"),"عالية","متوسطة"))</f>
        <v/>
      </c>
      <c r="I151" s="24"/>
      <c r="J151" s="25"/>
      <c r="K151" s="24"/>
      <c r="L151" s="24"/>
    </row>
    <row r="152" customFormat="false" ht="15" hidden="false" customHeight="false" outlineLevel="0" collapsed="false">
      <c r="A152" s="22" t="s">
        <v>315</v>
      </c>
      <c r="B152" s="20"/>
      <c r="C152" s="21"/>
      <c r="D152" s="20" t="s">
        <v>319</v>
      </c>
      <c r="E152" s="22" t="str">
        <f aca="false">'الخطة واللجنة'!$B$26</f>
        <v>عضو 8</v>
      </c>
      <c r="F152" s="23"/>
      <c r="G152" s="23"/>
      <c r="H152" s="22" t="str">
        <f aca="false">IF(OR(F152="",F152="متوفر ومكتمل"),"",IF(OR(C152="★",F152="غير متوفر"),"عالية","متوسطة"))</f>
        <v/>
      </c>
      <c r="I152" s="24"/>
      <c r="J152" s="25"/>
      <c r="K152" s="24"/>
      <c r="L152" s="24"/>
    </row>
    <row r="153" customFormat="false" ht="22.35" hidden="false" customHeight="false" outlineLevel="0" collapsed="false">
      <c r="A153" s="22" t="s">
        <v>315</v>
      </c>
      <c r="B153" s="20"/>
      <c r="C153" s="21"/>
      <c r="D153" s="20" t="s">
        <v>320</v>
      </c>
      <c r="E153" s="22" t="str">
        <f aca="false">'الخطة واللجنة'!$B$26</f>
        <v>عضو 8</v>
      </c>
      <c r="F153" s="23"/>
      <c r="G153" s="23"/>
      <c r="H153" s="22" t="str">
        <f aca="false">IF(OR(F153="",F153="متوفر ومكتمل"),"",IF(OR(C153="★",F153="غير متوفر"),"عالية","متوسطة"))</f>
        <v/>
      </c>
      <c r="I153" s="24"/>
      <c r="J153" s="25"/>
      <c r="K153" s="24"/>
      <c r="L153" s="24"/>
    </row>
    <row r="154" customFormat="false" ht="32.8" hidden="false" customHeight="false" outlineLevel="0" collapsed="false">
      <c r="A154" s="36" t="s">
        <v>321</v>
      </c>
      <c r="B154" s="37" t="s">
        <v>322</v>
      </c>
      <c r="C154" s="38"/>
      <c r="D154" s="37" t="s">
        <v>323</v>
      </c>
      <c r="E154" s="29" t="str">
        <f aca="false">'الخطة واللجنة'!$B$26</f>
        <v>عضو 8</v>
      </c>
      <c r="F154" s="30"/>
      <c r="G154" s="30"/>
      <c r="H154" s="29" t="str">
        <f aca="false">IF(OR(F154="",F154="متوفر ومكتمل"),"",IF(OR(C154="★",F154="غير متوفر"),"عالية","متوسطة"))</f>
        <v/>
      </c>
      <c r="I154" s="31"/>
      <c r="J154" s="32"/>
      <c r="K154" s="31"/>
      <c r="L154" s="31"/>
    </row>
    <row r="155" customFormat="false" ht="15" hidden="false" customHeight="false" outlineLevel="0" collapsed="false">
      <c r="A155" s="22" t="s">
        <v>321</v>
      </c>
      <c r="B155" s="20"/>
      <c r="C155" s="21"/>
      <c r="D155" s="20" t="s">
        <v>324</v>
      </c>
      <c r="E155" s="22" t="str">
        <f aca="false">'الخطة واللجنة'!$B$26</f>
        <v>عضو 8</v>
      </c>
      <c r="F155" s="23"/>
      <c r="G155" s="23"/>
      <c r="H155" s="22" t="str">
        <f aca="false">IF(OR(F155="",F155="متوفر ومكتمل"),"",IF(OR(C155="★",F155="غير متوفر"),"عالية","متوسطة"))</f>
        <v/>
      </c>
      <c r="I155" s="24"/>
      <c r="J155" s="25"/>
      <c r="K155" s="24"/>
      <c r="L155" s="24"/>
    </row>
    <row r="156" customFormat="false" ht="15" hidden="false" customHeight="false" outlineLevel="0" collapsed="false">
      <c r="A156" s="22" t="s">
        <v>321</v>
      </c>
      <c r="B156" s="20"/>
      <c r="C156" s="21"/>
      <c r="D156" s="20" t="s">
        <v>325</v>
      </c>
      <c r="E156" s="22" t="str">
        <f aca="false">'الخطة واللجنة'!$B$26</f>
        <v>عضو 8</v>
      </c>
      <c r="F156" s="23"/>
      <c r="G156" s="23"/>
      <c r="H156" s="22" t="str">
        <f aca="false">IF(OR(F156="",F156="متوفر ومكتمل"),"",IF(OR(C156="★",F156="غير متوفر"),"عالية","متوسطة"))</f>
        <v/>
      </c>
      <c r="I156" s="24"/>
      <c r="J156" s="25"/>
      <c r="K156" s="24"/>
      <c r="L156" s="24"/>
    </row>
    <row r="157" customFormat="false" ht="22.35" hidden="false" customHeight="false" outlineLevel="0" collapsed="false">
      <c r="A157" s="22" t="s">
        <v>321</v>
      </c>
      <c r="B157" s="20"/>
      <c r="C157" s="21"/>
      <c r="D157" s="20" t="s">
        <v>326</v>
      </c>
      <c r="E157" s="22" t="str">
        <f aca="false">'الخطة واللجنة'!$B$26</f>
        <v>عضو 8</v>
      </c>
      <c r="F157" s="23"/>
      <c r="G157" s="23"/>
      <c r="H157" s="22" t="str">
        <f aca="false">IF(OR(F157="",F157="متوفر ومكتمل"),"",IF(OR(C157="★",F157="غير متوفر"),"عالية","متوسطة"))</f>
        <v/>
      </c>
      <c r="I157" s="24"/>
      <c r="J157" s="25"/>
      <c r="K157" s="24"/>
      <c r="L157" s="24"/>
    </row>
    <row r="158" customFormat="false" ht="15" hidden="false" customHeight="false" outlineLevel="0" collapsed="false">
      <c r="A158" s="22" t="s">
        <v>321</v>
      </c>
      <c r="B158" s="20"/>
      <c r="C158" s="21"/>
      <c r="D158" s="20" t="s">
        <v>327</v>
      </c>
      <c r="E158" s="22" t="str">
        <f aca="false">'الخطة واللجنة'!$B$26</f>
        <v>عضو 8</v>
      </c>
      <c r="F158" s="23"/>
      <c r="G158" s="23"/>
      <c r="H158" s="22" t="str">
        <f aca="false">IF(OR(F158="",F158="متوفر ومكتمل"),"",IF(OR(C158="★",F158="غير متوفر"),"عالية","متوسطة"))</f>
        <v/>
      </c>
      <c r="I158" s="24"/>
      <c r="J158" s="25"/>
      <c r="K158" s="24"/>
      <c r="L158" s="24"/>
    </row>
    <row r="159" customFormat="false" ht="22.35" hidden="false" customHeight="false" outlineLevel="0" collapsed="false">
      <c r="A159" s="22" t="s">
        <v>321</v>
      </c>
      <c r="B159" s="20"/>
      <c r="C159" s="21"/>
      <c r="D159" s="20" t="s">
        <v>328</v>
      </c>
      <c r="E159" s="22" t="str">
        <f aca="false">'الخطة واللجنة'!$B$26</f>
        <v>عضو 8</v>
      </c>
      <c r="F159" s="23"/>
      <c r="G159" s="23"/>
      <c r="H159" s="22" t="str">
        <f aca="false">IF(OR(F159="",F159="متوفر ومكتمل"),"",IF(OR(C159="★",F159="غير متوفر"),"عالية","متوسطة"))</f>
        <v/>
      </c>
      <c r="I159" s="24"/>
      <c r="J159" s="25"/>
      <c r="K159" s="24"/>
      <c r="L159" s="24"/>
    </row>
    <row r="160" customFormat="false" ht="22.35" hidden="false" customHeight="false" outlineLevel="0" collapsed="false">
      <c r="A160" s="26" t="s">
        <v>329</v>
      </c>
      <c r="B160" s="27" t="s">
        <v>330</v>
      </c>
      <c r="C160" s="28" t="s">
        <v>111</v>
      </c>
      <c r="D160" s="27" t="s">
        <v>331</v>
      </c>
      <c r="E160" s="29" t="str">
        <f aca="false">'الخطة واللجنة'!$B$26</f>
        <v>عضو 8</v>
      </c>
      <c r="F160" s="30"/>
      <c r="G160" s="30"/>
      <c r="H160" s="29" t="str">
        <f aca="false">IF(OR(F160="",F160="متوفر ومكتمل"),"",IF(OR(C160="★",F160="غير متوفر"),"عالية","متوسطة"))</f>
        <v/>
      </c>
      <c r="I160" s="31"/>
      <c r="J160" s="32"/>
      <c r="K160" s="31"/>
      <c r="L160" s="31"/>
    </row>
    <row r="161" customFormat="false" ht="15" hidden="false" customHeight="false" outlineLevel="0" collapsed="false">
      <c r="A161" s="33" t="s">
        <v>329</v>
      </c>
      <c r="B161" s="34"/>
      <c r="C161" s="35" t="s">
        <v>111</v>
      </c>
      <c r="D161" s="34" t="s">
        <v>332</v>
      </c>
      <c r="E161" s="22" t="str">
        <f aca="false">'الخطة واللجنة'!$B$26</f>
        <v>عضو 8</v>
      </c>
      <c r="F161" s="23"/>
      <c r="G161" s="23"/>
      <c r="H161" s="22" t="str">
        <f aca="false">IF(OR(F161="",F161="متوفر ومكتمل"),"",IF(OR(C161="★",F161="غير متوفر"),"عالية","متوسطة"))</f>
        <v/>
      </c>
      <c r="I161" s="24"/>
      <c r="J161" s="25"/>
      <c r="K161" s="24"/>
      <c r="L161" s="24"/>
    </row>
    <row r="162" customFormat="false" ht="22.35" hidden="false" customHeight="false" outlineLevel="0" collapsed="false">
      <c r="A162" s="33" t="s">
        <v>329</v>
      </c>
      <c r="B162" s="34"/>
      <c r="C162" s="35" t="s">
        <v>111</v>
      </c>
      <c r="D162" s="34" t="s">
        <v>333</v>
      </c>
      <c r="E162" s="22" t="str">
        <f aca="false">'الخطة واللجنة'!$B$26</f>
        <v>عضو 8</v>
      </c>
      <c r="F162" s="23"/>
      <c r="G162" s="23"/>
      <c r="H162" s="22" t="str">
        <f aca="false">IF(OR(F162="",F162="متوفر ومكتمل"),"",IF(OR(C162="★",F162="غير متوفر"),"عالية","متوسطة"))</f>
        <v/>
      </c>
      <c r="I162" s="24"/>
      <c r="J162" s="25"/>
      <c r="K162" s="24"/>
      <c r="L162" s="24"/>
    </row>
    <row r="163" customFormat="false" ht="22.35" hidden="false" customHeight="false" outlineLevel="0" collapsed="false">
      <c r="A163" s="26" t="s">
        <v>334</v>
      </c>
      <c r="B163" s="27" t="s">
        <v>335</v>
      </c>
      <c r="C163" s="28" t="s">
        <v>111</v>
      </c>
      <c r="D163" s="27" t="s">
        <v>336</v>
      </c>
      <c r="E163" s="29" t="str">
        <f aca="false">'الخطة واللجنة'!$B$26</f>
        <v>عضو 8</v>
      </c>
      <c r="F163" s="30"/>
      <c r="G163" s="30"/>
      <c r="H163" s="29" t="str">
        <f aca="false">IF(OR(F163="",F163="متوفر ومكتمل"),"",IF(OR(C163="★",F163="غير متوفر"),"عالية","متوسطة"))</f>
        <v/>
      </c>
      <c r="I163" s="31"/>
      <c r="J163" s="32"/>
      <c r="K163" s="31"/>
      <c r="L163" s="31"/>
    </row>
    <row r="164" customFormat="false" ht="15" hidden="false" customHeight="false" outlineLevel="0" collapsed="false">
      <c r="A164" s="33" t="s">
        <v>334</v>
      </c>
      <c r="B164" s="34"/>
      <c r="C164" s="35" t="s">
        <v>111</v>
      </c>
      <c r="D164" s="34" t="s">
        <v>337</v>
      </c>
      <c r="E164" s="22" t="str">
        <f aca="false">'الخطة واللجنة'!$B$26</f>
        <v>عضو 8</v>
      </c>
      <c r="F164" s="23"/>
      <c r="G164" s="23"/>
      <c r="H164" s="22" t="str">
        <f aca="false">IF(OR(F164="",F164="متوفر ومكتمل"),"",IF(OR(C164="★",F164="غير متوفر"),"عالية","متوسطة"))</f>
        <v/>
      </c>
      <c r="I164" s="24"/>
      <c r="J164" s="25"/>
      <c r="K164" s="24"/>
      <c r="L164" s="24"/>
    </row>
    <row r="165" customFormat="false" ht="22.35" hidden="false" customHeight="false" outlineLevel="0" collapsed="false">
      <c r="A165" s="33" t="s">
        <v>334</v>
      </c>
      <c r="B165" s="34"/>
      <c r="C165" s="35" t="s">
        <v>111</v>
      </c>
      <c r="D165" s="34" t="s">
        <v>338</v>
      </c>
      <c r="E165" s="22" t="str">
        <f aca="false">'الخطة واللجنة'!$B$26</f>
        <v>عضو 8</v>
      </c>
      <c r="F165" s="23"/>
      <c r="G165" s="23"/>
      <c r="H165" s="22" t="str">
        <f aca="false">IF(OR(F165="",F165="متوفر ومكتمل"),"",IF(OR(C165="★",F165="غير متوفر"),"عالية","متوسطة"))</f>
        <v/>
      </c>
      <c r="I165" s="24"/>
      <c r="J165" s="25"/>
      <c r="K165" s="24"/>
      <c r="L165" s="24"/>
    </row>
    <row r="166" customFormat="false" ht="22.35" hidden="false" customHeight="false" outlineLevel="0" collapsed="false">
      <c r="A166" s="33" t="s">
        <v>334</v>
      </c>
      <c r="B166" s="34"/>
      <c r="C166" s="35" t="s">
        <v>111</v>
      </c>
      <c r="D166" s="34" t="s">
        <v>339</v>
      </c>
      <c r="E166" s="22" t="str">
        <f aca="false">'الخطة واللجنة'!$B$26</f>
        <v>عضو 8</v>
      </c>
      <c r="F166" s="23"/>
      <c r="G166" s="23"/>
      <c r="H166" s="22" t="str">
        <f aca="false">IF(OR(F166="",F166="متوفر ومكتمل"),"",IF(OR(C166="★",F166="غير متوفر"),"عالية","متوسطة"))</f>
        <v/>
      </c>
      <c r="I166" s="24"/>
      <c r="J166" s="25"/>
      <c r="K166" s="24"/>
      <c r="L166" s="24"/>
    </row>
    <row r="167" customFormat="false" ht="22.35" hidden="false" customHeight="false" outlineLevel="0" collapsed="false">
      <c r="A167" s="36" t="s">
        <v>340</v>
      </c>
      <c r="B167" s="37" t="s">
        <v>341</v>
      </c>
      <c r="C167" s="38"/>
      <c r="D167" s="37" t="s">
        <v>342</v>
      </c>
      <c r="E167" s="29" t="str">
        <f aca="false">'الخطة واللجنة'!$B$26</f>
        <v>عضو 8</v>
      </c>
      <c r="F167" s="30"/>
      <c r="G167" s="30"/>
      <c r="H167" s="29" t="str">
        <f aca="false">IF(OR(F167="",F167="متوفر ومكتمل"),"",IF(OR(C167="★",F167="غير متوفر"),"عالية","متوسطة"))</f>
        <v/>
      </c>
      <c r="I167" s="31"/>
      <c r="J167" s="32"/>
      <c r="K167" s="31"/>
      <c r="L167" s="31"/>
    </row>
    <row r="168" customFormat="false" ht="22.35" hidden="false" customHeight="false" outlineLevel="0" collapsed="false">
      <c r="A168" s="22" t="s">
        <v>340</v>
      </c>
      <c r="B168" s="20"/>
      <c r="C168" s="21"/>
      <c r="D168" s="20" t="s">
        <v>343</v>
      </c>
      <c r="E168" s="22" t="str">
        <f aca="false">'الخطة واللجنة'!$B$26</f>
        <v>عضو 8</v>
      </c>
      <c r="F168" s="23"/>
      <c r="G168" s="23"/>
      <c r="H168" s="22" t="str">
        <f aca="false">IF(OR(F168="",F168="متوفر ومكتمل"),"",IF(OR(C168="★",F168="غير متوفر"),"عالية","متوسطة"))</f>
        <v/>
      </c>
      <c r="I168" s="24"/>
      <c r="J168" s="25"/>
      <c r="K168" s="24"/>
      <c r="L168" s="24"/>
    </row>
    <row r="169" customFormat="false" ht="32.8" hidden="false" customHeight="false" outlineLevel="0" collapsed="false">
      <c r="A169" s="36" t="s">
        <v>344</v>
      </c>
      <c r="B169" s="37" t="s">
        <v>345</v>
      </c>
      <c r="C169" s="38"/>
      <c r="D169" s="37" t="s">
        <v>346</v>
      </c>
      <c r="E169" s="29" t="str">
        <f aca="false">'الخطة واللجنة'!$B$26</f>
        <v>عضو 8</v>
      </c>
      <c r="F169" s="30"/>
      <c r="G169" s="30"/>
      <c r="H169" s="29" t="str">
        <f aca="false">IF(OR(F169="",F169="متوفر ومكتمل"),"",IF(OR(C169="★",F169="غير متوفر"),"عالية","متوسطة"))</f>
        <v/>
      </c>
      <c r="I169" s="31"/>
      <c r="J169" s="32"/>
      <c r="K169" s="31"/>
      <c r="L169" s="31"/>
    </row>
    <row r="170" customFormat="false" ht="22.35" hidden="false" customHeight="false" outlineLevel="0" collapsed="false">
      <c r="A170" s="22" t="s">
        <v>344</v>
      </c>
      <c r="B170" s="20"/>
      <c r="C170" s="21"/>
      <c r="D170" s="20" t="s">
        <v>347</v>
      </c>
      <c r="E170" s="22" t="str">
        <f aca="false">'الخطة واللجنة'!$B$26</f>
        <v>عضو 8</v>
      </c>
      <c r="F170" s="23"/>
      <c r="G170" s="23"/>
      <c r="H170" s="22" t="str">
        <f aca="false">IF(OR(F170="",F170="متوفر ومكتمل"),"",IF(OR(C170="★",F170="غير متوفر"),"عالية","متوسطة"))</f>
        <v/>
      </c>
      <c r="I170" s="24"/>
      <c r="J170" s="25"/>
      <c r="K170" s="24"/>
      <c r="L170" s="24"/>
    </row>
    <row r="171" customFormat="false" ht="22.35" hidden="false" customHeight="false" outlineLevel="0" collapsed="false">
      <c r="A171" s="22" t="s">
        <v>344</v>
      </c>
      <c r="B171" s="20"/>
      <c r="C171" s="21"/>
      <c r="D171" s="20" t="s">
        <v>348</v>
      </c>
      <c r="E171" s="22" t="str">
        <f aca="false">'الخطة واللجنة'!$B$26</f>
        <v>عضو 8</v>
      </c>
      <c r="F171" s="23"/>
      <c r="G171" s="23"/>
      <c r="H171" s="22" t="str">
        <f aca="false">IF(OR(F171="",F171="متوفر ومكتمل"),"",IF(OR(C171="★",F171="غير متوفر"),"عالية","متوسطة"))</f>
        <v/>
      </c>
      <c r="I171" s="24"/>
      <c r="J171" s="25"/>
      <c r="K171" s="24"/>
      <c r="L171" s="24"/>
    </row>
    <row r="172" customFormat="false" ht="22.35" hidden="false" customHeight="false" outlineLevel="0" collapsed="false">
      <c r="A172" s="22" t="s">
        <v>344</v>
      </c>
      <c r="B172" s="20"/>
      <c r="C172" s="21"/>
      <c r="D172" s="20" t="s">
        <v>349</v>
      </c>
      <c r="E172" s="22" t="str">
        <f aca="false">'الخطة واللجنة'!$B$26</f>
        <v>عضو 8</v>
      </c>
      <c r="F172" s="23"/>
      <c r="G172" s="23"/>
      <c r="H172" s="22" t="str">
        <f aca="false">IF(OR(F172="",F172="متوفر ومكتمل"),"",IF(OR(C172="★",F172="غير متوفر"),"عالية","متوسطة"))</f>
        <v/>
      </c>
      <c r="I172" s="24"/>
      <c r="J172" s="25"/>
      <c r="K172" s="24"/>
      <c r="L172" s="24"/>
    </row>
    <row r="173" customFormat="false" ht="15" hidden="false" customHeight="false" outlineLevel="0" collapsed="false">
      <c r="A173" s="22" t="s">
        <v>344</v>
      </c>
      <c r="B173" s="20"/>
      <c r="C173" s="21"/>
      <c r="D173" s="20" t="s">
        <v>350</v>
      </c>
      <c r="E173" s="22" t="str">
        <f aca="false">'الخطة واللجنة'!$B$26</f>
        <v>عضو 8</v>
      </c>
      <c r="F173" s="23"/>
      <c r="G173" s="23"/>
      <c r="H173" s="22" t="str">
        <f aca="false">IF(OR(F173="",F173="متوفر ومكتمل"),"",IF(OR(C173="★",F173="غير متوفر"),"عالية","متوسطة"))</f>
        <v/>
      </c>
      <c r="I173" s="24"/>
      <c r="J173" s="25"/>
      <c r="K173" s="24"/>
      <c r="L173" s="24"/>
    </row>
    <row r="174" customFormat="false" ht="15" hidden="false" customHeight="false" outlineLevel="0" collapsed="false">
      <c r="A174" s="22" t="s">
        <v>344</v>
      </c>
      <c r="B174" s="20"/>
      <c r="C174" s="21"/>
      <c r="D174" s="20" t="s">
        <v>351</v>
      </c>
      <c r="E174" s="22" t="str">
        <f aca="false">'الخطة واللجنة'!$B$26</f>
        <v>عضو 8</v>
      </c>
      <c r="F174" s="23"/>
      <c r="G174" s="23"/>
      <c r="H174" s="22" t="str">
        <f aca="false">IF(OR(F174="",F174="متوفر ومكتمل"),"",IF(OR(C174="★",F174="غير متوفر"),"عالية","متوسطة"))</f>
        <v/>
      </c>
      <c r="I174" s="24"/>
      <c r="J174" s="25"/>
      <c r="K174" s="24"/>
      <c r="L174" s="24"/>
    </row>
    <row r="175" customFormat="false" ht="22.35" hidden="false" customHeight="false" outlineLevel="0" collapsed="false">
      <c r="A175" s="22" t="s">
        <v>344</v>
      </c>
      <c r="B175" s="20"/>
      <c r="C175" s="21"/>
      <c r="D175" s="20" t="s">
        <v>352</v>
      </c>
      <c r="E175" s="22" t="str">
        <f aca="false">'الخطة واللجنة'!$B$26</f>
        <v>عضو 8</v>
      </c>
      <c r="F175" s="23"/>
      <c r="G175" s="23"/>
      <c r="H175" s="22" t="str">
        <f aca="false">IF(OR(F175="",F175="متوفر ومكتمل"),"",IF(OR(C175="★",F175="غير متوفر"),"عالية","متوسطة"))</f>
        <v/>
      </c>
      <c r="I175" s="24"/>
      <c r="J175" s="25"/>
      <c r="K175" s="24"/>
      <c r="L175" s="24"/>
    </row>
    <row r="176" customFormat="false" ht="22.35" hidden="false" customHeight="false" outlineLevel="0" collapsed="false">
      <c r="A176" s="36" t="s">
        <v>353</v>
      </c>
      <c r="B176" s="37" t="s">
        <v>354</v>
      </c>
      <c r="C176" s="38"/>
      <c r="D176" s="37" t="s">
        <v>355</v>
      </c>
      <c r="E176" s="29" t="str">
        <f aca="false">'الخطة واللجنة'!$B$26</f>
        <v>عضو 8</v>
      </c>
      <c r="F176" s="30"/>
      <c r="G176" s="30"/>
      <c r="H176" s="29" t="str">
        <f aca="false">IF(OR(F176="",F176="متوفر ومكتمل"),"",IF(OR(C176="★",F176="غير متوفر"),"عالية","متوسطة"))</f>
        <v/>
      </c>
      <c r="I176" s="31"/>
      <c r="J176" s="32"/>
      <c r="K176" s="31"/>
      <c r="L176" s="31"/>
    </row>
    <row r="177" customFormat="false" ht="15" hidden="false" customHeight="false" outlineLevel="0" collapsed="false">
      <c r="A177" s="22" t="s">
        <v>353</v>
      </c>
      <c r="B177" s="20"/>
      <c r="C177" s="21"/>
      <c r="D177" s="20" t="s">
        <v>356</v>
      </c>
      <c r="E177" s="22" t="str">
        <f aca="false">'الخطة واللجنة'!$B$26</f>
        <v>عضو 8</v>
      </c>
      <c r="F177" s="23"/>
      <c r="G177" s="23"/>
      <c r="H177" s="22" t="str">
        <f aca="false">IF(OR(F177="",F177="متوفر ومكتمل"),"",IF(OR(C177="★",F177="غير متوفر"),"عالية","متوسطة"))</f>
        <v/>
      </c>
      <c r="I177" s="24"/>
      <c r="J177" s="25"/>
      <c r="K177" s="24"/>
      <c r="L177" s="24"/>
    </row>
    <row r="178" customFormat="false" ht="22.35" hidden="false" customHeight="false" outlineLevel="0" collapsed="false">
      <c r="A178" s="22" t="s">
        <v>353</v>
      </c>
      <c r="B178" s="20"/>
      <c r="C178" s="21"/>
      <c r="D178" s="20" t="s">
        <v>357</v>
      </c>
      <c r="E178" s="22" t="str">
        <f aca="false">'الخطة واللجنة'!$B$26</f>
        <v>عضو 8</v>
      </c>
      <c r="F178" s="23"/>
      <c r="G178" s="23"/>
      <c r="H178" s="22" t="str">
        <f aca="false">IF(OR(F178="",F178="متوفر ومكتمل"),"",IF(OR(C178="★",F178="غير متوفر"),"عالية","متوسطة"))</f>
        <v/>
      </c>
      <c r="I178" s="24"/>
      <c r="J178" s="25"/>
      <c r="K178" s="24"/>
      <c r="L178" s="24"/>
    </row>
    <row r="179" customFormat="false" ht="22.35" hidden="false" customHeight="false" outlineLevel="0" collapsed="false">
      <c r="A179" s="36" t="s">
        <v>358</v>
      </c>
      <c r="B179" s="37" t="s">
        <v>359</v>
      </c>
      <c r="C179" s="38"/>
      <c r="D179" s="37" t="s">
        <v>360</v>
      </c>
      <c r="E179" s="29" t="str">
        <f aca="false">'الخطة واللجنة'!$B$26</f>
        <v>عضو 8</v>
      </c>
      <c r="F179" s="30"/>
      <c r="G179" s="30"/>
      <c r="H179" s="29" t="str">
        <f aca="false">IF(OR(F179="",F179="متوفر ومكتمل"),"",IF(OR(C179="★",F179="غير متوفر"),"عالية","متوسطة"))</f>
        <v/>
      </c>
      <c r="I179" s="31"/>
      <c r="J179" s="32"/>
      <c r="K179" s="31"/>
      <c r="L179" s="31"/>
    </row>
    <row r="180" customFormat="false" ht="15" hidden="false" customHeight="false" outlineLevel="0" collapsed="false">
      <c r="A180" s="22" t="s">
        <v>358</v>
      </c>
      <c r="B180" s="20"/>
      <c r="C180" s="21"/>
      <c r="D180" s="20" t="s">
        <v>361</v>
      </c>
      <c r="E180" s="22" t="str">
        <f aca="false">'الخطة واللجنة'!$B$26</f>
        <v>عضو 8</v>
      </c>
      <c r="F180" s="23"/>
      <c r="G180" s="23"/>
      <c r="H180" s="22" t="str">
        <f aca="false">IF(OR(F180="",F180="متوفر ومكتمل"),"",IF(OR(C180="★",F180="غير متوفر"),"عالية","متوسطة"))</f>
        <v/>
      </c>
      <c r="I180" s="24"/>
      <c r="J180" s="25"/>
      <c r="K180" s="24"/>
      <c r="L180" s="24"/>
    </row>
    <row r="181" customFormat="false" ht="22.35" hidden="false" customHeight="false" outlineLevel="0" collapsed="false">
      <c r="A181" s="22" t="s">
        <v>358</v>
      </c>
      <c r="B181" s="20"/>
      <c r="C181" s="21"/>
      <c r="D181" s="20" t="s">
        <v>362</v>
      </c>
      <c r="E181" s="22" t="str">
        <f aca="false">'الخطة واللجنة'!$B$26</f>
        <v>عضو 8</v>
      </c>
      <c r="F181" s="23"/>
      <c r="G181" s="23"/>
      <c r="H181" s="22" t="str">
        <f aca="false">IF(OR(F181="",F181="متوفر ومكتمل"),"",IF(OR(C181="★",F181="غير متوفر"),"عالية","متوسطة"))</f>
        <v/>
      </c>
      <c r="I181" s="24"/>
      <c r="J181" s="25"/>
      <c r="K181" s="24"/>
      <c r="L181" s="24"/>
    </row>
    <row r="182" customFormat="false" ht="22.35" hidden="false" customHeight="false" outlineLevel="0" collapsed="false">
      <c r="A182" s="22" t="s">
        <v>358</v>
      </c>
      <c r="B182" s="20"/>
      <c r="C182" s="21"/>
      <c r="D182" s="20" t="s">
        <v>363</v>
      </c>
      <c r="E182" s="22" t="str">
        <f aca="false">'الخطة واللجنة'!$B$26</f>
        <v>عضو 8</v>
      </c>
      <c r="F182" s="23"/>
      <c r="G182" s="23"/>
      <c r="H182" s="22" t="str">
        <f aca="false">IF(OR(F182="",F182="متوفر ومكتمل"),"",IF(OR(C182="★",F182="غير متوفر"),"عالية","متوسطة"))</f>
        <v/>
      </c>
      <c r="I182" s="24"/>
      <c r="J182" s="25"/>
      <c r="K182" s="24"/>
      <c r="L182" s="24"/>
    </row>
    <row r="183" customFormat="false" ht="15" hidden="false" customHeight="false" outlineLevel="0" collapsed="false">
      <c r="A183" s="22" t="s">
        <v>358</v>
      </c>
      <c r="B183" s="20"/>
      <c r="C183" s="21"/>
      <c r="D183" s="20" t="s">
        <v>364</v>
      </c>
      <c r="E183" s="22" t="str">
        <f aca="false">'الخطة واللجنة'!$B$26</f>
        <v>عضو 8</v>
      </c>
      <c r="F183" s="23"/>
      <c r="G183" s="23"/>
      <c r="H183" s="22" t="str">
        <f aca="false">IF(OR(F183="",F183="متوفر ومكتمل"),"",IF(OR(C183="★",F183="غير متوفر"),"عالية","متوسطة"))</f>
        <v/>
      </c>
      <c r="I183" s="24"/>
      <c r="J183" s="25"/>
      <c r="K183" s="24"/>
      <c r="L183" s="24"/>
    </row>
    <row r="184" customFormat="false" ht="22.35" hidden="false" customHeight="false" outlineLevel="0" collapsed="false">
      <c r="A184" s="36" t="s">
        <v>365</v>
      </c>
      <c r="B184" s="37" t="s">
        <v>366</v>
      </c>
      <c r="C184" s="38"/>
      <c r="D184" s="37" t="s">
        <v>367</v>
      </c>
      <c r="E184" s="29" t="str">
        <f aca="false">'الخطة واللجنة'!$B$26</f>
        <v>عضو 8</v>
      </c>
      <c r="F184" s="30"/>
      <c r="G184" s="30"/>
      <c r="H184" s="29" t="str">
        <f aca="false">IF(OR(F184="",F184="متوفر ومكتمل"),"",IF(OR(C184="★",F184="غير متوفر"),"عالية","متوسطة"))</f>
        <v/>
      </c>
      <c r="I184" s="31"/>
      <c r="J184" s="32"/>
      <c r="K184" s="31"/>
      <c r="L184" s="31"/>
    </row>
    <row r="185" customFormat="false" ht="15" hidden="false" customHeight="false" outlineLevel="0" collapsed="false">
      <c r="A185" s="22" t="s">
        <v>365</v>
      </c>
      <c r="B185" s="20"/>
      <c r="C185" s="21"/>
      <c r="D185" s="20" t="s">
        <v>368</v>
      </c>
      <c r="E185" s="22" t="str">
        <f aca="false">'الخطة واللجنة'!$B$26</f>
        <v>عضو 8</v>
      </c>
      <c r="F185" s="23"/>
      <c r="G185" s="23"/>
      <c r="H185" s="22" t="str">
        <f aca="false">IF(OR(F185="",F185="متوفر ومكتمل"),"",IF(OR(C185="★",F185="غير متوفر"),"عالية","متوسطة"))</f>
        <v/>
      </c>
      <c r="I185" s="24"/>
      <c r="J185" s="25"/>
      <c r="K185" s="24"/>
      <c r="L185" s="24"/>
    </row>
    <row r="186" customFormat="false" ht="15" hidden="false" customHeight="false" outlineLevel="0" collapsed="false">
      <c r="A186" s="22" t="s">
        <v>365</v>
      </c>
      <c r="B186" s="20"/>
      <c r="C186" s="21"/>
      <c r="D186" s="20" t="s">
        <v>369</v>
      </c>
      <c r="E186" s="22" t="str">
        <f aca="false">'الخطة واللجنة'!$B$26</f>
        <v>عضو 8</v>
      </c>
      <c r="F186" s="23"/>
      <c r="G186" s="23"/>
      <c r="H186" s="22" t="str">
        <f aca="false">IF(OR(F186="",F186="متوفر ومكتمل"),"",IF(OR(C186="★",F186="غير متوفر"),"عالية","متوسطة"))</f>
        <v/>
      </c>
      <c r="I186" s="24"/>
      <c r="J186" s="25"/>
      <c r="K186" s="24"/>
      <c r="L186" s="24"/>
    </row>
    <row r="187" customFormat="false" ht="32.8" hidden="false" customHeight="false" outlineLevel="0" collapsed="false">
      <c r="A187" s="22" t="s">
        <v>365</v>
      </c>
      <c r="B187" s="20"/>
      <c r="C187" s="21"/>
      <c r="D187" s="20" t="s">
        <v>370</v>
      </c>
      <c r="E187" s="22" t="str">
        <f aca="false">'الخطة واللجنة'!$B$26</f>
        <v>عضو 8</v>
      </c>
      <c r="F187" s="23"/>
      <c r="G187" s="23"/>
      <c r="H187" s="22" t="str">
        <f aca="false">IF(OR(F187="",F187="متوفر ومكتمل"),"",IF(OR(C187="★",F187="غير متوفر"),"عالية","متوسطة"))</f>
        <v/>
      </c>
      <c r="I187" s="24"/>
      <c r="J187" s="25"/>
      <c r="K187" s="24"/>
      <c r="L187" s="24"/>
    </row>
    <row r="188" customFormat="false" ht="15" hidden="false" customHeight="false" outlineLevel="0" collapsed="false">
      <c r="A188" s="22" t="s">
        <v>365</v>
      </c>
      <c r="B188" s="20"/>
      <c r="C188" s="21"/>
      <c r="D188" s="20" t="s">
        <v>371</v>
      </c>
      <c r="E188" s="22" t="str">
        <f aca="false">'الخطة واللجنة'!$B$26</f>
        <v>عضو 8</v>
      </c>
      <c r="F188" s="23"/>
      <c r="G188" s="23"/>
      <c r="H188" s="22" t="str">
        <f aca="false">IF(OR(F188="",F188="متوفر ومكتمل"),"",IF(OR(C188="★",F188="غير متوفر"),"عالية","متوسطة"))</f>
        <v/>
      </c>
      <c r="I188" s="24"/>
      <c r="J188" s="25"/>
      <c r="K188" s="24"/>
      <c r="L188" s="24"/>
    </row>
    <row r="189" customFormat="false" ht="22.35" hidden="false" customHeight="false" outlineLevel="0" collapsed="false">
      <c r="A189" s="36" t="s">
        <v>372</v>
      </c>
      <c r="B189" s="37" t="s">
        <v>373</v>
      </c>
      <c r="C189" s="38"/>
      <c r="D189" s="37" t="s">
        <v>374</v>
      </c>
      <c r="E189" s="29" t="str">
        <f aca="false">'الخطة واللجنة'!$B$20</f>
        <v>عضو 2</v>
      </c>
      <c r="F189" s="30"/>
      <c r="G189" s="30"/>
      <c r="H189" s="29" t="str">
        <f aca="false">IF(OR(F189="",F189="متوفر ومكتمل"),"",IF(OR(C189="★",F189="غير متوفر"),"عالية","متوسطة"))</f>
        <v/>
      </c>
      <c r="I189" s="31"/>
      <c r="J189" s="32"/>
      <c r="K189" s="31"/>
      <c r="L189" s="31"/>
    </row>
    <row r="190" customFormat="false" ht="15" hidden="false" customHeight="false" outlineLevel="0" collapsed="false">
      <c r="A190" s="22" t="s">
        <v>372</v>
      </c>
      <c r="B190" s="20"/>
      <c r="C190" s="21"/>
      <c r="D190" s="20" t="s">
        <v>375</v>
      </c>
      <c r="E190" s="22" t="str">
        <f aca="false">'الخطة واللجنة'!$B$20</f>
        <v>عضو 2</v>
      </c>
      <c r="F190" s="23"/>
      <c r="G190" s="23"/>
      <c r="H190" s="22" t="str">
        <f aca="false">IF(OR(F190="",F190="متوفر ومكتمل"),"",IF(OR(C190="★",F190="غير متوفر"),"عالية","متوسطة"))</f>
        <v/>
      </c>
      <c r="I190" s="24"/>
      <c r="J190" s="25"/>
      <c r="K190" s="24"/>
      <c r="L190" s="24"/>
    </row>
    <row r="191" customFormat="false" ht="22.35" hidden="false" customHeight="false" outlineLevel="0" collapsed="false">
      <c r="A191" s="22" t="s">
        <v>372</v>
      </c>
      <c r="B191" s="20"/>
      <c r="C191" s="21"/>
      <c r="D191" s="20" t="s">
        <v>376</v>
      </c>
      <c r="E191" s="22" t="str">
        <f aca="false">'الخطة واللجنة'!$B$20</f>
        <v>عضو 2</v>
      </c>
      <c r="F191" s="23"/>
      <c r="G191" s="23"/>
      <c r="H191" s="22" t="str">
        <f aca="false">IF(OR(F191="",F191="متوفر ومكتمل"),"",IF(OR(C191="★",F191="غير متوفر"),"عالية","متوسطة"))</f>
        <v/>
      </c>
      <c r="I191" s="24"/>
      <c r="J191" s="25"/>
      <c r="K191" s="24"/>
      <c r="L191" s="24"/>
    </row>
    <row r="192" customFormat="false" ht="32.8" hidden="false" customHeight="false" outlineLevel="0" collapsed="false">
      <c r="A192" s="36" t="s">
        <v>377</v>
      </c>
      <c r="B192" s="37" t="s">
        <v>378</v>
      </c>
      <c r="C192" s="38"/>
      <c r="D192" s="37" t="s">
        <v>379</v>
      </c>
      <c r="E192" s="29" t="str">
        <f aca="false">'الخطة واللجنة'!$B$20</f>
        <v>عضو 2</v>
      </c>
      <c r="F192" s="30"/>
      <c r="G192" s="30"/>
      <c r="H192" s="29" t="str">
        <f aca="false">IF(OR(F192="",F192="متوفر ومكتمل"),"",IF(OR(C192="★",F192="غير متوفر"),"عالية","متوسطة"))</f>
        <v/>
      </c>
      <c r="I192" s="31"/>
      <c r="J192" s="32"/>
      <c r="K192" s="31"/>
      <c r="L192" s="31"/>
    </row>
    <row r="193" customFormat="false" ht="22.35" hidden="false" customHeight="false" outlineLevel="0" collapsed="false">
      <c r="A193" s="22" t="s">
        <v>377</v>
      </c>
      <c r="B193" s="20"/>
      <c r="C193" s="21"/>
      <c r="D193" s="20" t="s">
        <v>380</v>
      </c>
      <c r="E193" s="22" t="str">
        <f aca="false">'الخطة واللجنة'!$B$20</f>
        <v>عضو 2</v>
      </c>
      <c r="F193" s="23"/>
      <c r="G193" s="23"/>
      <c r="H193" s="22" t="str">
        <f aca="false">IF(OR(F193="",F193="متوفر ومكتمل"),"",IF(OR(C193="★",F193="غير متوفر"),"عالية","متوسطة"))</f>
        <v/>
      </c>
      <c r="I193" s="24"/>
      <c r="J193" s="25"/>
      <c r="K193" s="24"/>
      <c r="L193" s="24"/>
    </row>
    <row r="194" customFormat="false" ht="22.35" hidden="false" customHeight="false" outlineLevel="0" collapsed="false">
      <c r="A194" s="22" t="s">
        <v>377</v>
      </c>
      <c r="B194" s="20"/>
      <c r="C194" s="21"/>
      <c r="D194" s="20" t="s">
        <v>381</v>
      </c>
      <c r="E194" s="22" t="str">
        <f aca="false">'الخطة واللجنة'!$B$20</f>
        <v>عضو 2</v>
      </c>
      <c r="F194" s="23"/>
      <c r="G194" s="23"/>
      <c r="H194" s="22" t="str">
        <f aca="false">IF(OR(F194="",F194="متوفر ومكتمل"),"",IF(OR(C194="★",F194="غير متوفر"),"عالية","متوسطة"))</f>
        <v/>
      </c>
      <c r="I194" s="24"/>
      <c r="J194" s="25"/>
      <c r="K194" s="24"/>
      <c r="L194" s="24"/>
    </row>
    <row r="195" customFormat="false" ht="32.8" hidden="false" customHeight="false" outlineLevel="0" collapsed="false">
      <c r="A195" s="26" t="s">
        <v>382</v>
      </c>
      <c r="B195" s="27" t="s">
        <v>383</v>
      </c>
      <c r="C195" s="28" t="s">
        <v>111</v>
      </c>
      <c r="D195" s="27" t="s">
        <v>384</v>
      </c>
      <c r="E195" s="29" t="str">
        <f aca="false">'الخطة واللجنة'!$B$20</f>
        <v>عضو 2</v>
      </c>
      <c r="F195" s="30"/>
      <c r="G195" s="30"/>
      <c r="H195" s="29" t="str">
        <f aca="false">IF(OR(F195="",F195="متوفر ومكتمل"),"",IF(OR(C195="★",F195="غير متوفر"),"عالية","متوسطة"))</f>
        <v/>
      </c>
      <c r="I195" s="31"/>
      <c r="J195" s="32"/>
      <c r="K195" s="31"/>
      <c r="L195" s="31"/>
    </row>
    <row r="196" customFormat="false" ht="22.35" hidden="false" customHeight="false" outlineLevel="0" collapsed="false">
      <c r="A196" s="33" t="s">
        <v>382</v>
      </c>
      <c r="B196" s="34"/>
      <c r="C196" s="35" t="s">
        <v>111</v>
      </c>
      <c r="D196" s="34" t="s">
        <v>385</v>
      </c>
      <c r="E196" s="22" t="str">
        <f aca="false">'الخطة واللجنة'!$B$20</f>
        <v>عضو 2</v>
      </c>
      <c r="F196" s="23"/>
      <c r="G196" s="23"/>
      <c r="H196" s="22" t="str">
        <f aca="false">IF(OR(F196="",F196="متوفر ومكتمل"),"",IF(OR(C196="★",F196="غير متوفر"),"عالية","متوسطة"))</f>
        <v/>
      </c>
      <c r="I196" s="24"/>
      <c r="J196" s="25"/>
      <c r="K196" s="24"/>
      <c r="L196" s="24"/>
    </row>
    <row r="197" customFormat="false" ht="22.35" hidden="false" customHeight="false" outlineLevel="0" collapsed="false">
      <c r="A197" s="33" t="s">
        <v>382</v>
      </c>
      <c r="B197" s="34"/>
      <c r="C197" s="35" t="s">
        <v>111</v>
      </c>
      <c r="D197" s="34" t="s">
        <v>386</v>
      </c>
      <c r="E197" s="22" t="str">
        <f aca="false">'الخطة واللجنة'!$B$20</f>
        <v>عضو 2</v>
      </c>
      <c r="F197" s="23"/>
      <c r="G197" s="23"/>
      <c r="H197" s="22" t="str">
        <f aca="false">IF(OR(F197="",F197="متوفر ومكتمل"),"",IF(OR(C197="★",F197="غير متوفر"),"عالية","متوسطة"))</f>
        <v/>
      </c>
      <c r="I197" s="24"/>
      <c r="J197" s="25"/>
      <c r="K197" s="24"/>
      <c r="L197" s="24"/>
    </row>
    <row r="198" customFormat="false" ht="15" hidden="false" customHeight="false" outlineLevel="0" collapsed="false">
      <c r="A198" s="33" t="s">
        <v>382</v>
      </c>
      <c r="B198" s="34"/>
      <c r="C198" s="35" t="s">
        <v>111</v>
      </c>
      <c r="D198" s="34" t="s">
        <v>387</v>
      </c>
      <c r="E198" s="22" t="str">
        <f aca="false">'الخطة واللجنة'!$B$20</f>
        <v>عضو 2</v>
      </c>
      <c r="F198" s="23"/>
      <c r="G198" s="23"/>
      <c r="H198" s="22" t="str">
        <f aca="false">IF(OR(F198="",F198="متوفر ومكتمل"),"",IF(OR(C198="★",F198="غير متوفر"),"عالية","متوسطة"))</f>
        <v/>
      </c>
      <c r="I198" s="24"/>
      <c r="J198" s="25"/>
      <c r="K198" s="24"/>
      <c r="L198" s="24"/>
    </row>
    <row r="199" customFormat="false" ht="15" hidden="false" customHeight="false" outlineLevel="0" collapsed="false">
      <c r="A199" s="33" t="s">
        <v>382</v>
      </c>
      <c r="B199" s="34"/>
      <c r="C199" s="35" t="s">
        <v>111</v>
      </c>
      <c r="D199" s="34" t="s">
        <v>388</v>
      </c>
      <c r="E199" s="22" t="str">
        <f aca="false">'الخطة واللجنة'!$B$20</f>
        <v>عضو 2</v>
      </c>
      <c r="F199" s="23"/>
      <c r="G199" s="23"/>
      <c r="H199" s="22" t="str">
        <f aca="false">IF(OR(F199="",F199="متوفر ومكتمل"),"",IF(OR(C199="★",F199="غير متوفر"),"عالية","متوسطة"))</f>
        <v/>
      </c>
      <c r="I199" s="24"/>
      <c r="J199" s="25"/>
      <c r="K199" s="24"/>
      <c r="L199" s="24"/>
    </row>
    <row r="200" customFormat="false" ht="15" hidden="false" customHeight="false" outlineLevel="0" collapsed="false">
      <c r="A200" s="33" t="s">
        <v>382</v>
      </c>
      <c r="B200" s="34"/>
      <c r="C200" s="35" t="s">
        <v>111</v>
      </c>
      <c r="D200" s="34" t="s">
        <v>389</v>
      </c>
      <c r="E200" s="22" t="str">
        <f aca="false">'الخطة واللجنة'!$B$20</f>
        <v>عضو 2</v>
      </c>
      <c r="F200" s="23"/>
      <c r="G200" s="23"/>
      <c r="H200" s="22" t="str">
        <f aca="false">IF(OR(F200="",F200="متوفر ومكتمل"),"",IF(OR(C200="★",F200="غير متوفر"),"عالية","متوسطة"))</f>
        <v/>
      </c>
      <c r="I200" s="24"/>
      <c r="J200" s="25"/>
      <c r="K200" s="24"/>
      <c r="L200" s="24"/>
    </row>
    <row r="201" customFormat="false" ht="22.35" hidden="false" customHeight="false" outlineLevel="0" collapsed="false">
      <c r="A201" s="36" t="s">
        <v>390</v>
      </c>
      <c r="B201" s="37" t="s">
        <v>391</v>
      </c>
      <c r="C201" s="38"/>
      <c r="D201" s="37" t="s">
        <v>392</v>
      </c>
      <c r="E201" s="29" t="str">
        <f aca="false">'الخطة واللجنة'!$B$20</f>
        <v>عضو 2</v>
      </c>
      <c r="F201" s="30"/>
      <c r="G201" s="30"/>
      <c r="H201" s="29" t="str">
        <f aca="false">IF(OR(F201="",F201="متوفر ومكتمل"),"",IF(OR(C201="★",F201="غير متوفر"),"عالية","متوسطة"))</f>
        <v/>
      </c>
      <c r="I201" s="31"/>
      <c r="J201" s="32"/>
      <c r="K201" s="31"/>
      <c r="L201" s="31"/>
    </row>
    <row r="202" customFormat="false" ht="22.35" hidden="false" customHeight="false" outlineLevel="0" collapsed="false">
      <c r="A202" s="22" t="s">
        <v>390</v>
      </c>
      <c r="B202" s="20"/>
      <c r="C202" s="21"/>
      <c r="D202" s="20" t="s">
        <v>393</v>
      </c>
      <c r="E202" s="22" t="str">
        <f aca="false">'الخطة واللجنة'!$B$20</f>
        <v>عضو 2</v>
      </c>
      <c r="F202" s="23"/>
      <c r="G202" s="23"/>
      <c r="H202" s="22" t="str">
        <f aca="false">IF(OR(F202="",F202="متوفر ومكتمل"),"",IF(OR(C202="★",F202="غير متوفر"),"عالية","متوسطة"))</f>
        <v/>
      </c>
      <c r="I202" s="24"/>
      <c r="J202" s="25"/>
      <c r="K202" s="24"/>
      <c r="L202" s="24"/>
    </row>
    <row r="203" customFormat="false" ht="15" hidden="false" customHeight="false" outlineLevel="0" collapsed="false">
      <c r="A203" s="22" t="s">
        <v>390</v>
      </c>
      <c r="B203" s="20"/>
      <c r="C203" s="21"/>
      <c r="D203" s="20" t="s">
        <v>394</v>
      </c>
      <c r="E203" s="22" t="str">
        <f aca="false">'الخطة واللجنة'!$B$20</f>
        <v>عضو 2</v>
      </c>
      <c r="F203" s="23"/>
      <c r="G203" s="23"/>
      <c r="H203" s="22" t="str">
        <f aca="false">IF(OR(F203="",F203="متوفر ومكتمل"),"",IF(OR(C203="★",F203="غير متوفر"),"عالية","متوسطة"))</f>
        <v/>
      </c>
      <c r="I203" s="24"/>
      <c r="J203" s="25"/>
      <c r="K203" s="24"/>
      <c r="L203" s="24"/>
    </row>
    <row r="204" customFormat="false" ht="15" hidden="false" customHeight="false" outlineLevel="0" collapsed="false">
      <c r="A204" s="22" t="s">
        <v>390</v>
      </c>
      <c r="B204" s="20"/>
      <c r="C204" s="21"/>
      <c r="D204" s="20" t="s">
        <v>395</v>
      </c>
      <c r="E204" s="22" t="str">
        <f aca="false">'الخطة واللجنة'!$B$20</f>
        <v>عضو 2</v>
      </c>
      <c r="F204" s="23"/>
      <c r="G204" s="23"/>
      <c r="H204" s="22" t="str">
        <f aca="false">IF(OR(F204="",F204="متوفر ومكتمل"),"",IF(OR(C204="★",F204="غير متوفر"),"عالية","متوسطة"))</f>
        <v/>
      </c>
      <c r="I204" s="24"/>
      <c r="J204" s="25"/>
      <c r="K204" s="24"/>
      <c r="L204" s="24"/>
    </row>
    <row r="205" customFormat="false" ht="22.35" hidden="false" customHeight="false" outlineLevel="0" collapsed="false">
      <c r="A205" s="22" t="s">
        <v>390</v>
      </c>
      <c r="B205" s="20"/>
      <c r="C205" s="21"/>
      <c r="D205" s="20" t="s">
        <v>396</v>
      </c>
      <c r="E205" s="22" t="str">
        <f aca="false">'الخطة واللجنة'!$B$20</f>
        <v>عضو 2</v>
      </c>
      <c r="F205" s="23"/>
      <c r="G205" s="23"/>
      <c r="H205" s="22" t="str">
        <f aca="false">IF(OR(F205="",F205="متوفر ومكتمل"),"",IF(OR(C205="★",F205="غير متوفر"),"عالية","متوسطة"))</f>
        <v/>
      </c>
      <c r="I205" s="24"/>
      <c r="J205" s="25"/>
      <c r="K205" s="24"/>
      <c r="L205" s="24"/>
    </row>
    <row r="206" customFormat="false" ht="22.35" hidden="false" customHeight="false" outlineLevel="0" collapsed="false">
      <c r="A206" s="36" t="s">
        <v>397</v>
      </c>
      <c r="B206" s="37" t="s">
        <v>398</v>
      </c>
      <c r="C206" s="38"/>
      <c r="D206" s="37" t="s">
        <v>399</v>
      </c>
      <c r="E206" s="29" t="str">
        <f aca="false">'الخطة واللجنة'!$B$20</f>
        <v>عضو 2</v>
      </c>
      <c r="F206" s="30"/>
      <c r="G206" s="30"/>
      <c r="H206" s="29" t="str">
        <f aca="false">IF(OR(F206="",F206="متوفر ومكتمل"),"",IF(OR(C206="★",F206="غير متوفر"),"عالية","متوسطة"))</f>
        <v/>
      </c>
      <c r="I206" s="31"/>
      <c r="J206" s="32"/>
      <c r="K206" s="31"/>
      <c r="L206" s="31"/>
    </row>
    <row r="207" customFormat="false" ht="22.35" hidden="false" customHeight="false" outlineLevel="0" collapsed="false">
      <c r="A207" s="22" t="s">
        <v>397</v>
      </c>
      <c r="B207" s="20"/>
      <c r="C207" s="21"/>
      <c r="D207" s="20" t="s">
        <v>400</v>
      </c>
      <c r="E207" s="22" t="str">
        <f aca="false">'الخطة واللجنة'!$B$20</f>
        <v>عضو 2</v>
      </c>
      <c r="F207" s="23"/>
      <c r="G207" s="23"/>
      <c r="H207" s="22" t="str">
        <f aca="false">IF(OR(F207="",F207="متوفر ومكتمل"),"",IF(OR(C207="★",F207="غير متوفر"),"عالية","متوسطة"))</f>
        <v/>
      </c>
      <c r="I207" s="24"/>
      <c r="J207" s="25"/>
      <c r="K207" s="24"/>
      <c r="L207" s="24"/>
    </row>
  </sheetData>
  <autoFilter ref="A3:L207"/>
  <mergeCells count="2">
    <mergeCell ref="A1:F1"/>
    <mergeCell ref="A2:L2"/>
  </mergeCells>
  <conditionalFormatting sqref="F4:F207">
    <cfRule type="cellIs" priority="2" operator="equal" aboveAverage="0" equalAverage="0" bottom="0" percent="0" rank="0" text="" dxfId="6">
      <formula>"متوفر ومكتمل"</formula>
    </cfRule>
    <cfRule type="cellIs" priority="3" operator="equal" aboveAverage="0" equalAverage="0" bottom="0" percent="0" rank="0" text="" dxfId="7">
      <formula>"متوفر ويحتاج تحسين"</formula>
    </cfRule>
    <cfRule type="cellIs" priority="4" operator="equal" aboveAverage="0" equalAverage="0" bottom="0" percent="0" rank="0" text="" dxfId="8">
      <formula>"غير متوفر"</formula>
    </cfRule>
  </conditionalFormatting>
  <conditionalFormatting sqref="H4:H207">
    <cfRule type="cellIs" priority="5" operator="equal" aboveAverage="0" equalAverage="0" bottom="0" percent="0" rank="0" text="" dxfId="9">
      <formula>"عالية"</formula>
    </cfRule>
  </conditionalFormatting>
  <dataValidations count="2">
    <dataValidation allowBlank="true" errorStyle="stop" operator="between" showDropDown="false" showErrorMessage="false" showInputMessage="false" sqref="F4:F207" type="list">
      <formula1>"متوفر ومكتمل,متوفر ويحتاج تحسين,غير متوفر"</formula1>
      <formula2>0</formula2>
    </dataValidation>
    <dataValidation allowBlank="true" errorStyle="stop" operator="between" showDropDown="false" showErrorMessage="false" showInputMessage="false" sqref="G4:G207" type="list">
      <formula1>"غير معتمد,غير محدّث,لا يغطي المعيار كاملاً,لا يثبت التطبيق الفعلي,لا توجد نتائج وتحسين"</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2026-10-18T15:50:42Z</dcterms:created>
  <dc:creator>openpyxl</dc:creator>
  <dc:description/>
  <dc:language>en-US</dc:language>
  <cp:lastModifiedBy/>
  <dcterms:modified xsi:type="dcterms:W3CDTF">2026-10-18T15:50:42Z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